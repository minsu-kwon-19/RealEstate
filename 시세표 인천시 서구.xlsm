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9" activeTab="2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가정동" sheetId="6" state="visible" r:id="rId6"/>
    <sheet xmlns:r="http://schemas.openxmlformats.org/officeDocument/2006/relationships" name="가좌동" sheetId="7" state="visible" r:id="rId7"/>
    <sheet xmlns:r="http://schemas.openxmlformats.org/officeDocument/2006/relationships" name="검암동" sheetId="8" state="visible" r:id="rId8"/>
    <sheet xmlns:r="http://schemas.openxmlformats.org/officeDocument/2006/relationships" name="경서동" sheetId="9" state="visible" r:id="rId9"/>
    <sheet xmlns:r="http://schemas.openxmlformats.org/officeDocument/2006/relationships" name="공촌동" sheetId="10" state="visible" r:id="rId10"/>
    <sheet xmlns:r="http://schemas.openxmlformats.org/officeDocument/2006/relationships" name="금곡동" sheetId="11" state="visible" r:id="rId11"/>
    <sheet xmlns:r="http://schemas.openxmlformats.org/officeDocument/2006/relationships" name="당하동" sheetId="12" state="visible" r:id="rId12"/>
    <sheet xmlns:r="http://schemas.openxmlformats.org/officeDocument/2006/relationships" name="마전동" sheetId="13" state="visible" r:id="rId13"/>
    <sheet xmlns:r="http://schemas.openxmlformats.org/officeDocument/2006/relationships" name="백석동" sheetId="14" state="visible" r:id="rId14"/>
    <sheet xmlns:r="http://schemas.openxmlformats.org/officeDocument/2006/relationships" name="불로동" sheetId="15" state="visible" r:id="rId15"/>
    <sheet xmlns:r="http://schemas.openxmlformats.org/officeDocument/2006/relationships" name="석남동" sheetId="16" state="visible" r:id="rId16"/>
    <sheet xmlns:r="http://schemas.openxmlformats.org/officeDocument/2006/relationships" name="신현동" sheetId="17" state="visible" r:id="rId17"/>
    <sheet xmlns:r="http://schemas.openxmlformats.org/officeDocument/2006/relationships" name="심곡동" sheetId="18" state="visible" r:id="rId18"/>
    <sheet xmlns:r="http://schemas.openxmlformats.org/officeDocument/2006/relationships" name="연희동" sheetId="19" state="visible" r:id="rId19"/>
    <sheet xmlns:r="http://schemas.openxmlformats.org/officeDocument/2006/relationships" name="오류동" sheetId="20" state="visible" r:id="rId20"/>
    <sheet xmlns:r="http://schemas.openxmlformats.org/officeDocument/2006/relationships" name="왕길동" sheetId="21" state="visible" r:id="rId21"/>
    <sheet xmlns:r="http://schemas.openxmlformats.org/officeDocument/2006/relationships" name="원당동" sheetId="22" state="visible" r:id="rId22"/>
    <sheet xmlns:r="http://schemas.openxmlformats.org/officeDocument/2006/relationships" name="청라동" sheetId="23" state="visible" r:id="rId23"/>
    <sheet xmlns:r="http://schemas.openxmlformats.org/officeDocument/2006/relationships" name="양식" sheetId="24" state="visible" r:id="rId24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'가정동'!$1:$3</definedName>
    <definedName name="_xlnm.Print_Area" localSheetId="5">'가정동'!$A$1:$U$6</definedName>
    <definedName name="_xlnm.Print_Titles" localSheetId="6">'가좌동'!$1:$3</definedName>
    <definedName name="_xlnm.Print_Area" localSheetId="6">'가좌동'!$A$1:$U$6</definedName>
    <definedName name="_xlnm.Print_Titles" localSheetId="7">'검암동'!$1:$3</definedName>
    <definedName name="_xlnm.Print_Area" localSheetId="7">'검암동'!$A$1:$U$6</definedName>
    <definedName name="_xlnm.Print_Titles" localSheetId="8">'경서동'!$1:$3</definedName>
    <definedName name="_xlnm.Print_Area" localSheetId="8">'경서동'!$A$1:$U$6</definedName>
    <definedName name="_xlnm.Print_Titles" localSheetId="9">'공촌동'!$1:$3</definedName>
    <definedName name="_xlnm.Print_Area" localSheetId="9">'공촌동'!$A$1:$U$6</definedName>
    <definedName name="_xlnm.Print_Titles" localSheetId="10">'금곡동'!$1:$3</definedName>
    <definedName name="_xlnm.Print_Area" localSheetId="10">'금곡동'!$A$1:$U$6</definedName>
    <definedName name="_xlnm.Print_Titles" localSheetId="11">'당하동'!$1:$3</definedName>
    <definedName name="_xlnm.Print_Area" localSheetId="11">'당하동'!$A$1:$U$6</definedName>
    <definedName name="_xlnm.Print_Titles" localSheetId="12">'마전동'!$1:$3</definedName>
    <definedName name="_xlnm.Print_Area" localSheetId="12">'마전동'!$A$1:$U$6</definedName>
    <definedName name="_xlnm.Print_Titles" localSheetId="13">'백석동'!$1:$3</definedName>
    <definedName name="_xlnm.Print_Area" localSheetId="13">'백석동'!$A$1:$U$6</definedName>
    <definedName name="_xlnm.Print_Titles" localSheetId="14">'불로동'!$1:$3</definedName>
    <definedName name="_xlnm.Print_Area" localSheetId="14">'불로동'!$A$1:$U$6</definedName>
    <definedName name="_xlnm.Print_Titles" localSheetId="15">'석남동'!$1:$3</definedName>
    <definedName name="_xlnm.Print_Area" localSheetId="15">'석남동'!$A$1:$U$6</definedName>
    <definedName name="_xlnm.Print_Titles" localSheetId="16">'신현동'!$1:$3</definedName>
    <definedName name="_xlnm.Print_Area" localSheetId="16">'신현동'!$A$1:$U$6</definedName>
    <definedName name="_xlnm.Print_Titles" localSheetId="17">'심곡동'!$1:$3</definedName>
    <definedName name="_xlnm.Print_Area" localSheetId="17">'심곡동'!$A$1:$U$6</definedName>
    <definedName name="_xlnm.Print_Titles" localSheetId="18">'연희동'!$1:$3</definedName>
    <definedName name="_xlnm.Print_Area" localSheetId="18">'연희동'!$A$1:$U$6</definedName>
    <definedName name="_xlnm.Print_Titles" localSheetId="19">'오류동'!$1:$3</definedName>
    <definedName name="_xlnm.Print_Area" localSheetId="19">'오류동'!$A$1:$U$6</definedName>
    <definedName name="_xlnm.Print_Titles" localSheetId="20">'왕길동'!$1:$3</definedName>
    <definedName name="_xlnm.Print_Area" localSheetId="20">'왕길동'!$A$1:$U$6</definedName>
    <definedName name="_xlnm.Print_Titles" localSheetId="21">'원당동'!$1:$3</definedName>
    <definedName name="_xlnm.Print_Area" localSheetId="21">'원당동'!$A$1:$U$6</definedName>
    <definedName name="_xlnm.Print_Titles" localSheetId="22">'청라동'!$1:$3</definedName>
    <definedName name="_xlnm.Print_Area" localSheetId="22">'청라동'!$A$1:$U$6</definedName>
    <definedName name="_xlnm.Print_Titles" localSheetId="23">'양식'!$1:$3</definedName>
    <definedName name="_xlnm.Print_Area" localSheetId="23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17518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styles" Target="styles.xml" Id="rId25"/><Relationship Type="http://schemas.openxmlformats.org/officeDocument/2006/relationships/theme" Target="theme/theme1.xml" Id="rId26"/><Relationship Type="http://schemas.microsoft.com/office/2006/relationships/vbaProject" Target="vbaProject.bin" Id="rId27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1">
      <c r="A1" s="41" t="inlineStr">
        <is>
          <t>인천광역시 연수구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X</t>
        </is>
      </c>
      <c r="M1" s="0" t="n"/>
      <c r="N1" s="122" t="inlineStr">
        <is>
          <t>추출기준세대수</t>
        </is>
      </c>
      <c r="O1" s="132" t="n"/>
      <c r="P1" s="133" t="n">
        <v>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4" t="n"/>
      <c r="AL1" s="134" t="n"/>
      <c r="AM1" s="134" t="n"/>
      <c r="AN1" s="132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1">
      <c r="A2" s="135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4" t="n"/>
      <c r="AQ2" s="132" t="n"/>
      <c r="AR2" s="50" t="inlineStr">
        <is>
          <t>수익성</t>
        </is>
      </c>
      <c r="AS2" s="132" t="n"/>
      <c r="AT2" s="50" t="inlineStr">
        <is>
          <t>환금성</t>
        </is>
      </c>
      <c r="AU2" s="132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6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7" t="n">
        <v>2010</v>
      </c>
      <c r="BC3" s="137" t="n">
        <v>2000</v>
      </c>
      <c r="BD3" s="137" t="n">
        <v>1990</v>
      </c>
      <c r="BE3" s="138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39" t="n">
        <v>2011</v>
      </c>
      <c r="AY4" s="139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39" t="n">
        <v>2011</v>
      </c>
      <c r="AY5" s="139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39" t="n">
        <v>2011</v>
      </c>
      <c r="AY6" s="139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39" t="n">
        <v>2015</v>
      </c>
      <c r="AY7" s="139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39" t="n">
        <v>2015</v>
      </c>
      <c r="AY8" s="139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39" t="n">
        <v>2015</v>
      </c>
      <c r="AY9" s="139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39" t="n">
        <v>2012</v>
      </c>
      <c r="AY10" s="139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39" t="n">
        <v>2012</v>
      </c>
      <c r="AY11" s="139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39" t="n">
        <v>2012</v>
      </c>
      <c r="AY12" s="139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39" t="n">
        <v>2012</v>
      </c>
      <c r="AY13" s="139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39" t="n">
        <v>2011</v>
      </c>
      <c r="AY14" s="139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39" t="n">
        <v>2011</v>
      </c>
      <c r="AY15" s="139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39" t="n">
        <v>2011</v>
      </c>
      <c r="AY16" s="139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39" t="n">
        <v>2012</v>
      </c>
      <c r="AY17" s="139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39" t="n">
        <v>2012</v>
      </c>
      <c r="AY18" s="139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39" t="n">
        <v>2012</v>
      </c>
      <c r="AY19" s="139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39" t="n">
        <v>2012</v>
      </c>
      <c r="AY20" s="139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39" t="n">
        <v>2011</v>
      </c>
      <c r="AY21" s="139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39" t="n">
        <v>2011</v>
      </c>
      <c r="AY22" s="139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39" t="n">
        <v>2011</v>
      </c>
      <c r="AY23" s="139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39" t="n">
        <v>2011</v>
      </c>
      <c r="AY24" s="139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39" t="n">
        <v>2011</v>
      </c>
      <c r="AY25" s="139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39" t="n">
        <v>2009</v>
      </c>
      <c r="AY26" s="139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39" t="n">
        <v>2009</v>
      </c>
      <c r="AY27" s="139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39" t="n">
        <v>2009</v>
      </c>
      <c r="AY28" s="139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39" t="n">
        <v>2009</v>
      </c>
      <c r="AY29" s="139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39" t="n">
        <v>2009</v>
      </c>
      <c r="AY30" s="139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39" t="n">
        <v>2010</v>
      </c>
      <c r="AY31" s="139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39" t="n">
        <v>2010</v>
      </c>
      <c r="AY32" s="139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39" t="n">
        <v>2010</v>
      </c>
      <c r="AY33" s="139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39" t="n">
        <v>2010</v>
      </c>
      <c r="AY34" s="139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39" t="n">
        <v>2005</v>
      </c>
      <c r="AY35" s="139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39" t="n">
        <v>2005</v>
      </c>
      <c r="AY36" s="139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39" t="n">
        <v>2005</v>
      </c>
      <c r="AY37" s="139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39" t="n">
        <v>2005</v>
      </c>
      <c r="AY38" s="139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39" t="n">
        <v>2005</v>
      </c>
      <c r="AY39" s="139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39" t="n">
        <v>2005</v>
      </c>
      <c r="AY40" s="139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39" t="n">
        <v>2015</v>
      </c>
      <c r="AY41" s="139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39" t="n">
        <v>2015</v>
      </c>
      <c r="AY42" s="139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39" t="n">
        <v>2015</v>
      </c>
      <c r="AY43" s="139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39" t="n">
        <v>2015</v>
      </c>
      <c r="AY44" s="139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39" t="n">
        <v>2012</v>
      </c>
      <c r="AY45" s="139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39" t="n">
        <v>2012</v>
      </c>
      <c r="AY46" s="139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39" t="n">
        <v>2012</v>
      </c>
      <c r="AY47" s="139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39" t="n">
        <v>2012</v>
      </c>
      <c r="AY48" s="139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39" t="n">
        <v>2010</v>
      </c>
      <c r="AY49" s="139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39" t="n">
        <v>2010</v>
      </c>
      <c r="AY50" s="139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39" t="n">
        <v>2010</v>
      </c>
      <c r="AY51" s="139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39" t="n">
        <v>2010</v>
      </c>
      <c r="AY52" s="139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39" t="n">
        <v>2010</v>
      </c>
      <c r="AY53" s="139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39" t="n">
        <v>2009</v>
      </c>
      <c r="AY54" s="139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39" t="n">
        <v>2009</v>
      </c>
      <c r="AY55" s="139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39" t="n">
        <v>2009</v>
      </c>
      <c r="AY56" s="139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39" t="n">
        <v>2009</v>
      </c>
      <c r="AY57" s="139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39" t="n">
        <v>2015</v>
      </c>
      <c r="AY58" s="139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39" t="n">
        <v>2015</v>
      </c>
      <c r="AY59" s="139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39" t="n">
        <v>2015</v>
      </c>
      <c r="AY60" s="139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39" t="n">
        <v>2009</v>
      </c>
      <c r="AY61" s="139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39" t="n">
        <v>2009</v>
      </c>
      <c r="AY62" s="139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39" t="n">
        <v>2009</v>
      </c>
      <c r="AY63" s="139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39" t="n">
        <v>2009</v>
      </c>
      <c r="AY64" s="139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39" t="n">
        <v>2005</v>
      </c>
      <c r="AY65" s="139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39" t="n">
        <v>2005</v>
      </c>
      <c r="AY66" s="139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39" t="n">
        <v>2005</v>
      </c>
      <c r="AY67" s="139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39" t="n">
        <v>1994</v>
      </c>
      <c r="AY68" s="139" t="n">
        <v>5</v>
      </c>
      <c r="AZ68" s="139" t="n"/>
      <c r="BA68" s="113" t="inlineStr">
        <is>
          <t>20평대</t>
        </is>
      </c>
      <c r="BB68" s="140" t="n">
        <v>0</v>
      </c>
      <c r="BC68" s="140" t="n">
        <v>0</v>
      </c>
      <c r="BD68" s="140" t="n">
        <v>0</v>
      </c>
      <c r="BE68" s="140" t="n">
        <v>0</v>
      </c>
      <c r="BF68" s="140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39" t="n">
        <v>1994</v>
      </c>
      <c r="AY69" s="139" t="n">
        <v>5</v>
      </c>
      <c r="AZ69" s="139" t="n"/>
      <c r="BA69" s="113" t="inlineStr">
        <is>
          <t>30평대</t>
        </is>
      </c>
      <c r="BB69" s="140" t="n">
        <v>0</v>
      </c>
      <c r="BC69" s="140" t="n">
        <v>0</v>
      </c>
      <c r="BD69" s="140" t="n">
        <v>0</v>
      </c>
      <c r="BE69" s="140" t="n">
        <v>0</v>
      </c>
      <c r="BF69" s="140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39" t="n">
        <v>1994</v>
      </c>
      <c r="AY70" s="139" t="n">
        <v>5</v>
      </c>
      <c r="AZ70" s="139" t="n"/>
      <c r="BA70" s="115" t="inlineStr">
        <is>
          <t>40평대↑</t>
        </is>
      </c>
      <c r="BB70" s="141" t="n">
        <v>0</v>
      </c>
      <c r="BC70" s="141" t="n">
        <v>0</v>
      </c>
      <c r="BD70" s="141" t="n">
        <v>0</v>
      </c>
      <c r="BE70" s="141" t="n">
        <v>0</v>
      </c>
      <c r="BF70" s="141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39" t="n">
        <v>1995</v>
      </c>
      <c r="AY71" s="139" t="n">
        <v>8</v>
      </c>
      <c r="AZ71" s="139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39" t="n">
        <v>1995</v>
      </c>
      <c r="AY72" s="139" t="n">
        <v>8</v>
      </c>
      <c r="AZ72" s="139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39" t="n">
        <v>1994</v>
      </c>
      <c r="AY73" s="139" t="n">
        <v>12</v>
      </c>
      <c r="BA73" s="113" t="inlineStr">
        <is>
          <t>20평대</t>
        </is>
      </c>
      <c r="BB73" s="142" t="e">
        <v>#DIV/0!</v>
      </c>
      <c r="BC73" s="142" t="e">
        <v>#DIV/0!</v>
      </c>
      <c r="BD73" s="142" t="e">
        <v>#DIV/0!</v>
      </c>
      <c r="BE73" s="142" t="e">
        <v>#DIV/0!</v>
      </c>
      <c r="BF73" s="142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39" t="n">
        <v>1993</v>
      </c>
      <c r="AY74" s="139" t="n">
        <v>6</v>
      </c>
      <c r="BA74" s="115" t="inlineStr">
        <is>
          <t>40평대↑</t>
        </is>
      </c>
      <c r="BB74" s="143" t="e">
        <v>#DIV/0!</v>
      </c>
      <c r="BC74" s="143" t="e">
        <v>#DIV/0!</v>
      </c>
      <c r="BD74" s="143" t="e">
        <v>#DIV/0!</v>
      </c>
      <c r="BE74" s="143" t="e">
        <v>#DIV/0!</v>
      </c>
      <c r="BF74" s="143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39" t="n">
        <v>1993</v>
      </c>
      <c r="AY75" s="139" t="n">
        <v>6</v>
      </c>
      <c r="BA75" s="113" t="inlineStr">
        <is>
          <t>합계</t>
        </is>
      </c>
      <c r="BB75" s="142" t="e">
        <v>#DIV/0!</v>
      </c>
      <c r="BC75" s="142" t="e">
        <v>#DIV/0!</v>
      </c>
      <c r="BD75" s="142" t="e">
        <v>#DIV/0!</v>
      </c>
      <c r="BE75" s="142" t="e">
        <v>#DIV/0!</v>
      </c>
      <c r="BF75" s="142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39" t="n">
        <v>2019</v>
      </c>
      <c r="AY76" s="139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39" t="n">
        <v>2019</v>
      </c>
      <c r="AY77" s="139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39" t="n">
        <v>2019</v>
      </c>
      <c r="AY78" s="139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39" t="n">
        <v>2019</v>
      </c>
      <c r="AY79" s="139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39" t="n">
        <v>1993</v>
      </c>
      <c r="AY80" s="139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39" t="n">
        <v>1993</v>
      </c>
      <c r="AY81" s="139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39" t="n">
        <v>1995</v>
      </c>
      <c r="AY82" s="139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39" t="n">
        <v>1995</v>
      </c>
      <c r="AY83" s="139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39" t="n">
        <v>1993</v>
      </c>
      <c r="AY84" s="139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39" t="n">
        <v>1993</v>
      </c>
      <c r="AY85" s="139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39" t="n">
        <v>1993</v>
      </c>
      <c r="AY86" s="139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39" t="n">
        <v>2017</v>
      </c>
      <c r="AY87" s="139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39" t="n">
        <v>2017</v>
      </c>
      <c r="AY88" s="139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39" t="n">
        <v>1993</v>
      </c>
      <c r="AY89" s="139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39" t="n">
        <v>2019</v>
      </c>
      <c r="AY90" s="139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39" t="n">
        <v>2019</v>
      </c>
      <c r="AY91" s="139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39" t="n">
        <v>2019</v>
      </c>
      <c r="AY92" s="139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39" t="n">
        <v>1994</v>
      </c>
      <c r="AY93" s="139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39" t="n">
        <v>1994</v>
      </c>
      <c r="AY94" s="139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39" t="n">
        <v>1994</v>
      </c>
      <c r="AY95" s="139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39" t="n">
        <v>1994</v>
      </c>
      <c r="AY96" s="139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39" t="n">
        <v>1994</v>
      </c>
      <c r="AY97" s="139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39" t="n">
        <v>1994</v>
      </c>
      <c r="AY98" s="139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39" t="n">
        <v>1994</v>
      </c>
      <c r="AY99" s="139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39" t="n">
        <v>1994</v>
      </c>
      <c r="AY100" s="139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39" t="n">
        <v>1994</v>
      </c>
      <c r="AY101" s="139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39" t="n">
        <v>1993</v>
      </c>
      <c r="AY102" s="139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39" t="n">
        <v>1993</v>
      </c>
      <c r="AY103" s="139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39" t="n">
        <v>1994</v>
      </c>
      <c r="AY104" s="139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39" t="n">
        <v>1993</v>
      </c>
      <c r="AY105" s="139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39" t="n">
        <v>1993</v>
      </c>
      <c r="AY106" s="139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39" t="n">
        <v>1994</v>
      </c>
      <c r="AY107" s="139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39" t="n">
        <v>2019</v>
      </c>
      <c r="AY108" s="139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39" t="n">
        <v>1993</v>
      </c>
      <c r="AY109" s="139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39" t="n">
        <v>1993</v>
      </c>
      <c r="AY110" s="139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39" t="n">
        <v>2019</v>
      </c>
      <c r="AY111" s="139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39" t="n">
        <v>2019</v>
      </c>
      <c r="AY112" s="139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39" t="n">
        <v>1994</v>
      </c>
      <c r="AY113" s="139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39" t="n">
        <v>1994</v>
      </c>
      <c r="AY114" s="139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39" t="n">
        <v>2019</v>
      </c>
      <c r="AY115" s="139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39" t="n">
        <v>1992</v>
      </c>
      <c r="AY116" s="139" t="n">
        <v>1</v>
      </c>
      <c r="AZ116" s="139" t="n"/>
      <c r="BA116" s="113" t="inlineStr">
        <is>
          <t>20평대</t>
        </is>
      </c>
      <c r="BB116" s="140" t="n">
        <v>0</v>
      </c>
      <c r="BC116" s="140" t="n">
        <v>0</v>
      </c>
      <c r="BD116" s="140" t="n">
        <v>0</v>
      </c>
      <c r="BE116" s="140" t="n">
        <v>0</v>
      </c>
      <c r="BF116" s="140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39" t="n">
        <v>1992</v>
      </c>
      <c r="AY117" s="139" t="n">
        <v>1</v>
      </c>
      <c r="AZ117" s="139" t="n"/>
      <c r="BA117" s="113" t="inlineStr">
        <is>
          <t>30평대</t>
        </is>
      </c>
      <c r="BB117" s="140" t="n">
        <v>0</v>
      </c>
      <c r="BC117" s="140" t="n">
        <v>0</v>
      </c>
      <c r="BD117" s="140" t="n">
        <v>0</v>
      </c>
      <c r="BE117" s="140" t="n">
        <v>0</v>
      </c>
      <c r="BF117" s="140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39" t="n">
        <v>1993</v>
      </c>
      <c r="AY118" s="139" t="n">
        <v>1</v>
      </c>
      <c r="AZ118" s="139" t="n"/>
      <c r="BA118" s="113" t="inlineStr">
        <is>
          <t>합계</t>
        </is>
      </c>
      <c r="BB118" s="140" t="n">
        <v>0</v>
      </c>
      <c r="BC118" s="140" t="n">
        <v>0</v>
      </c>
      <c r="BD118" s="140" t="n">
        <v>0</v>
      </c>
      <c r="BE118" s="140" t="n">
        <v>0</v>
      </c>
      <c r="BF118" s="140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39" t="n">
        <v>1993</v>
      </c>
      <c r="AY119" s="139" t="n">
        <v>1</v>
      </c>
      <c r="AZ119" s="139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39" t="n">
        <v>1993</v>
      </c>
      <c r="AY120" s="139" t="n">
        <v>1</v>
      </c>
      <c r="AZ120" s="139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39" t="n">
        <v>1995</v>
      </c>
      <c r="AY121" s="139" t="n">
        <v>8</v>
      </c>
      <c r="BA121" s="113" t="inlineStr">
        <is>
          <t>20평대</t>
        </is>
      </c>
      <c r="BB121" s="142" t="e">
        <v>#DIV/0!</v>
      </c>
      <c r="BC121" s="142" t="e">
        <v>#DIV/0!</v>
      </c>
      <c r="BD121" s="142" t="e">
        <v>#DIV/0!</v>
      </c>
      <c r="BE121" s="142" t="e">
        <v>#DIV/0!</v>
      </c>
      <c r="BF121" s="142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39" t="n">
        <v>1995</v>
      </c>
      <c r="AY122" s="139" t="n">
        <v>8</v>
      </c>
      <c r="BA122" s="113" t="inlineStr">
        <is>
          <t>30평대</t>
        </is>
      </c>
      <c r="BB122" s="142" t="e">
        <v>#DIV/0!</v>
      </c>
      <c r="BC122" s="142" t="e">
        <v>#DIV/0!</v>
      </c>
      <c r="BD122" s="142" t="e">
        <v>#DIV/0!</v>
      </c>
      <c r="BE122" s="142" t="e">
        <v>#DIV/0!</v>
      </c>
      <c r="BF122" s="142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39" t="n">
        <v>1992</v>
      </c>
      <c r="AY123" s="139" t="n">
        <v>5</v>
      </c>
      <c r="BA123" s="113" t="inlineStr">
        <is>
          <t>합계</t>
        </is>
      </c>
      <c r="BB123" s="142" t="e">
        <v>#DIV/0!</v>
      </c>
      <c r="BC123" s="142" t="e">
        <v>#DIV/0!</v>
      </c>
      <c r="BD123" s="142" t="e">
        <v>#DIV/0!</v>
      </c>
      <c r="BE123" s="142" t="e">
        <v>#DIV/0!</v>
      </c>
      <c r="BF123" s="142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39" t="n">
        <v>1992</v>
      </c>
      <c r="AY124" s="139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39" t="n">
        <v>1992</v>
      </c>
      <c r="AY125" s="139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39" t="n">
        <v>1991</v>
      </c>
      <c r="AY126" s="139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39" t="n">
        <v>1991</v>
      </c>
      <c r="AY127" s="139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39" t="n">
        <v>1991</v>
      </c>
      <c r="AY128" s="139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39" t="n">
        <v>1991</v>
      </c>
      <c r="AY129" s="139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39" t="n">
        <v>1991</v>
      </c>
      <c r="AY130" s="139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39" t="n">
        <v>1991</v>
      </c>
      <c r="AY131" s="139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39" t="n">
        <v>1995</v>
      </c>
      <c r="AY132" s="139" t="n">
        <v>4</v>
      </c>
      <c r="AZ132" s="139" t="n"/>
      <c r="BA132" s="113" t="inlineStr">
        <is>
          <t>20평대</t>
        </is>
      </c>
      <c r="BB132" s="140" t="n">
        <v>0</v>
      </c>
      <c r="BC132" s="140" t="n">
        <v>0</v>
      </c>
      <c r="BD132" s="140" t="n">
        <v>0</v>
      </c>
      <c r="BE132" s="140" t="n">
        <v>0</v>
      </c>
      <c r="BF132" s="140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39" t="n">
        <v>1995</v>
      </c>
      <c r="AY133" s="139" t="n">
        <v>4</v>
      </c>
      <c r="AZ133" s="139" t="n"/>
      <c r="BA133" s="113" t="inlineStr">
        <is>
          <t>30평대</t>
        </is>
      </c>
      <c r="BB133" s="140" t="n">
        <v>0</v>
      </c>
      <c r="BC133" s="140" t="n">
        <v>0</v>
      </c>
      <c r="BD133" s="140" t="n">
        <v>0</v>
      </c>
      <c r="BE133" s="140" t="n">
        <v>0</v>
      </c>
      <c r="BF133" s="140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39" t="n">
        <v>1995</v>
      </c>
      <c r="AY134" s="139" t="n">
        <v>4</v>
      </c>
      <c r="AZ134" s="139" t="n"/>
      <c r="BA134" s="115" t="inlineStr">
        <is>
          <t>40평대↑</t>
        </is>
      </c>
      <c r="BB134" s="141" t="n">
        <v>0</v>
      </c>
      <c r="BC134" s="141" t="n">
        <v>0</v>
      </c>
      <c r="BD134" s="141" t="n">
        <v>0</v>
      </c>
      <c r="BE134" s="141" t="n">
        <v>0</v>
      </c>
      <c r="BF134" s="141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39" t="n">
        <v>1993</v>
      </c>
      <c r="AY135" s="139" t="n">
        <v>5</v>
      </c>
      <c r="AZ135" s="139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39" t="n">
        <v>1993</v>
      </c>
      <c r="AY136" s="139" t="n">
        <v>11</v>
      </c>
      <c r="AZ136" s="139" t="n"/>
      <c r="BA136" s="113" t="inlineStr">
        <is>
          <t>10평대</t>
        </is>
      </c>
      <c r="BB136" s="142" t="e">
        <v>#DIV/0!</v>
      </c>
      <c r="BC136" s="142" t="e">
        <v>#DIV/0!</v>
      </c>
      <c r="BD136" s="142" t="e">
        <v>#DIV/0!</v>
      </c>
      <c r="BE136" s="142" t="e">
        <v>#DIV/0!</v>
      </c>
      <c r="BF136" s="142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39" t="n">
        <v>1994</v>
      </c>
      <c r="AY137" s="139" t="n">
        <v>9</v>
      </c>
      <c r="BA137" s="113" t="inlineStr">
        <is>
          <t>30평대</t>
        </is>
      </c>
      <c r="BB137" s="142" t="e">
        <v>#DIV/0!</v>
      </c>
      <c r="BC137" s="142" t="e">
        <v>#DIV/0!</v>
      </c>
      <c r="BD137" s="142" t="e">
        <v>#DIV/0!</v>
      </c>
      <c r="BE137" s="142" t="e">
        <v>#DIV/0!</v>
      </c>
      <c r="BF137" s="142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39" t="n">
        <v>1994</v>
      </c>
      <c r="AY138" s="139" t="n">
        <v>9</v>
      </c>
      <c r="BA138" s="113" t="inlineStr">
        <is>
          <t>합계</t>
        </is>
      </c>
      <c r="BB138" s="142" t="e">
        <v>#DIV/0!</v>
      </c>
      <c r="BC138" s="142" t="e">
        <v>#DIV/0!</v>
      </c>
      <c r="BD138" s="142" t="e">
        <v>#DIV/0!</v>
      </c>
      <c r="BE138" s="142" t="e">
        <v>#DIV/0!</v>
      </c>
      <c r="BF138" s="142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39" t="n">
        <v>1994</v>
      </c>
      <c r="AY139" s="139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39" t="n">
        <v>1992</v>
      </c>
      <c r="AY140" s="139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39" t="n">
        <v>1992</v>
      </c>
      <c r="AY141" s="139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39" t="n">
        <v>1992</v>
      </c>
      <c r="AY142" s="139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39" t="n">
        <v>1993</v>
      </c>
      <c r="AY143" s="139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39" t="n">
        <v>1993</v>
      </c>
      <c r="AY144" s="139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39" t="n">
        <v>1992</v>
      </c>
      <c r="AY145" s="139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39" t="n">
        <v>1992</v>
      </c>
      <c r="AY146" s="139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39" t="n">
        <v>1993</v>
      </c>
      <c r="AY147" s="139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39" t="n">
        <v>1993</v>
      </c>
      <c r="AY148" s="139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39" t="n">
        <v>1993</v>
      </c>
      <c r="AY149" s="139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39" t="n">
        <v>1993</v>
      </c>
      <c r="AY150" s="139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39" t="n">
        <v>1992</v>
      </c>
      <c r="AY151" s="139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39" t="n">
        <v>1993</v>
      </c>
      <c r="AY152" s="139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39" t="n">
        <v>1993</v>
      </c>
      <c r="AY153" s="139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39" t="n">
        <v>1997</v>
      </c>
      <c r="AY154" s="139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39" t="n">
        <v>1997</v>
      </c>
      <c r="AY155" s="139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39" t="n">
        <v>1994</v>
      </c>
      <c r="AY156" s="139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39" t="n">
        <v>1994</v>
      </c>
      <c r="AY157" s="139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39" t="n">
        <v>1994</v>
      </c>
      <c r="AY158" s="139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39" t="n">
        <v>1994</v>
      </c>
      <c r="AY159" s="139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39" t="n">
        <v>1994</v>
      </c>
      <c r="AY160" s="139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39" t="n">
        <v>1994</v>
      </c>
      <c r="AY161" s="139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39" t="n">
        <v>1994</v>
      </c>
      <c r="AY162" s="139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39" t="n">
        <v>1992</v>
      </c>
      <c r="AY163" s="139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39" t="n">
        <v>1992</v>
      </c>
      <c r="AY164" s="139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39" t="n">
        <v>1992</v>
      </c>
      <c r="AY165" s="139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39" t="n">
        <v>1992</v>
      </c>
      <c r="AY166" s="139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39" t="n">
        <v>1994</v>
      </c>
      <c r="AY167" s="139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39" t="n">
        <v>1992</v>
      </c>
      <c r="AY168" s="139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39" t="n">
        <v>1992</v>
      </c>
      <c r="AY169" s="139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39" t="n">
        <v>1992</v>
      </c>
      <c r="AY170" s="139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39" t="n">
        <v>1993</v>
      </c>
      <c r="AY171" s="139" t="n">
        <v>11</v>
      </c>
      <c r="AZ171" s="139" t="n"/>
      <c r="BA171" s="113" t="inlineStr">
        <is>
          <t>20평대</t>
        </is>
      </c>
      <c r="BB171" s="140" t="n">
        <v>0</v>
      </c>
      <c r="BC171" s="140" t="n">
        <v>0</v>
      </c>
      <c r="BD171" s="140" t="n">
        <v>0</v>
      </c>
      <c r="BE171" s="140" t="n">
        <v>0</v>
      </c>
      <c r="BF171" s="140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39" t="n">
        <v>1993</v>
      </c>
      <c r="AY172" s="139" t="n">
        <v>11</v>
      </c>
      <c r="AZ172" s="139" t="n"/>
      <c r="BA172" s="113" t="inlineStr">
        <is>
          <t>30평대</t>
        </is>
      </c>
      <c r="BB172" s="140" t="n">
        <v>0</v>
      </c>
      <c r="BC172" s="140" t="n">
        <v>0</v>
      </c>
      <c r="BD172" s="140" t="n">
        <v>0</v>
      </c>
      <c r="BE172" s="140" t="n">
        <v>0</v>
      </c>
      <c r="BF172" s="140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39" t="n">
        <v>1993</v>
      </c>
      <c r="AY173" s="139" t="n">
        <v>11</v>
      </c>
      <c r="AZ173" s="139" t="n"/>
      <c r="BA173" s="115" t="inlineStr">
        <is>
          <t>40평대↑</t>
        </is>
      </c>
      <c r="BB173" s="141" t="n">
        <v>0</v>
      </c>
      <c r="BC173" s="141" t="n">
        <v>0</v>
      </c>
      <c r="BD173" s="141" t="n">
        <v>0</v>
      </c>
      <c r="BE173" s="141" t="n">
        <v>0</v>
      </c>
      <c r="BF173" s="141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39" t="n">
        <v>1993</v>
      </c>
      <c r="AY174" s="139" t="n">
        <v>11</v>
      </c>
      <c r="AZ174" s="139" t="n"/>
      <c r="BA174" s="113" t="inlineStr">
        <is>
          <t>합계</t>
        </is>
      </c>
      <c r="BB174" s="140" t="n">
        <v>0</v>
      </c>
      <c r="BC174" s="140" t="n">
        <v>0</v>
      </c>
      <c r="BD174" s="140" t="n">
        <v>0</v>
      </c>
      <c r="BE174" s="140" t="n">
        <v>0</v>
      </c>
      <c r="BF174" s="140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39" t="n">
        <v>1995</v>
      </c>
      <c r="AY175" s="139" t="n">
        <v>12</v>
      </c>
      <c r="AZ175" s="139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39" t="n">
        <v>1995</v>
      </c>
      <c r="AY176" s="139" t="n">
        <v>12</v>
      </c>
      <c r="BA176" s="113" t="inlineStr">
        <is>
          <t>20평대</t>
        </is>
      </c>
      <c r="BB176" s="142" t="e">
        <v>#DIV/0!</v>
      </c>
      <c r="BC176" s="142" t="e">
        <v>#DIV/0!</v>
      </c>
      <c r="BD176" s="142" t="e">
        <v>#DIV/0!</v>
      </c>
      <c r="BE176" s="142" t="e">
        <v>#DIV/0!</v>
      </c>
      <c r="BF176" s="142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39" t="n">
        <v>1997</v>
      </c>
      <c r="AY177" s="139" t="n">
        <v>5</v>
      </c>
      <c r="BA177" s="115" t="inlineStr">
        <is>
          <t>40평대↑</t>
        </is>
      </c>
      <c r="BB177" s="143" t="e">
        <v>#DIV/0!</v>
      </c>
      <c r="BC177" s="143" t="e">
        <v>#DIV/0!</v>
      </c>
      <c r="BD177" s="143" t="e">
        <v>#DIV/0!</v>
      </c>
      <c r="BE177" s="143" t="e">
        <v>#DIV/0!</v>
      </c>
      <c r="BF177" s="143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39" t="n">
        <v>1997</v>
      </c>
      <c r="AY178" s="139" t="n">
        <v>5</v>
      </c>
      <c r="BA178" s="113" t="inlineStr">
        <is>
          <t>합계</t>
        </is>
      </c>
      <c r="BB178" s="142" t="e">
        <v>#DIV/0!</v>
      </c>
      <c r="BC178" s="142" t="e">
        <v>#DIV/0!</v>
      </c>
      <c r="BD178" s="142" t="e">
        <v>#DIV/0!</v>
      </c>
      <c r="BE178" s="142" t="e">
        <v>#DIV/0!</v>
      </c>
      <c r="BF178" s="142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39" t="n">
        <v>1994</v>
      </c>
      <c r="AY179" s="139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39" t="n">
        <v>1994</v>
      </c>
      <c r="AY180" s="139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39" t="n">
        <v>1994</v>
      </c>
      <c r="AY181" s="139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39" t="n">
        <v>1994</v>
      </c>
      <c r="AY182" s="139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39" t="n">
        <v>1997</v>
      </c>
      <c r="AY183" s="139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39" t="n">
        <v>1997</v>
      </c>
      <c r="AY184" s="139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39" t="n">
        <v>1996</v>
      </c>
      <c r="AY185" s="139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39" t="n">
        <v>1996</v>
      </c>
      <c r="AY186" s="139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39" t="n">
        <v>1995</v>
      </c>
      <c r="AY187" s="139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39" t="n">
        <v>1995</v>
      </c>
      <c r="AY188" s="139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39" t="n">
        <v>1995</v>
      </c>
      <c r="AY189" s="139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39" t="n">
        <v>1998</v>
      </c>
      <c r="AY190" s="139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39" t="n">
        <v>1998</v>
      </c>
      <c r="AY191" s="139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39" t="n">
        <v>1998</v>
      </c>
      <c r="AY192" s="139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39" t="n">
        <v>1996</v>
      </c>
      <c r="AY193" s="139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39" t="n">
        <v>1996</v>
      </c>
      <c r="AY194" s="139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39" t="n">
        <v>1996</v>
      </c>
      <c r="AY195" s="139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39" t="n">
        <v>1997</v>
      </c>
      <c r="AY196" s="139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39" t="n">
        <v>1997</v>
      </c>
      <c r="AY197" s="139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39" t="n">
        <v>1998</v>
      </c>
      <c r="AY198" s="139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39" t="n">
        <v>1998</v>
      </c>
      <c r="AY199" s="139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39" t="n">
        <v>1998</v>
      </c>
      <c r="AY200" s="139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39" t="n">
        <v>1998</v>
      </c>
      <c r="AY201" s="139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39" t="n">
        <v>1997</v>
      </c>
      <c r="AY202" s="139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39" t="n">
        <v>1997</v>
      </c>
      <c r="AY203" s="139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39" t="n">
        <v>1997</v>
      </c>
      <c r="AY204" s="139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39" t="n">
        <v>1996</v>
      </c>
      <c r="AY205" s="139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39" t="n">
        <v>1996</v>
      </c>
      <c r="AY206" s="139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39" t="n">
        <v>1994</v>
      </c>
      <c r="AY207" s="139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39" t="n">
        <v>1994</v>
      </c>
      <c r="AY208" s="139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39" t="n">
        <v>1984</v>
      </c>
      <c r="AY209" s="139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39" t="n">
        <v>1984</v>
      </c>
      <c r="AY210" s="139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39" t="n">
        <v>1994</v>
      </c>
      <c r="AY211" s="139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39" t="n">
        <v>1994</v>
      </c>
      <c r="AY212" s="139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39" t="n">
        <v>1997</v>
      </c>
      <c r="AY213" s="139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39" t="n">
        <v>1997</v>
      </c>
      <c r="AY214" s="139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39" t="n">
        <v>1997</v>
      </c>
      <c r="AY215" s="139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39" t="n">
        <v>1997</v>
      </c>
      <c r="AY216" s="139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39" t="n">
        <v>1997</v>
      </c>
      <c r="AY217" s="139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39" t="n">
        <v>1997</v>
      </c>
      <c r="AY218" s="139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39" t="n">
        <v>2002</v>
      </c>
      <c r="AY219" s="139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39" t="n">
        <v>2002</v>
      </c>
      <c r="AY220" s="139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39" t="n">
        <v>1990</v>
      </c>
      <c r="AY221" s="139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39" t="n">
        <v>1990</v>
      </c>
      <c r="AY222" s="139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39" t="n">
        <v>1994</v>
      </c>
      <c r="AY223" s="139" t="n">
        <v>1</v>
      </c>
      <c r="AZ223" s="139" t="n"/>
      <c r="BA223" s="113" t="inlineStr">
        <is>
          <t>20평대</t>
        </is>
      </c>
      <c r="BB223" s="140" t="n">
        <v>0</v>
      </c>
      <c r="BC223" s="140" t="n">
        <v>0</v>
      </c>
      <c r="BD223" s="140" t="n">
        <v>0</v>
      </c>
      <c r="BE223" s="140" t="n">
        <v>0</v>
      </c>
      <c r="BF223" s="140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39" t="n">
        <v>1994</v>
      </c>
      <c r="AY224" s="139" t="n">
        <v>1</v>
      </c>
      <c r="AZ224" s="139" t="n"/>
      <c r="BA224" s="113" t="inlineStr">
        <is>
          <t>30평대</t>
        </is>
      </c>
      <c r="BB224" s="140" t="n">
        <v>0</v>
      </c>
      <c r="BC224" s="140" t="n">
        <v>0</v>
      </c>
      <c r="BD224" s="140" t="n">
        <v>0</v>
      </c>
      <c r="BE224" s="140" t="n">
        <v>0</v>
      </c>
      <c r="BF224" s="140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39" t="n">
        <v>1995</v>
      </c>
      <c r="AY225" s="139" t="n">
        <v>3</v>
      </c>
      <c r="AZ225" s="139" t="n"/>
      <c r="BA225" s="113" t="inlineStr">
        <is>
          <t>합계</t>
        </is>
      </c>
      <c r="BB225" s="140" t="n">
        <v>0</v>
      </c>
      <c r="BC225" s="140" t="n">
        <v>0</v>
      </c>
      <c r="BD225" s="140" t="n">
        <v>0</v>
      </c>
      <c r="BE225" s="140" t="n">
        <v>0</v>
      </c>
      <c r="BF225" s="140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39" t="n">
        <v>1995</v>
      </c>
      <c r="AY226" s="139" t="n">
        <v>3</v>
      </c>
      <c r="AZ226" s="139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39" t="n">
        <v>1995</v>
      </c>
      <c r="AY227" s="139" t="n">
        <v>3</v>
      </c>
      <c r="AZ227" s="139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39" t="n">
        <v>1994</v>
      </c>
      <c r="AY228" s="139" t="n">
        <v>9</v>
      </c>
      <c r="BA228" s="113" t="inlineStr">
        <is>
          <t>30평대</t>
        </is>
      </c>
      <c r="BB228" s="142" t="e">
        <v>#DIV/0!</v>
      </c>
      <c r="BC228" s="142" t="e">
        <v>#DIV/0!</v>
      </c>
      <c r="BD228" s="142" t="e">
        <v>#DIV/0!</v>
      </c>
      <c r="BE228" s="142" t="e">
        <v>#DIV/0!</v>
      </c>
      <c r="BF228" s="142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39" t="n">
        <v>1993</v>
      </c>
      <c r="AY229" s="139" t="n">
        <v>11</v>
      </c>
      <c r="BA229" s="113" t="inlineStr">
        <is>
          <t>합계</t>
        </is>
      </c>
      <c r="BB229" s="142" t="e">
        <v>#DIV/0!</v>
      </c>
      <c r="BC229" s="142" t="e">
        <v>#DIV/0!</v>
      </c>
      <c r="BD229" s="142" t="e">
        <v>#DIV/0!</v>
      </c>
      <c r="BE229" s="142" t="e">
        <v>#DIV/0!</v>
      </c>
      <c r="BF229" s="142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39" t="n">
        <v>2000</v>
      </c>
      <c r="AY230" s="139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39" t="n">
        <v>2000</v>
      </c>
      <c r="AY231" s="139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39" t="n">
        <v>1994</v>
      </c>
      <c r="AY232" s="139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39" t="n">
        <v>1993</v>
      </c>
      <c r="AY233" s="139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39" t="inlineStr"/>
      <c r="AY234" s="139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39" t="inlineStr"/>
      <c r="AY235" s="139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39" t="inlineStr"/>
      <c r="AY236" s="139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39" t="inlineStr"/>
      <c r="AY237" s="139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39" t="inlineStr"/>
      <c r="AY238" s="139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39" t="inlineStr"/>
      <c r="AY239" s="139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39" t="inlineStr"/>
      <c r="AY240" s="139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39" t="inlineStr"/>
      <c r="AY241" s="139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39" t="inlineStr"/>
      <c r="AY242" s="139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39" t="inlineStr"/>
      <c r="AY243" s="139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39" t="inlineStr"/>
      <c r="AY244" s="139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39" t="inlineStr"/>
      <c r="AY245" s="139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39" t="inlineStr"/>
      <c r="AY246" s="139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39" t="inlineStr"/>
      <c r="AY247" s="139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39" t="inlineStr"/>
      <c r="AY248" s="139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39" t="inlineStr"/>
      <c r="AY249" s="139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39" t="inlineStr"/>
      <c r="AY250" s="139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39" t="inlineStr"/>
      <c r="AY251" s="139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39" t="inlineStr"/>
      <c r="AY252" s="139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39" t="inlineStr"/>
      <c r="AY253" s="139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39" t="inlineStr"/>
      <c r="AY254" s="139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39" t="inlineStr"/>
      <c r="AY255" s="139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39" t="inlineStr"/>
      <c r="AY256" s="139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39" t="inlineStr"/>
      <c r="AY257" s="139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39" t="inlineStr"/>
      <c r="AY258" s="139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39" t="inlineStr"/>
      <c r="AY259" s="139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39" t="inlineStr"/>
      <c r="AY260" s="139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39" t="inlineStr"/>
      <c r="AY261" s="139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39" t="inlineStr"/>
      <c r="AY262" s="139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39" t="inlineStr"/>
      <c r="AY263" s="139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39" t="inlineStr"/>
      <c r="AY264" s="139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39" t="inlineStr"/>
      <c r="AY265" s="139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39" t="inlineStr"/>
      <c r="AY266" s="139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39" t="inlineStr"/>
      <c r="AY267" s="139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39" t="inlineStr"/>
      <c r="AY268" s="139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39" t="inlineStr"/>
      <c r="AY269" s="139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39" t="inlineStr"/>
      <c r="AY270" s="139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39" t="inlineStr"/>
      <c r="AY271" s="139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39" t="inlineStr"/>
      <c r="AY272" s="139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39" t="inlineStr"/>
      <c r="AY273" s="139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39" t="inlineStr"/>
      <c r="AY274" s="139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39" t="inlineStr"/>
      <c r="AY275" s="139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39" t="inlineStr"/>
      <c r="AY276" s="139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39" t="inlineStr"/>
      <c r="AY277" s="139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39" t="inlineStr"/>
      <c r="AY278" s="139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39" t="inlineStr"/>
      <c r="AY279" s="139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39" t="inlineStr"/>
      <c r="AY280" s="139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39" t="inlineStr"/>
      <c r="AY281" s="139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39" t="inlineStr"/>
      <c r="AY282" s="139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39" t="inlineStr"/>
      <c r="AY283" s="139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39" t="inlineStr"/>
      <c r="AY284" s="139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39" t="inlineStr"/>
      <c r="AY285" s="139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39" t="inlineStr"/>
      <c r="AY286" s="139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39" t="inlineStr"/>
      <c r="AY287" s="139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39" t="inlineStr"/>
      <c r="AY288" s="139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39" t="inlineStr"/>
      <c r="AY289" s="139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39" t="inlineStr"/>
      <c r="AY290" s="139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39" t="inlineStr"/>
      <c r="AY291" s="139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39" t="inlineStr"/>
      <c r="AY292" s="139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39" t="inlineStr"/>
      <c r="AY293" s="139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39" t="inlineStr"/>
      <c r="AY294" s="139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39" t="inlineStr"/>
      <c r="AY295" s="139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39" t="inlineStr"/>
      <c r="AY296" s="139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39" t="inlineStr"/>
      <c r="AY297" s="139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39" t="inlineStr"/>
      <c r="AY298" s="139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39" t="inlineStr"/>
      <c r="AY299" s="139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39" t="inlineStr"/>
      <c r="AY300" s="139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39" t="inlineStr"/>
      <c r="AY301" s="139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39" t="inlineStr"/>
      <c r="AY302" s="139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39" t="inlineStr"/>
      <c r="AY303" s="139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39" t="inlineStr"/>
      <c r="AY304" s="139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39" t="inlineStr"/>
      <c r="AY305" s="139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39" t="inlineStr"/>
      <c r="AY306" s="139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39" t="inlineStr"/>
      <c r="AY307" s="139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39" t="inlineStr"/>
      <c r="AY308" s="139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39" t="inlineStr"/>
      <c r="AY309" s="139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39" t="inlineStr"/>
      <c r="AY310" s="139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39" t="inlineStr"/>
      <c r="AY311" s="139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39" t="inlineStr"/>
      <c r="AY312" s="139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39" t="inlineStr"/>
      <c r="AY313" s="139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39" t="inlineStr"/>
      <c r="AY314" s="139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39" t="inlineStr"/>
      <c r="AY315" s="139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39" t="inlineStr"/>
      <c r="AY316" s="139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39" t="inlineStr"/>
      <c r="AY317" s="139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39" t="inlineStr"/>
      <c r="AY318" s="139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39" t="inlineStr"/>
      <c r="AY319" s="139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39" t="inlineStr"/>
      <c r="AY320" s="139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39" t="inlineStr"/>
      <c r="AY321" s="139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39" t="inlineStr"/>
      <c r="AY322" s="139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39" t="inlineStr"/>
      <c r="AY323" s="139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39" t="inlineStr"/>
      <c r="AY324" s="139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39" t="inlineStr"/>
      <c r="AY325" s="139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39" t="inlineStr"/>
      <c r="AY326" s="139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39" t="inlineStr"/>
      <c r="AY327" s="139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39" t="inlineStr"/>
      <c r="AY328" s="139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39" t="inlineStr"/>
      <c r="AY329" s="139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39" t="inlineStr"/>
      <c r="AY330" s="139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39" t="inlineStr"/>
      <c r="AY331" s="139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39" t="inlineStr"/>
      <c r="AY332" s="139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39" t="inlineStr"/>
      <c r="AY333" s="139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39" t="inlineStr"/>
      <c r="AY334" s="139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39" t="inlineStr"/>
      <c r="AY335" s="139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39" t="inlineStr"/>
      <c r="AY336" s="139" t="inlineStr"/>
      <c r="AZ336" s="139" t="n"/>
      <c r="BA336" s="113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39" t="inlineStr"/>
      <c r="AY337" s="139" t="inlineStr"/>
      <c r="AZ337" s="139" t="n"/>
      <c r="BA337" s="113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39" t="inlineStr"/>
      <c r="AY338" s="139" t="inlineStr"/>
      <c r="AZ338" s="139" t="n"/>
      <c r="BA338" s="115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39" t="inlineStr"/>
      <c r="AY339" s="139" t="inlineStr"/>
      <c r="AZ339" s="139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39" t="inlineStr"/>
      <c r="AY340" s="139" t="inlineStr"/>
      <c r="AZ340" s="139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39" t="inlineStr"/>
      <c r="AY341" s="139" t="inlineStr"/>
      <c r="BA341" s="113" t="inlineStr">
        <is>
          <t>20평대</t>
        </is>
      </c>
      <c r="BB341" s="142" t="e">
        <v>#DIV/0!</v>
      </c>
      <c r="BC341" s="142" t="e">
        <v>#DIV/0!</v>
      </c>
      <c r="BD341" s="142" t="e">
        <v>#DIV/0!</v>
      </c>
      <c r="BE341" s="142" t="e">
        <v>#DIV/0!</v>
      </c>
      <c r="BF341" s="142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39" t="inlineStr"/>
      <c r="AY342" s="139" t="inlineStr"/>
      <c r="BA342" s="115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39" t="inlineStr"/>
      <c r="AY343" s="139" t="inlineStr"/>
      <c r="BA343" s="113" t="inlineStr">
        <is>
          <t>합계</t>
        </is>
      </c>
      <c r="BB343" s="142" t="e">
        <v>#DIV/0!</v>
      </c>
      <c r="BC343" s="142" t="e">
        <v>#DIV/0!</v>
      </c>
      <c r="BD343" s="142" t="e">
        <v>#DIV/0!</v>
      </c>
      <c r="BE343" s="142" t="e">
        <v>#DIV/0!</v>
      </c>
      <c r="BF343" s="142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39" t="inlineStr"/>
      <c r="AY344" s="139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39" t="inlineStr"/>
      <c r="AY345" s="139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39" t="inlineStr"/>
      <c r="AY346" s="139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39" t="inlineStr"/>
      <c r="AY347" s="139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39" t="inlineStr"/>
      <c r="AY348" s="139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39" t="inlineStr"/>
      <c r="AY349" s="139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39" t="inlineStr"/>
      <c r="AY350" s="139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39" t="inlineStr"/>
      <c r="AY351" s="139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39" t="inlineStr"/>
      <c r="AY352" s="139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39" t="inlineStr"/>
      <c r="AY353" s="139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39" t="inlineStr"/>
      <c r="AY354" s="139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39" t="inlineStr"/>
      <c r="AY355" s="139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39" t="inlineStr"/>
      <c r="AY356" s="139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39" t="inlineStr"/>
      <c r="AY357" s="139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39" t="inlineStr"/>
      <c r="AY358" s="139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39" t="inlineStr"/>
      <c r="AY359" s="139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39" t="inlineStr"/>
      <c r="AY360" s="139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39" t="inlineStr"/>
      <c r="AY361" s="139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39" t="inlineStr"/>
      <c r="AY362" s="139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39" t="inlineStr"/>
      <c r="AY363" s="139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39" t="inlineStr"/>
      <c r="AY364" s="139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39" t="inlineStr"/>
      <c r="AY365" s="139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39" t="inlineStr"/>
      <c r="AY366" s="139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39" t="inlineStr"/>
      <c r="AY367" s="139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39" t="inlineStr"/>
      <c r="AY368" s="139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39" t="inlineStr"/>
      <c r="AY369" s="139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39" t="inlineStr"/>
      <c r="AY370" s="139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39" t="inlineStr"/>
      <c r="AY371" s="139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39" t="inlineStr"/>
      <c r="AY372" s="139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39" t="inlineStr"/>
      <c r="AY373" s="139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39" t="inlineStr"/>
      <c r="AY374" s="139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39" t="inlineStr"/>
      <c r="AY375" s="139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39" t="inlineStr"/>
      <c r="AY376" s="139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39" t="inlineStr"/>
      <c r="AY377" s="139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39" t="inlineStr"/>
      <c r="AY378" s="139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39" t="inlineStr"/>
      <c r="AY379" s="139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39" t="inlineStr"/>
      <c r="AY380" s="139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39" t="inlineStr"/>
      <c r="AY381" s="139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39" t="inlineStr"/>
      <c r="AY382" s="139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39" t="inlineStr"/>
      <c r="AY383" s="139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39" t="inlineStr"/>
      <c r="AY384" s="139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39" t="inlineStr"/>
      <c r="AY385" s="139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39" t="inlineStr"/>
      <c r="AY386" s="139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39" t="inlineStr"/>
      <c r="AY387" s="139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39" t="inlineStr"/>
      <c r="AY388" s="139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39" t="inlineStr"/>
      <c r="AY389" s="139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39" t="inlineStr"/>
      <c r="AY390" s="139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39" t="inlineStr"/>
      <c r="AY391" s="139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39" t="inlineStr"/>
      <c r="AY392" s="139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39" t="inlineStr"/>
      <c r="AY393" s="139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39" t="inlineStr"/>
      <c r="AY394" s="139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39" t="inlineStr"/>
      <c r="AY395" s="139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39" t="inlineStr"/>
      <c r="AY396" s="139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39" t="inlineStr"/>
      <c r="AY397" s="139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39" t="inlineStr"/>
      <c r="AY398" s="139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39" t="inlineStr"/>
      <c r="AY399" s="139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39" t="inlineStr"/>
      <c r="AY400" s="139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39" t="inlineStr"/>
      <c r="AY401" s="139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39" t="inlineStr"/>
      <c r="AY402" s="139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39" t="inlineStr"/>
      <c r="AY403" s="139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39" t="inlineStr"/>
      <c r="AY404" s="139" t="inlineStr"/>
      <c r="AZ404" s="139" t="n"/>
      <c r="BA404" s="113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39" t="inlineStr"/>
      <c r="AY405" s="139" t="inlineStr"/>
      <c r="AZ405" s="139" t="n"/>
      <c r="BA405" s="113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39" t="inlineStr"/>
      <c r="AY406" s="139" t="inlineStr"/>
      <c r="AZ406" s="139" t="n"/>
      <c r="BA406" s="113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39" t="inlineStr"/>
      <c r="AY407" s="139" t="inlineStr"/>
      <c r="AZ407" s="139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39" t="inlineStr"/>
      <c r="AY408" s="139" t="inlineStr"/>
      <c r="AZ408" s="139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39" t="inlineStr"/>
      <c r="AY409" s="139" t="inlineStr"/>
      <c r="BA409" s="113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39" t="inlineStr"/>
      <c r="AY410" s="139" t="inlineStr"/>
      <c r="BA410" s="113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39" t="inlineStr"/>
      <c r="AY411" s="139" t="inlineStr"/>
      <c r="BA411" s="113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39" t="inlineStr"/>
      <c r="AY412" s="139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39" t="inlineStr"/>
      <c r="AY413" s="139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39" t="inlineStr"/>
      <c r="AY414" s="139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39" t="inlineStr"/>
      <c r="AY415" s="139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39" t="inlineStr"/>
      <c r="AY416" s="139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39" t="inlineStr"/>
      <c r="AY417" s="139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39" t="inlineStr"/>
      <c r="AY418" s="139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39" t="inlineStr"/>
      <c r="AY419" s="139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39" t="inlineStr"/>
      <c r="AY420" s="139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39" t="inlineStr"/>
      <c r="AY421" s="139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39" t="inlineStr"/>
      <c r="AY422" s="139" t="inlineStr"/>
      <c r="AZ422" s="139" t="n"/>
      <c r="BA422" s="113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39" t="inlineStr"/>
      <c r="AY423" s="139" t="inlineStr"/>
      <c r="AZ423" s="139" t="n"/>
      <c r="BA423" s="113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39" t="inlineStr"/>
      <c r="AY424" s="139" t="inlineStr"/>
      <c r="AZ424" s="139" t="n"/>
      <c r="BA424" s="115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39" t="inlineStr"/>
      <c r="AY425" s="139" t="inlineStr"/>
      <c r="AZ425" s="139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39" t="inlineStr"/>
      <c r="AY426" s="139" t="inlineStr"/>
      <c r="AZ426" s="139" t="n"/>
      <c r="BA426" s="113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39" t="inlineStr"/>
      <c r="AY427" s="139" t="inlineStr"/>
      <c r="BA427" s="113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39" t="inlineStr"/>
      <c r="AY428" s="139" t="inlineStr"/>
      <c r="BA428" s="115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39" t="inlineStr"/>
      <c r="AY429" s="139" t="inlineStr"/>
      <c r="BA429" s="113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39" t="inlineStr"/>
      <c r="AY430" s="139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39" t="inlineStr"/>
      <c r="AY431" s="139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39" t="inlineStr"/>
      <c r="AY432" s="139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39" t="inlineStr"/>
      <c r="AY433" s="139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39" t="inlineStr"/>
      <c r="AY434" s="139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39" t="inlineStr"/>
      <c r="AY435" s="139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39" t="inlineStr"/>
      <c r="AY436" s="139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39" t="inlineStr"/>
      <c r="AY437" s="139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39" t="inlineStr"/>
      <c r="AY438" s="139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39" t="inlineStr"/>
      <c r="AY439" s="139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39" t="inlineStr"/>
      <c r="AY440" s="139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39" t="inlineStr"/>
      <c r="AY441" s="139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39" t="inlineStr"/>
      <c r="AY442" s="139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39" t="inlineStr"/>
      <c r="AY443" s="139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39" t="inlineStr"/>
      <c r="AY444" s="139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39" t="inlineStr"/>
      <c r="AY445" s="139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39" t="inlineStr"/>
      <c r="AY446" s="139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39" t="inlineStr"/>
      <c r="AY447" s="139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39" t="inlineStr"/>
      <c r="AY448" s="139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39" t="inlineStr"/>
      <c r="AY449" s="139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39" t="inlineStr"/>
      <c r="AY450" s="139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39" t="inlineStr"/>
      <c r="AY451" s="139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39" t="inlineStr"/>
      <c r="AY452" s="139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39" t="inlineStr"/>
      <c r="AY453" s="139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39" t="inlineStr"/>
      <c r="AY454" s="139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39" t="inlineStr"/>
      <c r="AY455" s="139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39" t="inlineStr"/>
      <c r="AY456" s="139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39" t="inlineStr"/>
      <c r="AY457" s="139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39" t="inlineStr"/>
      <c r="AY458" s="139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39" t="inlineStr"/>
      <c r="AY459" s="139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39" t="inlineStr"/>
      <c r="AY460" s="139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39" t="inlineStr"/>
      <c r="AY461" s="139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39" t="inlineStr"/>
      <c r="AY462" s="139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39" t="inlineStr"/>
      <c r="AY463" s="139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39" t="inlineStr"/>
      <c r="AY464" s="139" t="inlineStr"/>
      <c r="AZ464" s="139" t="n"/>
      <c r="BA464" s="113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39" t="inlineStr"/>
      <c r="AY465" s="139" t="inlineStr"/>
      <c r="AZ465" s="139" t="n"/>
      <c r="BA465" s="113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39" t="inlineStr"/>
      <c r="AY466" s="139" t="inlineStr"/>
      <c r="AZ466" s="139" t="n"/>
      <c r="BA466" s="115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39" t="inlineStr"/>
      <c r="AY467" s="139" t="inlineStr"/>
      <c r="AZ467" s="139" t="n"/>
      <c r="BA467" s="113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39" t="inlineStr"/>
      <c r="AY468" s="139" t="inlineStr"/>
      <c r="AZ468" s="139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39" t="inlineStr"/>
      <c r="AY469" s="139" t="inlineStr"/>
      <c r="AZ469" s="139" t="n"/>
      <c r="BA469" s="113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39" t="inlineStr"/>
      <c r="AY470" s="139" t="inlineStr"/>
      <c r="BA470" s="113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39" t="inlineStr"/>
      <c r="AY471" s="139" t="inlineStr"/>
      <c r="BA471" s="115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39" t="inlineStr"/>
      <c r="AY472" s="139" t="inlineStr"/>
      <c r="BA472" s="113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39" t="inlineStr"/>
      <c r="AY473" s="139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39" t="inlineStr"/>
      <c r="AY474" s="139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39" t="inlineStr"/>
      <c r="AY475" s="139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39" t="inlineStr"/>
      <c r="AY476" s="139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39" t="inlineStr"/>
      <c r="AY477" s="139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39" t="inlineStr"/>
      <c r="AY478" s="139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39" t="inlineStr"/>
      <c r="AY479" s="139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39" t="inlineStr"/>
      <c r="AY480" s="139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39" t="inlineStr"/>
      <c r="AY481" s="139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39" t="inlineStr"/>
      <c r="AY482" s="139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39" t="inlineStr"/>
      <c r="AY483" s="139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39" t="inlineStr"/>
      <c r="AY484" s="139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39" t="inlineStr"/>
      <c r="AY485" s="139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39" t="inlineStr"/>
      <c r="AY486" s="139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39" t="inlineStr"/>
      <c r="AY487" s="139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39" t="inlineStr"/>
      <c r="AY488" s="139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39" t="inlineStr"/>
      <c r="AY489" s="139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39" t="inlineStr"/>
      <c r="AY490" s="139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39" t="inlineStr"/>
      <c r="AY491" s="139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39" t="inlineStr"/>
      <c r="AY492" s="139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39" t="inlineStr"/>
      <c r="AY493" s="139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39" t="inlineStr"/>
      <c r="AY494" s="139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39" t="inlineStr"/>
      <c r="AY495" s="139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39" t="inlineStr"/>
      <c r="AY496" s="139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39" t="inlineStr"/>
      <c r="AY497" s="139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39" t="inlineStr"/>
      <c r="AY498" s="139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39" t="inlineStr"/>
      <c r="AY499" s="139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39" t="inlineStr"/>
      <c r="AY500" s="139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39" t="inlineStr"/>
      <c r="AY501" s="139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39" t="inlineStr"/>
      <c r="AY502" s="139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39" t="inlineStr"/>
      <c r="AY503" s="139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39" t="inlineStr"/>
      <c r="AY504" s="139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39" t="inlineStr"/>
      <c r="AY505" s="139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39" t="inlineStr"/>
      <c r="AY506" s="139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39" t="inlineStr"/>
      <c r="AY507" s="139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39" t="inlineStr"/>
      <c r="AY508" s="139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39" t="inlineStr"/>
      <c r="AY509" s="139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39" t="inlineStr"/>
      <c r="AY510" s="139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39" t="inlineStr"/>
      <c r="AY511" s="139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39" t="inlineStr"/>
      <c r="AY512" s="139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39" t="inlineStr"/>
      <c r="AY513" s="139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39" t="inlineStr"/>
      <c r="AY514" s="139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39" t="inlineStr"/>
      <c r="AY515" s="139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39" t="inlineStr"/>
      <c r="AY516" s="139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39" t="inlineStr"/>
      <c r="AY517" s="139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39" t="inlineStr"/>
      <c r="AY518" s="139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39" t="inlineStr"/>
      <c r="AY519" s="139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39" t="inlineStr"/>
      <c r="AY520" s="139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39" t="inlineStr"/>
      <c r="AY521" s="139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39" t="inlineStr"/>
      <c r="AY522" s="139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39" t="inlineStr"/>
      <c r="AY523" s="139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39" t="inlineStr"/>
      <c r="AY524" s="139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39" t="inlineStr"/>
      <c r="AY525" s="139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39" t="inlineStr"/>
      <c r="AY526" s="139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39" t="inlineStr"/>
      <c r="AY527" s="139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39" t="inlineStr"/>
      <c r="AY528" s="139" t="inlineStr"/>
      <c r="AZ528" s="139" t="n"/>
      <c r="BA528" s="113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39" t="inlineStr"/>
      <c r="AY529" s="139" t="inlineStr"/>
      <c r="AZ529" s="139" t="n"/>
      <c r="BA529" s="113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39" t="inlineStr"/>
      <c r="AY530" s="139" t="inlineStr"/>
      <c r="AZ530" s="139" t="n"/>
      <c r="BA530" s="113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39" t="inlineStr"/>
      <c r="AY531" s="139" t="inlineStr"/>
      <c r="AZ531" s="139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39" t="inlineStr"/>
      <c r="AY532" s="139" t="inlineStr"/>
      <c r="AZ532" s="139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39" t="inlineStr"/>
      <c r="AY533" s="139" t="inlineStr"/>
      <c r="BA533" s="113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39" t="inlineStr"/>
      <c r="AY534" s="139" t="inlineStr"/>
      <c r="BA534" s="113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39" t="inlineStr"/>
      <c r="AY535" s="139" t="inlineStr"/>
      <c r="BA535" s="113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39" t="inlineStr"/>
      <c r="AY536" s="139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39" t="inlineStr"/>
      <c r="AY537" s="139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39" t="inlineStr"/>
      <c r="AY538" s="139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39" t="inlineStr"/>
      <c r="AY539" s="139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17516">
      <formula>18.1</formula>
    </cfRule>
    <cfRule type="cellIs" priority="69564" operator="lessThan" dxfId="17515">
      <formula>21.1</formula>
    </cfRule>
    <cfRule type="cellIs" priority="69565" operator="lessThan" dxfId="17514">
      <formula>24.1</formula>
    </cfRule>
    <cfRule type="cellIs" priority="69566" operator="lessThan" dxfId="1">
      <formula>30</formula>
    </cfRule>
    <cfRule type="cellIs" priority="69567" operator="lessThan" dxfId="17512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1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O</t>
        </is>
      </c>
      <c r="M1" s="0" t="n"/>
      <c r="N1" s="122" t="inlineStr">
        <is>
          <t>추출기준세대수</t>
        </is>
      </c>
      <c r="O1" s="132" t="n"/>
      <c r="P1" s="133" t="n">
        <v>30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</row>
    <row r="2" ht="12" customHeight="1" s="131">
      <c r="A2" s="135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4" t="n">
        <v>8</v>
      </c>
      <c r="B8" s="82" t="inlineStr">
        <is>
          <t>~</t>
        </is>
      </c>
      <c r="C8" s="145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6" t="n">
        <v>7</v>
      </c>
      <c r="B9" s="84" t="inlineStr">
        <is>
          <t>~</t>
        </is>
      </c>
      <c r="C9" s="147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8" t="n">
        <v>6</v>
      </c>
      <c r="B10" s="80" t="inlineStr">
        <is>
          <t>~</t>
        </is>
      </c>
      <c r="C10" s="149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8" t="n">
        <v>5</v>
      </c>
      <c r="B11" s="80" t="inlineStr">
        <is>
          <t>~</t>
        </is>
      </c>
      <c r="C11" s="149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8" t="n">
        <v>4</v>
      </c>
      <c r="B12" s="80" t="inlineStr">
        <is>
          <t>~</t>
        </is>
      </c>
      <c r="C12" s="149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0" t="n">
        <v>3</v>
      </c>
      <c r="B13" s="85" t="inlineStr">
        <is>
          <t>~</t>
        </is>
      </c>
      <c r="C13" s="151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0" t="n">
        <v>2.5</v>
      </c>
      <c r="B14" s="85" t="inlineStr">
        <is>
          <t>~</t>
        </is>
      </c>
      <c r="C14" s="151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0" t="n">
        <v>2</v>
      </c>
      <c r="B15" s="85" t="inlineStr">
        <is>
          <t>~</t>
        </is>
      </c>
      <c r="C15" s="151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2" t="n">
        <v>1.5</v>
      </c>
      <c r="B16" s="87" t="inlineStr">
        <is>
          <t>~</t>
        </is>
      </c>
      <c r="C16" s="153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2" t="n">
        <v>1</v>
      </c>
      <c r="B17" s="87" t="inlineStr">
        <is>
          <t>~</t>
        </is>
      </c>
      <c r="C17" s="153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4">
        <f>IF(A8="","",A8)</f>
        <v/>
      </c>
      <c r="B21" s="82">
        <f>IF(B8="","",B8)</f>
        <v/>
      </c>
      <c r="C21" s="145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6">
        <f>IF(A9="","",A9)</f>
        <v/>
      </c>
      <c r="B22" s="84">
        <f>IF(B9="","",B9)</f>
        <v/>
      </c>
      <c r="C22" s="147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8">
        <f>IF(A10="","",A10)</f>
        <v/>
      </c>
      <c r="B23" s="80">
        <f>IF(B10="","",B10)</f>
        <v/>
      </c>
      <c r="C23" s="149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8">
        <f>IF(A11="","",A11)</f>
        <v/>
      </c>
      <c r="B24" s="80">
        <f>IF(B11="","",B11)</f>
        <v/>
      </c>
      <c r="C24" s="149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8">
        <f>IF(A12="","",A12)</f>
        <v/>
      </c>
      <c r="B25" s="80">
        <f>IF(B12="","",B12)</f>
        <v/>
      </c>
      <c r="C25" s="149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0">
        <f>IF(A13="","",A13)</f>
        <v/>
      </c>
      <c r="B26" s="85">
        <f>IF(B13="","",B13)</f>
        <v/>
      </c>
      <c r="C26" s="151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0">
        <f>IF(A14="","",A14)</f>
        <v/>
      </c>
      <c r="B27" s="85">
        <f>IF(B14="","",B14)</f>
        <v/>
      </c>
      <c r="C27" s="151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0">
        <f>IF(A15="","",A15)</f>
        <v/>
      </c>
      <c r="B28" s="85">
        <f>IF(B15="","",B15)</f>
        <v/>
      </c>
      <c r="C28" s="151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2">
        <f>IF(A16="","",A16)</f>
        <v/>
      </c>
      <c r="B29" s="87">
        <f>IF(B16="","",B16)</f>
        <v/>
      </c>
      <c r="C29" s="153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2">
        <f>IF(A17="","",A17)</f>
        <v/>
      </c>
      <c r="B30" s="87">
        <f>IF(B17="","",B17)</f>
        <v/>
      </c>
      <c r="C30" s="153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4">
        <f>IF(A21="","",A21)</f>
        <v/>
      </c>
      <c r="B34" s="82">
        <f>IF(B21="","",B21)</f>
        <v/>
      </c>
      <c r="C34" s="145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6">
        <f>IF(A22="","",A22)</f>
        <v/>
      </c>
      <c r="B35" s="84">
        <f>IF(B22="","",B22)</f>
        <v/>
      </c>
      <c r="C35" s="147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8">
        <f>IF(A23="","",A23)</f>
        <v/>
      </c>
      <c r="B36" s="80">
        <f>IF(B23="","",B23)</f>
        <v/>
      </c>
      <c r="C36" s="149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8">
        <f>IF(A24="","",A24)</f>
        <v/>
      </c>
      <c r="B37" s="80">
        <f>IF(B24="","",B24)</f>
        <v/>
      </c>
      <c r="C37" s="149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8">
        <f>IF(A25="","",A25)</f>
        <v/>
      </c>
      <c r="B38" s="80">
        <f>IF(B25="","",B25)</f>
        <v/>
      </c>
      <c r="C38" s="149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0">
        <f>IF(A26="","",A26)</f>
        <v/>
      </c>
      <c r="B39" s="85">
        <f>IF(B26="","",B26)</f>
        <v/>
      </c>
      <c r="C39" s="151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0">
        <f>IF(A27="","",A27)</f>
        <v/>
      </c>
      <c r="B40" s="85">
        <f>IF(B27="","",B27)</f>
        <v/>
      </c>
      <c r="C40" s="151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0">
        <f>IF(A28="","",A28)</f>
        <v/>
      </c>
      <c r="B41" s="85">
        <f>IF(B28="","",B28)</f>
        <v/>
      </c>
      <c r="C41" s="151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2">
        <f>IF(A29="","",A29)</f>
        <v/>
      </c>
      <c r="B42" s="87">
        <f>IF(B29="","",B29)</f>
        <v/>
      </c>
      <c r="C42" s="153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2">
        <f>IF(A30="","",A30)</f>
        <v/>
      </c>
      <c r="B43" s="87">
        <f>IF(B30="","",B30)</f>
        <v/>
      </c>
      <c r="C43" s="153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4">
        <f>IF(A34="","",A34)</f>
        <v/>
      </c>
      <c r="B47" s="82">
        <f>IF(B34="","",B34)</f>
        <v/>
      </c>
      <c r="C47" s="145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6">
        <f>IF(A35="","",A35)</f>
        <v/>
      </c>
      <c r="B48" s="84">
        <f>IF(B35="","",B35)</f>
        <v/>
      </c>
      <c r="C48" s="147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8">
        <f>IF(A36="","",A36)</f>
        <v/>
      </c>
      <c r="B49" s="80">
        <f>IF(B36="","",B36)</f>
        <v/>
      </c>
      <c r="C49" s="149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8">
        <f>IF(A37="","",A37)</f>
        <v/>
      </c>
      <c r="B50" s="80">
        <f>IF(B37="","",B37)</f>
        <v/>
      </c>
      <c r="C50" s="149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8">
        <f>IF(A38="","",A38)</f>
        <v/>
      </c>
      <c r="B51" s="80">
        <f>IF(B38="","",B38)</f>
        <v/>
      </c>
      <c r="C51" s="149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0">
        <f>IF(A39="","",A39)</f>
        <v/>
      </c>
      <c r="B52" s="85">
        <f>IF(B39="","",B39)</f>
        <v/>
      </c>
      <c r="C52" s="151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0">
        <f>IF(A40="","",A40)</f>
        <v/>
      </c>
      <c r="B53" s="85">
        <f>IF(B40="","",B40)</f>
        <v/>
      </c>
      <c r="C53" s="151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0">
        <f>IF(A41="","",A41)</f>
        <v/>
      </c>
      <c r="B54" s="85">
        <f>IF(B41="","",B41)</f>
        <v/>
      </c>
      <c r="C54" s="151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2">
        <f>IF(A42="","",A42)</f>
        <v/>
      </c>
      <c r="B55" s="87">
        <f>IF(B42="","",B42)</f>
        <v/>
      </c>
      <c r="C55" s="153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2">
        <f>IF(A43="","",A43)</f>
        <v/>
      </c>
      <c r="B56" s="87">
        <f>IF(B43="","",B43)</f>
        <v/>
      </c>
      <c r="C56" s="153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4">
        <f>IF(A47="","",A47)</f>
        <v/>
      </c>
      <c r="B60" s="82">
        <f>IF(B47="","",B47)</f>
        <v/>
      </c>
      <c r="C60" s="145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6">
        <f>IF(A48="","",A48)</f>
        <v/>
      </c>
      <c r="B61" s="84">
        <f>IF(B48="","",B48)</f>
        <v/>
      </c>
      <c r="C61" s="147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8">
        <f>IF(A49="","",A49)</f>
        <v/>
      </c>
      <c r="B62" s="80">
        <f>IF(B49="","",B49)</f>
        <v/>
      </c>
      <c r="C62" s="149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8">
        <f>IF(A50="","",A50)</f>
        <v/>
      </c>
      <c r="B63" s="80">
        <f>IF(B50="","",B50)</f>
        <v/>
      </c>
      <c r="C63" s="149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8">
        <f>IF(A51="","",A51)</f>
        <v/>
      </c>
      <c r="B64" s="80">
        <f>IF(B51="","",B51)</f>
        <v/>
      </c>
      <c r="C64" s="149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0">
        <f>IF(A52="","",A52)</f>
        <v/>
      </c>
      <c r="B65" s="85">
        <f>IF(B52="","",B52)</f>
        <v/>
      </c>
      <c r="C65" s="151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0">
        <f>IF(A53="","",A53)</f>
        <v/>
      </c>
      <c r="B66" s="85">
        <f>IF(B53="","",B53)</f>
        <v/>
      </c>
      <c r="C66" s="151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0">
        <f>IF(A54="","",A54)</f>
        <v/>
      </c>
      <c r="B67" s="85">
        <f>IF(B54="","",B54)</f>
        <v/>
      </c>
      <c r="C67" s="151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2">
        <f>IF(A55="","",A55)</f>
        <v/>
      </c>
      <c r="B68" s="87">
        <f>IF(B55="","",B55)</f>
        <v/>
      </c>
      <c r="C68" s="153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2">
        <f>IF(A56="","",A56)</f>
        <v/>
      </c>
      <c r="B69" s="87">
        <f>IF(B56="","",B56)</f>
        <v/>
      </c>
      <c r="C69" s="153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1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1"/>
    <row r="7" ht="22.5" customHeight="1" s="131"/>
    <row r="9" ht="17.25" customHeight="1" s="13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599"/>
  <sheetViews>
    <sheetView zoomScaleNormal="100" workbookViewId="0">
      <selection activeCell="N3" sqref="N3"/>
    </sheetView>
  </sheetViews>
  <sheetFormatPr baseColWidth="8" defaultRowHeight="16.5"/>
  <sheetData>
    <row r="1">
      <c r="A1" s="0" t="inlineStr">
        <is>
          <t>[가정동]</t>
        </is>
      </c>
      <c r="B1" s="0" t="n">
        <v>26707</v>
      </c>
      <c r="C1" s="0" t="n">
        <v>1</v>
      </c>
      <c r="D1" s="0" t="inlineStr">
        <is>
          <t>태훈예뜰채</t>
        </is>
      </c>
      <c r="E1" s="0" t="inlineStr">
        <is>
          <t>2007.11.</t>
        </is>
      </c>
      <c r="F1" s="0" t="n">
        <v>93</v>
      </c>
      <c r="G1" s="0" t="n">
        <v>21.86</v>
      </c>
      <c r="H1" s="0" t="n">
        <v>72.28</v>
      </c>
      <c r="I1" s="0" t="n">
        <v>17.68</v>
      </c>
      <c r="J1" s="0" t="n">
        <v>58.47</v>
      </c>
      <c r="K1" s="0" t="n">
        <v>1</v>
      </c>
      <c r="T1" s="0" t="n">
        <v>2</v>
      </c>
      <c r="U1" s="0" t="n">
        <v>1</v>
      </c>
      <c r="V1" s="0" t="inlineStr">
        <is>
          <t>계단식</t>
        </is>
      </c>
      <c r="W1" s="0" t="n">
        <v>72</v>
      </c>
      <c r="X1" s="0" t="n">
        <v>10</v>
      </c>
      <c r="Y1" s="0" t="n">
        <v>9</v>
      </c>
      <c r="Z1" s="0" t="inlineStr">
        <is>
          <t>https://new.land.naver.com/complexes/26707?tab=detail&amp;rf=Y</t>
        </is>
      </c>
      <c r="AA1" s="0" t="inlineStr">
        <is>
          <t>인천시 서구 가정동 523-2</t>
        </is>
      </c>
      <c r="AB1" s="0" t="inlineStr">
        <is>
          <t>인천시</t>
        </is>
      </c>
      <c r="AC1" s="0" t="inlineStr">
        <is>
          <t>서구</t>
        </is>
      </c>
      <c r="AD1" s="0" t="inlineStr">
        <is>
          <t>가정동</t>
        </is>
      </c>
      <c r="AG1" s="0" t="inlineStr">
        <is>
          <t>인천시 서구 가정로336번길 24</t>
        </is>
      </c>
      <c r="AH1" s="0" t="n">
        <v>0</v>
      </c>
      <c r="AI1" s="0" t="n">
        <v>340</v>
      </c>
      <c r="AJ1" s="0" t="n">
        <v>38</v>
      </c>
      <c r="AK1" s="0" t="n">
        <v>109</v>
      </c>
      <c r="AL1" s="0" t="n">
        <v>1.17</v>
      </c>
    </row>
    <row r="2">
      <c r="A2" s="0" t="inlineStr">
        <is>
          <t>[가정동]</t>
        </is>
      </c>
      <c r="B2" s="0" t="n">
        <v>26707</v>
      </c>
      <c r="C2" s="0" t="n">
        <v>2</v>
      </c>
      <c r="D2" s="0" t="inlineStr">
        <is>
          <t>태훈예뜰채</t>
        </is>
      </c>
      <c r="E2" s="0" t="inlineStr">
        <is>
          <t>2007.11.</t>
        </is>
      </c>
      <c r="F2" s="0" t="n">
        <v>93</v>
      </c>
      <c r="G2" s="0" t="n">
        <v>26.61</v>
      </c>
      <c r="H2" s="0" t="n">
        <v>87.98999999999999</v>
      </c>
      <c r="I2" s="0" t="n">
        <v>21.76</v>
      </c>
      <c r="J2" s="0" t="n">
        <v>71.95</v>
      </c>
      <c r="K2" s="0" t="n">
        <v>2</v>
      </c>
      <c r="T2" s="0" t="n">
        <v>3</v>
      </c>
      <c r="U2" s="0" t="n">
        <v>2</v>
      </c>
      <c r="V2" s="0" t="inlineStr">
        <is>
          <t>계단식</t>
        </is>
      </c>
      <c r="W2" s="0" t="n">
        <v>87</v>
      </c>
      <c r="X2" s="0" t="n">
        <v>10</v>
      </c>
      <c r="Y2" s="0" t="n">
        <v>9</v>
      </c>
      <c r="Z2" s="0" t="inlineStr">
        <is>
          <t>https://new.land.naver.com/complexes/26707?tab=detail&amp;rf=Y</t>
        </is>
      </c>
      <c r="AA2" s="0" t="inlineStr">
        <is>
          <t>인천시 서구 가정동 523-2</t>
        </is>
      </c>
      <c r="AB2" s="0" t="inlineStr">
        <is>
          <t>인천시</t>
        </is>
      </c>
      <c r="AC2" s="0" t="inlineStr">
        <is>
          <t>서구</t>
        </is>
      </c>
      <c r="AD2" s="0" t="inlineStr">
        <is>
          <t>가정동</t>
        </is>
      </c>
      <c r="AG2" s="0" t="inlineStr">
        <is>
          <t>인천시 서구 가정로336번길 24</t>
        </is>
      </c>
      <c r="AH2" s="0" t="n">
        <v>0</v>
      </c>
      <c r="AI2" s="0" t="n">
        <v>340</v>
      </c>
      <c r="AJ2" s="0" t="n">
        <v>38</v>
      </c>
      <c r="AK2" s="0" t="n">
        <v>109</v>
      </c>
      <c r="AL2" s="0" t="n">
        <v>1.17</v>
      </c>
    </row>
    <row r="3">
      <c r="A3" s="0" t="inlineStr">
        <is>
          <t>[가정동]</t>
        </is>
      </c>
      <c r="B3" s="0" t="n">
        <v>26707</v>
      </c>
      <c r="C3" s="0" t="n">
        <v>3</v>
      </c>
      <c r="D3" s="0" t="inlineStr">
        <is>
          <t>태훈예뜰채</t>
        </is>
      </c>
      <c r="E3" s="0" t="inlineStr">
        <is>
          <t>2007.11.</t>
        </is>
      </c>
      <c r="F3" s="0" t="n">
        <v>93</v>
      </c>
      <c r="G3" s="0" t="n">
        <v>28.91</v>
      </c>
      <c r="H3" s="0" t="n">
        <v>95.59</v>
      </c>
      <c r="I3" s="0" t="n">
        <v>23.69</v>
      </c>
      <c r="J3" s="0" t="n">
        <v>78.34</v>
      </c>
      <c r="K3" s="0" t="n">
        <v>1</v>
      </c>
      <c r="T3" s="0" t="n">
        <v>3</v>
      </c>
      <c r="U3" s="0" t="n">
        <v>2</v>
      </c>
      <c r="V3" s="0" t="inlineStr">
        <is>
          <t>계단식</t>
        </is>
      </c>
      <c r="W3" s="0" t="n">
        <v>95</v>
      </c>
      <c r="X3" s="0" t="n">
        <v>10</v>
      </c>
      <c r="Y3" s="0" t="n">
        <v>9</v>
      </c>
      <c r="Z3" s="0" t="inlineStr">
        <is>
          <t>https://new.land.naver.com/complexes/26707?tab=detail&amp;rf=Y</t>
        </is>
      </c>
      <c r="AA3" s="0" t="inlineStr">
        <is>
          <t>인천시 서구 가정동 523-2</t>
        </is>
      </c>
      <c r="AB3" s="0" t="inlineStr">
        <is>
          <t>인천시</t>
        </is>
      </c>
      <c r="AC3" s="0" t="inlineStr">
        <is>
          <t>서구</t>
        </is>
      </c>
      <c r="AD3" s="0" t="inlineStr">
        <is>
          <t>가정동</t>
        </is>
      </c>
      <c r="AG3" s="0" t="inlineStr">
        <is>
          <t>인천시 서구 가정로336번길 24</t>
        </is>
      </c>
      <c r="AH3" s="0" t="n">
        <v>0</v>
      </c>
      <c r="AI3" s="0" t="n">
        <v>340</v>
      </c>
      <c r="AJ3" s="0" t="n">
        <v>38</v>
      </c>
      <c r="AK3" s="0" t="n">
        <v>109</v>
      </c>
      <c r="AL3" s="0" t="n">
        <v>1.17</v>
      </c>
    </row>
    <row r="4">
      <c r="A4" s="0" t="inlineStr">
        <is>
          <t>[가정동]</t>
        </is>
      </c>
      <c r="B4" s="0" t="n">
        <v>26707</v>
      </c>
      <c r="C4" s="0" t="n">
        <v>4</v>
      </c>
      <c r="D4" s="0" t="inlineStr">
        <is>
          <t>태훈예뜰채</t>
        </is>
      </c>
      <c r="E4" s="0" t="inlineStr">
        <is>
          <t>2007.11.</t>
        </is>
      </c>
      <c r="F4" s="0" t="n">
        <v>93</v>
      </c>
      <c r="G4" s="0" t="n">
        <v>29.58</v>
      </c>
      <c r="H4" s="0" t="n">
        <v>97.79000000000001</v>
      </c>
      <c r="I4" s="0" t="n">
        <v>22.86</v>
      </c>
      <c r="J4" s="0" t="n">
        <v>75.58</v>
      </c>
      <c r="K4" s="0" t="n">
        <v>33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97A</t>
        </is>
      </c>
      <c r="X4" s="0" t="n">
        <v>10</v>
      </c>
      <c r="Y4" s="0" t="n">
        <v>9</v>
      </c>
      <c r="Z4" s="0" t="inlineStr">
        <is>
          <t>https://new.land.naver.com/complexes/26707?tab=detail&amp;rf=Y</t>
        </is>
      </c>
      <c r="AA4" s="0" t="inlineStr">
        <is>
          <t>인천시 서구 가정동 523-2</t>
        </is>
      </c>
      <c r="AB4" s="0" t="inlineStr">
        <is>
          <t>인천시</t>
        </is>
      </c>
      <c r="AC4" s="0" t="inlineStr">
        <is>
          <t>서구</t>
        </is>
      </c>
      <c r="AD4" s="0" t="inlineStr">
        <is>
          <t>가정동</t>
        </is>
      </c>
      <c r="AG4" s="0" t="inlineStr">
        <is>
          <t>인천시 서구 가정로336번길 24</t>
        </is>
      </c>
      <c r="AH4" s="0" t="n">
        <v>0</v>
      </c>
      <c r="AI4" s="0" t="n">
        <v>340</v>
      </c>
      <c r="AJ4" s="0" t="n">
        <v>38</v>
      </c>
      <c r="AK4" s="0" t="n">
        <v>109</v>
      </c>
      <c r="AL4" s="0" t="n">
        <v>1.17</v>
      </c>
    </row>
    <row r="5">
      <c r="A5" s="0" t="inlineStr">
        <is>
          <t>[가정동]</t>
        </is>
      </c>
      <c r="B5" s="0" t="n">
        <v>26707</v>
      </c>
      <c r="C5" s="0" t="n">
        <v>5</v>
      </c>
      <c r="D5" s="0" t="inlineStr">
        <is>
          <t>태훈예뜰채</t>
        </is>
      </c>
      <c r="E5" s="0" t="inlineStr">
        <is>
          <t>2007.11.</t>
        </is>
      </c>
      <c r="F5" s="0" t="n">
        <v>93</v>
      </c>
      <c r="G5" s="0" t="n">
        <v>29.79</v>
      </c>
      <c r="H5" s="0" t="n">
        <v>98.48999999999999</v>
      </c>
      <c r="I5" s="0" t="n">
        <v>24.33</v>
      </c>
      <c r="J5" s="0" t="n">
        <v>80.43000000000001</v>
      </c>
      <c r="K5" s="0" t="n">
        <v>9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98C</t>
        </is>
      </c>
      <c r="X5" s="0" t="n">
        <v>10</v>
      </c>
      <c r="Y5" s="0" t="n">
        <v>9</v>
      </c>
      <c r="Z5" s="0" t="inlineStr">
        <is>
          <t>https://new.land.naver.com/complexes/26707?tab=detail&amp;rf=Y</t>
        </is>
      </c>
      <c r="AA5" s="0" t="inlineStr">
        <is>
          <t>인천시 서구 가정동 523-2</t>
        </is>
      </c>
      <c r="AB5" s="0" t="inlineStr">
        <is>
          <t>인천시</t>
        </is>
      </c>
      <c r="AC5" s="0" t="inlineStr">
        <is>
          <t>서구</t>
        </is>
      </c>
      <c r="AD5" s="0" t="inlineStr">
        <is>
          <t>가정동</t>
        </is>
      </c>
      <c r="AG5" s="0" t="inlineStr">
        <is>
          <t>인천시 서구 가정로336번길 24</t>
        </is>
      </c>
      <c r="AH5" s="0" t="n">
        <v>0</v>
      </c>
      <c r="AI5" s="0" t="n">
        <v>340</v>
      </c>
      <c r="AJ5" s="0" t="n">
        <v>38</v>
      </c>
      <c r="AK5" s="0" t="n">
        <v>109</v>
      </c>
      <c r="AL5" s="0" t="n">
        <v>1.17</v>
      </c>
    </row>
    <row r="6">
      <c r="A6" s="0" t="inlineStr">
        <is>
          <t>[가정동]</t>
        </is>
      </c>
      <c r="B6" s="0" t="n">
        <v>26707</v>
      </c>
      <c r="C6" s="0" t="n">
        <v>6</v>
      </c>
      <c r="D6" s="0" t="inlineStr">
        <is>
          <t>태훈예뜰채</t>
        </is>
      </c>
      <c r="E6" s="0" t="inlineStr">
        <is>
          <t>2007.11.</t>
        </is>
      </c>
      <c r="F6" s="0" t="n">
        <v>93</v>
      </c>
      <c r="G6" s="0" t="n">
        <v>29.81</v>
      </c>
      <c r="H6" s="0" t="n">
        <v>98.56</v>
      </c>
      <c r="I6" s="0" t="n">
        <v>24.5</v>
      </c>
      <c r="J6" s="0" t="n">
        <v>81</v>
      </c>
      <c r="K6" s="0" t="n">
        <v>1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98D</t>
        </is>
      </c>
      <c r="X6" s="0" t="n">
        <v>10</v>
      </c>
      <c r="Y6" s="0" t="n">
        <v>9</v>
      </c>
      <c r="Z6" s="0" t="inlineStr">
        <is>
          <t>https://new.land.naver.com/complexes/26707?tab=detail&amp;rf=Y</t>
        </is>
      </c>
      <c r="AA6" s="0" t="inlineStr">
        <is>
          <t>인천시 서구 가정동 523-2</t>
        </is>
      </c>
      <c r="AB6" s="0" t="inlineStr">
        <is>
          <t>인천시</t>
        </is>
      </c>
      <c r="AC6" s="0" t="inlineStr">
        <is>
          <t>서구</t>
        </is>
      </c>
      <c r="AD6" s="0" t="inlineStr">
        <is>
          <t>가정동</t>
        </is>
      </c>
      <c r="AG6" s="0" t="inlineStr">
        <is>
          <t>인천시 서구 가정로336번길 24</t>
        </is>
      </c>
      <c r="AH6" s="0" t="n">
        <v>0</v>
      </c>
      <c r="AI6" s="0" t="n">
        <v>340</v>
      </c>
      <c r="AJ6" s="0" t="n">
        <v>38</v>
      </c>
      <c r="AK6" s="0" t="n">
        <v>109</v>
      </c>
      <c r="AL6" s="0" t="n">
        <v>1.17</v>
      </c>
    </row>
    <row r="7">
      <c r="A7" s="0" t="inlineStr">
        <is>
          <t>[가정동]</t>
        </is>
      </c>
      <c r="B7" s="0" t="n">
        <v>26707</v>
      </c>
      <c r="C7" s="0" t="n">
        <v>7</v>
      </c>
      <c r="D7" s="0" t="inlineStr">
        <is>
          <t>태훈예뜰채</t>
        </is>
      </c>
      <c r="E7" s="0" t="inlineStr">
        <is>
          <t>2007.11.</t>
        </is>
      </c>
      <c r="F7" s="0" t="n">
        <v>93</v>
      </c>
      <c r="G7" s="0" t="n">
        <v>30.06</v>
      </c>
      <c r="H7" s="0" t="n">
        <v>99.40000000000001</v>
      </c>
      <c r="I7" s="0" t="n">
        <v>23.26</v>
      </c>
      <c r="J7" s="0" t="n">
        <v>76.91</v>
      </c>
      <c r="K7" s="0" t="n">
        <v>1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99B</t>
        </is>
      </c>
      <c r="X7" s="0" t="n">
        <v>10</v>
      </c>
      <c r="Y7" s="0" t="n">
        <v>9</v>
      </c>
      <c r="Z7" s="0" t="inlineStr">
        <is>
          <t>https://new.land.naver.com/complexes/26707?tab=detail&amp;rf=Y</t>
        </is>
      </c>
      <c r="AA7" s="0" t="inlineStr">
        <is>
          <t>인천시 서구 가정동 523-2</t>
        </is>
      </c>
      <c r="AB7" s="0" t="inlineStr">
        <is>
          <t>인천시</t>
        </is>
      </c>
      <c r="AC7" s="0" t="inlineStr">
        <is>
          <t>서구</t>
        </is>
      </c>
      <c r="AD7" s="0" t="inlineStr">
        <is>
          <t>가정동</t>
        </is>
      </c>
      <c r="AG7" s="0" t="inlineStr">
        <is>
          <t>인천시 서구 가정로336번길 24</t>
        </is>
      </c>
      <c r="AH7" s="0" t="n">
        <v>0</v>
      </c>
      <c r="AI7" s="0" t="n">
        <v>340</v>
      </c>
      <c r="AJ7" s="0" t="n">
        <v>38</v>
      </c>
      <c r="AK7" s="0" t="n">
        <v>109</v>
      </c>
      <c r="AL7" s="0" t="n">
        <v>1.17</v>
      </c>
    </row>
    <row r="8">
      <c r="A8" s="0" t="inlineStr">
        <is>
          <t>[가정동]</t>
        </is>
      </c>
      <c r="B8" s="0" t="n">
        <v>26707</v>
      </c>
      <c r="C8" s="0" t="n">
        <v>8</v>
      </c>
      <c r="D8" s="0" t="inlineStr">
        <is>
          <t>태훈예뜰채</t>
        </is>
      </c>
      <c r="E8" s="0" t="inlineStr">
        <is>
          <t>2007.11.</t>
        </is>
      </c>
      <c r="F8" s="0" t="n">
        <v>93</v>
      </c>
      <c r="G8" s="0" t="n">
        <v>31.25</v>
      </c>
      <c r="H8" s="0" t="n">
        <v>103.31</v>
      </c>
      <c r="I8" s="0" t="n">
        <v>25.4</v>
      </c>
      <c r="J8" s="0" t="n">
        <v>83.98999999999999</v>
      </c>
      <c r="K8" s="0" t="n">
        <v>1</v>
      </c>
      <c r="T8" s="0" t="n">
        <v>3</v>
      </c>
      <c r="U8" s="0" t="n">
        <v>2</v>
      </c>
      <c r="V8" s="0" t="inlineStr">
        <is>
          <t>계단식</t>
        </is>
      </c>
      <c r="W8" s="0" t="n">
        <v>103</v>
      </c>
      <c r="X8" s="0" t="n">
        <v>10</v>
      </c>
      <c r="Y8" s="0" t="n">
        <v>9</v>
      </c>
      <c r="Z8" s="0" t="inlineStr">
        <is>
          <t>https://new.land.naver.com/complexes/26707?tab=detail&amp;rf=Y</t>
        </is>
      </c>
      <c r="AA8" s="0" t="inlineStr">
        <is>
          <t>인천시 서구 가정동 523-2</t>
        </is>
      </c>
      <c r="AB8" s="0" t="inlineStr">
        <is>
          <t>인천시</t>
        </is>
      </c>
      <c r="AC8" s="0" t="inlineStr">
        <is>
          <t>서구</t>
        </is>
      </c>
      <c r="AD8" s="0" t="inlineStr">
        <is>
          <t>가정동</t>
        </is>
      </c>
      <c r="AG8" s="0" t="inlineStr">
        <is>
          <t>인천시 서구 가정로336번길 24</t>
        </is>
      </c>
      <c r="AH8" s="0" t="n">
        <v>0</v>
      </c>
      <c r="AI8" s="0" t="n">
        <v>340</v>
      </c>
      <c r="AJ8" s="0" t="n">
        <v>38</v>
      </c>
      <c r="AK8" s="0" t="n">
        <v>109</v>
      </c>
      <c r="AL8" s="0" t="n">
        <v>1.17</v>
      </c>
    </row>
    <row r="9">
      <c r="A9" s="0" t="inlineStr">
        <is>
          <t>[가정동]</t>
        </is>
      </c>
      <c r="B9" s="0" t="n">
        <v>26707</v>
      </c>
      <c r="C9" s="0" t="n">
        <v>9</v>
      </c>
      <c r="D9" s="0" t="inlineStr">
        <is>
          <t>태훈예뜰채</t>
        </is>
      </c>
      <c r="E9" s="0" t="inlineStr">
        <is>
          <t>2007.11.</t>
        </is>
      </c>
      <c r="F9" s="0" t="n">
        <v>93</v>
      </c>
      <c r="G9" s="0" t="n">
        <v>32.81</v>
      </c>
      <c r="H9" s="0" t="n">
        <v>108.47</v>
      </c>
      <c r="I9" s="0" t="n">
        <v>25.32</v>
      </c>
      <c r="J9" s="0" t="n">
        <v>83.73</v>
      </c>
      <c r="K9" s="0" t="n">
        <v>8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108A</t>
        </is>
      </c>
      <c r="X9" s="0" t="n">
        <v>10</v>
      </c>
      <c r="Y9" s="0" t="n">
        <v>9</v>
      </c>
      <c r="Z9" s="0" t="inlineStr">
        <is>
          <t>https://new.land.naver.com/complexes/26707?tab=detail&amp;rf=Y</t>
        </is>
      </c>
      <c r="AA9" s="0" t="inlineStr">
        <is>
          <t>인천시 서구 가정동 523-2</t>
        </is>
      </c>
      <c r="AB9" s="0" t="inlineStr">
        <is>
          <t>인천시</t>
        </is>
      </c>
      <c r="AC9" s="0" t="inlineStr">
        <is>
          <t>서구</t>
        </is>
      </c>
      <c r="AD9" s="0" t="inlineStr">
        <is>
          <t>가정동</t>
        </is>
      </c>
      <c r="AG9" s="0" t="inlineStr">
        <is>
          <t>인천시 서구 가정로336번길 24</t>
        </is>
      </c>
      <c r="AH9" s="0" t="n">
        <v>0</v>
      </c>
      <c r="AI9" s="0" t="n">
        <v>340</v>
      </c>
      <c r="AJ9" s="0" t="n">
        <v>38</v>
      </c>
      <c r="AK9" s="0" t="n">
        <v>109</v>
      </c>
      <c r="AL9" s="0" t="n">
        <v>1.17</v>
      </c>
    </row>
    <row r="10">
      <c r="A10" s="0" t="inlineStr">
        <is>
          <t>[가정동]</t>
        </is>
      </c>
      <c r="B10" s="0" t="n">
        <v>26707</v>
      </c>
      <c r="C10" s="0" t="n">
        <v>10</v>
      </c>
      <c r="D10" s="0" t="inlineStr">
        <is>
          <t>태훈예뜰채</t>
        </is>
      </c>
      <c r="E10" s="0" t="inlineStr">
        <is>
          <t>2007.11.</t>
        </is>
      </c>
      <c r="F10" s="0" t="n">
        <v>93</v>
      </c>
      <c r="G10" s="0" t="n">
        <v>33.19</v>
      </c>
      <c r="H10" s="0" t="n">
        <v>109.75</v>
      </c>
      <c r="I10" s="0" t="n">
        <v>25.7</v>
      </c>
      <c r="J10" s="0" t="n">
        <v>84.98</v>
      </c>
      <c r="K10" s="0" t="n">
        <v>8</v>
      </c>
      <c r="T10" s="0" t="n">
        <v>3</v>
      </c>
      <c r="U10" s="0" t="n">
        <v>2</v>
      </c>
      <c r="V10" s="0" t="inlineStr">
        <is>
          <t>계단식</t>
        </is>
      </c>
      <c r="W10" s="0" t="inlineStr">
        <is>
          <t>109B</t>
        </is>
      </c>
      <c r="X10" s="0" t="n">
        <v>10</v>
      </c>
      <c r="Y10" s="0" t="n">
        <v>9</v>
      </c>
      <c r="Z10" s="0" t="inlineStr">
        <is>
          <t>https://new.land.naver.com/complexes/26707?tab=detail&amp;rf=Y</t>
        </is>
      </c>
      <c r="AA10" s="0" t="inlineStr">
        <is>
          <t>인천시 서구 가정동 523-2</t>
        </is>
      </c>
      <c r="AB10" s="0" t="inlineStr">
        <is>
          <t>인천시</t>
        </is>
      </c>
      <c r="AC10" s="0" t="inlineStr">
        <is>
          <t>서구</t>
        </is>
      </c>
      <c r="AD10" s="0" t="inlineStr">
        <is>
          <t>가정동</t>
        </is>
      </c>
      <c r="AG10" s="0" t="inlineStr">
        <is>
          <t>인천시 서구 가정로336번길 24</t>
        </is>
      </c>
      <c r="AH10" s="0" t="n">
        <v>0</v>
      </c>
      <c r="AI10" s="0" t="n">
        <v>340</v>
      </c>
      <c r="AJ10" s="0" t="n">
        <v>38</v>
      </c>
      <c r="AK10" s="0" t="n">
        <v>109</v>
      </c>
      <c r="AL10" s="0" t="n">
        <v>1.17</v>
      </c>
    </row>
    <row r="11">
      <c r="A11" s="0" t="inlineStr">
        <is>
          <t>[가정동]</t>
        </is>
      </c>
      <c r="B11" s="0" t="n">
        <v>26707</v>
      </c>
      <c r="C11" s="0" t="n">
        <v>11</v>
      </c>
      <c r="D11" s="0" t="inlineStr">
        <is>
          <t>태훈예뜰채</t>
        </is>
      </c>
      <c r="E11" s="0" t="inlineStr">
        <is>
          <t>2007.11.</t>
        </is>
      </c>
      <c r="F11" s="0" t="n">
        <v>93</v>
      </c>
      <c r="G11" s="0" t="n">
        <v>33.79</v>
      </c>
      <c r="H11" s="0" t="n">
        <v>111.73</v>
      </c>
      <c r="I11" s="0" t="n">
        <v>25.02</v>
      </c>
      <c r="J11" s="0" t="n">
        <v>82.73</v>
      </c>
      <c r="K11" s="0" t="n">
        <v>8</v>
      </c>
      <c r="T11" s="0" t="n">
        <v>3</v>
      </c>
      <c r="U11" s="0" t="n">
        <v>2</v>
      </c>
      <c r="V11" s="0" t="inlineStr">
        <is>
          <t>계단식</t>
        </is>
      </c>
      <c r="W11" s="0" t="n">
        <v>111</v>
      </c>
      <c r="X11" s="0" t="n">
        <v>10</v>
      </c>
      <c r="Y11" s="0" t="n">
        <v>9</v>
      </c>
      <c r="Z11" s="0" t="inlineStr">
        <is>
          <t>https://new.land.naver.com/complexes/26707?tab=detail&amp;rf=Y</t>
        </is>
      </c>
      <c r="AA11" s="0" t="inlineStr">
        <is>
          <t>인천시 서구 가정동 523-2</t>
        </is>
      </c>
      <c r="AB11" s="0" t="inlineStr">
        <is>
          <t>인천시</t>
        </is>
      </c>
      <c r="AC11" s="0" t="inlineStr">
        <is>
          <t>서구</t>
        </is>
      </c>
      <c r="AD11" s="0" t="inlineStr">
        <is>
          <t>가정동</t>
        </is>
      </c>
      <c r="AG11" s="0" t="inlineStr">
        <is>
          <t>인천시 서구 가정로336번길 24</t>
        </is>
      </c>
      <c r="AH11" s="0" t="n">
        <v>0</v>
      </c>
      <c r="AI11" s="0" t="n">
        <v>340</v>
      </c>
      <c r="AJ11" s="0" t="n">
        <v>38</v>
      </c>
      <c r="AK11" s="0" t="n">
        <v>109</v>
      </c>
      <c r="AL11" s="0" t="n">
        <v>1.17</v>
      </c>
    </row>
    <row r="12">
      <c r="A12" s="0" t="inlineStr">
        <is>
          <t>[가정동]</t>
        </is>
      </c>
      <c r="B12" s="0" t="n">
        <v>26707</v>
      </c>
      <c r="C12" s="0" t="n">
        <v>12</v>
      </c>
      <c r="D12" s="0" t="inlineStr">
        <is>
          <t>태훈예뜰채</t>
        </is>
      </c>
      <c r="E12" s="0" t="inlineStr">
        <is>
          <t>2007.11.</t>
        </is>
      </c>
      <c r="F12" s="0" t="n">
        <v>93</v>
      </c>
      <c r="G12" s="0" t="n">
        <v>38.81</v>
      </c>
      <c r="H12" s="0" t="n">
        <v>128.33</v>
      </c>
      <c r="I12" s="0" t="n">
        <v>31.09</v>
      </c>
      <c r="J12" s="0" t="n">
        <v>102.8</v>
      </c>
      <c r="K12" s="0" t="n">
        <v>2</v>
      </c>
      <c r="T12" s="0" t="n">
        <v>3</v>
      </c>
      <c r="U12" s="0" t="n">
        <v>2</v>
      </c>
      <c r="V12" s="0" t="inlineStr">
        <is>
          <t>계단식</t>
        </is>
      </c>
      <c r="W12" s="0" t="n">
        <v>128</v>
      </c>
      <c r="X12" s="0" t="n">
        <v>10</v>
      </c>
      <c r="Y12" s="0" t="n">
        <v>9</v>
      </c>
      <c r="Z12" s="0" t="inlineStr">
        <is>
          <t>https://new.land.naver.com/complexes/26707?tab=detail&amp;rf=Y</t>
        </is>
      </c>
      <c r="AA12" s="0" t="inlineStr">
        <is>
          <t>인천시 서구 가정동 523-2</t>
        </is>
      </c>
      <c r="AB12" s="0" t="inlineStr">
        <is>
          <t>인천시</t>
        </is>
      </c>
      <c r="AC12" s="0" t="inlineStr">
        <is>
          <t>서구</t>
        </is>
      </c>
      <c r="AD12" s="0" t="inlineStr">
        <is>
          <t>가정동</t>
        </is>
      </c>
      <c r="AG12" s="0" t="inlineStr">
        <is>
          <t>인천시 서구 가정로336번길 24</t>
        </is>
      </c>
      <c r="AH12" s="0" t="n">
        <v>0</v>
      </c>
      <c r="AI12" s="0" t="n">
        <v>340</v>
      </c>
      <c r="AJ12" s="0" t="n">
        <v>38</v>
      </c>
      <c r="AK12" s="0" t="n">
        <v>109</v>
      </c>
      <c r="AL12" s="0" t="n">
        <v>1.17</v>
      </c>
    </row>
    <row r="13">
      <c r="A13" s="0" t="inlineStr">
        <is>
          <t>[가정동]</t>
        </is>
      </c>
      <c r="B13" s="0" t="n">
        <v>26707</v>
      </c>
      <c r="C13" s="0" t="n">
        <v>13</v>
      </c>
      <c r="D13" s="0" t="inlineStr">
        <is>
          <t>태훈예뜰채</t>
        </is>
      </c>
      <c r="E13" s="0" t="inlineStr">
        <is>
          <t>2007.11.</t>
        </is>
      </c>
      <c r="F13" s="0" t="n">
        <v>93</v>
      </c>
      <c r="G13" s="0" t="n">
        <v>45.66</v>
      </c>
      <c r="H13" s="0" t="n">
        <v>150.97</v>
      </c>
      <c r="I13" s="0" t="n">
        <v>36.9</v>
      </c>
      <c r="J13" s="0" t="n">
        <v>122</v>
      </c>
      <c r="K13" s="0" t="n">
        <v>2</v>
      </c>
      <c r="T13" s="0" t="n">
        <v>4</v>
      </c>
      <c r="U13" s="0" t="n">
        <v>2</v>
      </c>
      <c r="V13" s="0" t="inlineStr">
        <is>
          <t>계단식</t>
        </is>
      </c>
      <c r="W13" s="0" t="n">
        <v>150</v>
      </c>
      <c r="X13" s="0" t="n">
        <v>10</v>
      </c>
      <c r="Y13" s="0" t="n">
        <v>9</v>
      </c>
      <c r="Z13" s="0" t="inlineStr">
        <is>
          <t>https://new.land.naver.com/complexes/26707?tab=detail&amp;rf=Y</t>
        </is>
      </c>
      <c r="AA13" s="0" t="inlineStr">
        <is>
          <t>인천시 서구 가정동 523-2</t>
        </is>
      </c>
      <c r="AB13" s="0" t="inlineStr">
        <is>
          <t>인천시</t>
        </is>
      </c>
      <c r="AC13" s="0" t="inlineStr">
        <is>
          <t>서구</t>
        </is>
      </c>
      <c r="AD13" s="0" t="inlineStr">
        <is>
          <t>가정동</t>
        </is>
      </c>
      <c r="AG13" s="0" t="inlineStr">
        <is>
          <t>인천시 서구 가정로336번길 24</t>
        </is>
      </c>
      <c r="AH13" s="0" t="n">
        <v>0</v>
      </c>
      <c r="AI13" s="0" t="n">
        <v>340</v>
      </c>
      <c r="AJ13" s="0" t="n">
        <v>38</v>
      </c>
      <c r="AK13" s="0" t="n">
        <v>109</v>
      </c>
      <c r="AL13" s="0" t="n">
        <v>1.17</v>
      </c>
    </row>
    <row r="14">
      <c r="A14" s="0" t="inlineStr">
        <is>
          <t>[가정동]</t>
        </is>
      </c>
      <c r="B14" s="0" t="n">
        <v>26707</v>
      </c>
      <c r="C14" s="0" t="n">
        <v>14</v>
      </c>
      <c r="D14" s="0" t="inlineStr">
        <is>
          <t>태훈예뜰채</t>
        </is>
      </c>
      <c r="E14" s="0" t="inlineStr">
        <is>
          <t>2007.11.</t>
        </is>
      </c>
      <c r="F14" s="0" t="n">
        <v>93</v>
      </c>
      <c r="G14" s="0" t="n">
        <v>49.35</v>
      </c>
      <c r="H14" s="0" t="n">
        <v>163.16</v>
      </c>
      <c r="I14" s="0" t="n">
        <v>38.04</v>
      </c>
      <c r="J14" s="0" t="n">
        <v>125.77</v>
      </c>
      <c r="K14" s="0" t="n">
        <v>16</v>
      </c>
      <c r="T14" s="0" t="n">
        <v>4</v>
      </c>
      <c r="U14" s="0" t="n">
        <v>2</v>
      </c>
      <c r="V14" s="0" t="inlineStr">
        <is>
          <t>계단식</t>
        </is>
      </c>
      <c r="W14" s="0" t="n">
        <v>163</v>
      </c>
      <c r="X14" s="0" t="n">
        <v>10</v>
      </c>
      <c r="Y14" s="0" t="n">
        <v>9</v>
      </c>
      <c r="Z14" s="0" t="inlineStr">
        <is>
          <t>https://new.land.naver.com/complexes/26707?tab=detail&amp;rf=Y</t>
        </is>
      </c>
      <c r="AA14" s="0" t="inlineStr">
        <is>
          <t>인천시 서구 가정동 523-2</t>
        </is>
      </c>
      <c r="AB14" s="0" t="inlineStr">
        <is>
          <t>인천시</t>
        </is>
      </c>
      <c r="AC14" s="0" t="inlineStr">
        <is>
          <t>서구</t>
        </is>
      </c>
      <c r="AD14" s="0" t="inlineStr">
        <is>
          <t>가정동</t>
        </is>
      </c>
      <c r="AG14" s="0" t="inlineStr">
        <is>
          <t>인천시 서구 가정로336번길 24</t>
        </is>
      </c>
      <c r="AH14" s="0" t="n">
        <v>0</v>
      </c>
      <c r="AI14" s="0" t="n">
        <v>340</v>
      </c>
      <c r="AJ14" s="0" t="n">
        <v>38</v>
      </c>
      <c r="AK14" s="0" t="n">
        <v>109</v>
      </c>
      <c r="AL14" s="0" t="n">
        <v>1.17</v>
      </c>
    </row>
    <row r="15">
      <c r="A15" s="0" t="inlineStr">
        <is>
          <t>[가정동]</t>
        </is>
      </c>
      <c r="B15" s="0" t="n">
        <v>9470</v>
      </c>
      <c r="C15" s="0" t="n">
        <v>1</v>
      </c>
      <c r="D15" s="0" t="inlineStr">
        <is>
          <t>한성</t>
        </is>
      </c>
      <c r="E15" s="0" t="inlineStr">
        <is>
          <t>1992.01.</t>
        </is>
      </c>
      <c r="F15" s="0" t="n">
        <v>150</v>
      </c>
      <c r="G15" s="0" t="n">
        <v>21.03</v>
      </c>
      <c r="H15" s="0" t="n">
        <v>69.55</v>
      </c>
      <c r="I15" s="0" t="n">
        <v>16.51</v>
      </c>
      <c r="J15" s="0" t="n">
        <v>54.61</v>
      </c>
      <c r="K15" s="0" t="n">
        <v>150</v>
      </c>
      <c r="T15" s="0" t="n">
        <v>3</v>
      </c>
      <c r="U15" s="0" t="n">
        <v>1</v>
      </c>
      <c r="V15" s="0" t="inlineStr">
        <is>
          <t>계단식</t>
        </is>
      </c>
      <c r="W15" s="0" t="n">
        <v>69</v>
      </c>
      <c r="X15" s="0" t="n">
        <v>6</v>
      </c>
      <c r="Y15" s="0" t="n">
        <v>6</v>
      </c>
      <c r="Z15" s="0" t="inlineStr">
        <is>
          <t>https://new.land.naver.com/complexes/9470?tab=detail&amp;rf=Y</t>
        </is>
      </c>
      <c r="AA15" s="0" t="inlineStr">
        <is>
          <t>인천시 서구 가정동 5-120</t>
        </is>
      </c>
      <c r="AB15" s="0" t="inlineStr">
        <is>
          <t>인천시</t>
        </is>
      </c>
      <c r="AC15" s="0" t="inlineStr">
        <is>
          <t>서구</t>
        </is>
      </c>
      <c r="AD15" s="0" t="inlineStr">
        <is>
          <t>가정동</t>
        </is>
      </c>
      <c r="AG15" s="0" t="inlineStr">
        <is>
          <t>인천시 서구 봉오대로267번길 56</t>
        </is>
      </c>
      <c r="AH15" s="0" t="n">
        <v>0</v>
      </c>
      <c r="AI15" s="0" t="n">
        <v>178</v>
      </c>
      <c r="AJ15" s="0" t="n">
        <v>30</v>
      </c>
      <c r="AK15" s="0" t="n">
        <v>0</v>
      </c>
      <c r="AL15" s="0" t="n">
        <v>0</v>
      </c>
    </row>
    <row r="16">
      <c r="A16" s="0" t="inlineStr">
        <is>
          <t>[가정동]</t>
        </is>
      </c>
      <c r="B16" s="0" t="n">
        <v>9381</v>
      </c>
      <c r="C16" s="0" t="n">
        <v>1</v>
      </c>
      <c r="D16" s="0" t="inlineStr">
        <is>
          <t>성광</t>
        </is>
      </c>
      <c r="E16" s="0" t="inlineStr">
        <is>
          <t>1987.12.</t>
        </is>
      </c>
      <c r="F16" s="0" t="n">
        <v>114</v>
      </c>
      <c r="G16" s="0" t="n">
        <v>15.35</v>
      </c>
      <c r="H16" s="0" t="n">
        <v>50.76</v>
      </c>
      <c r="I16" s="0" t="n">
        <v>12.08</v>
      </c>
      <c r="J16" s="0" t="n">
        <v>39.96</v>
      </c>
      <c r="K16" s="0" t="n">
        <v>114</v>
      </c>
      <c r="T16" s="0" t="n">
        <v>2</v>
      </c>
      <c r="U16" s="0" t="n">
        <v>1</v>
      </c>
      <c r="V16" s="0" t="inlineStr">
        <is>
          <t>계단식</t>
        </is>
      </c>
      <c r="W16" s="0" t="n">
        <v>50</v>
      </c>
      <c r="X16" s="0" t="n">
        <v>6</v>
      </c>
      <c r="Y16" s="0" t="n">
        <v>6</v>
      </c>
      <c r="Z16" s="0" t="inlineStr">
        <is>
          <t>https://new.land.naver.com/complexes/9381?tab=detail&amp;rf=Y</t>
        </is>
      </c>
      <c r="AA16" s="0" t="inlineStr">
        <is>
          <t>인천시 서구 가정동 5-96</t>
        </is>
      </c>
      <c r="AB16" s="0" t="inlineStr">
        <is>
          <t>인천시</t>
        </is>
      </c>
      <c r="AC16" s="0" t="inlineStr">
        <is>
          <t>서구</t>
        </is>
      </c>
      <c r="AD16" s="0" t="inlineStr">
        <is>
          <t>가정동</t>
        </is>
      </c>
      <c r="AG16" s="0" t="inlineStr">
        <is>
          <t>인천시 서구 천마로14번길 3</t>
        </is>
      </c>
      <c r="AH16" s="0" t="n">
        <v>0</v>
      </c>
      <c r="AI16" s="0" t="n">
        <v>164</v>
      </c>
      <c r="AJ16" s="0" t="n">
        <v>28</v>
      </c>
      <c r="AK16" s="0" t="n">
        <v>0</v>
      </c>
      <c r="AL16" s="0" t="n">
        <v>0</v>
      </c>
    </row>
    <row r="17">
      <c r="A17" s="0" t="inlineStr">
        <is>
          <t>[가정동]</t>
        </is>
      </c>
      <c r="B17" s="0" t="n">
        <v>126143</v>
      </c>
      <c r="C17" s="0" t="n">
        <v>1</v>
      </c>
      <c r="D17" s="0" t="inlineStr">
        <is>
          <t>루원지웰시티푸르지오</t>
        </is>
      </c>
      <c r="E17" s="0" t="inlineStr">
        <is>
          <t>2022.11.</t>
        </is>
      </c>
      <c r="F17" s="0" t="n">
        <v>778</v>
      </c>
      <c r="G17" s="0" t="n">
        <v>34.78</v>
      </c>
      <c r="H17" s="0" t="n">
        <v>114.99</v>
      </c>
      <c r="I17" s="0" t="n">
        <v>25.5</v>
      </c>
      <c r="J17" s="0" t="n">
        <v>84.31999999999999</v>
      </c>
      <c r="K17" s="0" t="n">
        <v>217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114A</t>
        </is>
      </c>
      <c r="X17" s="0" t="n">
        <v>49</v>
      </c>
      <c r="Y17" s="0" t="n">
        <v>36</v>
      </c>
      <c r="Z17" s="0" t="inlineStr">
        <is>
          <t>https://new.land.naver.com/complexes/126143?tab=detail&amp;rf=Y</t>
        </is>
      </c>
      <c r="AA17" s="0" t="inlineStr">
        <is>
          <t>인천시 서구 가정동 루원시티 주상 3블록</t>
        </is>
      </c>
      <c r="AB17" s="0" t="inlineStr">
        <is>
          <t>인천시</t>
        </is>
      </c>
      <c r="AC17" s="0" t="inlineStr">
        <is>
          <t>서구</t>
        </is>
      </c>
      <c r="AD17" s="0" t="inlineStr">
        <is>
          <t>가정동</t>
        </is>
      </c>
      <c r="AG17" s="0" t="inlineStr">
        <is>
          <t>인천시 서구</t>
        </is>
      </c>
      <c r="AH17" s="0" t="n">
        <v>0</v>
      </c>
      <c r="AI17" s="0" t="n">
        <v>439</v>
      </c>
      <c r="AJ17" s="0" t="n">
        <v>0</v>
      </c>
      <c r="AK17" s="0" t="n">
        <v>0</v>
      </c>
      <c r="AL17" s="0" t="n">
        <v>0</v>
      </c>
    </row>
    <row r="18">
      <c r="A18" s="0" t="inlineStr">
        <is>
          <t>[가정동]</t>
        </is>
      </c>
      <c r="B18" s="0" t="n">
        <v>126143</v>
      </c>
      <c r="C18" s="0" t="n">
        <v>2</v>
      </c>
      <c r="D18" s="0" t="inlineStr">
        <is>
          <t>루원지웰시티푸르지오</t>
        </is>
      </c>
      <c r="E18" s="0" t="inlineStr">
        <is>
          <t>2022.11.</t>
        </is>
      </c>
      <c r="F18" s="0" t="n">
        <v>778</v>
      </c>
      <c r="G18" s="0" t="n">
        <v>34.62</v>
      </c>
      <c r="H18" s="0" t="n">
        <v>114.46</v>
      </c>
      <c r="I18" s="0" t="n">
        <v>25.62</v>
      </c>
      <c r="J18" s="0" t="n">
        <v>84.7</v>
      </c>
      <c r="K18" s="0" t="n">
        <v>130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114F</t>
        </is>
      </c>
      <c r="X18" s="0" t="n">
        <v>49</v>
      </c>
      <c r="Y18" s="0" t="n">
        <v>36</v>
      </c>
      <c r="Z18" s="0" t="inlineStr">
        <is>
          <t>https://new.land.naver.com/complexes/126143?tab=detail&amp;rf=Y</t>
        </is>
      </c>
      <c r="AA18" s="0" t="inlineStr">
        <is>
          <t>인천시 서구 가정동 루원시티 주상 3블록</t>
        </is>
      </c>
      <c r="AB18" s="0" t="inlineStr">
        <is>
          <t>인천시</t>
        </is>
      </c>
      <c r="AC18" s="0" t="inlineStr">
        <is>
          <t>서구</t>
        </is>
      </c>
      <c r="AD18" s="0" t="inlineStr">
        <is>
          <t>가정동</t>
        </is>
      </c>
      <c r="AG18" s="0" t="inlineStr">
        <is>
          <t>인천시 서구</t>
        </is>
      </c>
      <c r="AH18" s="0" t="n">
        <v>0</v>
      </c>
      <c r="AI18" s="0" t="n">
        <v>439</v>
      </c>
      <c r="AJ18" s="0" t="n">
        <v>0</v>
      </c>
      <c r="AK18" s="0" t="n">
        <v>0</v>
      </c>
      <c r="AL18" s="0" t="n">
        <v>0</v>
      </c>
    </row>
    <row r="19">
      <c r="A19" s="0" t="inlineStr">
        <is>
          <t>[가정동]</t>
        </is>
      </c>
      <c r="B19" s="0" t="n">
        <v>126143</v>
      </c>
      <c r="C19" s="0" t="n">
        <v>3</v>
      </c>
      <c r="D19" s="0" t="inlineStr">
        <is>
          <t>루원지웰시티푸르지오</t>
        </is>
      </c>
      <c r="E19" s="0" t="inlineStr">
        <is>
          <t>2022.11.</t>
        </is>
      </c>
      <c r="F19" s="0" t="n">
        <v>778</v>
      </c>
      <c r="G19" s="0" t="n">
        <v>34.68</v>
      </c>
      <c r="H19" s="0" t="n">
        <v>114.67</v>
      </c>
      <c r="I19" s="0" t="n">
        <v>25.66</v>
      </c>
      <c r="J19" s="0" t="n">
        <v>84.83</v>
      </c>
      <c r="K19" s="0" t="n">
        <v>129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114B</t>
        </is>
      </c>
      <c r="X19" s="0" t="n">
        <v>49</v>
      </c>
      <c r="Y19" s="0" t="n">
        <v>36</v>
      </c>
      <c r="Z19" s="0" t="inlineStr">
        <is>
          <t>https://new.land.naver.com/complexes/126143?tab=detail&amp;rf=Y</t>
        </is>
      </c>
      <c r="AA19" s="0" t="inlineStr">
        <is>
          <t>인천시 서구 가정동 루원시티 주상 3블록</t>
        </is>
      </c>
      <c r="AB19" s="0" t="inlineStr">
        <is>
          <t>인천시</t>
        </is>
      </c>
      <c r="AC19" s="0" t="inlineStr">
        <is>
          <t>서구</t>
        </is>
      </c>
      <c r="AD19" s="0" t="inlineStr">
        <is>
          <t>가정동</t>
        </is>
      </c>
      <c r="AG19" s="0" t="inlineStr">
        <is>
          <t>인천시 서구</t>
        </is>
      </c>
      <c r="AH19" s="0" t="n">
        <v>0</v>
      </c>
      <c r="AI19" s="0" t="n">
        <v>439</v>
      </c>
      <c r="AJ19" s="0" t="n">
        <v>0</v>
      </c>
      <c r="AK19" s="0" t="n">
        <v>0</v>
      </c>
      <c r="AL19" s="0" t="n">
        <v>0</v>
      </c>
    </row>
    <row r="20">
      <c r="A20" s="0" t="inlineStr">
        <is>
          <t>[가정동]</t>
        </is>
      </c>
      <c r="B20" s="0" t="n">
        <v>126143</v>
      </c>
      <c r="C20" s="0" t="n">
        <v>4</v>
      </c>
      <c r="D20" s="0" t="inlineStr">
        <is>
          <t>루원지웰시티푸르지오</t>
        </is>
      </c>
      <c r="E20" s="0" t="inlineStr">
        <is>
          <t>2022.11.</t>
        </is>
      </c>
      <c r="F20" s="0" t="n">
        <v>778</v>
      </c>
      <c r="G20" s="0" t="n">
        <v>34.71</v>
      </c>
      <c r="H20" s="0" t="n">
        <v>114.77</v>
      </c>
      <c r="I20" s="0" t="n">
        <v>25.46</v>
      </c>
      <c r="J20" s="0" t="n">
        <v>84.17</v>
      </c>
      <c r="K20" s="0" t="n">
        <v>42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114E</t>
        </is>
      </c>
      <c r="X20" s="0" t="n">
        <v>49</v>
      </c>
      <c r="Y20" s="0" t="n">
        <v>36</v>
      </c>
      <c r="Z20" s="0" t="inlineStr">
        <is>
          <t>https://new.land.naver.com/complexes/126143?tab=detail&amp;rf=Y</t>
        </is>
      </c>
      <c r="AA20" s="0" t="inlineStr">
        <is>
          <t>인천시 서구 가정동 루원시티 주상 3블록</t>
        </is>
      </c>
      <c r="AB20" s="0" t="inlineStr">
        <is>
          <t>인천시</t>
        </is>
      </c>
      <c r="AC20" s="0" t="inlineStr">
        <is>
          <t>서구</t>
        </is>
      </c>
      <c r="AD20" s="0" t="inlineStr">
        <is>
          <t>가정동</t>
        </is>
      </c>
      <c r="AG20" s="0" t="inlineStr">
        <is>
          <t>인천시 서구</t>
        </is>
      </c>
      <c r="AH20" s="0" t="n">
        <v>0</v>
      </c>
      <c r="AI20" s="0" t="n">
        <v>439</v>
      </c>
      <c r="AJ20" s="0" t="n">
        <v>0</v>
      </c>
      <c r="AK20" s="0" t="n">
        <v>0</v>
      </c>
      <c r="AL20" s="0" t="n">
        <v>0</v>
      </c>
    </row>
    <row r="21">
      <c r="A21" s="0" t="inlineStr">
        <is>
          <t>[가정동]</t>
        </is>
      </c>
      <c r="B21" s="0" t="n">
        <v>126143</v>
      </c>
      <c r="C21" s="0" t="n">
        <v>5</v>
      </c>
      <c r="D21" s="0" t="inlineStr">
        <is>
          <t>루원지웰시티푸르지오</t>
        </is>
      </c>
      <c r="E21" s="0" t="inlineStr">
        <is>
          <t>2022.11.</t>
        </is>
      </c>
      <c r="F21" s="0" t="n">
        <v>778</v>
      </c>
      <c r="G21" s="0" t="n">
        <v>35.02</v>
      </c>
      <c r="H21" s="0" t="n">
        <v>115.77</v>
      </c>
      <c r="I21" s="0" t="n">
        <v>25.51</v>
      </c>
      <c r="J21" s="0" t="n">
        <v>84.34</v>
      </c>
      <c r="K21" s="0" t="n">
        <v>132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115C</t>
        </is>
      </c>
      <c r="X21" s="0" t="n">
        <v>49</v>
      </c>
      <c r="Y21" s="0" t="n">
        <v>36</v>
      </c>
      <c r="Z21" s="0" t="inlineStr">
        <is>
          <t>https://new.land.naver.com/complexes/126143?tab=detail&amp;rf=Y</t>
        </is>
      </c>
      <c r="AA21" s="0" t="inlineStr">
        <is>
          <t>인천시 서구 가정동 루원시티 주상 3블록</t>
        </is>
      </c>
      <c r="AB21" s="0" t="inlineStr">
        <is>
          <t>인천시</t>
        </is>
      </c>
      <c r="AC21" s="0" t="inlineStr">
        <is>
          <t>서구</t>
        </is>
      </c>
      <c r="AD21" s="0" t="inlineStr">
        <is>
          <t>가정동</t>
        </is>
      </c>
      <c r="AG21" s="0" t="inlineStr">
        <is>
          <t>인천시 서구</t>
        </is>
      </c>
      <c r="AH21" s="0" t="n">
        <v>0</v>
      </c>
      <c r="AI21" s="0" t="n">
        <v>439</v>
      </c>
      <c r="AJ21" s="0" t="n">
        <v>0</v>
      </c>
      <c r="AK21" s="0" t="n">
        <v>0</v>
      </c>
      <c r="AL21" s="0" t="n">
        <v>0</v>
      </c>
    </row>
    <row r="22">
      <c r="A22" s="0" t="inlineStr">
        <is>
          <t>[가정동]</t>
        </is>
      </c>
      <c r="B22" s="0" t="n">
        <v>126143</v>
      </c>
      <c r="C22" s="0" t="n">
        <v>6</v>
      </c>
      <c r="D22" s="0" t="inlineStr">
        <is>
          <t>루원지웰시티푸르지오</t>
        </is>
      </c>
      <c r="E22" s="0" t="inlineStr">
        <is>
          <t>2022.11.</t>
        </is>
      </c>
      <c r="F22" s="0" t="n">
        <v>778</v>
      </c>
      <c r="G22" s="0" t="n">
        <v>34.94</v>
      </c>
      <c r="H22" s="0" t="n">
        <v>115.51</v>
      </c>
      <c r="I22" s="0" t="n">
        <v>25.65</v>
      </c>
      <c r="J22" s="0" t="n">
        <v>84.81999999999999</v>
      </c>
      <c r="K22" s="0" t="n">
        <v>128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115D</t>
        </is>
      </c>
      <c r="X22" s="0" t="n">
        <v>49</v>
      </c>
      <c r="Y22" s="0" t="n">
        <v>36</v>
      </c>
      <c r="Z22" s="0" t="inlineStr">
        <is>
          <t>https://new.land.naver.com/complexes/126143?tab=detail&amp;rf=Y</t>
        </is>
      </c>
      <c r="AA22" s="0" t="inlineStr">
        <is>
          <t>인천시 서구 가정동 루원시티 주상 3블록</t>
        </is>
      </c>
      <c r="AB22" s="0" t="inlineStr">
        <is>
          <t>인천시</t>
        </is>
      </c>
      <c r="AC22" s="0" t="inlineStr">
        <is>
          <t>서구</t>
        </is>
      </c>
      <c r="AD22" s="0" t="inlineStr">
        <is>
          <t>가정동</t>
        </is>
      </c>
      <c r="AG22" s="0" t="inlineStr">
        <is>
          <t>인천시 서구</t>
        </is>
      </c>
      <c r="AH22" s="0" t="n">
        <v>0</v>
      </c>
      <c r="AI22" s="0" t="n">
        <v>439</v>
      </c>
      <c r="AJ22" s="0" t="n">
        <v>0</v>
      </c>
      <c r="AK22" s="0" t="n">
        <v>0</v>
      </c>
      <c r="AL22" s="0" t="n">
        <v>0</v>
      </c>
    </row>
    <row r="23">
      <c r="A23" s="0" t="inlineStr">
        <is>
          <t>[가정동]</t>
        </is>
      </c>
      <c r="B23" s="0" t="n">
        <v>127746</v>
      </c>
      <c r="C23" s="0" t="n">
        <v>1</v>
      </c>
      <c r="D23" s="0" t="inlineStr">
        <is>
          <t>루원시티2차 SK리더스뷰</t>
        </is>
      </c>
      <c r="E23" s="0" t="inlineStr">
        <is>
          <t>2023.01.</t>
        </is>
      </c>
      <c r="F23" s="0" t="n">
        <v>1789</v>
      </c>
      <c r="G23" s="0" t="n">
        <v>31</v>
      </c>
      <c r="H23" s="0" t="n">
        <v>102.48</v>
      </c>
      <c r="I23" s="0" t="n">
        <v>22.92</v>
      </c>
      <c r="J23" s="0" t="n">
        <v>75.8</v>
      </c>
      <c r="K23" s="0" t="n">
        <v>28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102A</t>
        </is>
      </c>
      <c r="X23" s="0" t="n">
        <v>46</v>
      </c>
      <c r="Y23" s="0" t="n">
        <v>29</v>
      </c>
      <c r="Z23" s="0" t="inlineStr">
        <is>
          <t>https://new.land.naver.com/complexes/127746?tab=detail&amp;rf=Y</t>
        </is>
      </c>
      <c r="AA23" s="0" t="inlineStr">
        <is>
          <t>인천시 서구 가정동 541-14, 543번지 일원</t>
        </is>
      </c>
      <c r="AB23" s="0" t="inlineStr">
        <is>
          <t>인천시</t>
        </is>
      </c>
      <c r="AC23" s="0" t="inlineStr">
        <is>
          <t>서구</t>
        </is>
      </c>
      <c r="AD23" s="0" t="inlineStr">
        <is>
          <t>가정동</t>
        </is>
      </c>
      <c r="AG23" s="0" t="inlineStr">
        <is>
          <t>인천시 서구</t>
        </is>
      </c>
      <c r="AH23" s="0" t="n">
        <v>0</v>
      </c>
      <c r="AI23" s="0" t="n">
        <v>435</v>
      </c>
      <c r="AJ23" s="0" t="n">
        <v>26</v>
      </c>
      <c r="AK23" s="0" t="n">
        <v>2204</v>
      </c>
      <c r="AL23" s="0" t="n">
        <v>1.23</v>
      </c>
    </row>
    <row r="24">
      <c r="A24" s="0" t="inlineStr">
        <is>
          <t>[가정동]</t>
        </is>
      </c>
      <c r="B24" s="0" t="n">
        <v>127746</v>
      </c>
      <c r="C24" s="0" t="n">
        <v>2</v>
      </c>
      <c r="D24" s="0" t="inlineStr">
        <is>
          <t>루원시티2차 SK리더스뷰</t>
        </is>
      </c>
      <c r="E24" s="0" t="inlineStr">
        <is>
          <t>2023.01.</t>
        </is>
      </c>
      <c r="F24" s="0" t="n">
        <v>1789</v>
      </c>
      <c r="G24" s="0" t="n">
        <v>30.9</v>
      </c>
      <c r="H24" s="0" t="n">
        <v>102.16</v>
      </c>
      <c r="I24" s="0" t="n">
        <v>22.87</v>
      </c>
      <c r="J24" s="0" t="n">
        <v>75.63</v>
      </c>
      <c r="K24" s="0" t="n">
        <v>28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102B</t>
        </is>
      </c>
      <c r="X24" s="0" t="n">
        <v>46</v>
      </c>
      <c r="Y24" s="0" t="n">
        <v>29</v>
      </c>
      <c r="Z24" s="0" t="inlineStr">
        <is>
          <t>https://new.land.naver.com/complexes/127746?tab=detail&amp;rf=Y</t>
        </is>
      </c>
      <c r="AA24" s="0" t="inlineStr">
        <is>
          <t>인천시 서구 가정동 541-14, 543번지 일원</t>
        </is>
      </c>
      <c r="AB24" s="0" t="inlineStr">
        <is>
          <t>인천시</t>
        </is>
      </c>
      <c r="AC24" s="0" t="inlineStr">
        <is>
          <t>서구</t>
        </is>
      </c>
      <c r="AD24" s="0" t="inlineStr">
        <is>
          <t>가정동</t>
        </is>
      </c>
      <c r="AG24" s="0" t="inlineStr">
        <is>
          <t>인천시 서구</t>
        </is>
      </c>
      <c r="AH24" s="0" t="n">
        <v>0</v>
      </c>
      <c r="AI24" s="0" t="n">
        <v>435</v>
      </c>
      <c r="AJ24" s="0" t="n">
        <v>26</v>
      </c>
      <c r="AK24" s="0" t="n">
        <v>2204</v>
      </c>
      <c r="AL24" s="0" t="n">
        <v>1.23</v>
      </c>
    </row>
    <row r="25">
      <c r="A25" s="0" t="inlineStr">
        <is>
          <t>[가정동]</t>
        </is>
      </c>
      <c r="B25" s="0" t="n">
        <v>127746</v>
      </c>
      <c r="C25" s="0" t="n">
        <v>3</v>
      </c>
      <c r="D25" s="0" t="inlineStr">
        <is>
          <t>루원시티2차 SK리더스뷰</t>
        </is>
      </c>
      <c r="E25" s="0" t="inlineStr">
        <is>
          <t>2023.01.</t>
        </is>
      </c>
      <c r="F25" s="0" t="n">
        <v>1789</v>
      </c>
      <c r="G25" s="0" t="n">
        <v>34.45</v>
      </c>
      <c r="H25" s="0" t="n">
        <v>113.89</v>
      </c>
      <c r="I25" s="0" t="n">
        <v>25.63</v>
      </c>
      <c r="J25" s="0" t="n">
        <v>84.73</v>
      </c>
      <c r="K25" s="0" t="n">
        <v>591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113A</t>
        </is>
      </c>
      <c r="X25" s="0" t="n">
        <v>46</v>
      </c>
      <c r="Y25" s="0" t="n">
        <v>29</v>
      </c>
      <c r="Z25" s="0" t="inlineStr">
        <is>
          <t>https://new.land.naver.com/complexes/127746?tab=detail&amp;rf=Y</t>
        </is>
      </c>
      <c r="AA25" s="0" t="inlineStr">
        <is>
          <t>인천시 서구 가정동 541-14, 543번지 일원</t>
        </is>
      </c>
      <c r="AB25" s="0" t="inlineStr">
        <is>
          <t>인천시</t>
        </is>
      </c>
      <c r="AC25" s="0" t="inlineStr">
        <is>
          <t>서구</t>
        </is>
      </c>
      <c r="AD25" s="0" t="inlineStr">
        <is>
          <t>가정동</t>
        </is>
      </c>
      <c r="AG25" s="0" t="inlineStr">
        <is>
          <t>인천시 서구</t>
        </is>
      </c>
      <c r="AH25" s="0" t="n">
        <v>0</v>
      </c>
      <c r="AI25" s="0" t="n">
        <v>435</v>
      </c>
      <c r="AJ25" s="0" t="n">
        <v>26</v>
      </c>
      <c r="AK25" s="0" t="n">
        <v>2204</v>
      </c>
      <c r="AL25" s="0" t="n">
        <v>1.23</v>
      </c>
    </row>
    <row r="26">
      <c r="A26" s="0" t="inlineStr">
        <is>
          <t>[가정동]</t>
        </is>
      </c>
      <c r="B26" s="0" t="n">
        <v>127746</v>
      </c>
      <c r="C26" s="0" t="n">
        <v>4</v>
      </c>
      <c r="D26" s="0" t="inlineStr">
        <is>
          <t>루원시티2차 SK리더스뷰</t>
        </is>
      </c>
      <c r="E26" s="0" t="inlineStr">
        <is>
          <t>2023.01.</t>
        </is>
      </c>
      <c r="F26" s="0" t="n">
        <v>1789</v>
      </c>
      <c r="G26" s="0" t="n">
        <v>34.61</v>
      </c>
      <c r="H26" s="0" t="n">
        <v>114.43</v>
      </c>
      <c r="I26" s="0" t="n">
        <v>25.68</v>
      </c>
      <c r="J26" s="0" t="n">
        <v>84.92</v>
      </c>
      <c r="K26" s="0" t="n">
        <v>458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114D</t>
        </is>
      </c>
      <c r="X26" s="0" t="n">
        <v>46</v>
      </c>
      <c r="Y26" s="0" t="n">
        <v>29</v>
      </c>
      <c r="Z26" s="0" t="inlineStr">
        <is>
          <t>https://new.land.naver.com/complexes/127746?tab=detail&amp;rf=Y</t>
        </is>
      </c>
      <c r="AA26" s="0" t="inlineStr">
        <is>
          <t>인천시 서구 가정동 541-14, 543번지 일원</t>
        </is>
      </c>
      <c r="AB26" s="0" t="inlineStr">
        <is>
          <t>인천시</t>
        </is>
      </c>
      <c r="AC26" s="0" t="inlineStr">
        <is>
          <t>서구</t>
        </is>
      </c>
      <c r="AD26" s="0" t="inlineStr">
        <is>
          <t>가정동</t>
        </is>
      </c>
      <c r="AG26" s="0" t="inlineStr">
        <is>
          <t>인천시 서구</t>
        </is>
      </c>
      <c r="AH26" s="0" t="n">
        <v>0</v>
      </c>
      <c r="AI26" s="0" t="n">
        <v>435</v>
      </c>
      <c r="AJ26" s="0" t="n">
        <v>26</v>
      </c>
      <c r="AK26" s="0" t="n">
        <v>2204</v>
      </c>
      <c r="AL26" s="0" t="n">
        <v>1.23</v>
      </c>
    </row>
    <row r="27">
      <c r="A27" s="0" t="inlineStr">
        <is>
          <t>[가정동]</t>
        </is>
      </c>
      <c r="B27" s="0" t="n">
        <v>127746</v>
      </c>
      <c r="C27" s="0" t="n">
        <v>5</v>
      </c>
      <c r="D27" s="0" t="inlineStr">
        <is>
          <t>루원시티2차 SK리더스뷰</t>
        </is>
      </c>
      <c r="E27" s="0" t="inlineStr">
        <is>
          <t>2023.01.</t>
        </is>
      </c>
      <c r="F27" s="0" t="n">
        <v>1789</v>
      </c>
      <c r="G27" s="0" t="n">
        <v>34.76</v>
      </c>
      <c r="H27" s="0" t="n">
        <v>114.92</v>
      </c>
      <c r="I27" s="0" t="n">
        <v>25.61</v>
      </c>
      <c r="J27" s="0" t="n">
        <v>84.67</v>
      </c>
      <c r="K27" s="0" t="n">
        <v>197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114E</t>
        </is>
      </c>
      <c r="X27" s="0" t="n">
        <v>46</v>
      </c>
      <c r="Y27" s="0" t="n">
        <v>29</v>
      </c>
      <c r="Z27" s="0" t="inlineStr">
        <is>
          <t>https://new.land.naver.com/complexes/127746?tab=detail&amp;rf=Y</t>
        </is>
      </c>
      <c r="AA27" s="0" t="inlineStr">
        <is>
          <t>인천시 서구 가정동 541-14, 543번지 일원</t>
        </is>
      </c>
      <c r="AB27" s="0" t="inlineStr">
        <is>
          <t>인천시</t>
        </is>
      </c>
      <c r="AC27" s="0" t="inlineStr">
        <is>
          <t>서구</t>
        </is>
      </c>
      <c r="AD27" s="0" t="inlineStr">
        <is>
          <t>가정동</t>
        </is>
      </c>
      <c r="AG27" s="0" t="inlineStr">
        <is>
          <t>인천시 서구</t>
        </is>
      </c>
      <c r="AH27" s="0" t="n">
        <v>0</v>
      </c>
      <c r="AI27" s="0" t="n">
        <v>435</v>
      </c>
      <c r="AJ27" s="0" t="n">
        <v>26</v>
      </c>
      <c r="AK27" s="0" t="n">
        <v>2204</v>
      </c>
      <c r="AL27" s="0" t="n">
        <v>1.23</v>
      </c>
    </row>
    <row r="28">
      <c r="A28" s="0" t="inlineStr">
        <is>
          <t>[가정동]</t>
        </is>
      </c>
      <c r="B28" s="0" t="n">
        <v>127746</v>
      </c>
      <c r="C28" s="0" t="n">
        <v>6</v>
      </c>
      <c r="D28" s="0" t="inlineStr">
        <is>
          <t>루원시티2차 SK리더스뷰</t>
        </is>
      </c>
      <c r="E28" s="0" t="inlineStr">
        <is>
          <t>2023.01.</t>
        </is>
      </c>
      <c r="F28" s="0" t="n">
        <v>1789</v>
      </c>
      <c r="G28" s="0" t="n">
        <v>34.83</v>
      </c>
      <c r="H28" s="0" t="n">
        <v>115.17</v>
      </c>
      <c r="I28" s="0" t="n">
        <v>25.7</v>
      </c>
      <c r="J28" s="0" t="n">
        <v>84.95999999999999</v>
      </c>
      <c r="K28" s="0" t="n">
        <v>365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115C</t>
        </is>
      </c>
      <c r="X28" s="0" t="n">
        <v>46</v>
      </c>
      <c r="Y28" s="0" t="n">
        <v>29</v>
      </c>
      <c r="Z28" s="0" t="inlineStr">
        <is>
          <t>https://new.land.naver.com/complexes/127746?tab=detail&amp;rf=Y</t>
        </is>
      </c>
      <c r="AA28" s="0" t="inlineStr">
        <is>
          <t>인천시 서구 가정동 541-14, 543번지 일원</t>
        </is>
      </c>
      <c r="AB28" s="0" t="inlineStr">
        <is>
          <t>인천시</t>
        </is>
      </c>
      <c r="AC28" s="0" t="inlineStr">
        <is>
          <t>서구</t>
        </is>
      </c>
      <c r="AD28" s="0" t="inlineStr">
        <is>
          <t>가정동</t>
        </is>
      </c>
      <c r="AG28" s="0" t="inlineStr">
        <is>
          <t>인천시 서구</t>
        </is>
      </c>
      <c r="AH28" s="0" t="n">
        <v>0</v>
      </c>
      <c r="AI28" s="0" t="n">
        <v>435</v>
      </c>
      <c r="AJ28" s="0" t="n">
        <v>26</v>
      </c>
      <c r="AK28" s="0" t="n">
        <v>2204</v>
      </c>
      <c r="AL28" s="0" t="n">
        <v>1.23</v>
      </c>
    </row>
    <row r="29">
      <c r="A29" s="0" t="inlineStr">
        <is>
          <t>[가정동]</t>
        </is>
      </c>
      <c r="B29" s="0" t="n">
        <v>127746</v>
      </c>
      <c r="C29" s="0" t="n">
        <v>7</v>
      </c>
      <c r="D29" s="0" t="inlineStr">
        <is>
          <t>루원시티2차 SK리더스뷰</t>
        </is>
      </c>
      <c r="E29" s="0" t="inlineStr">
        <is>
          <t>2023.01.</t>
        </is>
      </c>
      <c r="F29" s="0" t="n">
        <v>1789</v>
      </c>
      <c r="G29" s="0" t="n">
        <v>34.79</v>
      </c>
      <c r="H29" s="0" t="n">
        <v>115.02</v>
      </c>
      <c r="I29" s="0" t="n">
        <v>25.7</v>
      </c>
      <c r="J29" s="0" t="n">
        <v>84.97</v>
      </c>
      <c r="K29" s="0" t="n">
        <v>122</v>
      </c>
      <c r="T29" s="0" t="n">
        <v>3</v>
      </c>
      <c r="U29" s="0" t="n">
        <v>2</v>
      </c>
      <c r="V29" s="0" t="inlineStr">
        <is>
          <t>계단식</t>
        </is>
      </c>
      <c r="W29" s="0" t="inlineStr">
        <is>
          <t>115B</t>
        </is>
      </c>
      <c r="X29" s="0" t="n">
        <v>46</v>
      </c>
      <c r="Y29" s="0" t="n">
        <v>29</v>
      </c>
      <c r="Z29" s="0" t="inlineStr">
        <is>
          <t>https://new.land.naver.com/complexes/127746?tab=detail&amp;rf=Y</t>
        </is>
      </c>
      <c r="AA29" s="0" t="inlineStr">
        <is>
          <t>인천시 서구 가정동 541-14, 543번지 일원</t>
        </is>
      </c>
      <c r="AB29" s="0" t="inlineStr">
        <is>
          <t>인천시</t>
        </is>
      </c>
      <c r="AC29" s="0" t="inlineStr">
        <is>
          <t>서구</t>
        </is>
      </c>
      <c r="AD29" s="0" t="inlineStr">
        <is>
          <t>가정동</t>
        </is>
      </c>
      <c r="AG29" s="0" t="inlineStr">
        <is>
          <t>인천시 서구</t>
        </is>
      </c>
      <c r="AH29" s="0" t="n">
        <v>0</v>
      </c>
      <c r="AI29" s="0" t="n">
        <v>435</v>
      </c>
      <c r="AJ29" s="0" t="n">
        <v>26</v>
      </c>
      <c r="AK29" s="0" t="n">
        <v>2204</v>
      </c>
      <c r="AL29" s="0" t="n">
        <v>1.23</v>
      </c>
    </row>
    <row r="30">
      <c r="A30" s="0" t="inlineStr">
        <is>
          <t>[가정동]</t>
        </is>
      </c>
      <c r="B30" s="0" t="n">
        <v>9299</v>
      </c>
      <c r="C30" s="0" t="n">
        <v>1</v>
      </c>
      <c r="D30" s="0" t="inlineStr">
        <is>
          <t>진흥2단지</t>
        </is>
      </c>
      <c r="E30" s="0" t="inlineStr">
        <is>
          <t>1990.08.</t>
        </is>
      </c>
      <c r="F30" s="0" t="n">
        <v>132</v>
      </c>
      <c r="G30" s="0" t="n">
        <v>17.91</v>
      </c>
      <c r="H30" s="0" t="n">
        <v>59.22</v>
      </c>
      <c r="I30" s="0" t="n">
        <v>13.62</v>
      </c>
      <c r="J30" s="0" t="n">
        <v>45.04</v>
      </c>
      <c r="K30" s="0" t="n">
        <v>96</v>
      </c>
      <c r="T30" s="0" t="n">
        <v>2</v>
      </c>
      <c r="U30" s="0" t="n">
        <v>1</v>
      </c>
      <c r="V30" s="0" t="inlineStr">
        <is>
          <t>계단식</t>
        </is>
      </c>
      <c r="W30" s="0" t="n">
        <v>59</v>
      </c>
      <c r="X30" s="0" t="n">
        <v>6</v>
      </c>
      <c r="Y30" s="0" t="n">
        <v>6</v>
      </c>
      <c r="Z30" s="0" t="inlineStr">
        <is>
          <t>https://new.land.naver.com/complexes/9299?tab=detail&amp;rf=Y</t>
        </is>
      </c>
      <c r="AA30" s="0" t="inlineStr">
        <is>
          <t>인천시 서구 가정동 562-2</t>
        </is>
      </c>
      <c r="AB30" s="0" t="inlineStr">
        <is>
          <t>인천시</t>
        </is>
      </c>
      <c r="AC30" s="0" t="inlineStr">
        <is>
          <t>서구</t>
        </is>
      </c>
      <c r="AD30" s="0" t="inlineStr">
        <is>
          <t>가정동</t>
        </is>
      </c>
      <c r="AG30" s="0" t="inlineStr">
        <is>
          <t>인천시 서구 서달로193번길 12-16</t>
        </is>
      </c>
      <c r="AH30" s="0" t="n">
        <v>0</v>
      </c>
      <c r="AI30" s="0" t="n">
        <v>164</v>
      </c>
      <c r="AJ30" s="0" t="n">
        <v>28</v>
      </c>
      <c r="AK30" s="0" t="n">
        <v>0</v>
      </c>
      <c r="AL30" s="0" t="n">
        <v>0</v>
      </c>
    </row>
    <row r="31">
      <c r="A31" s="0" t="inlineStr">
        <is>
          <t>[가정동]</t>
        </is>
      </c>
      <c r="B31" s="0" t="n">
        <v>9299</v>
      </c>
      <c r="C31" s="0" t="n">
        <v>2</v>
      </c>
      <c r="D31" s="0" t="inlineStr">
        <is>
          <t>진흥2단지</t>
        </is>
      </c>
      <c r="E31" s="0" t="inlineStr">
        <is>
          <t>1990.08.</t>
        </is>
      </c>
      <c r="F31" s="0" t="n">
        <v>132</v>
      </c>
      <c r="G31" s="0" t="n">
        <v>23.08</v>
      </c>
      <c r="H31" s="0" t="n">
        <v>76.31999999999999</v>
      </c>
      <c r="I31" s="0" t="n">
        <v>18.06</v>
      </c>
      <c r="J31" s="0" t="n">
        <v>59.71</v>
      </c>
      <c r="K31" s="0" t="n">
        <v>36</v>
      </c>
      <c r="T31" s="0" t="n">
        <v>3</v>
      </c>
      <c r="U31" s="0" t="n">
        <v>1</v>
      </c>
      <c r="V31" s="0" t="inlineStr">
        <is>
          <t>계단식</t>
        </is>
      </c>
      <c r="W31" s="0" t="n">
        <v>76</v>
      </c>
      <c r="X31" s="0" t="n">
        <v>6</v>
      </c>
      <c r="Y31" s="0" t="n">
        <v>6</v>
      </c>
      <c r="Z31" s="0" t="inlineStr">
        <is>
          <t>https://new.land.naver.com/complexes/9299?tab=detail&amp;rf=Y</t>
        </is>
      </c>
      <c r="AA31" s="0" t="inlineStr">
        <is>
          <t>인천시 서구 가정동 562-2</t>
        </is>
      </c>
      <c r="AB31" s="0" t="inlineStr">
        <is>
          <t>인천시</t>
        </is>
      </c>
      <c r="AC31" s="0" t="inlineStr">
        <is>
          <t>서구</t>
        </is>
      </c>
      <c r="AD31" s="0" t="inlineStr">
        <is>
          <t>가정동</t>
        </is>
      </c>
      <c r="AG31" s="0" t="inlineStr">
        <is>
          <t>인천시 서구 서달로193번길 12-16</t>
        </is>
      </c>
      <c r="AH31" s="0" t="n">
        <v>0</v>
      </c>
      <c r="AI31" s="0" t="n">
        <v>164</v>
      </c>
      <c r="AJ31" s="0" t="n">
        <v>28</v>
      </c>
      <c r="AK31" s="0" t="n">
        <v>0</v>
      </c>
      <c r="AL31" s="0" t="n">
        <v>0</v>
      </c>
    </row>
    <row r="32">
      <c r="A32" s="0" t="inlineStr">
        <is>
          <t>[가정동]</t>
        </is>
      </c>
      <c r="B32" s="0" t="n">
        <v>118749</v>
      </c>
      <c r="C32" s="0" t="n">
        <v>1</v>
      </c>
      <c r="D32" s="0" t="inlineStr">
        <is>
          <t>루원더퍼스트</t>
        </is>
      </c>
      <c r="E32" s="0" t="inlineStr">
        <is>
          <t>2019.10.</t>
        </is>
      </c>
      <c r="F32" s="0" t="n">
        <v>616</v>
      </c>
      <c r="G32" s="0" t="n">
        <v>25.03</v>
      </c>
      <c r="H32" s="0" t="n">
        <v>82.77</v>
      </c>
      <c r="I32" s="0" t="n">
        <v>18.13</v>
      </c>
      <c r="J32" s="0" t="n">
        <v>59.96</v>
      </c>
      <c r="K32" s="0" t="n">
        <v>228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82A</t>
        </is>
      </c>
      <c r="X32" s="0" t="n">
        <v>25</v>
      </c>
      <c r="Y32" s="0" t="n">
        <v>18</v>
      </c>
      <c r="Z32" s="0" t="inlineStr">
        <is>
          <t>https://new.land.naver.com/complexes/118749?tab=detail&amp;rf=Y</t>
        </is>
      </c>
      <c r="AA32" s="0" t="inlineStr">
        <is>
          <t>인천시 서구 가정동 597-1</t>
        </is>
      </c>
      <c r="AB32" s="0" t="inlineStr">
        <is>
          <t>인천시</t>
        </is>
      </c>
      <c r="AC32" s="0" t="inlineStr">
        <is>
          <t>서구</t>
        </is>
      </c>
      <c r="AD32" s="0" t="inlineStr">
        <is>
          <t>가정동</t>
        </is>
      </c>
      <c r="AG32" s="0" t="inlineStr">
        <is>
          <t>인천시 서구 봉오재2로 13</t>
        </is>
      </c>
      <c r="AH32" s="0" t="n">
        <v>0</v>
      </c>
      <c r="AI32" s="0" t="n">
        <v>184</v>
      </c>
      <c r="AJ32" s="0" t="n">
        <v>16</v>
      </c>
      <c r="AK32" s="0" t="n">
        <v>679</v>
      </c>
      <c r="AL32" s="0" t="n">
        <v>1.1</v>
      </c>
    </row>
    <row r="33">
      <c r="A33" s="0" t="inlineStr">
        <is>
          <t>[가정동]</t>
        </is>
      </c>
      <c r="B33" s="0" t="n">
        <v>118749</v>
      </c>
      <c r="C33" s="0" t="n">
        <v>2</v>
      </c>
      <c r="D33" s="0" t="inlineStr">
        <is>
          <t>루원더퍼스트</t>
        </is>
      </c>
      <c r="E33" s="0" t="inlineStr">
        <is>
          <t>2019.10.</t>
        </is>
      </c>
      <c r="F33" s="0" t="n">
        <v>616</v>
      </c>
      <c r="G33" s="0" t="n">
        <v>24.83</v>
      </c>
      <c r="H33" s="0" t="n">
        <v>82.11</v>
      </c>
      <c r="I33" s="0" t="n">
        <v>17.99</v>
      </c>
      <c r="J33" s="0" t="n">
        <v>59.48</v>
      </c>
      <c r="K33" s="0" t="n">
        <v>50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82C</t>
        </is>
      </c>
      <c r="X33" s="0" t="n">
        <v>25</v>
      </c>
      <c r="Y33" s="0" t="n">
        <v>18</v>
      </c>
      <c r="Z33" s="0" t="inlineStr">
        <is>
          <t>https://new.land.naver.com/complexes/118749?tab=detail&amp;rf=Y</t>
        </is>
      </c>
      <c r="AA33" s="0" t="inlineStr">
        <is>
          <t>인천시 서구 가정동 597-1</t>
        </is>
      </c>
      <c r="AB33" s="0" t="inlineStr">
        <is>
          <t>인천시</t>
        </is>
      </c>
      <c r="AC33" s="0" t="inlineStr">
        <is>
          <t>서구</t>
        </is>
      </c>
      <c r="AD33" s="0" t="inlineStr">
        <is>
          <t>가정동</t>
        </is>
      </c>
      <c r="AG33" s="0" t="inlineStr">
        <is>
          <t>인천시 서구 봉오재2로 13</t>
        </is>
      </c>
      <c r="AH33" s="0" t="n">
        <v>0</v>
      </c>
      <c r="AI33" s="0" t="n">
        <v>184</v>
      </c>
      <c r="AJ33" s="0" t="n">
        <v>16</v>
      </c>
      <c r="AK33" s="0" t="n">
        <v>679</v>
      </c>
      <c r="AL33" s="0" t="n">
        <v>1.1</v>
      </c>
    </row>
    <row r="34">
      <c r="A34" s="0" t="inlineStr">
        <is>
          <t>[가정동]</t>
        </is>
      </c>
      <c r="B34" s="0" t="n">
        <v>118749</v>
      </c>
      <c r="C34" s="0" t="n">
        <v>3</v>
      </c>
      <c r="D34" s="0" t="inlineStr">
        <is>
          <t>루원더퍼스트</t>
        </is>
      </c>
      <c r="E34" s="0" t="inlineStr">
        <is>
          <t>2019.10.</t>
        </is>
      </c>
      <c r="F34" s="0" t="n">
        <v>616</v>
      </c>
      <c r="G34" s="0" t="n">
        <v>25.01</v>
      </c>
      <c r="H34" s="0" t="n">
        <v>82.69</v>
      </c>
      <c r="I34" s="0" t="n">
        <v>18.11</v>
      </c>
      <c r="J34" s="0" t="n">
        <v>59.9</v>
      </c>
      <c r="K34" s="0" t="n">
        <v>22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82B</t>
        </is>
      </c>
      <c r="X34" s="0" t="n">
        <v>25</v>
      </c>
      <c r="Y34" s="0" t="n">
        <v>18</v>
      </c>
      <c r="Z34" s="0" t="inlineStr">
        <is>
          <t>https://new.land.naver.com/complexes/118749?tab=detail&amp;rf=Y</t>
        </is>
      </c>
      <c r="AA34" s="0" t="inlineStr">
        <is>
          <t>인천시 서구 가정동 597-1</t>
        </is>
      </c>
      <c r="AB34" s="0" t="inlineStr">
        <is>
          <t>인천시</t>
        </is>
      </c>
      <c r="AC34" s="0" t="inlineStr">
        <is>
          <t>서구</t>
        </is>
      </c>
      <c r="AD34" s="0" t="inlineStr">
        <is>
          <t>가정동</t>
        </is>
      </c>
      <c r="AG34" s="0" t="inlineStr">
        <is>
          <t>인천시 서구 봉오재2로 13</t>
        </is>
      </c>
      <c r="AH34" s="0" t="n">
        <v>0</v>
      </c>
      <c r="AI34" s="0" t="n">
        <v>184</v>
      </c>
      <c r="AJ34" s="0" t="n">
        <v>16</v>
      </c>
      <c r="AK34" s="0" t="n">
        <v>679</v>
      </c>
      <c r="AL34" s="0" t="n">
        <v>1.1</v>
      </c>
    </row>
    <row r="35">
      <c r="A35" s="0" t="inlineStr">
        <is>
          <t>[가정동]</t>
        </is>
      </c>
      <c r="B35" s="0" t="n">
        <v>118749</v>
      </c>
      <c r="C35" s="0" t="n">
        <v>4</v>
      </c>
      <c r="D35" s="0" t="inlineStr">
        <is>
          <t>루원더퍼스트</t>
        </is>
      </c>
      <c r="E35" s="0" t="inlineStr">
        <is>
          <t>2019.10.</t>
        </is>
      </c>
      <c r="F35" s="0" t="n">
        <v>616</v>
      </c>
      <c r="G35" s="0" t="n">
        <v>31.26</v>
      </c>
      <c r="H35" s="0" t="n">
        <v>103.36</v>
      </c>
      <c r="I35" s="0" t="n">
        <v>22.64</v>
      </c>
      <c r="J35" s="0" t="n">
        <v>74.87</v>
      </c>
      <c r="K35" s="0" t="n">
        <v>122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103A</t>
        </is>
      </c>
      <c r="X35" s="0" t="n">
        <v>25</v>
      </c>
      <c r="Y35" s="0" t="n">
        <v>18</v>
      </c>
      <c r="Z35" s="0" t="inlineStr">
        <is>
          <t>https://new.land.naver.com/complexes/118749?tab=detail&amp;rf=Y</t>
        </is>
      </c>
      <c r="AA35" s="0" t="inlineStr">
        <is>
          <t>인천시 서구 가정동 597-1</t>
        </is>
      </c>
      <c r="AB35" s="0" t="inlineStr">
        <is>
          <t>인천시</t>
        </is>
      </c>
      <c r="AC35" s="0" t="inlineStr">
        <is>
          <t>서구</t>
        </is>
      </c>
      <c r="AD35" s="0" t="inlineStr">
        <is>
          <t>가정동</t>
        </is>
      </c>
      <c r="AG35" s="0" t="inlineStr">
        <is>
          <t>인천시 서구 봉오재2로 13</t>
        </is>
      </c>
      <c r="AH35" s="0" t="n">
        <v>0</v>
      </c>
      <c r="AI35" s="0" t="n">
        <v>184</v>
      </c>
      <c r="AJ35" s="0" t="n">
        <v>16</v>
      </c>
      <c r="AK35" s="0" t="n">
        <v>679</v>
      </c>
      <c r="AL35" s="0" t="n">
        <v>1.1</v>
      </c>
    </row>
    <row r="36">
      <c r="A36" s="0" t="inlineStr">
        <is>
          <t>[가정동]</t>
        </is>
      </c>
      <c r="B36" s="0" t="n">
        <v>118749</v>
      </c>
      <c r="C36" s="0" t="n">
        <v>5</v>
      </c>
      <c r="D36" s="0" t="inlineStr">
        <is>
          <t>루원더퍼스트</t>
        </is>
      </c>
      <c r="E36" s="0" t="inlineStr">
        <is>
          <t>2019.10.</t>
        </is>
      </c>
      <c r="F36" s="0" t="n">
        <v>616</v>
      </c>
      <c r="G36" s="0" t="n">
        <v>31.28</v>
      </c>
      <c r="H36" s="0" t="n">
        <v>103.41</v>
      </c>
      <c r="I36" s="0" t="n">
        <v>22.66</v>
      </c>
      <c r="J36" s="0" t="n">
        <v>74.91</v>
      </c>
      <c r="K36" s="0" t="n">
        <v>59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103B</t>
        </is>
      </c>
      <c r="X36" s="0" t="n">
        <v>25</v>
      </c>
      <c r="Y36" s="0" t="n">
        <v>18</v>
      </c>
      <c r="Z36" s="0" t="inlineStr">
        <is>
          <t>https://new.land.naver.com/complexes/118749?tab=detail&amp;rf=Y</t>
        </is>
      </c>
      <c r="AA36" s="0" t="inlineStr">
        <is>
          <t>인천시 서구 가정동 597-1</t>
        </is>
      </c>
      <c r="AB36" s="0" t="inlineStr">
        <is>
          <t>인천시</t>
        </is>
      </c>
      <c r="AC36" s="0" t="inlineStr">
        <is>
          <t>서구</t>
        </is>
      </c>
      <c r="AD36" s="0" t="inlineStr">
        <is>
          <t>가정동</t>
        </is>
      </c>
      <c r="AG36" s="0" t="inlineStr">
        <is>
          <t>인천시 서구 봉오재2로 13</t>
        </is>
      </c>
      <c r="AH36" s="0" t="n">
        <v>0</v>
      </c>
      <c r="AI36" s="0" t="n">
        <v>184</v>
      </c>
      <c r="AJ36" s="0" t="n">
        <v>16</v>
      </c>
      <c r="AK36" s="0" t="n">
        <v>679</v>
      </c>
      <c r="AL36" s="0" t="n">
        <v>1.1</v>
      </c>
    </row>
    <row r="37">
      <c r="A37" s="0" t="inlineStr">
        <is>
          <t>[가정동]</t>
        </is>
      </c>
      <c r="B37" s="0" t="n">
        <v>118749</v>
      </c>
      <c r="C37" s="0" t="n">
        <v>6</v>
      </c>
      <c r="D37" s="0" t="inlineStr">
        <is>
          <t>루원더퍼스트</t>
        </is>
      </c>
      <c r="E37" s="0" t="inlineStr">
        <is>
          <t>2019.10.</t>
        </is>
      </c>
      <c r="F37" s="0" t="n">
        <v>616</v>
      </c>
      <c r="G37" s="0" t="n">
        <v>35.47</v>
      </c>
      <c r="H37" s="0" t="n">
        <v>117.26</v>
      </c>
      <c r="I37" s="0" t="n">
        <v>25.69</v>
      </c>
      <c r="J37" s="0" t="n">
        <v>84.94</v>
      </c>
      <c r="K37" s="0" t="n">
        <v>135</v>
      </c>
      <c r="T37" s="0" t="n">
        <v>4</v>
      </c>
      <c r="U37" s="0" t="n">
        <v>2</v>
      </c>
      <c r="V37" s="0" t="inlineStr">
        <is>
          <t>계단식</t>
        </is>
      </c>
      <c r="W37" s="0" t="inlineStr">
        <is>
          <t>117A</t>
        </is>
      </c>
      <c r="X37" s="0" t="n">
        <v>25</v>
      </c>
      <c r="Y37" s="0" t="n">
        <v>18</v>
      </c>
      <c r="Z37" s="0" t="inlineStr">
        <is>
          <t>https://new.land.naver.com/complexes/118749?tab=detail&amp;rf=Y</t>
        </is>
      </c>
      <c r="AA37" s="0" t="inlineStr">
        <is>
          <t>인천시 서구 가정동 597-1</t>
        </is>
      </c>
      <c r="AB37" s="0" t="inlineStr">
        <is>
          <t>인천시</t>
        </is>
      </c>
      <c r="AC37" s="0" t="inlineStr">
        <is>
          <t>서구</t>
        </is>
      </c>
      <c r="AD37" s="0" t="inlineStr">
        <is>
          <t>가정동</t>
        </is>
      </c>
      <c r="AG37" s="0" t="inlineStr">
        <is>
          <t>인천시 서구 봉오재2로 13</t>
        </is>
      </c>
      <c r="AH37" s="0" t="n">
        <v>0</v>
      </c>
      <c r="AI37" s="0" t="n">
        <v>184</v>
      </c>
      <c r="AJ37" s="0" t="n">
        <v>16</v>
      </c>
      <c r="AK37" s="0" t="n">
        <v>679</v>
      </c>
      <c r="AL37" s="0" t="n">
        <v>1.1</v>
      </c>
    </row>
    <row r="38">
      <c r="A38" s="0" t="inlineStr">
        <is>
          <t>[가정동]</t>
        </is>
      </c>
      <c r="B38" s="0" t="n">
        <v>2231</v>
      </c>
      <c r="C38" s="0" t="n">
        <v>1</v>
      </c>
      <c r="D38" s="0" t="inlineStr">
        <is>
          <t>하나2차</t>
        </is>
      </c>
      <c r="E38" s="0" t="inlineStr">
        <is>
          <t>1992.02.</t>
        </is>
      </c>
      <c r="F38" s="0" t="n">
        <v>495</v>
      </c>
      <c r="G38" s="0" t="n">
        <v>21.22</v>
      </c>
      <c r="H38" s="0" t="n">
        <v>70.15000000000001</v>
      </c>
      <c r="I38" s="0" t="n">
        <v>16.97</v>
      </c>
      <c r="J38" s="0" t="n">
        <v>56.11</v>
      </c>
      <c r="K38" s="0" t="n">
        <v>60</v>
      </c>
      <c r="T38" s="0" t="n">
        <v>2</v>
      </c>
      <c r="U38" s="0" t="n">
        <v>1</v>
      </c>
      <c r="V38" s="0" t="inlineStr">
        <is>
          <t>복도식</t>
        </is>
      </c>
      <c r="W38" s="0" t="n">
        <v>70</v>
      </c>
      <c r="X38" s="0" t="n">
        <v>15</v>
      </c>
      <c r="Y38" s="0" t="n">
        <v>15</v>
      </c>
      <c r="Z38" s="0" t="inlineStr">
        <is>
          <t>https://new.land.naver.com/complexes/2231?tab=detail&amp;rf=Y</t>
        </is>
      </c>
      <c r="AA38" s="0" t="inlineStr">
        <is>
          <t>인천시 서구 가정동 341-14</t>
        </is>
      </c>
      <c r="AB38" s="0" t="inlineStr">
        <is>
          <t>인천시</t>
        </is>
      </c>
      <c r="AC38" s="0" t="inlineStr">
        <is>
          <t>서구</t>
        </is>
      </c>
      <c r="AD38" s="0" t="inlineStr">
        <is>
          <t>가정동</t>
        </is>
      </c>
      <c r="AG38" s="0" t="inlineStr">
        <is>
          <t>인천시 서구 봉오대로318번길 23</t>
        </is>
      </c>
      <c r="AH38" s="0" t="n">
        <v>0</v>
      </c>
      <c r="AI38" s="0" t="n">
        <v>228</v>
      </c>
      <c r="AJ38" s="0" t="n">
        <v>17</v>
      </c>
      <c r="AK38" s="0" t="n">
        <v>0</v>
      </c>
      <c r="AL38" s="0" t="n">
        <v>0</v>
      </c>
    </row>
    <row r="39">
      <c r="A39" s="0" t="inlineStr">
        <is>
          <t>[가정동]</t>
        </is>
      </c>
      <c r="B39" s="0" t="n">
        <v>2231</v>
      </c>
      <c r="C39" s="0" t="n">
        <v>2</v>
      </c>
      <c r="D39" s="0" t="inlineStr">
        <is>
          <t>하나2차</t>
        </is>
      </c>
      <c r="E39" s="0" t="inlineStr">
        <is>
          <t>1992.02.</t>
        </is>
      </c>
      <c r="F39" s="0" t="n">
        <v>495</v>
      </c>
      <c r="G39" s="0" t="n">
        <v>22.34</v>
      </c>
      <c r="H39" s="0" t="n">
        <v>73.86</v>
      </c>
      <c r="I39" s="0" t="n">
        <v>18.09</v>
      </c>
      <c r="J39" s="0" t="n">
        <v>59.82</v>
      </c>
      <c r="K39" s="0" t="n">
        <v>60</v>
      </c>
      <c r="T39" s="0" t="n">
        <v>2</v>
      </c>
      <c r="U39" s="0" t="n">
        <v>1</v>
      </c>
      <c r="V39" s="0" t="inlineStr">
        <is>
          <t>복도식</t>
        </is>
      </c>
      <c r="W39" s="0" t="n">
        <v>73</v>
      </c>
      <c r="X39" s="0" t="n">
        <v>15</v>
      </c>
      <c r="Y39" s="0" t="n">
        <v>15</v>
      </c>
      <c r="Z39" s="0" t="inlineStr">
        <is>
          <t>https://new.land.naver.com/complexes/2231?tab=detail&amp;rf=Y</t>
        </is>
      </c>
      <c r="AA39" s="0" t="inlineStr">
        <is>
          <t>인천시 서구 가정동 341-14</t>
        </is>
      </c>
      <c r="AB39" s="0" t="inlineStr">
        <is>
          <t>인천시</t>
        </is>
      </c>
      <c r="AC39" s="0" t="inlineStr">
        <is>
          <t>서구</t>
        </is>
      </c>
      <c r="AD39" s="0" t="inlineStr">
        <is>
          <t>가정동</t>
        </is>
      </c>
      <c r="AG39" s="0" t="inlineStr">
        <is>
          <t>인천시 서구 봉오대로318번길 23</t>
        </is>
      </c>
      <c r="AH39" s="0" t="n">
        <v>0</v>
      </c>
      <c r="AI39" s="0" t="n">
        <v>228</v>
      </c>
      <c r="AJ39" s="0" t="n">
        <v>17</v>
      </c>
      <c r="AK39" s="0" t="n">
        <v>0</v>
      </c>
      <c r="AL39" s="0" t="n">
        <v>0</v>
      </c>
    </row>
    <row r="40">
      <c r="A40" s="0" t="inlineStr">
        <is>
          <t>[가정동]</t>
        </is>
      </c>
      <c r="B40" s="0" t="n">
        <v>2231</v>
      </c>
      <c r="C40" s="0" t="n">
        <v>3</v>
      </c>
      <c r="D40" s="0" t="inlineStr">
        <is>
          <t>하나2차</t>
        </is>
      </c>
      <c r="E40" s="0" t="inlineStr">
        <is>
          <t>1992.02.</t>
        </is>
      </c>
      <c r="F40" s="0" t="n">
        <v>495</v>
      </c>
      <c r="G40" s="0" t="n">
        <v>24.91</v>
      </c>
      <c r="H40" s="0" t="n">
        <v>82.34999999999999</v>
      </c>
      <c r="I40" s="0" t="n">
        <v>17.47</v>
      </c>
      <c r="J40" s="0" t="n">
        <v>57.78</v>
      </c>
      <c r="K40" s="0" t="n">
        <v>120</v>
      </c>
      <c r="T40" s="0" t="n">
        <v>2</v>
      </c>
      <c r="U40" s="0" t="n">
        <v>1</v>
      </c>
      <c r="V40" s="0" t="inlineStr">
        <is>
          <t>복도식</t>
        </is>
      </c>
      <c r="W40" s="0" t="n">
        <v>82</v>
      </c>
      <c r="X40" s="0" t="n">
        <v>15</v>
      </c>
      <c r="Y40" s="0" t="n">
        <v>15</v>
      </c>
      <c r="Z40" s="0" t="inlineStr">
        <is>
          <t>https://new.land.naver.com/complexes/2231?tab=detail&amp;rf=Y</t>
        </is>
      </c>
      <c r="AA40" s="0" t="inlineStr">
        <is>
          <t>인천시 서구 가정동 341-14</t>
        </is>
      </c>
      <c r="AB40" s="0" t="inlineStr">
        <is>
          <t>인천시</t>
        </is>
      </c>
      <c r="AC40" s="0" t="inlineStr">
        <is>
          <t>서구</t>
        </is>
      </c>
      <c r="AD40" s="0" t="inlineStr">
        <is>
          <t>가정동</t>
        </is>
      </c>
      <c r="AG40" s="0" t="inlineStr">
        <is>
          <t>인천시 서구 봉오대로318번길 23</t>
        </is>
      </c>
      <c r="AH40" s="0" t="n">
        <v>0</v>
      </c>
      <c r="AI40" s="0" t="n">
        <v>228</v>
      </c>
      <c r="AJ40" s="0" t="n">
        <v>17</v>
      </c>
      <c r="AK40" s="0" t="n">
        <v>0</v>
      </c>
      <c r="AL40" s="0" t="n">
        <v>0</v>
      </c>
    </row>
    <row r="41">
      <c r="A41" s="0" t="inlineStr">
        <is>
          <t>[가정동]</t>
        </is>
      </c>
      <c r="B41" s="0" t="n">
        <v>2231</v>
      </c>
      <c r="C41" s="0" t="n">
        <v>4</v>
      </c>
      <c r="D41" s="0" t="inlineStr">
        <is>
          <t>하나2차</t>
        </is>
      </c>
      <c r="E41" s="0" t="inlineStr">
        <is>
          <t>1992.02.</t>
        </is>
      </c>
      <c r="F41" s="0" t="n">
        <v>495</v>
      </c>
      <c r="G41" s="0" t="n">
        <v>26.41</v>
      </c>
      <c r="H41" s="0" t="n">
        <v>87.31</v>
      </c>
      <c r="I41" s="0" t="n">
        <v>21.03</v>
      </c>
      <c r="J41" s="0" t="n">
        <v>69.54000000000001</v>
      </c>
      <c r="K41" s="0" t="n">
        <v>45</v>
      </c>
      <c r="T41" s="0" t="n">
        <v>3</v>
      </c>
      <c r="U41" s="0" t="n">
        <v>1</v>
      </c>
      <c r="V41" s="0" t="inlineStr">
        <is>
          <t>복도식</t>
        </is>
      </c>
      <c r="W41" s="0" t="n">
        <v>87</v>
      </c>
      <c r="X41" s="0" t="n">
        <v>15</v>
      </c>
      <c r="Y41" s="0" t="n">
        <v>15</v>
      </c>
      <c r="Z41" s="0" t="inlineStr">
        <is>
          <t>https://new.land.naver.com/complexes/2231?tab=detail&amp;rf=Y</t>
        </is>
      </c>
      <c r="AA41" s="0" t="inlineStr">
        <is>
          <t>인천시 서구 가정동 341-14</t>
        </is>
      </c>
      <c r="AB41" s="0" t="inlineStr">
        <is>
          <t>인천시</t>
        </is>
      </c>
      <c r="AC41" s="0" t="inlineStr">
        <is>
          <t>서구</t>
        </is>
      </c>
      <c r="AD41" s="0" t="inlineStr">
        <is>
          <t>가정동</t>
        </is>
      </c>
      <c r="AG41" s="0" t="inlineStr">
        <is>
          <t>인천시 서구 봉오대로318번길 23</t>
        </is>
      </c>
      <c r="AH41" s="0" t="n">
        <v>0</v>
      </c>
      <c r="AI41" s="0" t="n">
        <v>228</v>
      </c>
      <c r="AJ41" s="0" t="n">
        <v>17</v>
      </c>
      <c r="AK41" s="0" t="n">
        <v>0</v>
      </c>
      <c r="AL41" s="0" t="n">
        <v>0</v>
      </c>
    </row>
    <row r="42">
      <c r="A42" s="0" t="inlineStr">
        <is>
          <t>[가정동]</t>
        </is>
      </c>
      <c r="B42" s="0" t="n">
        <v>2231</v>
      </c>
      <c r="C42" s="0" t="n">
        <v>5</v>
      </c>
      <c r="D42" s="0" t="inlineStr">
        <is>
          <t>하나2차</t>
        </is>
      </c>
      <c r="E42" s="0" t="inlineStr">
        <is>
          <t>1992.02.</t>
        </is>
      </c>
      <c r="F42" s="0" t="n">
        <v>495</v>
      </c>
      <c r="G42" s="0" t="n">
        <v>29.07</v>
      </c>
      <c r="H42" s="0" t="n">
        <v>96.09999999999999</v>
      </c>
      <c r="I42" s="0" t="n">
        <v>24.25</v>
      </c>
      <c r="J42" s="0" t="n">
        <v>80.18000000000001</v>
      </c>
      <c r="K42" s="0" t="n">
        <v>90</v>
      </c>
      <c r="T42" s="0" t="n">
        <v>3</v>
      </c>
      <c r="U42" s="0" t="n">
        <v>1</v>
      </c>
      <c r="V42" s="0" t="inlineStr">
        <is>
          <t>계단식</t>
        </is>
      </c>
      <c r="W42" s="0" t="n">
        <v>96</v>
      </c>
      <c r="X42" s="0" t="n">
        <v>15</v>
      </c>
      <c r="Y42" s="0" t="n">
        <v>15</v>
      </c>
      <c r="Z42" s="0" t="inlineStr">
        <is>
          <t>https://new.land.naver.com/complexes/2231?tab=detail&amp;rf=Y</t>
        </is>
      </c>
      <c r="AA42" s="0" t="inlineStr">
        <is>
          <t>인천시 서구 가정동 341-14</t>
        </is>
      </c>
      <c r="AB42" s="0" t="inlineStr">
        <is>
          <t>인천시</t>
        </is>
      </c>
      <c r="AC42" s="0" t="inlineStr">
        <is>
          <t>서구</t>
        </is>
      </c>
      <c r="AD42" s="0" t="inlineStr">
        <is>
          <t>가정동</t>
        </is>
      </c>
      <c r="AG42" s="0" t="inlineStr">
        <is>
          <t>인천시 서구 봉오대로318번길 23</t>
        </is>
      </c>
      <c r="AH42" s="0" t="n">
        <v>0</v>
      </c>
      <c r="AI42" s="0" t="n">
        <v>228</v>
      </c>
      <c r="AJ42" s="0" t="n">
        <v>17</v>
      </c>
      <c r="AK42" s="0" t="n">
        <v>0</v>
      </c>
      <c r="AL42" s="0" t="n">
        <v>0</v>
      </c>
    </row>
    <row r="43">
      <c r="A43" s="0" t="inlineStr">
        <is>
          <t>[가정동]</t>
        </is>
      </c>
      <c r="B43" s="0" t="n">
        <v>2231</v>
      </c>
      <c r="C43" s="0" t="n">
        <v>6</v>
      </c>
      <c r="D43" s="0" t="inlineStr">
        <is>
          <t>하나2차</t>
        </is>
      </c>
      <c r="E43" s="0" t="inlineStr">
        <is>
          <t>1992.02.</t>
        </is>
      </c>
      <c r="F43" s="0" t="n">
        <v>495</v>
      </c>
      <c r="G43" s="0" t="n">
        <v>30.92</v>
      </c>
      <c r="H43" s="0" t="n">
        <v>102.24</v>
      </c>
      <c r="I43" s="0" t="n">
        <v>25.7</v>
      </c>
      <c r="J43" s="0" t="n">
        <v>84.98999999999999</v>
      </c>
      <c r="K43" s="0" t="n">
        <v>120</v>
      </c>
      <c r="T43" s="0" t="n">
        <v>3</v>
      </c>
      <c r="U43" s="0" t="n">
        <v>2</v>
      </c>
      <c r="V43" s="0" t="inlineStr">
        <is>
          <t>계단식</t>
        </is>
      </c>
      <c r="W43" s="0" t="n">
        <v>102</v>
      </c>
      <c r="X43" s="0" t="n">
        <v>15</v>
      </c>
      <c r="Y43" s="0" t="n">
        <v>15</v>
      </c>
      <c r="Z43" s="0" t="inlineStr">
        <is>
          <t>https://new.land.naver.com/complexes/2231?tab=detail&amp;rf=Y</t>
        </is>
      </c>
      <c r="AA43" s="0" t="inlineStr">
        <is>
          <t>인천시 서구 가정동 341-14</t>
        </is>
      </c>
      <c r="AB43" s="0" t="inlineStr">
        <is>
          <t>인천시</t>
        </is>
      </c>
      <c r="AC43" s="0" t="inlineStr">
        <is>
          <t>서구</t>
        </is>
      </c>
      <c r="AD43" s="0" t="inlineStr">
        <is>
          <t>가정동</t>
        </is>
      </c>
      <c r="AG43" s="0" t="inlineStr">
        <is>
          <t>인천시 서구 봉오대로318번길 23</t>
        </is>
      </c>
      <c r="AH43" s="0" t="n">
        <v>0</v>
      </c>
      <c r="AI43" s="0" t="n">
        <v>228</v>
      </c>
      <c r="AJ43" s="0" t="n">
        <v>17</v>
      </c>
      <c r="AK43" s="0" t="n">
        <v>0</v>
      </c>
      <c r="AL43" s="0" t="n">
        <v>0</v>
      </c>
    </row>
    <row r="44">
      <c r="A44" s="0" t="inlineStr">
        <is>
          <t>[가정동]</t>
        </is>
      </c>
      <c r="B44" s="0" t="n">
        <v>11041</v>
      </c>
      <c r="C44" s="0" t="n">
        <v>1</v>
      </c>
      <c r="D44" s="0" t="inlineStr">
        <is>
          <t>길운씨티빌</t>
        </is>
      </c>
      <c r="E44" s="0" t="inlineStr">
        <is>
          <t>1997.07.</t>
        </is>
      </c>
      <c r="F44" s="0" t="n">
        <v>160</v>
      </c>
      <c r="G44" s="0" t="n">
        <v>21.69</v>
      </c>
      <c r="H44" s="0" t="n">
        <v>71.70999999999999</v>
      </c>
      <c r="I44" s="0" t="n">
        <v>18.09</v>
      </c>
      <c r="J44" s="0" t="n">
        <v>59.81</v>
      </c>
      <c r="K44" s="0" t="n">
        <v>112</v>
      </c>
      <c r="T44" s="0" t="n">
        <v>3</v>
      </c>
      <c r="U44" s="0" t="n">
        <v>1</v>
      </c>
      <c r="V44" s="0" t="inlineStr">
        <is>
          <t>계단식</t>
        </is>
      </c>
      <c r="W44" s="0" t="n">
        <v>71</v>
      </c>
      <c r="X44" s="0" t="n">
        <v>4</v>
      </c>
      <c r="Y44" s="0" t="n">
        <v>4</v>
      </c>
      <c r="Z44" s="0" t="inlineStr">
        <is>
          <t>https://new.land.naver.com/complexes/11041?tab=detail&amp;rf=Y</t>
        </is>
      </c>
      <c r="AA44" s="0" t="inlineStr">
        <is>
          <t>인천시 서구 가정동 556</t>
        </is>
      </c>
      <c r="AB44" s="0" t="inlineStr">
        <is>
          <t>인천시</t>
        </is>
      </c>
      <c r="AC44" s="0" t="inlineStr">
        <is>
          <t>서구</t>
        </is>
      </c>
      <c r="AD44" s="0" t="inlineStr">
        <is>
          <t>가정동</t>
        </is>
      </c>
      <c r="AG44" s="0" t="inlineStr">
        <is>
          <t>인천시 서구 서곶로 11</t>
        </is>
      </c>
      <c r="AH44" s="0" t="n">
        <v>0</v>
      </c>
      <c r="AI44" s="0" t="n">
        <v>119</v>
      </c>
      <c r="AJ44" s="0" t="n">
        <v>38</v>
      </c>
      <c r="AK44" s="0" t="n">
        <v>182</v>
      </c>
      <c r="AL44" s="0" t="n">
        <v>1.14</v>
      </c>
    </row>
    <row r="45">
      <c r="A45" s="0" t="inlineStr">
        <is>
          <t>[가정동]</t>
        </is>
      </c>
      <c r="B45" s="0" t="n">
        <v>11041</v>
      </c>
      <c r="C45" s="0" t="n">
        <v>2</v>
      </c>
      <c r="D45" s="0" t="inlineStr">
        <is>
          <t>길운씨티빌</t>
        </is>
      </c>
      <c r="E45" s="0" t="inlineStr">
        <is>
          <t>1997.07.</t>
        </is>
      </c>
      <c r="F45" s="0" t="n">
        <v>160</v>
      </c>
      <c r="G45" s="0" t="n">
        <v>30.82</v>
      </c>
      <c r="H45" s="0" t="n">
        <v>101.89</v>
      </c>
      <c r="I45" s="0" t="n">
        <v>25.65</v>
      </c>
      <c r="J45" s="0" t="n">
        <v>84.81999999999999</v>
      </c>
      <c r="K45" s="0" t="n">
        <v>32</v>
      </c>
      <c r="T45" s="0" t="n">
        <v>3</v>
      </c>
      <c r="U45" s="0" t="n">
        <v>2</v>
      </c>
      <c r="V45" s="0" t="inlineStr">
        <is>
          <t>계단식</t>
        </is>
      </c>
      <c r="W45" s="0" t="n">
        <v>101</v>
      </c>
      <c r="X45" s="0" t="n">
        <v>4</v>
      </c>
      <c r="Y45" s="0" t="n">
        <v>4</v>
      </c>
      <c r="Z45" s="0" t="inlineStr">
        <is>
          <t>https://new.land.naver.com/complexes/11041?tab=detail&amp;rf=Y</t>
        </is>
      </c>
      <c r="AA45" s="0" t="inlineStr">
        <is>
          <t>인천시 서구 가정동 556</t>
        </is>
      </c>
      <c r="AB45" s="0" t="inlineStr">
        <is>
          <t>인천시</t>
        </is>
      </c>
      <c r="AC45" s="0" t="inlineStr">
        <is>
          <t>서구</t>
        </is>
      </c>
      <c r="AD45" s="0" t="inlineStr">
        <is>
          <t>가정동</t>
        </is>
      </c>
      <c r="AG45" s="0" t="inlineStr">
        <is>
          <t>인천시 서구 서곶로 11</t>
        </is>
      </c>
      <c r="AH45" s="0" t="n">
        <v>0</v>
      </c>
      <c r="AI45" s="0" t="n">
        <v>119</v>
      </c>
      <c r="AJ45" s="0" t="n">
        <v>38</v>
      </c>
      <c r="AK45" s="0" t="n">
        <v>182</v>
      </c>
      <c r="AL45" s="0" t="n">
        <v>1.14</v>
      </c>
    </row>
    <row r="46">
      <c r="A46" s="0" t="inlineStr">
        <is>
          <t>[가정동]</t>
        </is>
      </c>
      <c r="B46" s="0" t="n">
        <v>11041</v>
      </c>
      <c r="C46" s="0" t="n">
        <v>3</v>
      </c>
      <c r="D46" s="0" t="inlineStr">
        <is>
          <t>길운씨티빌</t>
        </is>
      </c>
      <c r="E46" s="0" t="inlineStr">
        <is>
          <t>1997.07.</t>
        </is>
      </c>
      <c r="F46" s="0" t="n">
        <v>160</v>
      </c>
      <c r="G46" s="0" t="n">
        <v>40.71</v>
      </c>
      <c r="H46" s="0" t="n">
        <v>134.59</v>
      </c>
      <c r="I46" s="0" t="n">
        <v>33.93</v>
      </c>
      <c r="J46" s="0" t="n">
        <v>112.19</v>
      </c>
      <c r="K46" s="0" t="n">
        <v>16</v>
      </c>
      <c r="T46" s="0" t="n">
        <v>4</v>
      </c>
      <c r="U46" s="0" t="n">
        <v>2</v>
      </c>
      <c r="V46" s="0" t="inlineStr">
        <is>
          <t>계단식</t>
        </is>
      </c>
      <c r="W46" s="0" t="n">
        <v>134</v>
      </c>
      <c r="X46" s="0" t="n">
        <v>4</v>
      </c>
      <c r="Y46" s="0" t="n">
        <v>4</v>
      </c>
      <c r="Z46" s="0" t="inlineStr">
        <is>
          <t>https://new.land.naver.com/complexes/11041?tab=detail&amp;rf=Y</t>
        </is>
      </c>
      <c r="AA46" s="0" t="inlineStr">
        <is>
          <t>인천시 서구 가정동 556</t>
        </is>
      </c>
      <c r="AB46" s="0" t="inlineStr">
        <is>
          <t>인천시</t>
        </is>
      </c>
      <c r="AC46" s="0" t="inlineStr">
        <is>
          <t>서구</t>
        </is>
      </c>
      <c r="AD46" s="0" t="inlineStr">
        <is>
          <t>가정동</t>
        </is>
      </c>
      <c r="AG46" s="0" t="inlineStr">
        <is>
          <t>인천시 서구 서곶로 11</t>
        </is>
      </c>
      <c r="AH46" s="0" t="n">
        <v>0</v>
      </c>
      <c r="AI46" s="0" t="n">
        <v>119</v>
      </c>
      <c r="AJ46" s="0" t="n">
        <v>38</v>
      </c>
      <c r="AK46" s="0" t="n">
        <v>182</v>
      </c>
      <c r="AL46" s="0" t="n">
        <v>1.14</v>
      </c>
    </row>
    <row r="47">
      <c r="A47" s="0" t="inlineStr">
        <is>
          <t>[가정동]</t>
        </is>
      </c>
      <c r="B47" s="0" t="n">
        <v>101149</v>
      </c>
      <c r="C47" s="0" t="n">
        <v>1</v>
      </c>
      <c r="D47" s="0" t="inlineStr">
        <is>
          <t>동우2차</t>
        </is>
      </c>
      <c r="E47" s="0" t="inlineStr">
        <is>
          <t>1988.02.</t>
        </is>
      </c>
      <c r="F47" s="0" t="n">
        <v>252</v>
      </c>
      <c r="G47" s="0" t="n">
        <v>13.99</v>
      </c>
      <c r="H47" s="0" t="n">
        <v>46.26</v>
      </c>
      <c r="I47" s="0" t="n">
        <v>12.36</v>
      </c>
      <c r="J47" s="0" t="n">
        <v>40.86</v>
      </c>
      <c r="K47" s="0" t="n">
        <v>180</v>
      </c>
      <c r="T47" s="0" t="n">
        <v>2</v>
      </c>
      <c r="U47" s="0" t="n">
        <v>1</v>
      </c>
      <c r="V47" s="0" t="inlineStr">
        <is>
          <t>계단식</t>
        </is>
      </c>
      <c r="W47" s="0" t="n">
        <v>46</v>
      </c>
      <c r="X47" s="0" t="n">
        <v>6</v>
      </c>
      <c r="Y47" s="0" t="n">
        <v>6</v>
      </c>
      <c r="Z47" s="0" t="inlineStr">
        <is>
          <t>https://new.land.naver.com/complexes/101149?tab=detail&amp;rf=Y</t>
        </is>
      </c>
      <c r="AA47" s="0" t="inlineStr">
        <is>
          <t>인천시 서구 가정동 5-93</t>
        </is>
      </c>
      <c r="AB47" s="0" t="inlineStr">
        <is>
          <t>인천시</t>
        </is>
      </c>
      <c r="AC47" s="0" t="inlineStr">
        <is>
          <t>서구</t>
        </is>
      </c>
      <c r="AD47" s="0" t="inlineStr">
        <is>
          <t>가정동</t>
        </is>
      </c>
      <c r="AG47" s="0" t="inlineStr">
        <is>
          <t>인천시 서구 천마로6번길 19</t>
        </is>
      </c>
      <c r="AH47" s="0" t="n">
        <v>0</v>
      </c>
      <c r="AI47" s="0" t="n">
        <v>177</v>
      </c>
      <c r="AJ47" s="0" t="n">
        <v>29</v>
      </c>
      <c r="AK47" s="0" t="n">
        <v>0</v>
      </c>
      <c r="AL47" s="0" t="n">
        <v>0</v>
      </c>
    </row>
    <row r="48">
      <c r="A48" s="0" t="inlineStr">
        <is>
          <t>[가정동]</t>
        </is>
      </c>
      <c r="B48" s="0" t="n">
        <v>101149</v>
      </c>
      <c r="C48" s="0" t="n">
        <v>2</v>
      </c>
      <c r="D48" s="0" t="inlineStr">
        <is>
          <t>동우2차</t>
        </is>
      </c>
      <c r="E48" s="0" t="inlineStr">
        <is>
          <t>1988.02.</t>
        </is>
      </c>
      <c r="F48" s="0" t="n">
        <v>252</v>
      </c>
      <c r="G48" s="0" t="n">
        <v>15.54</v>
      </c>
      <c r="H48" s="0" t="n">
        <v>51.39</v>
      </c>
      <c r="I48" s="0" t="n">
        <v>13.91</v>
      </c>
      <c r="J48" s="0" t="n">
        <v>45.99</v>
      </c>
      <c r="K48" s="0" t="n">
        <v>72</v>
      </c>
      <c r="T48" s="0" t="n">
        <v>2</v>
      </c>
      <c r="U48" s="0" t="n">
        <v>1</v>
      </c>
      <c r="V48" s="0" t="inlineStr">
        <is>
          <t>계단식</t>
        </is>
      </c>
      <c r="W48" s="0" t="n">
        <v>51</v>
      </c>
      <c r="X48" s="0" t="n">
        <v>6</v>
      </c>
      <c r="Y48" s="0" t="n">
        <v>6</v>
      </c>
      <c r="Z48" s="0" t="inlineStr">
        <is>
          <t>https://new.land.naver.com/complexes/101149?tab=detail&amp;rf=Y</t>
        </is>
      </c>
      <c r="AA48" s="0" t="inlineStr">
        <is>
          <t>인천시 서구 가정동 5-93</t>
        </is>
      </c>
      <c r="AB48" s="0" t="inlineStr">
        <is>
          <t>인천시</t>
        </is>
      </c>
      <c r="AC48" s="0" t="inlineStr">
        <is>
          <t>서구</t>
        </is>
      </c>
      <c r="AD48" s="0" t="inlineStr">
        <is>
          <t>가정동</t>
        </is>
      </c>
      <c r="AG48" s="0" t="inlineStr">
        <is>
          <t>인천시 서구 천마로6번길 19</t>
        </is>
      </c>
      <c r="AH48" s="0" t="n">
        <v>0</v>
      </c>
      <c r="AI48" s="0" t="n">
        <v>177</v>
      </c>
      <c r="AJ48" s="0" t="n">
        <v>29</v>
      </c>
      <c r="AK48" s="0" t="n">
        <v>0</v>
      </c>
      <c r="AL48" s="0" t="n">
        <v>0</v>
      </c>
    </row>
    <row r="49">
      <c r="A49" s="0" t="inlineStr">
        <is>
          <t>[가정동]</t>
        </is>
      </c>
      <c r="B49" s="0" t="n">
        <v>142968</v>
      </c>
      <c r="C49" s="0" t="n">
        <v>1</v>
      </c>
      <c r="D49" s="0" t="inlineStr">
        <is>
          <t>LH웨스턴블루힐</t>
        </is>
      </c>
      <c r="E49" s="0" t="inlineStr">
        <is>
          <t>2015.09.</t>
        </is>
      </c>
      <c r="F49" s="0" t="n">
        <v>1243</v>
      </c>
      <c r="G49" s="0" t="n">
        <v>25.24</v>
      </c>
      <c r="H49" s="0" t="n">
        <v>83.44</v>
      </c>
      <c r="I49" s="0" t="n">
        <v>18.14</v>
      </c>
      <c r="J49" s="0" t="n">
        <v>59.98</v>
      </c>
      <c r="K49" s="0" t="n">
        <v>152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83A</t>
        </is>
      </c>
      <c r="X49" s="0" t="n">
        <v>25</v>
      </c>
      <c r="Y49" s="0" t="n">
        <v>18</v>
      </c>
      <c r="Z49" s="0" t="inlineStr">
        <is>
          <t>https://new.land.naver.com/complexes/142968?tab=detail&amp;rf=Y</t>
        </is>
      </c>
      <c r="AA49" s="0" t="inlineStr">
        <is>
          <t>인천시 서구 가정동 597-2</t>
        </is>
      </c>
      <c r="AB49" s="0" t="inlineStr">
        <is>
          <t>인천시</t>
        </is>
      </c>
      <c r="AC49" s="0" t="inlineStr">
        <is>
          <t>서구</t>
        </is>
      </c>
      <c r="AD49" s="0" t="inlineStr">
        <is>
          <t>가정동</t>
        </is>
      </c>
      <c r="AG49" s="0" t="inlineStr">
        <is>
          <t>인천시 서구 봉오재2로 37</t>
        </is>
      </c>
      <c r="AH49" s="0" t="n">
        <v>581</v>
      </c>
      <c r="AI49" s="0" t="n">
        <v>199</v>
      </c>
      <c r="AJ49" s="0" t="n">
        <v>15</v>
      </c>
      <c r="AK49" s="0" t="n">
        <v>1377</v>
      </c>
      <c r="AL49" s="0" t="n">
        <v>1.11</v>
      </c>
    </row>
    <row r="50">
      <c r="A50" s="0" t="inlineStr">
        <is>
          <t>[가정동]</t>
        </is>
      </c>
      <c r="B50" s="0" t="n">
        <v>142968</v>
      </c>
      <c r="C50" s="0" t="n">
        <v>2</v>
      </c>
      <c r="D50" s="0" t="inlineStr">
        <is>
          <t>LH웨스턴블루힐</t>
        </is>
      </c>
      <c r="E50" s="0" t="inlineStr">
        <is>
          <t>2015.09.</t>
        </is>
      </c>
      <c r="F50" s="0" t="n">
        <v>1243</v>
      </c>
      <c r="G50" s="0" t="n">
        <v>25.23</v>
      </c>
      <c r="H50" s="0" t="n">
        <v>83.42</v>
      </c>
      <c r="I50" s="0" t="n">
        <v>18.14</v>
      </c>
      <c r="J50" s="0" t="n">
        <v>59.97</v>
      </c>
      <c r="K50" s="0" t="n">
        <v>24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83B</t>
        </is>
      </c>
      <c r="X50" s="0" t="n">
        <v>25</v>
      </c>
      <c r="Y50" s="0" t="n">
        <v>18</v>
      </c>
      <c r="Z50" s="0" t="inlineStr">
        <is>
          <t>https://new.land.naver.com/complexes/142968?tab=detail&amp;rf=Y</t>
        </is>
      </c>
      <c r="AA50" s="0" t="inlineStr">
        <is>
          <t>인천시 서구 가정동 597-2</t>
        </is>
      </c>
      <c r="AB50" s="0" t="inlineStr">
        <is>
          <t>인천시</t>
        </is>
      </c>
      <c r="AC50" s="0" t="inlineStr">
        <is>
          <t>서구</t>
        </is>
      </c>
      <c r="AD50" s="0" t="inlineStr">
        <is>
          <t>가정동</t>
        </is>
      </c>
      <c r="AG50" s="0" t="inlineStr">
        <is>
          <t>인천시 서구 봉오재2로 37</t>
        </is>
      </c>
      <c r="AH50" s="0" t="n">
        <v>581</v>
      </c>
      <c r="AI50" s="0" t="n">
        <v>199</v>
      </c>
      <c r="AJ50" s="0" t="n">
        <v>15</v>
      </c>
      <c r="AK50" s="0" t="n">
        <v>1377</v>
      </c>
      <c r="AL50" s="0" t="n">
        <v>1.11</v>
      </c>
    </row>
    <row r="51">
      <c r="A51" s="0" t="inlineStr">
        <is>
          <t>[가정동]</t>
        </is>
      </c>
      <c r="B51" s="0" t="n">
        <v>142968</v>
      </c>
      <c r="C51" s="0" t="n">
        <v>3</v>
      </c>
      <c r="D51" s="0" t="inlineStr">
        <is>
          <t>LH웨스턴블루힐</t>
        </is>
      </c>
      <c r="E51" s="0" t="inlineStr">
        <is>
          <t>2015.09.</t>
        </is>
      </c>
      <c r="F51" s="0" t="n">
        <v>1243</v>
      </c>
      <c r="G51" s="0" t="n">
        <v>31.55</v>
      </c>
      <c r="H51" s="0" t="n">
        <v>104.32</v>
      </c>
      <c r="I51" s="0" t="n">
        <v>22.68</v>
      </c>
      <c r="J51" s="0" t="n">
        <v>74.98999999999999</v>
      </c>
      <c r="K51" s="0" t="n">
        <v>121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104B</t>
        </is>
      </c>
      <c r="X51" s="0" t="n">
        <v>25</v>
      </c>
      <c r="Y51" s="0" t="n">
        <v>18</v>
      </c>
      <c r="Z51" s="0" t="inlineStr">
        <is>
          <t>https://new.land.naver.com/complexes/142968?tab=detail&amp;rf=Y</t>
        </is>
      </c>
      <c r="AA51" s="0" t="inlineStr">
        <is>
          <t>인천시 서구 가정동 597-2</t>
        </is>
      </c>
      <c r="AB51" s="0" t="inlineStr">
        <is>
          <t>인천시</t>
        </is>
      </c>
      <c r="AC51" s="0" t="inlineStr">
        <is>
          <t>서구</t>
        </is>
      </c>
      <c r="AD51" s="0" t="inlineStr">
        <is>
          <t>가정동</t>
        </is>
      </c>
      <c r="AG51" s="0" t="inlineStr">
        <is>
          <t>인천시 서구 봉오재2로 37</t>
        </is>
      </c>
      <c r="AH51" s="0" t="n">
        <v>581</v>
      </c>
      <c r="AI51" s="0" t="n">
        <v>199</v>
      </c>
      <c r="AJ51" s="0" t="n">
        <v>15</v>
      </c>
      <c r="AK51" s="0" t="n">
        <v>1377</v>
      </c>
      <c r="AL51" s="0" t="n">
        <v>1.11</v>
      </c>
    </row>
    <row r="52">
      <c r="A52" s="0" t="inlineStr">
        <is>
          <t>[가정동]</t>
        </is>
      </c>
      <c r="B52" s="0" t="n">
        <v>142968</v>
      </c>
      <c r="C52" s="0" t="n">
        <v>4</v>
      </c>
      <c r="D52" s="0" t="inlineStr">
        <is>
          <t>LH웨스턴블루힐</t>
        </is>
      </c>
      <c r="E52" s="0" t="inlineStr">
        <is>
          <t>2015.09.</t>
        </is>
      </c>
      <c r="F52" s="0" t="n">
        <v>1243</v>
      </c>
      <c r="G52" s="0" t="n">
        <v>31.55</v>
      </c>
      <c r="H52" s="0" t="n">
        <v>104.32</v>
      </c>
      <c r="I52" s="0" t="n">
        <v>22.68</v>
      </c>
      <c r="J52" s="0" t="n">
        <v>74.98999999999999</v>
      </c>
      <c r="K52" s="0" t="n">
        <v>114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104A</t>
        </is>
      </c>
      <c r="X52" s="0" t="n">
        <v>25</v>
      </c>
      <c r="Y52" s="0" t="n">
        <v>18</v>
      </c>
      <c r="Z52" s="0" t="inlineStr">
        <is>
          <t>https://new.land.naver.com/complexes/142968?tab=detail&amp;rf=Y</t>
        </is>
      </c>
      <c r="AA52" s="0" t="inlineStr">
        <is>
          <t>인천시 서구 가정동 597-2</t>
        </is>
      </c>
      <c r="AB52" s="0" t="inlineStr">
        <is>
          <t>인천시</t>
        </is>
      </c>
      <c r="AC52" s="0" t="inlineStr">
        <is>
          <t>서구</t>
        </is>
      </c>
      <c r="AD52" s="0" t="inlineStr">
        <is>
          <t>가정동</t>
        </is>
      </c>
      <c r="AG52" s="0" t="inlineStr">
        <is>
          <t>인천시 서구 봉오재2로 37</t>
        </is>
      </c>
      <c r="AH52" s="0" t="n">
        <v>581</v>
      </c>
      <c r="AI52" s="0" t="n">
        <v>199</v>
      </c>
      <c r="AJ52" s="0" t="n">
        <v>15</v>
      </c>
      <c r="AK52" s="0" t="n">
        <v>1377</v>
      </c>
      <c r="AL52" s="0" t="n">
        <v>1.11</v>
      </c>
    </row>
    <row r="53">
      <c r="A53" s="0" t="inlineStr">
        <is>
          <t>[가정동]</t>
        </is>
      </c>
      <c r="B53" s="0" t="n">
        <v>142968</v>
      </c>
      <c r="C53" s="0" t="n">
        <v>5</v>
      </c>
      <c r="D53" s="0" t="inlineStr">
        <is>
          <t>LH웨스턴블루힐</t>
        </is>
      </c>
      <c r="E53" s="0" t="inlineStr">
        <is>
          <t>2015.09.</t>
        </is>
      </c>
      <c r="F53" s="0" t="n">
        <v>1243</v>
      </c>
      <c r="G53" s="0" t="n">
        <v>35.76</v>
      </c>
      <c r="H53" s="0" t="n">
        <v>118.23</v>
      </c>
      <c r="I53" s="0" t="n">
        <v>25.7</v>
      </c>
      <c r="J53" s="0" t="n">
        <v>84.98999999999999</v>
      </c>
      <c r="K53" s="0" t="n">
        <v>202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118A</t>
        </is>
      </c>
      <c r="X53" s="0" t="n">
        <v>25</v>
      </c>
      <c r="Y53" s="0" t="n">
        <v>18</v>
      </c>
      <c r="Z53" s="0" t="inlineStr">
        <is>
          <t>https://new.land.naver.com/complexes/142968?tab=detail&amp;rf=Y</t>
        </is>
      </c>
      <c r="AA53" s="0" t="inlineStr">
        <is>
          <t>인천시 서구 가정동 597-2</t>
        </is>
      </c>
      <c r="AB53" s="0" t="inlineStr">
        <is>
          <t>인천시</t>
        </is>
      </c>
      <c r="AC53" s="0" t="inlineStr">
        <is>
          <t>서구</t>
        </is>
      </c>
      <c r="AD53" s="0" t="inlineStr">
        <is>
          <t>가정동</t>
        </is>
      </c>
      <c r="AG53" s="0" t="inlineStr">
        <is>
          <t>인천시 서구 봉오재2로 37</t>
        </is>
      </c>
      <c r="AH53" s="0" t="n">
        <v>581</v>
      </c>
      <c r="AI53" s="0" t="n">
        <v>199</v>
      </c>
      <c r="AJ53" s="0" t="n">
        <v>15</v>
      </c>
      <c r="AK53" s="0" t="n">
        <v>1377</v>
      </c>
      <c r="AL53" s="0" t="n">
        <v>1.11</v>
      </c>
    </row>
    <row r="54">
      <c r="A54" s="0" t="inlineStr">
        <is>
          <t>[가정동]</t>
        </is>
      </c>
      <c r="B54" s="0" t="n">
        <v>142968</v>
      </c>
      <c r="C54" s="0" t="n">
        <v>6</v>
      </c>
      <c r="D54" s="0" t="inlineStr">
        <is>
          <t>LH웨스턴블루힐</t>
        </is>
      </c>
      <c r="E54" s="0" t="inlineStr">
        <is>
          <t>2015.09.</t>
        </is>
      </c>
      <c r="F54" s="0" t="n">
        <v>1243</v>
      </c>
      <c r="G54" s="0" t="n">
        <v>35.76</v>
      </c>
      <c r="H54" s="0" t="n">
        <v>118.23</v>
      </c>
      <c r="I54" s="0" t="n">
        <v>25.7</v>
      </c>
      <c r="J54" s="0" t="n">
        <v>84.98999999999999</v>
      </c>
      <c r="K54" s="0" t="n">
        <v>26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118C</t>
        </is>
      </c>
      <c r="X54" s="0" t="n">
        <v>25</v>
      </c>
      <c r="Y54" s="0" t="n">
        <v>18</v>
      </c>
      <c r="Z54" s="0" t="inlineStr">
        <is>
          <t>https://new.land.naver.com/complexes/142968?tab=detail&amp;rf=Y</t>
        </is>
      </c>
      <c r="AA54" s="0" t="inlineStr">
        <is>
          <t>인천시 서구 가정동 597-2</t>
        </is>
      </c>
      <c r="AB54" s="0" t="inlineStr">
        <is>
          <t>인천시</t>
        </is>
      </c>
      <c r="AC54" s="0" t="inlineStr">
        <is>
          <t>서구</t>
        </is>
      </c>
      <c r="AD54" s="0" t="inlineStr">
        <is>
          <t>가정동</t>
        </is>
      </c>
      <c r="AG54" s="0" t="inlineStr">
        <is>
          <t>인천시 서구 봉오재2로 37</t>
        </is>
      </c>
      <c r="AH54" s="0" t="n">
        <v>581</v>
      </c>
      <c r="AI54" s="0" t="n">
        <v>199</v>
      </c>
      <c r="AJ54" s="0" t="n">
        <v>15</v>
      </c>
      <c r="AK54" s="0" t="n">
        <v>1377</v>
      </c>
      <c r="AL54" s="0" t="n">
        <v>1.11</v>
      </c>
    </row>
    <row r="55">
      <c r="A55" s="0" t="inlineStr">
        <is>
          <t>[가정동]</t>
        </is>
      </c>
      <c r="B55" s="0" t="n">
        <v>142968</v>
      </c>
      <c r="C55" s="0" t="n">
        <v>7</v>
      </c>
      <c r="D55" s="0" t="inlineStr">
        <is>
          <t>LH웨스턴블루힐</t>
        </is>
      </c>
      <c r="E55" s="0" t="inlineStr">
        <is>
          <t>2015.09.</t>
        </is>
      </c>
      <c r="F55" s="0" t="n">
        <v>1243</v>
      </c>
      <c r="G55" s="0" t="n">
        <v>35.76</v>
      </c>
      <c r="H55" s="0" t="n">
        <v>118.23</v>
      </c>
      <c r="I55" s="0" t="n">
        <v>25.7</v>
      </c>
      <c r="J55" s="0" t="n">
        <v>84.98999999999999</v>
      </c>
      <c r="K55" s="0" t="n">
        <v>23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118B</t>
        </is>
      </c>
      <c r="X55" s="0" t="n">
        <v>25</v>
      </c>
      <c r="Y55" s="0" t="n">
        <v>18</v>
      </c>
      <c r="Z55" s="0" t="inlineStr">
        <is>
          <t>https://new.land.naver.com/complexes/142968?tab=detail&amp;rf=Y</t>
        </is>
      </c>
      <c r="AA55" s="0" t="inlineStr">
        <is>
          <t>인천시 서구 가정동 597-2</t>
        </is>
      </c>
      <c r="AB55" s="0" t="inlineStr">
        <is>
          <t>인천시</t>
        </is>
      </c>
      <c r="AC55" s="0" t="inlineStr">
        <is>
          <t>서구</t>
        </is>
      </c>
      <c r="AD55" s="0" t="inlineStr">
        <is>
          <t>가정동</t>
        </is>
      </c>
      <c r="AG55" s="0" t="inlineStr">
        <is>
          <t>인천시 서구 봉오재2로 37</t>
        </is>
      </c>
      <c r="AH55" s="0" t="n">
        <v>581</v>
      </c>
      <c r="AI55" s="0" t="n">
        <v>199</v>
      </c>
      <c r="AJ55" s="0" t="n">
        <v>15</v>
      </c>
      <c r="AK55" s="0" t="n">
        <v>1377</v>
      </c>
      <c r="AL55" s="0" t="n">
        <v>1.11</v>
      </c>
    </row>
    <row r="56">
      <c r="A56" s="0" t="inlineStr">
        <is>
          <t>[가정동]</t>
        </is>
      </c>
      <c r="B56" s="0" t="n">
        <v>128031</v>
      </c>
      <c r="C56" s="0" t="n">
        <v>1</v>
      </c>
      <c r="D56" s="0" t="inlineStr">
        <is>
          <t>포레나루원시티</t>
        </is>
      </c>
      <c r="E56" s="0" t="inlineStr">
        <is>
          <t>2022.12.</t>
        </is>
      </c>
      <c r="F56" s="0" t="n">
        <v>1128</v>
      </c>
      <c r="G56" s="0" t="n">
        <v>23.87</v>
      </c>
      <c r="H56" s="0" t="n">
        <v>78.94</v>
      </c>
      <c r="I56" s="0" t="n">
        <v>18.08</v>
      </c>
      <c r="J56" s="0" t="n">
        <v>59.78</v>
      </c>
      <c r="K56" s="0" t="n">
        <v>44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78B</t>
        </is>
      </c>
      <c r="X56" s="0" t="n">
        <v>29</v>
      </c>
      <c r="Y56" s="0" t="n">
        <v>12</v>
      </c>
      <c r="Z56" s="0" t="inlineStr">
        <is>
          <t>https://new.land.naver.com/complexes/128031?tab=detail&amp;rf=Y</t>
        </is>
      </c>
      <c r="AA56" s="0" t="inlineStr">
        <is>
          <t>인천시 서구 가정동 루원시티 공동 2BL</t>
        </is>
      </c>
      <c r="AB56" s="0" t="inlineStr">
        <is>
          <t>인천시</t>
        </is>
      </c>
      <c r="AC56" s="0" t="inlineStr">
        <is>
          <t>서구</t>
        </is>
      </c>
      <c r="AD56" s="0" t="inlineStr">
        <is>
          <t>가정동</t>
        </is>
      </c>
      <c r="AG56" s="0" t="inlineStr">
        <is>
          <t>인천시 서구</t>
        </is>
      </c>
      <c r="AH56" s="0" t="n">
        <v>0</v>
      </c>
      <c r="AI56" s="0" t="n">
        <v>0</v>
      </c>
      <c r="AJ56" s="0" t="n">
        <v>0</v>
      </c>
      <c r="AK56" s="0" t="n">
        <v>1312</v>
      </c>
      <c r="AL56" s="0" t="n">
        <v>1.16</v>
      </c>
    </row>
    <row r="57">
      <c r="A57" s="0" t="inlineStr">
        <is>
          <t>[가정동]</t>
        </is>
      </c>
      <c r="B57" s="0" t="n">
        <v>128031</v>
      </c>
      <c r="C57" s="0" t="n">
        <v>2</v>
      </c>
      <c r="D57" s="0" t="inlineStr">
        <is>
          <t>포레나루원시티</t>
        </is>
      </c>
      <c r="E57" s="0" t="inlineStr">
        <is>
          <t>2022.12.</t>
        </is>
      </c>
      <c r="F57" s="0" t="n">
        <v>1128</v>
      </c>
      <c r="G57" s="0" t="n">
        <v>23.74</v>
      </c>
      <c r="H57" s="0" t="n">
        <v>78.48999999999999</v>
      </c>
      <c r="I57" s="0" t="n">
        <v>17.92</v>
      </c>
      <c r="J57" s="0" t="n">
        <v>59.25</v>
      </c>
      <c r="K57" s="0" t="n">
        <v>19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78C</t>
        </is>
      </c>
      <c r="X57" s="0" t="n">
        <v>29</v>
      </c>
      <c r="Y57" s="0" t="n">
        <v>12</v>
      </c>
      <c r="Z57" s="0" t="inlineStr">
        <is>
          <t>https://new.land.naver.com/complexes/128031?tab=detail&amp;rf=Y</t>
        </is>
      </c>
      <c r="AA57" s="0" t="inlineStr">
        <is>
          <t>인천시 서구 가정동 루원시티 공동 2BL</t>
        </is>
      </c>
      <c r="AB57" s="0" t="inlineStr">
        <is>
          <t>인천시</t>
        </is>
      </c>
      <c r="AC57" s="0" t="inlineStr">
        <is>
          <t>서구</t>
        </is>
      </c>
      <c r="AD57" s="0" t="inlineStr">
        <is>
          <t>가정동</t>
        </is>
      </c>
      <c r="AG57" s="0" t="inlineStr">
        <is>
          <t>인천시 서구</t>
        </is>
      </c>
      <c r="AH57" s="0" t="n">
        <v>0</v>
      </c>
      <c r="AI57" s="0" t="n">
        <v>0</v>
      </c>
      <c r="AJ57" s="0" t="n">
        <v>0</v>
      </c>
      <c r="AK57" s="0" t="n">
        <v>1312</v>
      </c>
      <c r="AL57" s="0" t="n">
        <v>1.16</v>
      </c>
    </row>
    <row r="58">
      <c r="A58" s="0" t="inlineStr">
        <is>
          <t>[가정동]</t>
        </is>
      </c>
      <c r="B58" s="0" t="n">
        <v>128031</v>
      </c>
      <c r="C58" s="0" t="n">
        <v>3</v>
      </c>
      <c r="D58" s="0" t="inlineStr">
        <is>
          <t>포레나루원시티</t>
        </is>
      </c>
      <c r="E58" s="0" t="inlineStr">
        <is>
          <t>2022.12.</t>
        </is>
      </c>
      <c r="F58" s="0" t="n">
        <v>1128</v>
      </c>
      <c r="G58" s="0" t="n">
        <v>23.9</v>
      </c>
      <c r="H58" s="0" t="n">
        <v>79.03</v>
      </c>
      <c r="I58" s="0" t="n">
        <v>18.09</v>
      </c>
      <c r="J58" s="0" t="n">
        <v>59.81</v>
      </c>
      <c r="K58" s="0" t="n">
        <v>285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79A</t>
        </is>
      </c>
      <c r="X58" s="0" t="n">
        <v>29</v>
      </c>
      <c r="Y58" s="0" t="n">
        <v>12</v>
      </c>
      <c r="Z58" s="0" t="inlineStr">
        <is>
          <t>https://new.land.naver.com/complexes/128031?tab=detail&amp;rf=Y</t>
        </is>
      </c>
      <c r="AA58" s="0" t="inlineStr">
        <is>
          <t>인천시 서구 가정동 루원시티 공동 2BL</t>
        </is>
      </c>
      <c r="AB58" s="0" t="inlineStr">
        <is>
          <t>인천시</t>
        </is>
      </c>
      <c r="AC58" s="0" t="inlineStr">
        <is>
          <t>서구</t>
        </is>
      </c>
      <c r="AD58" s="0" t="inlineStr">
        <is>
          <t>가정동</t>
        </is>
      </c>
      <c r="AG58" s="0" t="inlineStr">
        <is>
          <t>인천시 서구</t>
        </is>
      </c>
      <c r="AH58" s="0" t="n">
        <v>0</v>
      </c>
      <c r="AI58" s="0" t="n">
        <v>0</v>
      </c>
      <c r="AJ58" s="0" t="n">
        <v>0</v>
      </c>
      <c r="AK58" s="0" t="n">
        <v>1312</v>
      </c>
      <c r="AL58" s="0" t="n">
        <v>1.16</v>
      </c>
    </row>
    <row r="59">
      <c r="A59" s="0" t="inlineStr">
        <is>
          <t>[가정동]</t>
        </is>
      </c>
      <c r="B59" s="0" t="n">
        <v>128031</v>
      </c>
      <c r="C59" s="0" t="n">
        <v>4</v>
      </c>
      <c r="D59" s="0" t="inlineStr">
        <is>
          <t>포레나루원시티</t>
        </is>
      </c>
      <c r="E59" s="0" t="inlineStr">
        <is>
          <t>2022.12.</t>
        </is>
      </c>
      <c r="F59" s="0" t="n">
        <v>1128</v>
      </c>
      <c r="G59" s="0" t="n">
        <v>30.79</v>
      </c>
      <c r="H59" s="0" t="n">
        <v>101.8</v>
      </c>
      <c r="I59" s="0" t="n">
        <v>23.2</v>
      </c>
      <c r="J59" s="0" t="n">
        <v>76.72</v>
      </c>
      <c r="K59" s="0" t="n">
        <v>115</v>
      </c>
      <c r="T59" s="0" t="n">
        <v>3</v>
      </c>
      <c r="U59" s="0" t="n">
        <v>2</v>
      </c>
      <c r="V59" s="0" t="inlineStr">
        <is>
          <t>계단식</t>
        </is>
      </c>
      <c r="W59" s="0" t="n">
        <v>101</v>
      </c>
      <c r="X59" s="0" t="n">
        <v>29</v>
      </c>
      <c r="Y59" s="0" t="n">
        <v>12</v>
      </c>
      <c r="Z59" s="0" t="inlineStr">
        <is>
          <t>https://new.land.naver.com/complexes/128031?tab=detail&amp;rf=Y</t>
        </is>
      </c>
      <c r="AA59" s="0" t="inlineStr">
        <is>
          <t>인천시 서구 가정동 루원시티 공동 2BL</t>
        </is>
      </c>
      <c r="AB59" s="0" t="inlineStr">
        <is>
          <t>인천시</t>
        </is>
      </c>
      <c r="AC59" s="0" t="inlineStr">
        <is>
          <t>서구</t>
        </is>
      </c>
      <c r="AD59" s="0" t="inlineStr">
        <is>
          <t>가정동</t>
        </is>
      </c>
      <c r="AG59" s="0" t="inlineStr">
        <is>
          <t>인천시 서구</t>
        </is>
      </c>
      <c r="AH59" s="0" t="n">
        <v>0</v>
      </c>
      <c r="AI59" s="0" t="n">
        <v>0</v>
      </c>
      <c r="AJ59" s="0" t="n">
        <v>0</v>
      </c>
      <c r="AK59" s="0" t="n">
        <v>1312</v>
      </c>
      <c r="AL59" s="0" t="n">
        <v>1.16</v>
      </c>
    </row>
    <row r="60">
      <c r="A60" s="0" t="inlineStr">
        <is>
          <t>[가정동]</t>
        </is>
      </c>
      <c r="B60" s="0" t="n">
        <v>128031</v>
      </c>
      <c r="C60" s="0" t="n">
        <v>5</v>
      </c>
      <c r="D60" s="0" t="inlineStr">
        <is>
          <t>포레나루원시티</t>
        </is>
      </c>
      <c r="E60" s="0" t="inlineStr">
        <is>
          <t>2022.12.</t>
        </is>
      </c>
      <c r="F60" s="0" t="n">
        <v>1128</v>
      </c>
      <c r="G60" s="0" t="n">
        <v>33.4</v>
      </c>
      <c r="H60" s="0" t="n">
        <v>110.44</v>
      </c>
      <c r="I60" s="0" t="n">
        <v>25.58</v>
      </c>
      <c r="J60" s="0" t="n">
        <v>84.56999999999999</v>
      </c>
      <c r="K60" s="0" t="n">
        <v>334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110A</t>
        </is>
      </c>
      <c r="X60" s="0" t="n">
        <v>29</v>
      </c>
      <c r="Y60" s="0" t="n">
        <v>12</v>
      </c>
      <c r="Z60" s="0" t="inlineStr">
        <is>
          <t>https://new.land.naver.com/complexes/128031?tab=detail&amp;rf=Y</t>
        </is>
      </c>
      <c r="AA60" s="0" t="inlineStr">
        <is>
          <t>인천시 서구 가정동 루원시티 공동 2BL</t>
        </is>
      </c>
      <c r="AB60" s="0" t="inlineStr">
        <is>
          <t>인천시</t>
        </is>
      </c>
      <c r="AC60" s="0" t="inlineStr">
        <is>
          <t>서구</t>
        </is>
      </c>
      <c r="AD60" s="0" t="inlineStr">
        <is>
          <t>가정동</t>
        </is>
      </c>
      <c r="AG60" s="0" t="inlineStr">
        <is>
          <t>인천시 서구</t>
        </is>
      </c>
      <c r="AH60" s="0" t="n">
        <v>0</v>
      </c>
      <c r="AI60" s="0" t="n">
        <v>0</v>
      </c>
      <c r="AJ60" s="0" t="n">
        <v>0</v>
      </c>
      <c r="AK60" s="0" t="n">
        <v>1312</v>
      </c>
      <c r="AL60" s="0" t="n">
        <v>1.16</v>
      </c>
    </row>
    <row r="61">
      <c r="A61" s="0" t="inlineStr">
        <is>
          <t>[가정동]</t>
        </is>
      </c>
      <c r="B61" s="0" t="n">
        <v>128031</v>
      </c>
      <c r="C61" s="0" t="n">
        <v>6</v>
      </c>
      <c r="D61" s="0" t="inlineStr">
        <is>
          <t>포레나루원시티</t>
        </is>
      </c>
      <c r="E61" s="0" t="inlineStr">
        <is>
          <t>2022.12.</t>
        </is>
      </c>
      <c r="F61" s="0" t="n">
        <v>1128</v>
      </c>
      <c r="G61" s="0" t="n">
        <v>33.72</v>
      </c>
      <c r="H61" s="0" t="n">
        <v>111.5</v>
      </c>
      <c r="I61" s="0" t="n">
        <v>25.59</v>
      </c>
      <c r="J61" s="0" t="n">
        <v>84.62</v>
      </c>
      <c r="K61" s="0" t="n">
        <v>172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111C</t>
        </is>
      </c>
      <c r="X61" s="0" t="n">
        <v>29</v>
      </c>
      <c r="Y61" s="0" t="n">
        <v>12</v>
      </c>
      <c r="Z61" s="0" t="inlineStr">
        <is>
          <t>https://new.land.naver.com/complexes/128031?tab=detail&amp;rf=Y</t>
        </is>
      </c>
      <c r="AA61" s="0" t="inlineStr">
        <is>
          <t>인천시 서구 가정동 루원시티 공동 2BL</t>
        </is>
      </c>
      <c r="AB61" s="0" t="inlineStr">
        <is>
          <t>인천시</t>
        </is>
      </c>
      <c r="AC61" s="0" t="inlineStr">
        <is>
          <t>서구</t>
        </is>
      </c>
      <c r="AD61" s="0" t="inlineStr">
        <is>
          <t>가정동</t>
        </is>
      </c>
      <c r="AG61" s="0" t="inlineStr">
        <is>
          <t>인천시 서구</t>
        </is>
      </c>
      <c r="AH61" s="0" t="n">
        <v>0</v>
      </c>
      <c r="AI61" s="0" t="n">
        <v>0</v>
      </c>
      <c r="AJ61" s="0" t="n">
        <v>0</v>
      </c>
      <c r="AK61" s="0" t="n">
        <v>1312</v>
      </c>
      <c r="AL61" s="0" t="n">
        <v>1.16</v>
      </c>
    </row>
    <row r="62">
      <c r="A62" s="0" t="inlineStr">
        <is>
          <t>[가정동]</t>
        </is>
      </c>
      <c r="B62" s="0" t="n">
        <v>128031</v>
      </c>
      <c r="C62" s="0" t="n">
        <v>7</v>
      </c>
      <c r="D62" s="0" t="inlineStr">
        <is>
          <t>포레나루원시티</t>
        </is>
      </c>
      <c r="E62" s="0" t="inlineStr">
        <is>
          <t>2022.12.</t>
        </is>
      </c>
      <c r="F62" s="0" t="n">
        <v>1128</v>
      </c>
      <c r="G62" s="0" t="n">
        <v>33.58</v>
      </c>
      <c r="H62" s="0" t="n">
        <v>111.02</v>
      </c>
      <c r="I62" s="0" t="n">
        <v>25.62</v>
      </c>
      <c r="J62" s="0" t="n">
        <v>84.7</v>
      </c>
      <c r="K62" s="0" t="n">
        <v>155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111B</t>
        </is>
      </c>
      <c r="X62" s="0" t="n">
        <v>29</v>
      </c>
      <c r="Y62" s="0" t="n">
        <v>12</v>
      </c>
      <c r="Z62" s="0" t="inlineStr">
        <is>
          <t>https://new.land.naver.com/complexes/128031?tab=detail&amp;rf=Y</t>
        </is>
      </c>
      <c r="AA62" s="0" t="inlineStr">
        <is>
          <t>인천시 서구 가정동 루원시티 공동 2BL</t>
        </is>
      </c>
      <c r="AB62" s="0" t="inlineStr">
        <is>
          <t>인천시</t>
        </is>
      </c>
      <c r="AC62" s="0" t="inlineStr">
        <is>
          <t>서구</t>
        </is>
      </c>
      <c r="AD62" s="0" t="inlineStr">
        <is>
          <t>가정동</t>
        </is>
      </c>
      <c r="AG62" s="0" t="inlineStr">
        <is>
          <t>인천시 서구</t>
        </is>
      </c>
      <c r="AH62" s="0" t="n">
        <v>0</v>
      </c>
      <c r="AI62" s="0" t="n">
        <v>0</v>
      </c>
      <c r="AJ62" s="0" t="n">
        <v>0</v>
      </c>
      <c r="AK62" s="0" t="n">
        <v>1312</v>
      </c>
      <c r="AL62" s="0" t="n">
        <v>1.16</v>
      </c>
    </row>
    <row r="63">
      <c r="A63" s="0" t="inlineStr">
        <is>
          <t>[가정동]</t>
        </is>
      </c>
      <c r="B63" s="0" t="n">
        <v>128031</v>
      </c>
      <c r="C63" s="0" t="n">
        <v>8</v>
      </c>
      <c r="D63" s="0" t="inlineStr">
        <is>
          <t>포레나루원시티</t>
        </is>
      </c>
      <c r="E63" s="0" t="inlineStr">
        <is>
          <t>2022.12.</t>
        </is>
      </c>
      <c r="F63" s="0" t="n">
        <v>1128</v>
      </c>
      <c r="G63" s="0" t="n">
        <v>35.18</v>
      </c>
      <c r="H63" s="0" t="n">
        <v>116.3</v>
      </c>
      <c r="I63" s="0" t="n">
        <v>25.67</v>
      </c>
      <c r="J63" s="0" t="n">
        <v>84.88</v>
      </c>
      <c r="K63" s="0" t="n">
        <v>4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116D</t>
        </is>
      </c>
      <c r="X63" s="0" t="n">
        <v>29</v>
      </c>
      <c r="Y63" s="0" t="n">
        <v>12</v>
      </c>
      <c r="Z63" s="0" t="inlineStr">
        <is>
          <t>https://new.land.naver.com/complexes/128031?tab=detail&amp;rf=Y</t>
        </is>
      </c>
      <c r="AA63" s="0" t="inlineStr">
        <is>
          <t>인천시 서구 가정동 루원시티 공동 2BL</t>
        </is>
      </c>
      <c r="AB63" s="0" t="inlineStr">
        <is>
          <t>인천시</t>
        </is>
      </c>
      <c r="AC63" s="0" t="inlineStr">
        <is>
          <t>서구</t>
        </is>
      </c>
      <c r="AD63" s="0" t="inlineStr">
        <is>
          <t>가정동</t>
        </is>
      </c>
      <c r="AG63" s="0" t="inlineStr">
        <is>
          <t>인천시 서구</t>
        </is>
      </c>
      <c r="AH63" s="0" t="n">
        <v>0</v>
      </c>
      <c r="AI63" s="0" t="n">
        <v>0</v>
      </c>
      <c r="AJ63" s="0" t="n">
        <v>0</v>
      </c>
      <c r="AK63" s="0" t="n">
        <v>1312</v>
      </c>
      <c r="AL63" s="0" t="n">
        <v>1.16</v>
      </c>
    </row>
    <row r="64">
      <c r="A64" s="0" t="inlineStr">
        <is>
          <t>[가정동]</t>
        </is>
      </c>
      <c r="B64" s="0" t="n">
        <v>2230</v>
      </c>
      <c r="C64" s="0" t="n">
        <v>1</v>
      </c>
      <c r="D64" s="0" t="inlineStr">
        <is>
          <t>하나1차</t>
        </is>
      </c>
      <c r="E64" s="0" t="inlineStr">
        <is>
          <t>1989.11.</t>
        </is>
      </c>
      <c r="F64" s="0" t="n">
        <v>252</v>
      </c>
      <c r="G64" s="0" t="n">
        <v>22.82</v>
      </c>
      <c r="H64" s="0" t="n">
        <v>75.45</v>
      </c>
      <c r="I64" s="0" t="n">
        <v>18.01</v>
      </c>
      <c r="J64" s="0" t="n">
        <v>59.55</v>
      </c>
      <c r="K64" s="0" t="n">
        <v>156</v>
      </c>
      <c r="T64" s="0" t="n">
        <v>3</v>
      </c>
      <c r="U64" s="0" t="n">
        <v>1</v>
      </c>
      <c r="V64" s="0" t="inlineStr">
        <is>
          <t>계단식</t>
        </is>
      </c>
      <c r="W64" s="0" t="n">
        <v>75</v>
      </c>
      <c r="X64" s="0" t="n">
        <v>6</v>
      </c>
      <c r="Y64" s="0" t="n">
        <v>6</v>
      </c>
      <c r="Z64" s="0" t="inlineStr">
        <is>
          <t>https://new.land.naver.com/complexes/2230?tab=detail&amp;rf=Y</t>
        </is>
      </c>
      <c r="AA64" s="0" t="inlineStr">
        <is>
          <t>인천시 서구 가정동 341-13</t>
        </is>
      </c>
      <c r="AB64" s="0" t="inlineStr">
        <is>
          <t>인천시</t>
        </is>
      </c>
      <c r="AC64" s="0" t="inlineStr">
        <is>
          <t>서구</t>
        </is>
      </c>
      <c r="AD64" s="0" t="inlineStr">
        <is>
          <t>가정동</t>
        </is>
      </c>
      <c r="AG64" s="0" t="inlineStr">
        <is>
          <t>인천시 서구 봉오대로318번길 18</t>
        </is>
      </c>
      <c r="AH64" s="0" t="n">
        <v>0</v>
      </c>
      <c r="AI64" s="0" t="n">
        <v>191</v>
      </c>
      <c r="AJ64" s="0" t="n">
        <v>34</v>
      </c>
      <c r="AK64" s="0" t="n">
        <v>0</v>
      </c>
      <c r="AL64" s="0" t="n">
        <v>0</v>
      </c>
    </row>
    <row r="65">
      <c r="A65" s="0" t="inlineStr">
        <is>
          <t>[가정동]</t>
        </is>
      </c>
      <c r="B65" s="0" t="n">
        <v>2230</v>
      </c>
      <c r="C65" s="0" t="n">
        <v>2</v>
      </c>
      <c r="D65" s="0" t="inlineStr">
        <is>
          <t>하나1차</t>
        </is>
      </c>
      <c r="E65" s="0" t="inlineStr">
        <is>
          <t>1989.11.</t>
        </is>
      </c>
      <c r="F65" s="0" t="n">
        <v>252</v>
      </c>
      <c r="G65" s="0" t="n">
        <v>31.36</v>
      </c>
      <c r="H65" s="0" t="n">
        <v>103.7</v>
      </c>
      <c r="I65" s="0" t="n">
        <v>25.35</v>
      </c>
      <c r="J65" s="0" t="n">
        <v>83.81999999999999</v>
      </c>
      <c r="K65" s="0" t="n">
        <v>96</v>
      </c>
      <c r="T65" s="0" t="n">
        <v>3</v>
      </c>
      <c r="U65" s="0" t="n">
        <v>1</v>
      </c>
      <c r="V65" s="0" t="inlineStr">
        <is>
          <t>계단식</t>
        </is>
      </c>
      <c r="W65" s="0" t="n">
        <v>103</v>
      </c>
      <c r="X65" s="0" t="n">
        <v>6</v>
      </c>
      <c r="Y65" s="0" t="n">
        <v>6</v>
      </c>
      <c r="Z65" s="0" t="inlineStr">
        <is>
          <t>https://new.land.naver.com/complexes/2230?tab=detail&amp;rf=Y</t>
        </is>
      </c>
      <c r="AA65" s="0" t="inlineStr">
        <is>
          <t>인천시 서구 가정동 341-13</t>
        </is>
      </c>
      <c r="AB65" s="0" t="inlineStr">
        <is>
          <t>인천시</t>
        </is>
      </c>
      <c r="AC65" s="0" t="inlineStr">
        <is>
          <t>서구</t>
        </is>
      </c>
      <c r="AD65" s="0" t="inlineStr">
        <is>
          <t>가정동</t>
        </is>
      </c>
      <c r="AG65" s="0" t="inlineStr">
        <is>
          <t>인천시 서구 봉오대로318번길 18</t>
        </is>
      </c>
      <c r="AH65" s="0" t="n">
        <v>0</v>
      </c>
      <c r="AI65" s="0" t="n">
        <v>191</v>
      </c>
      <c r="AJ65" s="0" t="n">
        <v>34</v>
      </c>
      <c r="AK65" s="0" t="n">
        <v>0</v>
      </c>
      <c r="AL65" s="0" t="n">
        <v>0</v>
      </c>
    </row>
    <row r="66">
      <c r="A66" s="0" t="inlineStr">
        <is>
          <t>[가정동]</t>
        </is>
      </c>
      <c r="B66" s="0" t="n">
        <v>9296</v>
      </c>
      <c r="C66" s="0" t="n">
        <v>1</v>
      </c>
      <c r="D66" s="0" t="inlineStr">
        <is>
          <t>대진2차</t>
        </is>
      </c>
      <c r="E66" s="0" t="inlineStr">
        <is>
          <t>1990.08.</t>
        </is>
      </c>
      <c r="F66" s="0" t="n">
        <v>94</v>
      </c>
      <c r="G66" s="0" t="n">
        <v>17.88</v>
      </c>
      <c r="H66" s="0" t="n">
        <v>59.14</v>
      </c>
      <c r="I66" s="0" t="n">
        <v>13.62</v>
      </c>
      <c r="J66" s="0" t="n">
        <v>45.04</v>
      </c>
      <c r="K66" s="0" t="n">
        <v>46</v>
      </c>
      <c r="T66" s="0" t="n">
        <v>3</v>
      </c>
      <c r="U66" s="0" t="n">
        <v>1</v>
      </c>
      <c r="V66" s="0" t="inlineStr">
        <is>
          <t>계단식</t>
        </is>
      </c>
      <c r="W66" s="0" t="n">
        <v>59</v>
      </c>
      <c r="X66" s="0" t="n">
        <v>6</v>
      </c>
      <c r="Y66" s="0" t="n">
        <v>4</v>
      </c>
      <c r="Z66" s="0" t="inlineStr">
        <is>
          <t>https://new.land.naver.com/complexes/9296?tab=detail&amp;rf=Y</t>
        </is>
      </c>
      <c r="AA66" s="0" t="inlineStr">
        <is>
          <t>인천시 서구 가정동 563-1</t>
        </is>
      </c>
      <c r="AB66" s="0" t="inlineStr">
        <is>
          <t>인천시</t>
        </is>
      </c>
      <c r="AC66" s="0" t="inlineStr">
        <is>
          <t>서구</t>
        </is>
      </c>
      <c r="AD66" s="0" t="inlineStr">
        <is>
          <t>가정동</t>
        </is>
      </c>
      <c r="AG66" s="0" t="inlineStr">
        <is>
          <t>인천시 서구 서달로193번길 4</t>
        </is>
      </c>
      <c r="AH66" s="0" t="n">
        <v>0</v>
      </c>
      <c r="AI66" s="0" t="n">
        <v>0</v>
      </c>
      <c r="AJ66" s="0" t="n">
        <v>0</v>
      </c>
      <c r="AK66" s="0" t="n">
        <v>0</v>
      </c>
      <c r="AL66" s="0" t="n">
        <v>0</v>
      </c>
    </row>
    <row r="67">
      <c r="A67" s="0" t="inlineStr">
        <is>
          <t>[가정동]</t>
        </is>
      </c>
      <c r="B67" s="0" t="n">
        <v>9296</v>
      </c>
      <c r="C67" s="0" t="n">
        <v>2</v>
      </c>
      <c r="D67" s="0" t="inlineStr">
        <is>
          <t>대진2차</t>
        </is>
      </c>
      <c r="E67" s="0" t="inlineStr">
        <is>
          <t>1990.08.</t>
        </is>
      </c>
      <c r="F67" s="0" t="n">
        <v>94</v>
      </c>
      <c r="G67" s="0" t="n">
        <v>21.68</v>
      </c>
      <c r="H67" s="0" t="n">
        <v>71.67</v>
      </c>
      <c r="I67" s="0" t="n">
        <v>16.82</v>
      </c>
      <c r="J67" s="0" t="n">
        <v>55.63</v>
      </c>
      <c r="K67" s="0" t="n">
        <v>25</v>
      </c>
      <c r="T67" s="0" t="n">
        <v>3</v>
      </c>
      <c r="U67" s="0" t="n">
        <v>1</v>
      </c>
      <c r="V67" s="0" t="inlineStr">
        <is>
          <t>계단식</t>
        </is>
      </c>
      <c r="W67" s="0" t="n">
        <v>71</v>
      </c>
      <c r="X67" s="0" t="n">
        <v>6</v>
      </c>
      <c r="Y67" s="0" t="n">
        <v>4</v>
      </c>
      <c r="Z67" s="0" t="inlineStr">
        <is>
          <t>https://new.land.naver.com/complexes/9296?tab=detail&amp;rf=Y</t>
        </is>
      </c>
      <c r="AA67" s="0" t="inlineStr">
        <is>
          <t>인천시 서구 가정동 563-1</t>
        </is>
      </c>
      <c r="AB67" s="0" t="inlineStr">
        <is>
          <t>인천시</t>
        </is>
      </c>
      <c r="AC67" s="0" t="inlineStr">
        <is>
          <t>서구</t>
        </is>
      </c>
      <c r="AD67" s="0" t="inlineStr">
        <is>
          <t>가정동</t>
        </is>
      </c>
      <c r="AG67" s="0" t="inlineStr">
        <is>
          <t>인천시 서구 서달로193번길 4</t>
        </is>
      </c>
      <c r="AH67" s="0" t="n">
        <v>0</v>
      </c>
      <c r="AI67" s="0" t="n">
        <v>0</v>
      </c>
      <c r="AJ67" s="0" t="n">
        <v>0</v>
      </c>
      <c r="AK67" s="0" t="n">
        <v>0</v>
      </c>
      <c r="AL67" s="0" t="n">
        <v>0</v>
      </c>
    </row>
    <row r="68">
      <c r="A68" s="0" t="inlineStr">
        <is>
          <t>[가정동]</t>
        </is>
      </c>
      <c r="B68" s="0" t="n">
        <v>9296</v>
      </c>
      <c r="C68" s="0" t="n">
        <v>3</v>
      </c>
      <c r="D68" s="0" t="inlineStr">
        <is>
          <t>대진2차</t>
        </is>
      </c>
      <c r="E68" s="0" t="inlineStr">
        <is>
          <t>1990.08.</t>
        </is>
      </c>
      <c r="F68" s="0" t="n">
        <v>94</v>
      </c>
      <c r="G68" s="0" t="n">
        <v>23.03</v>
      </c>
      <c r="H68" s="0" t="n">
        <v>76.15000000000001</v>
      </c>
      <c r="I68" s="0" t="n">
        <v>17.97</v>
      </c>
      <c r="J68" s="0" t="n">
        <v>59.41</v>
      </c>
      <c r="K68" s="0" t="n">
        <v>23</v>
      </c>
      <c r="T68" s="0" t="n">
        <v>3</v>
      </c>
      <c r="U68" s="0" t="n">
        <v>1</v>
      </c>
      <c r="V68" s="0" t="inlineStr">
        <is>
          <t>계단식</t>
        </is>
      </c>
      <c r="W68" s="0" t="n">
        <v>76</v>
      </c>
      <c r="X68" s="0" t="n">
        <v>6</v>
      </c>
      <c r="Y68" s="0" t="n">
        <v>4</v>
      </c>
      <c r="Z68" s="0" t="inlineStr">
        <is>
          <t>https://new.land.naver.com/complexes/9296?tab=detail&amp;rf=Y</t>
        </is>
      </c>
      <c r="AA68" s="0" t="inlineStr">
        <is>
          <t>인천시 서구 가정동 563-1</t>
        </is>
      </c>
      <c r="AB68" s="0" t="inlineStr">
        <is>
          <t>인천시</t>
        </is>
      </c>
      <c r="AC68" s="0" t="inlineStr">
        <is>
          <t>서구</t>
        </is>
      </c>
      <c r="AD68" s="0" t="inlineStr">
        <is>
          <t>가정동</t>
        </is>
      </c>
      <c r="AG68" s="0" t="inlineStr">
        <is>
          <t>인천시 서구 서달로193번길 4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[가정동]</t>
        </is>
      </c>
      <c r="B69" s="0" t="n">
        <v>2232</v>
      </c>
      <c r="C69" s="0" t="n">
        <v>1</v>
      </c>
      <c r="D69" s="0" t="inlineStr">
        <is>
          <t>한국</t>
        </is>
      </c>
      <c r="E69" s="0" t="inlineStr">
        <is>
          <t>1992.12.</t>
        </is>
      </c>
      <c r="F69" s="0" t="n">
        <v>620</v>
      </c>
      <c r="G69" s="0" t="n">
        <v>30.85</v>
      </c>
      <c r="H69" s="0" t="n">
        <v>102.01</v>
      </c>
      <c r="I69" s="0" t="n">
        <v>25.42</v>
      </c>
      <c r="J69" s="0" t="n">
        <v>84.06</v>
      </c>
      <c r="K69" s="0" t="n">
        <v>464</v>
      </c>
      <c r="T69" s="0" t="n">
        <v>3</v>
      </c>
      <c r="U69" s="0" t="n">
        <v>2</v>
      </c>
      <c r="V69" s="0" t="inlineStr">
        <is>
          <t>계단식</t>
        </is>
      </c>
      <c r="W69" s="0" t="n">
        <v>102</v>
      </c>
      <c r="X69" s="0" t="n">
        <v>20</v>
      </c>
      <c r="Y69" s="0" t="n">
        <v>18</v>
      </c>
      <c r="Z69" s="0" t="inlineStr">
        <is>
          <t>https://new.land.naver.com/complexes/2232?tab=detail&amp;rf=Y</t>
        </is>
      </c>
      <c r="AA69" s="0" t="inlineStr">
        <is>
          <t>인천시 서구 가정동 567</t>
        </is>
      </c>
      <c r="AB69" s="0" t="inlineStr">
        <is>
          <t>인천시</t>
        </is>
      </c>
      <c r="AC69" s="0" t="inlineStr">
        <is>
          <t>서구</t>
        </is>
      </c>
      <c r="AD69" s="0" t="inlineStr">
        <is>
          <t>가정동</t>
        </is>
      </c>
      <c r="AG69" s="0" t="inlineStr">
        <is>
          <t>인천시 서구 가석로 324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[가정동]</t>
        </is>
      </c>
      <c r="B70" s="0" t="n">
        <v>2232</v>
      </c>
      <c r="C70" s="0" t="n">
        <v>2</v>
      </c>
      <c r="D70" s="0" t="inlineStr">
        <is>
          <t>한국</t>
        </is>
      </c>
      <c r="E70" s="0" t="inlineStr">
        <is>
          <t>1992.12.</t>
        </is>
      </c>
      <c r="F70" s="0" t="n">
        <v>620</v>
      </c>
      <c r="G70" s="0" t="n">
        <v>44.84</v>
      </c>
      <c r="H70" s="0" t="n">
        <v>148.24</v>
      </c>
      <c r="I70" s="0" t="n">
        <v>38.35</v>
      </c>
      <c r="J70" s="0" t="n">
        <v>126.79</v>
      </c>
      <c r="K70" s="0" t="n">
        <v>116</v>
      </c>
      <c r="T70" s="0" t="n">
        <v>4</v>
      </c>
      <c r="U70" s="0" t="n">
        <v>2</v>
      </c>
      <c r="V70" s="0" t="inlineStr">
        <is>
          <t>계단식</t>
        </is>
      </c>
      <c r="W70" s="0" t="n">
        <v>148</v>
      </c>
      <c r="X70" s="0" t="n">
        <v>20</v>
      </c>
      <c r="Y70" s="0" t="n">
        <v>18</v>
      </c>
      <c r="Z70" s="0" t="inlineStr">
        <is>
          <t>https://new.land.naver.com/complexes/2232?tab=detail&amp;rf=Y</t>
        </is>
      </c>
      <c r="AA70" s="0" t="inlineStr">
        <is>
          <t>인천시 서구 가정동 567</t>
        </is>
      </c>
      <c r="AB70" s="0" t="inlineStr">
        <is>
          <t>인천시</t>
        </is>
      </c>
      <c r="AC70" s="0" t="inlineStr">
        <is>
          <t>서구</t>
        </is>
      </c>
      <c r="AD70" s="0" t="inlineStr">
        <is>
          <t>가정동</t>
        </is>
      </c>
      <c r="AG70" s="0" t="inlineStr">
        <is>
          <t>인천시 서구 가석로 324</t>
        </is>
      </c>
      <c r="AH70" s="0" t="n">
        <v>0</v>
      </c>
      <c r="AI70" s="0" t="n">
        <v>0</v>
      </c>
      <c r="AJ70" s="0" t="n">
        <v>0</v>
      </c>
      <c r="AK70" s="0" t="n">
        <v>0</v>
      </c>
      <c r="AL70" s="0" t="n">
        <v>0</v>
      </c>
    </row>
    <row r="71">
      <c r="A71" s="0" t="inlineStr">
        <is>
          <t>[가정동]</t>
        </is>
      </c>
      <c r="B71" s="0" t="n">
        <v>2232</v>
      </c>
      <c r="C71" s="0" t="n">
        <v>3</v>
      </c>
      <c r="D71" s="0" t="inlineStr">
        <is>
          <t>한국</t>
        </is>
      </c>
      <c r="E71" s="0" t="inlineStr">
        <is>
          <t>1992.12.</t>
        </is>
      </c>
      <c r="F71" s="0" t="n">
        <v>620</v>
      </c>
      <c r="G71" s="0" t="n">
        <v>53.63</v>
      </c>
      <c r="H71" s="0" t="n">
        <v>177.31</v>
      </c>
      <c r="I71" s="0" t="n">
        <v>46.27</v>
      </c>
      <c r="J71" s="0" t="n">
        <v>152.99</v>
      </c>
      <c r="K71" s="0" t="n">
        <v>40</v>
      </c>
      <c r="T71" s="0" t="n">
        <v>4</v>
      </c>
      <c r="U71" s="0" t="n">
        <v>2</v>
      </c>
      <c r="V71" s="0" t="inlineStr">
        <is>
          <t>계단식</t>
        </is>
      </c>
      <c r="W71" s="0" t="n">
        <v>177</v>
      </c>
      <c r="X71" s="0" t="n">
        <v>20</v>
      </c>
      <c r="Y71" s="0" t="n">
        <v>18</v>
      </c>
      <c r="Z71" s="0" t="inlineStr">
        <is>
          <t>https://new.land.naver.com/complexes/2232?tab=detail&amp;rf=Y</t>
        </is>
      </c>
      <c r="AA71" s="0" t="inlineStr">
        <is>
          <t>인천시 서구 가정동 567</t>
        </is>
      </c>
      <c r="AB71" s="0" t="inlineStr">
        <is>
          <t>인천시</t>
        </is>
      </c>
      <c r="AC71" s="0" t="inlineStr">
        <is>
          <t>서구</t>
        </is>
      </c>
      <c r="AD71" s="0" t="inlineStr">
        <is>
          <t>가정동</t>
        </is>
      </c>
      <c r="AG71" s="0" t="inlineStr">
        <is>
          <t>인천시 서구 가석로 324</t>
        </is>
      </c>
      <c r="AH71" s="0" t="n">
        <v>0</v>
      </c>
      <c r="AI71" s="0" t="n">
        <v>0</v>
      </c>
      <c r="AJ71" s="0" t="n">
        <v>0</v>
      </c>
      <c r="AK71" s="0" t="n">
        <v>0</v>
      </c>
      <c r="AL71" s="0" t="n">
        <v>0</v>
      </c>
    </row>
    <row r="72">
      <c r="A72" s="0" t="inlineStr">
        <is>
          <t>[가정동]</t>
        </is>
      </c>
      <c r="B72" s="0" t="n">
        <v>2545</v>
      </c>
      <c r="C72" s="0" t="n">
        <v>1</v>
      </c>
      <c r="D72" s="0" t="inlineStr">
        <is>
          <t>한신그랜드힐빌리지</t>
        </is>
      </c>
      <c r="E72" s="0" t="inlineStr">
        <is>
          <t>1992.02.</t>
        </is>
      </c>
      <c r="F72" s="0" t="n">
        <v>920</v>
      </c>
      <c r="G72" s="0" t="n">
        <v>25.61</v>
      </c>
      <c r="H72" s="0" t="n">
        <v>84.69</v>
      </c>
      <c r="I72" s="0" t="n">
        <v>21.77</v>
      </c>
      <c r="J72" s="0" t="n">
        <v>71.97</v>
      </c>
      <c r="K72" s="0" t="n">
        <v>456</v>
      </c>
      <c r="T72" s="0" t="n">
        <v>3</v>
      </c>
      <c r="U72" s="0" t="n">
        <v>1</v>
      </c>
      <c r="V72" s="0" t="inlineStr">
        <is>
          <t>계단식</t>
        </is>
      </c>
      <c r="W72" s="0" t="n">
        <v>84</v>
      </c>
      <c r="X72" s="0" t="n">
        <v>4</v>
      </c>
      <c r="Y72" s="0" t="n">
        <v>4</v>
      </c>
      <c r="Z72" s="0" t="inlineStr">
        <is>
          <t>https://new.land.naver.com/complexes/2545?tab=detail&amp;rf=Y</t>
        </is>
      </c>
      <c r="AA72" s="0" t="inlineStr">
        <is>
          <t>인천시 서구 가정동 546</t>
        </is>
      </c>
      <c r="AB72" s="0" t="inlineStr">
        <is>
          <t>인천시</t>
        </is>
      </c>
      <c r="AC72" s="0" t="inlineStr">
        <is>
          <t>서구</t>
        </is>
      </c>
      <c r="AD72" s="0" t="inlineStr">
        <is>
          <t>가정동</t>
        </is>
      </c>
      <c r="AG72" s="0" t="inlineStr">
        <is>
          <t>인천시 서구 서곶로 12</t>
        </is>
      </c>
      <c r="AH72" s="0" t="n">
        <v>0</v>
      </c>
      <c r="AI72" s="0" t="n">
        <v>109</v>
      </c>
      <c r="AJ72" s="0" t="n">
        <v>27</v>
      </c>
      <c r="AK72" s="0" t="n">
        <v>0</v>
      </c>
      <c r="AL72" s="0" t="n">
        <v>0</v>
      </c>
    </row>
    <row r="73">
      <c r="A73" s="0" t="inlineStr">
        <is>
          <t>[가정동]</t>
        </is>
      </c>
      <c r="B73" s="0" t="n">
        <v>2545</v>
      </c>
      <c r="C73" s="0" t="n">
        <v>2</v>
      </c>
      <c r="D73" s="0" t="inlineStr">
        <is>
          <t>한신그랜드힐빌리지</t>
        </is>
      </c>
      <c r="E73" s="0" t="inlineStr">
        <is>
          <t>1992.02.</t>
        </is>
      </c>
      <c r="F73" s="0" t="n">
        <v>920</v>
      </c>
      <c r="G73" s="0" t="n">
        <v>29.74</v>
      </c>
      <c r="H73" s="0" t="n">
        <v>98.33</v>
      </c>
      <c r="I73" s="0" t="n">
        <v>25.55</v>
      </c>
      <c r="J73" s="0" t="n">
        <v>84.48999999999999</v>
      </c>
      <c r="K73" s="0" t="n">
        <v>448</v>
      </c>
      <c r="T73" s="0" t="n">
        <v>3</v>
      </c>
      <c r="U73" s="0" t="n">
        <v>2</v>
      </c>
      <c r="V73" s="0" t="inlineStr">
        <is>
          <t>계단식</t>
        </is>
      </c>
      <c r="W73" s="0" t="n">
        <v>98</v>
      </c>
      <c r="X73" s="0" t="n">
        <v>4</v>
      </c>
      <c r="Y73" s="0" t="n">
        <v>4</v>
      </c>
      <c r="Z73" s="0" t="inlineStr">
        <is>
          <t>https://new.land.naver.com/complexes/2545?tab=detail&amp;rf=Y</t>
        </is>
      </c>
      <c r="AA73" s="0" t="inlineStr">
        <is>
          <t>인천시 서구 가정동 546</t>
        </is>
      </c>
      <c r="AB73" s="0" t="inlineStr">
        <is>
          <t>인천시</t>
        </is>
      </c>
      <c r="AC73" s="0" t="inlineStr">
        <is>
          <t>서구</t>
        </is>
      </c>
      <c r="AD73" s="0" t="inlineStr">
        <is>
          <t>가정동</t>
        </is>
      </c>
      <c r="AG73" s="0" t="inlineStr">
        <is>
          <t>인천시 서구 서곶로 12</t>
        </is>
      </c>
      <c r="AH73" s="0" t="n">
        <v>0</v>
      </c>
      <c r="AI73" s="0" t="n">
        <v>109</v>
      </c>
      <c r="AJ73" s="0" t="n">
        <v>27</v>
      </c>
      <c r="AK73" s="0" t="n">
        <v>0</v>
      </c>
      <c r="AL73" s="0" t="n">
        <v>0</v>
      </c>
    </row>
    <row r="74">
      <c r="A74" s="0" t="inlineStr">
        <is>
          <t>[가정동]</t>
        </is>
      </c>
      <c r="B74" s="0" t="n">
        <v>2545</v>
      </c>
      <c r="C74" s="0" t="n">
        <v>3</v>
      </c>
      <c r="D74" s="0" t="inlineStr">
        <is>
          <t>한신그랜드힐빌리지</t>
        </is>
      </c>
      <c r="E74" s="0" t="inlineStr">
        <is>
          <t>1992.02.</t>
        </is>
      </c>
      <c r="F74" s="0" t="n">
        <v>920</v>
      </c>
      <c r="G74" s="0" t="n">
        <v>32.15</v>
      </c>
      <c r="H74" s="0" t="n">
        <v>106.31</v>
      </c>
      <c r="I74" s="0" t="n">
        <v>27.77</v>
      </c>
      <c r="J74" s="0" t="n">
        <v>91.83</v>
      </c>
      <c r="K74" s="0" t="n">
        <v>16</v>
      </c>
      <c r="T74" s="0" t="n">
        <v>3</v>
      </c>
      <c r="U74" s="0" t="n">
        <v>2</v>
      </c>
      <c r="V74" s="0" t="inlineStr">
        <is>
          <t>계단식</t>
        </is>
      </c>
      <c r="W74" s="0" t="n">
        <v>106</v>
      </c>
      <c r="X74" s="0" t="n">
        <v>4</v>
      </c>
      <c r="Y74" s="0" t="n">
        <v>4</v>
      </c>
      <c r="Z74" s="0" t="inlineStr">
        <is>
          <t>https://new.land.naver.com/complexes/2545?tab=detail&amp;rf=Y</t>
        </is>
      </c>
      <c r="AA74" s="0" t="inlineStr">
        <is>
          <t>인천시 서구 가정동 546</t>
        </is>
      </c>
      <c r="AB74" s="0" t="inlineStr">
        <is>
          <t>인천시</t>
        </is>
      </c>
      <c r="AC74" s="0" t="inlineStr">
        <is>
          <t>서구</t>
        </is>
      </c>
      <c r="AD74" s="0" t="inlineStr">
        <is>
          <t>가정동</t>
        </is>
      </c>
      <c r="AG74" s="0" t="inlineStr">
        <is>
          <t>인천시 서구 서곶로 12</t>
        </is>
      </c>
      <c r="AH74" s="0" t="n">
        <v>0</v>
      </c>
      <c r="AI74" s="0" t="n">
        <v>109</v>
      </c>
      <c r="AJ74" s="0" t="n">
        <v>27</v>
      </c>
      <c r="AK74" s="0" t="n">
        <v>0</v>
      </c>
      <c r="AL74" s="0" t="n">
        <v>0</v>
      </c>
    </row>
    <row r="75">
      <c r="A75" s="0" t="inlineStr">
        <is>
          <t>[가정동]</t>
        </is>
      </c>
      <c r="B75" s="0" t="n">
        <v>9298</v>
      </c>
      <c r="C75" s="0" t="n">
        <v>1</v>
      </c>
      <c r="D75" s="0" t="inlineStr">
        <is>
          <t>인향</t>
        </is>
      </c>
      <c r="E75" s="0" t="inlineStr">
        <is>
          <t>1989.12.</t>
        </is>
      </c>
      <c r="F75" s="0" t="n">
        <v>132</v>
      </c>
      <c r="G75" s="0" t="n">
        <v>20.43</v>
      </c>
      <c r="H75" s="0" t="n">
        <v>67.55</v>
      </c>
      <c r="I75" s="0" t="n">
        <v>15.93</v>
      </c>
      <c r="J75" s="0" t="n">
        <v>52.68</v>
      </c>
      <c r="K75" s="0" t="n">
        <v>54</v>
      </c>
      <c r="T75" s="0" t="n">
        <v>3</v>
      </c>
      <c r="U75" s="0" t="n">
        <v>1</v>
      </c>
      <c r="V75" s="0" t="inlineStr">
        <is>
          <t>계단식</t>
        </is>
      </c>
      <c r="W75" s="0" t="n">
        <v>67</v>
      </c>
      <c r="X75" s="0" t="n">
        <v>6</v>
      </c>
      <c r="Y75" s="0" t="n">
        <v>6</v>
      </c>
      <c r="Z75" s="0" t="inlineStr">
        <is>
          <t>https://new.land.naver.com/complexes/9298?tab=detail&amp;rf=Y</t>
        </is>
      </c>
      <c r="AA75" s="0" t="inlineStr">
        <is>
          <t>인천시 서구 가정동 566</t>
        </is>
      </c>
      <c r="AB75" s="0" t="inlineStr">
        <is>
          <t>인천시</t>
        </is>
      </c>
      <c r="AC75" s="0" t="inlineStr">
        <is>
          <t>서구</t>
        </is>
      </c>
      <c r="AD75" s="0" t="inlineStr">
        <is>
          <t>가정동</t>
        </is>
      </c>
      <c r="AG75" s="0" t="inlineStr">
        <is>
          <t>인천시 서구 서달로179번길 12-9</t>
        </is>
      </c>
      <c r="AH75" s="0" t="n">
        <v>0</v>
      </c>
      <c r="AI75" s="0" t="n">
        <v>176</v>
      </c>
      <c r="AJ75" s="0" t="n">
        <v>35</v>
      </c>
      <c r="AK75" s="0" t="n">
        <v>0</v>
      </c>
      <c r="AL75" s="0" t="n">
        <v>0</v>
      </c>
    </row>
    <row r="76">
      <c r="A76" s="0" t="inlineStr">
        <is>
          <t>[가정동]</t>
        </is>
      </c>
      <c r="B76" s="0" t="n">
        <v>9298</v>
      </c>
      <c r="C76" s="0" t="n">
        <v>2</v>
      </c>
      <c r="D76" s="0" t="inlineStr">
        <is>
          <t>인향</t>
        </is>
      </c>
      <c r="E76" s="0" t="inlineStr">
        <is>
          <t>1989.12.</t>
        </is>
      </c>
      <c r="F76" s="0" t="n">
        <v>132</v>
      </c>
      <c r="G76" s="0" t="n">
        <v>22.35</v>
      </c>
      <c r="H76" s="0" t="n">
        <v>73.90000000000001</v>
      </c>
      <c r="I76" s="0" t="n">
        <v>17.54</v>
      </c>
      <c r="J76" s="0" t="n">
        <v>57.99</v>
      </c>
      <c r="K76" s="0" t="n">
        <v>36</v>
      </c>
      <c r="T76" s="0" t="n">
        <v>3</v>
      </c>
      <c r="U76" s="0" t="n">
        <v>1</v>
      </c>
      <c r="V76" s="0" t="inlineStr">
        <is>
          <t>계단식</t>
        </is>
      </c>
      <c r="W76" s="0" t="n">
        <v>73</v>
      </c>
      <c r="X76" s="0" t="n">
        <v>6</v>
      </c>
      <c r="Y76" s="0" t="n">
        <v>6</v>
      </c>
      <c r="Z76" s="0" t="inlineStr">
        <is>
          <t>https://new.land.naver.com/complexes/9298?tab=detail&amp;rf=Y</t>
        </is>
      </c>
      <c r="AA76" s="0" t="inlineStr">
        <is>
          <t>인천시 서구 가정동 566</t>
        </is>
      </c>
      <c r="AB76" s="0" t="inlineStr">
        <is>
          <t>인천시</t>
        </is>
      </c>
      <c r="AC76" s="0" t="inlineStr">
        <is>
          <t>서구</t>
        </is>
      </c>
      <c r="AD76" s="0" t="inlineStr">
        <is>
          <t>가정동</t>
        </is>
      </c>
      <c r="AG76" s="0" t="inlineStr">
        <is>
          <t>인천시 서구 서달로179번길 12-9</t>
        </is>
      </c>
      <c r="AH76" s="0" t="n">
        <v>0</v>
      </c>
      <c r="AI76" s="0" t="n">
        <v>176</v>
      </c>
      <c r="AJ76" s="0" t="n">
        <v>35</v>
      </c>
      <c r="AK76" s="0" t="n">
        <v>0</v>
      </c>
      <c r="AL76" s="0" t="n">
        <v>0</v>
      </c>
    </row>
    <row r="77">
      <c r="A77" s="0" t="inlineStr">
        <is>
          <t>[가정동]</t>
        </is>
      </c>
      <c r="B77" s="0" t="n">
        <v>9298</v>
      </c>
      <c r="C77" s="0" t="n">
        <v>3</v>
      </c>
      <c r="D77" s="0" t="inlineStr">
        <is>
          <t>인향</t>
        </is>
      </c>
      <c r="E77" s="0" t="inlineStr">
        <is>
          <t>1989.12.</t>
        </is>
      </c>
      <c r="F77" s="0" t="n">
        <v>132</v>
      </c>
      <c r="G77" s="0" t="n">
        <v>23.42</v>
      </c>
      <c r="H77" s="0" t="n">
        <v>77.44</v>
      </c>
      <c r="I77" s="0" t="n">
        <v>18.45</v>
      </c>
      <c r="J77" s="0" t="n">
        <v>61.02</v>
      </c>
      <c r="K77" s="0" t="n">
        <v>36</v>
      </c>
      <c r="T77" s="0" t="n">
        <v>3</v>
      </c>
      <c r="U77" s="0" t="n">
        <v>1</v>
      </c>
      <c r="V77" s="0" t="inlineStr">
        <is>
          <t>계단식</t>
        </is>
      </c>
      <c r="W77" s="0" t="n">
        <v>77</v>
      </c>
      <c r="X77" s="0" t="n">
        <v>6</v>
      </c>
      <c r="Y77" s="0" t="n">
        <v>6</v>
      </c>
      <c r="Z77" s="0" t="inlineStr">
        <is>
          <t>https://new.land.naver.com/complexes/9298?tab=detail&amp;rf=Y</t>
        </is>
      </c>
      <c r="AA77" s="0" t="inlineStr">
        <is>
          <t>인천시 서구 가정동 566</t>
        </is>
      </c>
      <c r="AB77" s="0" t="inlineStr">
        <is>
          <t>인천시</t>
        </is>
      </c>
      <c r="AC77" s="0" t="inlineStr">
        <is>
          <t>서구</t>
        </is>
      </c>
      <c r="AD77" s="0" t="inlineStr">
        <is>
          <t>가정동</t>
        </is>
      </c>
      <c r="AG77" s="0" t="inlineStr">
        <is>
          <t>인천시 서구 서달로179번길 12-9</t>
        </is>
      </c>
      <c r="AH77" s="0" t="n">
        <v>0</v>
      </c>
      <c r="AI77" s="0" t="n">
        <v>176</v>
      </c>
      <c r="AJ77" s="0" t="n">
        <v>35</v>
      </c>
      <c r="AK77" s="0" t="n">
        <v>0</v>
      </c>
      <c r="AL77" s="0" t="n">
        <v>0</v>
      </c>
    </row>
    <row r="78">
      <c r="A78" s="0" t="inlineStr">
        <is>
          <t>[가정동]</t>
        </is>
      </c>
      <c r="B78" s="0" t="n">
        <v>9298</v>
      </c>
      <c r="C78" s="0" t="n">
        <v>4</v>
      </c>
      <c r="D78" s="0" t="inlineStr">
        <is>
          <t>인향</t>
        </is>
      </c>
      <c r="E78" s="0" t="inlineStr">
        <is>
          <t>1989.12.</t>
        </is>
      </c>
      <c r="F78" s="0" t="n">
        <v>132</v>
      </c>
      <c r="G78" s="0" t="n">
        <v>23.92</v>
      </c>
      <c r="H78" s="0" t="n">
        <v>79.09999999999999</v>
      </c>
      <c r="I78" s="0" t="n">
        <v>18.91</v>
      </c>
      <c r="J78" s="0" t="n">
        <v>62.54</v>
      </c>
      <c r="K78" s="0" t="n">
        <v>6</v>
      </c>
      <c r="T78" s="0" t="n">
        <v>3</v>
      </c>
      <c r="U78" s="0" t="n">
        <v>1</v>
      </c>
      <c r="V78" s="0" t="inlineStr">
        <is>
          <t>계단식</t>
        </is>
      </c>
      <c r="W78" s="0" t="n">
        <v>79</v>
      </c>
      <c r="X78" s="0" t="n">
        <v>6</v>
      </c>
      <c r="Y78" s="0" t="n">
        <v>6</v>
      </c>
      <c r="Z78" s="0" t="inlineStr">
        <is>
          <t>https://new.land.naver.com/complexes/9298?tab=detail&amp;rf=Y</t>
        </is>
      </c>
      <c r="AA78" s="0" t="inlineStr">
        <is>
          <t>인천시 서구 가정동 566</t>
        </is>
      </c>
      <c r="AB78" s="0" t="inlineStr">
        <is>
          <t>인천시</t>
        </is>
      </c>
      <c r="AC78" s="0" t="inlineStr">
        <is>
          <t>서구</t>
        </is>
      </c>
      <c r="AD78" s="0" t="inlineStr">
        <is>
          <t>가정동</t>
        </is>
      </c>
      <c r="AG78" s="0" t="inlineStr">
        <is>
          <t>인천시 서구 서달로179번길 12-9</t>
        </is>
      </c>
      <c r="AH78" s="0" t="n">
        <v>0</v>
      </c>
      <c r="AI78" s="0" t="n">
        <v>176</v>
      </c>
      <c r="AJ78" s="0" t="n">
        <v>35</v>
      </c>
      <c r="AK78" s="0" t="n">
        <v>0</v>
      </c>
      <c r="AL78" s="0" t="n">
        <v>0</v>
      </c>
    </row>
    <row r="79">
      <c r="A79" s="0" t="inlineStr">
        <is>
          <t>[가정동]</t>
        </is>
      </c>
      <c r="B79" s="0" t="n">
        <v>111045</v>
      </c>
      <c r="C79" s="0" t="n">
        <v>1</v>
      </c>
      <c r="D79" s="0" t="inlineStr">
        <is>
          <t>루원제일풍경채</t>
        </is>
      </c>
      <c r="E79" s="0" t="inlineStr">
        <is>
          <t>2018.01.</t>
        </is>
      </c>
      <c r="F79" s="0" t="n">
        <v>900</v>
      </c>
      <c r="G79" s="0" t="n">
        <v>29.99</v>
      </c>
      <c r="H79" s="0" t="n">
        <v>99.17</v>
      </c>
      <c r="I79" s="0" t="n">
        <v>22.61</v>
      </c>
      <c r="J79" s="0" t="n">
        <v>74.76000000000001</v>
      </c>
      <c r="K79" s="0" t="n">
        <v>314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99A</t>
        </is>
      </c>
      <c r="X79" s="0" t="n">
        <v>25</v>
      </c>
      <c r="Y79" s="0" t="n">
        <v>20</v>
      </c>
      <c r="Z79" s="0" t="inlineStr">
        <is>
          <t>https://new.land.naver.com/complexes/111045?tab=detail&amp;rf=Y</t>
        </is>
      </c>
      <c r="AA79" s="0" t="inlineStr">
        <is>
          <t>인천시 서구 가정동 603-1</t>
        </is>
      </c>
      <c r="AB79" s="0" t="inlineStr">
        <is>
          <t>인천시</t>
        </is>
      </c>
      <c r="AC79" s="0" t="inlineStr">
        <is>
          <t>서구</t>
        </is>
      </c>
      <c r="AD79" s="0" t="inlineStr">
        <is>
          <t>가정동</t>
        </is>
      </c>
      <c r="AG79" s="0" t="inlineStr">
        <is>
          <t>인천시 서구 봉오재3로 11</t>
        </is>
      </c>
      <c r="AH79" s="0" t="n">
        <v>0</v>
      </c>
      <c r="AI79" s="0" t="n">
        <v>219</v>
      </c>
      <c r="AJ79" s="0" t="n">
        <v>16</v>
      </c>
      <c r="AK79" s="0" t="n">
        <v>1087</v>
      </c>
      <c r="AL79" s="0" t="n">
        <v>1.21</v>
      </c>
    </row>
    <row r="80">
      <c r="A80" s="0" t="inlineStr">
        <is>
          <t>[가정동]</t>
        </is>
      </c>
      <c r="B80" s="0" t="n">
        <v>111045</v>
      </c>
      <c r="C80" s="0" t="n">
        <v>2</v>
      </c>
      <c r="D80" s="0" t="inlineStr">
        <is>
          <t>루원제일풍경채</t>
        </is>
      </c>
      <c r="E80" s="0" t="inlineStr">
        <is>
          <t>2018.01.</t>
        </is>
      </c>
      <c r="F80" s="0" t="n">
        <v>900</v>
      </c>
      <c r="G80" s="0" t="n">
        <v>29.98</v>
      </c>
      <c r="H80" s="0" t="n">
        <v>99.12</v>
      </c>
      <c r="I80" s="0" t="n">
        <v>22.55</v>
      </c>
      <c r="J80" s="0" t="n">
        <v>74.56999999999999</v>
      </c>
      <c r="K80" s="0" t="n">
        <v>100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99B</t>
        </is>
      </c>
      <c r="X80" s="0" t="n">
        <v>25</v>
      </c>
      <c r="Y80" s="0" t="n">
        <v>20</v>
      </c>
      <c r="Z80" s="0" t="inlineStr">
        <is>
          <t>https://new.land.naver.com/complexes/111045?tab=detail&amp;rf=Y</t>
        </is>
      </c>
      <c r="AA80" s="0" t="inlineStr">
        <is>
          <t>인천시 서구 가정동 603-1</t>
        </is>
      </c>
      <c r="AB80" s="0" t="inlineStr">
        <is>
          <t>인천시</t>
        </is>
      </c>
      <c r="AC80" s="0" t="inlineStr">
        <is>
          <t>서구</t>
        </is>
      </c>
      <c r="AD80" s="0" t="inlineStr">
        <is>
          <t>가정동</t>
        </is>
      </c>
      <c r="AG80" s="0" t="inlineStr">
        <is>
          <t>인천시 서구 봉오재3로 11</t>
        </is>
      </c>
      <c r="AH80" s="0" t="n">
        <v>0</v>
      </c>
      <c r="AI80" s="0" t="n">
        <v>219</v>
      </c>
      <c r="AJ80" s="0" t="n">
        <v>16</v>
      </c>
      <c r="AK80" s="0" t="n">
        <v>1087</v>
      </c>
      <c r="AL80" s="0" t="n">
        <v>1.21</v>
      </c>
    </row>
    <row r="81">
      <c r="A81" s="0" t="inlineStr">
        <is>
          <t>[가정동]</t>
        </is>
      </c>
      <c r="B81" s="0" t="n">
        <v>111045</v>
      </c>
      <c r="C81" s="0" t="n">
        <v>3</v>
      </c>
      <c r="D81" s="0" t="inlineStr">
        <is>
          <t>루원제일풍경채</t>
        </is>
      </c>
      <c r="E81" s="0" t="inlineStr">
        <is>
          <t>2018.01.</t>
        </is>
      </c>
      <c r="F81" s="0" t="n">
        <v>900</v>
      </c>
      <c r="G81" s="0" t="n">
        <v>33.52</v>
      </c>
      <c r="H81" s="0" t="n">
        <v>110.84</v>
      </c>
      <c r="I81" s="0" t="n">
        <v>25.54</v>
      </c>
      <c r="J81" s="0" t="n">
        <v>84.43000000000001</v>
      </c>
      <c r="K81" s="0" t="n">
        <v>150</v>
      </c>
      <c r="T81" s="0" t="n">
        <v>3</v>
      </c>
      <c r="U81" s="0" t="n">
        <v>2</v>
      </c>
      <c r="V81" s="0" t="inlineStr">
        <is>
          <t>계단식</t>
        </is>
      </c>
      <c r="W81" s="0" t="inlineStr">
        <is>
          <t>110B</t>
        </is>
      </c>
      <c r="X81" s="0" t="n">
        <v>25</v>
      </c>
      <c r="Y81" s="0" t="n">
        <v>20</v>
      </c>
      <c r="Z81" s="0" t="inlineStr">
        <is>
          <t>https://new.land.naver.com/complexes/111045?tab=detail&amp;rf=Y</t>
        </is>
      </c>
      <c r="AA81" s="0" t="inlineStr">
        <is>
          <t>인천시 서구 가정동 603-1</t>
        </is>
      </c>
      <c r="AB81" s="0" t="inlineStr">
        <is>
          <t>인천시</t>
        </is>
      </c>
      <c r="AC81" s="0" t="inlineStr">
        <is>
          <t>서구</t>
        </is>
      </c>
      <c r="AD81" s="0" t="inlineStr">
        <is>
          <t>가정동</t>
        </is>
      </c>
      <c r="AG81" s="0" t="inlineStr">
        <is>
          <t>인천시 서구 봉오재3로 11</t>
        </is>
      </c>
      <c r="AH81" s="0" t="n">
        <v>0</v>
      </c>
      <c r="AI81" s="0" t="n">
        <v>219</v>
      </c>
      <c r="AJ81" s="0" t="n">
        <v>16</v>
      </c>
      <c r="AK81" s="0" t="n">
        <v>1087</v>
      </c>
      <c r="AL81" s="0" t="n">
        <v>1.21</v>
      </c>
    </row>
    <row r="82">
      <c r="A82" s="0" t="inlineStr">
        <is>
          <t>[가정동]</t>
        </is>
      </c>
      <c r="B82" s="0" t="n">
        <v>111045</v>
      </c>
      <c r="C82" s="0" t="n">
        <v>4</v>
      </c>
      <c r="D82" s="0" t="inlineStr">
        <is>
          <t>루원제일풍경채</t>
        </is>
      </c>
      <c r="E82" s="0" t="inlineStr">
        <is>
          <t>2018.01.</t>
        </is>
      </c>
      <c r="F82" s="0" t="n">
        <v>900</v>
      </c>
      <c r="G82" s="0" t="n">
        <v>33.58</v>
      </c>
      <c r="H82" s="0" t="n">
        <v>111.04</v>
      </c>
      <c r="I82" s="0" t="n">
        <v>25.49</v>
      </c>
      <c r="J82" s="0" t="n">
        <v>84.28</v>
      </c>
      <c r="K82" s="0" t="n">
        <v>336</v>
      </c>
      <c r="T82" s="0" t="n">
        <v>3</v>
      </c>
      <c r="U82" s="0" t="n">
        <v>2</v>
      </c>
      <c r="V82" s="0" t="inlineStr">
        <is>
          <t>계단식</t>
        </is>
      </c>
      <c r="W82" s="0" t="inlineStr">
        <is>
          <t>111A</t>
        </is>
      </c>
      <c r="X82" s="0" t="n">
        <v>25</v>
      </c>
      <c r="Y82" s="0" t="n">
        <v>20</v>
      </c>
      <c r="Z82" s="0" t="inlineStr">
        <is>
          <t>https://new.land.naver.com/complexes/111045?tab=detail&amp;rf=Y</t>
        </is>
      </c>
      <c r="AA82" s="0" t="inlineStr">
        <is>
          <t>인천시 서구 가정동 603-1</t>
        </is>
      </c>
      <c r="AB82" s="0" t="inlineStr">
        <is>
          <t>인천시</t>
        </is>
      </c>
      <c r="AC82" s="0" t="inlineStr">
        <is>
          <t>서구</t>
        </is>
      </c>
      <c r="AD82" s="0" t="inlineStr">
        <is>
          <t>가정동</t>
        </is>
      </c>
      <c r="AG82" s="0" t="inlineStr">
        <is>
          <t>인천시 서구 봉오재3로 11</t>
        </is>
      </c>
      <c r="AH82" s="0" t="n">
        <v>0</v>
      </c>
      <c r="AI82" s="0" t="n">
        <v>219</v>
      </c>
      <c r="AJ82" s="0" t="n">
        <v>16</v>
      </c>
      <c r="AK82" s="0" t="n">
        <v>1087</v>
      </c>
      <c r="AL82" s="0" t="n">
        <v>1.21</v>
      </c>
    </row>
    <row r="83">
      <c r="A83" s="0" t="inlineStr">
        <is>
          <t>[가정동]</t>
        </is>
      </c>
      <c r="B83" s="0" t="n">
        <v>111215</v>
      </c>
      <c r="C83" s="0" t="n">
        <v>1</v>
      </c>
      <c r="D83" s="0" t="inlineStr">
        <is>
          <t>루원호반베르디움더센트럴</t>
        </is>
      </c>
      <c r="E83" s="0" t="inlineStr">
        <is>
          <t>2018.01.</t>
        </is>
      </c>
      <c r="F83" s="0" t="n">
        <v>980</v>
      </c>
      <c r="G83" s="0" t="n">
        <v>30.13</v>
      </c>
      <c r="H83" s="0" t="n">
        <v>99.62</v>
      </c>
      <c r="I83" s="0" t="n">
        <v>22.13</v>
      </c>
      <c r="J83" s="0" t="n">
        <v>73.17</v>
      </c>
      <c r="K83" s="0" t="n">
        <v>443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99A</t>
        </is>
      </c>
      <c r="X83" s="0" t="n">
        <v>25</v>
      </c>
      <c r="Y83" s="0" t="n">
        <v>24</v>
      </c>
      <c r="Z83" s="0" t="inlineStr">
        <is>
          <t>https://new.land.naver.com/complexes/111215?tab=detail&amp;rf=Y</t>
        </is>
      </c>
      <c r="AA83" s="0" t="inlineStr">
        <is>
          <t>인천시 서구 가정동 609-1</t>
        </is>
      </c>
      <c r="AB83" s="0" t="inlineStr">
        <is>
          <t>인천시</t>
        </is>
      </c>
      <c r="AC83" s="0" t="inlineStr">
        <is>
          <t>서구</t>
        </is>
      </c>
      <c r="AD83" s="0" t="inlineStr">
        <is>
          <t>가정동</t>
        </is>
      </c>
      <c r="AG83" s="0" t="inlineStr">
        <is>
          <t>인천시 서구 봉오재3로 75</t>
        </is>
      </c>
      <c r="AH83" s="0" t="n">
        <v>0</v>
      </c>
      <c r="AI83" s="0" t="n">
        <v>220</v>
      </c>
      <c r="AJ83" s="0" t="n">
        <v>15</v>
      </c>
      <c r="AK83" s="0" t="n">
        <v>1184</v>
      </c>
      <c r="AL83" s="0" t="n">
        <v>1.21</v>
      </c>
    </row>
    <row r="84">
      <c r="A84" s="0" t="inlineStr">
        <is>
          <t>[가정동]</t>
        </is>
      </c>
      <c r="B84" s="0" t="n">
        <v>111215</v>
      </c>
      <c r="C84" s="0" t="n">
        <v>2</v>
      </c>
      <c r="D84" s="0" t="inlineStr">
        <is>
          <t>루원호반베르디움더센트럴</t>
        </is>
      </c>
      <c r="E84" s="0" t="inlineStr">
        <is>
          <t>2018.01.</t>
        </is>
      </c>
      <c r="F84" s="0" t="n">
        <v>980</v>
      </c>
      <c r="G84" s="0" t="n">
        <v>30.53</v>
      </c>
      <c r="H84" s="0" t="n">
        <v>100.94</v>
      </c>
      <c r="I84" s="0" t="n">
        <v>22.13</v>
      </c>
      <c r="J84" s="0" t="n">
        <v>73.16</v>
      </c>
      <c r="K84" s="0" t="n">
        <v>150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100B</t>
        </is>
      </c>
      <c r="X84" s="0" t="n">
        <v>25</v>
      </c>
      <c r="Y84" s="0" t="n">
        <v>24</v>
      </c>
      <c r="Z84" s="0" t="inlineStr">
        <is>
          <t>https://new.land.naver.com/complexes/111215?tab=detail&amp;rf=Y</t>
        </is>
      </c>
      <c r="AA84" s="0" t="inlineStr">
        <is>
          <t>인천시 서구 가정동 609-1</t>
        </is>
      </c>
      <c r="AB84" s="0" t="inlineStr">
        <is>
          <t>인천시</t>
        </is>
      </c>
      <c r="AC84" s="0" t="inlineStr">
        <is>
          <t>서구</t>
        </is>
      </c>
      <c r="AD84" s="0" t="inlineStr">
        <is>
          <t>가정동</t>
        </is>
      </c>
      <c r="AG84" s="0" t="inlineStr">
        <is>
          <t>인천시 서구 봉오재3로 75</t>
        </is>
      </c>
      <c r="AH84" s="0" t="n">
        <v>0</v>
      </c>
      <c r="AI84" s="0" t="n">
        <v>220</v>
      </c>
      <c r="AJ84" s="0" t="n">
        <v>15</v>
      </c>
      <c r="AK84" s="0" t="n">
        <v>1184</v>
      </c>
      <c r="AL84" s="0" t="n">
        <v>1.21</v>
      </c>
    </row>
    <row r="85">
      <c r="A85" s="0" t="inlineStr">
        <is>
          <t>[가정동]</t>
        </is>
      </c>
      <c r="B85" s="0" t="n">
        <v>111215</v>
      </c>
      <c r="C85" s="0" t="n">
        <v>3</v>
      </c>
      <c r="D85" s="0" t="inlineStr">
        <is>
          <t>루원호반베르디움더센트럴</t>
        </is>
      </c>
      <c r="E85" s="0" t="inlineStr">
        <is>
          <t>2018.01.</t>
        </is>
      </c>
      <c r="F85" s="0" t="n">
        <v>980</v>
      </c>
      <c r="G85" s="0" t="n">
        <v>34.09</v>
      </c>
      <c r="H85" s="0" t="n">
        <v>112.7</v>
      </c>
      <c r="I85" s="0" t="n">
        <v>25.6</v>
      </c>
      <c r="J85" s="0" t="n">
        <v>84.63</v>
      </c>
      <c r="K85" s="0" t="n">
        <v>387</v>
      </c>
      <c r="T85" s="0" t="n">
        <v>4</v>
      </c>
      <c r="U85" s="0" t="n">
        <v>2</v>
      </c>
      <c r="V85" s="0" t="inlineStr">
        <is>
          <t>계단식</t>
        </is>
      </c>
      <c r="W85" s="0" t="n">
        <v>112</v>
      </c>
      <c r="X85" s="0" t="n">
        <v>25</v>
      </c>
      <c r="Y85" s="0" t="n">
        <v>24</v>
      </c>
      <c r="Z85" s="0" t="inlineStr">
        <is>
          <t>https://new.land.naver.com/complexes/111215?tab=detail&amp;rf=Y</t>
        </is>
      </c>
      <c r="AA85" s="0" t="inlineStr">
        <is>
          <t>인천시 서구 가정동 609-1</t>
        </is>
      </c>
      <c r="AB85" s="0" t="inlineStr">
        <is>
          <t>인천시</t>
        </is>
      </c>
      <c r="AC85" s="0" t="inlineStr">
        <is>
          <t>서구</t>
        </is>
      </c>
      <c r="AD85" s="0" t="inlineStr">
        <is>
          <t>가정동</t>
        </is>
      </c>
      <c r="AG85" s="0" t="inlineStr">
        <is>
          <t>인천시 서구 봉오재3로 75</t>
        </is>
      </c>
      <c r="AH85" s="0" t="n">
        <v>0</v>
      </c>
      <c r="AI85" s="0" t="n">
        <v>220</v>
      </c>
      <c r="AJ85" s="0" t="n">
        <v>15</v>
      </c>
      <c r="AK85" s="0" t="n">
        <v>1184</v>
      </c>
      <c r="AL85" s="0" t="n">
        <v>1.21</v>
      </c>
    </row>
    <row r="86">
      <c r="A86" s="0" t="inlineStr">
        <is>
          <t>[가정동]</t>
        </is>
      </c>
      <c r="B86" s="0" t="n">
        <v>127674</v>
      </c>
      <c r="C86" s="0" t="n">
        <v>1</v>
      </c>
      <c r="D86" s="0" t="inlineStr">
        <is>
          <t>루원시티대성베르힐Ⅱ 더센트로</t>
        </is>
      </c>
      <c r="E86" s="0" t="inlineStr">
        <is>
          <t>2023.04.</t>
        </is>
      </c>
      <c r="F86" s="0" t="n">
        <v>1059</v>
      </c>
      <c r="G86" s="0" t="n">
        <v>33.44</v>
      </c>
      <c r="H86" s="0" t="n">
        <v>110.56</v>
      </c>
      <c r="I86" s="0" t="n">
        <v>25.65</v>
      </c>
      <c r="J86" s="0" t="n">
        <v>84.8</v>
      </c>
      <c r="K86" s="0" t="n">
        <v>403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110A</t>
        </is>
      </c>
      <c r="X86" s="0" t="n">
        <v>49</v>
      </c>
      <c r="Y86" s="0" t="n">
        <v>30</v>
      </c>
      <c r="Z86" s="0" t="inlineStr">
        <is>
          <t>https://new.land.naver.com/complexes/127674?tab=detail&amp;rf=Y</t>
        </is>
      </c>
      <c r="AA86" s="0" t="inlineStr">
        <is>
          <t>인천시 서구 가정동 루원시티주상복합 4블록</t>
        </is>
      </c>
      <c r="AB86" s="0" t="inlineStr">
        <is>
          <t>인천시</t>
        </is>
      </c>
      <c r="AC86" s="0" t="inlineStr">
        <is>
          <t>서구</t>
        </is>
      </c>
      <c r="AD86" s="0" t="inlineStr">
        <is>
          <t>가정동</t>
        </is>
      </c>
      <c r="AG86" s="0" t="inlineStr">
        <is>
          <t>인천시 서구</t>
        </is>
      </c>
      <c r="AH86" s="0" t="n">
        <v>0</v>
      </c>
      <c r="AI86" s="0" t="n">
        <v>0</v>
      </c>
      <c r="AJ86" s="0" t="n">
        <v>0</v>
      </c>
      <c r="AK86" s="0" t="n">
        <v>1380</v>
      </c>
      <c r="AL86" s="0" t="n">
        <v>1.3</v>
      </c>
    </row>
    <row r="87">
      <c r="A87" s="0" t="inlineStr">
        <is>
          <t>[가정동]</t>
        </is>
      </c>
      <c r="B87" s="0" t="n">
        <v>127674</v>
      </c>
      <c r="C87" s="0" t="n">
        <v>2</v>
      </c>
      <c r="D87" s="0" t="inlineStr">
        <is>
          <t>루원시티대성베르힐Ⅱ 더센트로</t>
        </is>
      </c>
      <c r="E87" s="0" t="inlineStr">
        <is>
          <t>2023.04.</t>
        </is>
      </c>
      <c r="F87" s="0" t="n">
        <v>1059</v>
      </c>
      <c r="G87" s="0" t="n">
        <v>33.5</v>
      </c>
      <c r="H87" s="0" t="n">
        <v>110.76</v>
      </c>
      <c r="I87" s="0" t="n">
        <v>25.61</v>
      </c>
      <c r="J87" s="0" t="n">
        <v>84.68000000000001</v>
      </c>
      <c r="K87" s="0" t="n">
        <v>305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110C</t>
        </is>
      </c>
      <c r="X87" s="0" t="n">
        <v>49</v>
      </c>
      <c r="Y87" s="0" t="n">
        <v>30</v>
      </c>
      <c r="Z87" s="0" t="inlineStr">
        <is>
          <t>https://new.land.naver.com/complexes/127674?tab=detail&amp;rf=Y</t>
        </is>
      </c>
      <c r="AA87" s="0" t="inlineStr">
        <is>
          <t>인천시 서구 가정동 루원시티주상복합 4블록</t>
        </is>
      </c>
      <c r="AB87" s="0" t="inlineStr">
        <is>
          <t>인천시</t>
        </is>
      </c>
      <c r="AC87" s="0" t="inlineStr">
        <is>
          <t>서구</t>
        </is>
      </c>
      <c r="AD87" s="0" t="inlineStr">
        <is>
          <t>가정동</t>
        </is>
      </c>
      <c r="AG87" s="0" t="inlineStr">
        <is>
          <t>인천시 서구</t>
        </is>
      </c>
      <c r="AH87" s="0" t="n">
        <v>0</v>
      </c>
      <c r="AI87" s="0" t="n">
        <v>0</v>
      </c>
      <c r="AJ87" s="0" t="n">
        <v>0</v>
      </c>
      <c r="AK87" s="0" t="n">
        <v>1380</v>
      </c>
      <c r="AL87" s="0" t="n">
        <v>1.3</v>
      </c>
    </row>
    <row r="88">
      <c r="A88" s="0" t="inlineStr">
        <is>
          <t>[가정동]</t>
        </is>
      </c>
      <c r="B88" s="0" t="n">
        <v>127674</v>
      </c>
      <c r="C88" s="0" t="n">
        <v>3</v>
      </c>
      <c r="D88" s="0" t="inlineStr">
        <is>
          <t>루원시티대성베르힐Ⅱ 더센트로</t>
        </is>
      </c>
      <c r="E88" s="0" t="inlineStr">
        <is>
          <t>2023.04.</t>
        </is>
      </c>
      <c r="F88" s="0" t="n">
        <v>1059</v>
      </c>
      <c r="G88" s="0" t="n">
        <v>33.71</v>
      </c>
      <c r="H88" s="0" t="n">
        <v>111.45</v>
      </c>
      <c r="I88" s="0" t="n">
        <v>25.59</v>
      </c>
      <c r="J88" s="0" t="n">
        <v>84.59999999999999</v>
      </c>
      <c r="K88" s="0" t="n">
        <v>161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111B</t>
        </is>
      </c>
      <c r="X88" s="0" t="n">
        <v>49</v>
      </c>
      <c r="Y88" s="0" t="n">
        <v>30</v>
      </c>
      <c r="Z88" s="0" t="inlineStr">
        <is>
          <t>https://new.land.naver.com/complexes/127674?tab=detail&amp;rf=Y</t>
        </is>
      </c>
      <c r="AA88" s="0" t="inlineStr">
        <is>
          <t>인천시 서구 가정동 루원시티주상복합 4블록</t>
        </is>
      </c>
      <c r="AB88" s="0" t="inlineStr">
        <is>
          <t>인천시</t>
        </is>
      </c>
      <c r="AC88" s="0" t="inlineStr">
        <is>
          <t>서구</t>
        </is>
      </c>
      <c r="AD88" s="0" t="inlineStr">
        <is>
          <t>가정동</t>
        </is>
      </c>
      <c r="AG88" s="0" t="inlineStr">
        <is>
          <t>인천시 서구</t>
        </is>
      </c>
      <c r="AH88" s="0" t="n">
        <v>0</v>
      </c>
      <c r="AI88" s="0" t="n">
        <v>0</v>
      </c>
      <c r="AJ88" s="0" t="n">
        <v>0</v>
      </c>
      <c r="AK88" s="0" t="n">
        <v>1380</v>
      </c>
      <c r="AL88" s="0" t="n">
        <v>1.3</v>
      </c>
    </row>
    <row r="89">
      <c r="A89" s="0" t="inlineStr">
        <is>
          <t>[가정동]</t>
        </is>
      </c>
      <c r="B89" s="0" t="n">
        <v>127674</v>
      </c>
      <c r="C89" s="0" t="n">
        <v>4</v>
      </c>
      <c r="D89" s="0" t="inlineStr">
        <is>
          <t>루원시티대성베르힐Ⅱ 더센트로</t>
        </is>
      </c>
      <c r="E89" s="0" t="inlineStr">
        <is>
          <t>2023.04.</t>
        </is>
      </c>
      <c r="F89" s="0" t="n">
        <v>1059</v>
      </c>
      <c r="G89" s="0" t="n">
        <v>40.01</v>
      </c>
      <c r="H89" s="0" t="n">
        <v>132.28</v>
      </c>
      <c r="I89" s="0" t="n">
        <v>30.7</v>
      </c>
      <c r="J89" s="0" t="n">
        <v>101.49</v>
      </c>
      <c r="K89" s="0" t="n">
        <v>164</v>
      </c>
      <c r="T89" s="0" t="n">
        <v>3</v>
      </c>
      <c r="U89" s="0" t="n">
        <v>2</v>
      </c>
      <c r="V89" s="0" t="inlineStr">
        <is>
          <t>계단식</t>
        </is>
      </c>
      <c r="W89" s="0" t="n">
        <v>132</v>
      </c>
      <c r="X89" s="0" t="n">
        <v>49</v>
      </c>
      <c r="Y89" s="0" t="n">
        <v>30</v>
      </c>
      <c r="Z89" s="0" t="inlineStr">
        <is>
          <t>https://new.land.naver.com/complexes/127674?tab=detail&amp;rf=Y</t>
        </is>
      </c>
      <c r="AA89" s="0" t="inlineStr">
        <is>
          <t>인천시 서구 가정동 루원시티주상복합 4블록</t>
        </is>
      </c>
      <c r="AB89" s="0" t="inlineStr">
        <is>
          <t>인천시</t>
        </is>
      </c>
      <c r="AC89" s="0" t="inlineStr">
        <is>
          <t>서구</t>
        </is>
      </c>
      <c r="AD89" s="0" t="inlineStr">
        <is>
          <t>가정동</t>
        </is>
      </c>
      <c r="AG89" s="0" t="inlineStr">
        <is>
          <t>인천시 서구</t>
        </is>
      </c>
      <c r="AH89" s="0" t="n">
        <v>0</v>
      </c>
      <c r="AI89" s="0" t="n">
        <v>0</v>
      </c>
      <c r="AJ89" s="0" t="n">
        <v>0</v>
      </c>
      <c r="AK89" s="0" t="n">
        <v>1380</v>
      </c>
      <c r="AL89" s="0" t="n">
        <v>1.3</v>
      </c>
    </row>
    <row r="90">
      <c r="A90" s="0" t="inlineStr">
        <is>
          <t>[가정동]</t>
        </is>
      </c>
      <c r="B90" s="0" t="n">
        <v>127674</v>
      </c>
      <c r="C90" s="0" t="n">
        <v>5</v>
      </c>
      <c r="D90" s="0" t="inlineStr">
        <is>
          <t>루원시티대성베르힐Ⅱ 더센트로</t>
        </is>
      </c>
      <c r="E90" s="0" t="inlineStr">
        <is>
          <t>2023.04.</t>
        </is>
      </c>
      <c r="F90" s="0" t="n">
        <v>1059</v>
      </c>
      <c r="G90" s="0" t="n">
        <v>63.45</v>
      </c>
      <c r="H90" s="0" t="n">
        <v>209.77</v>
      </c>
      <c r="I90" s="0" t="n">
        <v>48.11</v>
      </c>
      <c r="J90" s="0" t="n">
        <v>159.05</v>
      </c>
      <c r="K90" s="0" t="n">
        <v>10</v>
      </c>
      <c r="T90" s="0" t="n">
        <v>6</v>
      </c>
      <c r="U90" s="0" t="n">
        <v>4</v>
      </c>
      <c r="V90" s="0" t="inlineStr">
        <is>
          <t>계단식</t>
        </is>
      </c>
      <c r="W90" s="0" t="inlineStr">
        <is>
          <t>209A</t>
        </is>
      </c>
      <c r="X90" s="0" t="n">
        <v>49</v>
      </c>
      <c r="Y90" s="0" t="n">
        <v>30</v>
      </c>
      <c r="Z90" s="0" t="inlineStr">
        <is>
          <t>https://new.land.naver.com/complexes/127674?tab=detail&amp;rf=Y</t>
        </is>
      </c>
      <c r="AA90" s="0" t="inlineStr">
        <is>
          <t>인천시 서구 가정동 루원시티주상복합 4블록</t>
        </is>
      </c>
      <c r="AB90" s="0" t="inlineStr">
        <is>
          <t>인천시</t>
        </is>
      </c>
      <c r="AC90" s="0" t="inlineStr">
        <is>
          <t>서구</t>
        </is>
      </c>
      <c r="AD90" s="0" t="inlineStr">
        <is>
          <t>가정동</t>
        </is>
      </c>
      <c r="AG90" s="0" t="inlineStr">
        <is>
          <t>인천시 서구</t>
        </is>
      </c>
      <c r="AH90" s="0" t="n">
        <v>0</v>
      </c>
      <c r="AI90" s="0" t="n">
        <v>0</v>
      </c>
      <c r="AJ90" s="0" t="n">
        <v>0</v>
      </c>
      <c r="AK90" s="0" t="n">
        <v>1380</v>
      </c>
      <c r="AL90" s="0" t="n">
        <v>1.3</v>
      </c>
    </row>
    <row r="91">
      <c r="A91" s="0" t="inlineStr">
        <is>
          <t>[가정동]</t>
        </is>
      </c>
      <c r="B91" s="0" t="n">
        <v>127674</v>
      </c>
      <c r="C91" s="0" t="n">
        <v>6</v>
      </c>
      <c r="D91" s="0" t="inlineStr">
        <is>
          <t>루원시티대성베르힐Ⅱ 더센트로</t>
        </is>
      </c>
      <c r="E91" s="0" t="inlineStr">
        <is>
          <t>2023.04.</t>
        </is>
      </c>
      <c r="F91" s="0" t="n">
        <v>1059</v>
      </c>
      <c r="G91" s="0" t="n">
        <v>63.67</v>
      </c>
      <c r="H91" s="0" t="n">
        <v>210.5</v>
      </c>
      <c r="I91" s="0" t="n">
        <v>48.15</v>
      </c>
      <c r="J91" s="0" t="n">
        <v>159.18</v>
      </c>
      <c r="K91" s="0" t="n">
        <v>8</v>
      </c>
      <c r="T91" s="0" t="n">
        <v>6</v>
      </c>
      <c r="U91" s="0" t="n">
        <v>4</v>
      </c>
      <c r="V91" s="0" t="inlineStr">
        <is>
          <t>계단식</t>
        </is>
      </c>
      <c r="W91" s="0" t="inlineStr">
        <is>
          <t>210C</t>
        </is>
      </c>
      <c r="X91" s="0" t="n">
        <v>49</v>
      </c>
      <c r="Y91" s="0" t="n">
        <v>30</v>
      </c>
      <c r="Z91" s="0" t="inlineStr">
        <is>
          <t>https://new.land.naver.com/complexes/127674?tab=detail&amp;rf=Y</t>
        </is>
      </c>
      <c r="AA91" s="0" t="inlineStr">
        <is>
          <t>인천시 서구 가정동 루원시티주상복합 4블록</t>
        </is>
      </c>
      <c r="AB91" s="0" t="inlineStr">
        <is>
          <t>인천시</t>
        </is>
      </c>
      <c r="AC91" s="0" t="inlineStr">
        <is>
          <t>서구</t>
        </is>
      </c>
      <c r="AD91" s="0" t="inlineStr">
        <is>
          <t>가정동</t>
        </is>
      </c>
      <c r="AG91" s="0" t="inlineStr">
        <is>
          <t>인천시 서구</t>
        </is>
      </c>
      <c r="AH91" s="0" t="n">
        <v>0</v>
      </c>
      <c r="AI91" s="0" t="n">
        <v>0</v>
      </c>
      <c r="AJ91" s="0" t="n">
        <v>0</v>
      </c>
      <c r="AK91" s="0" t="n">
        <v>1380</v>
      </c>
      <c r="AL91" s="0" t="n">
        <v>1.3</v>
      </c>
    </row>
    <row r="92">
      <c r="A92" s="0" t="inlineStr">
        <is>
          <t>[가정동]</t>
        </is>
      </c>
      <c r="B92" s="0" t="n">
        <v>127674</v>
      </c>
      <c r="C92" s="0" t="n">
        <v>7</v>
      </c>
      <c r="D92" s="0" t="inlineStr">
        <is>
          <t>루원시티대성베르힐Ⅱ 더센트로</t>
        </is>
      </c>
      <c r="E92" s="0" t="inlineStr">
        <is>
          <t>2023.04.</t>
        </is>
      </c>
      <c r="F92" s="0" t="n">
        <v>1059</v>
      </c>
      <c r="G92" s="0" t="n">
        <v>63.79</v>
      </c>
      <c r="H92" s="0" t="n">
        <v>210.9</v>
      </c>
      <c r="I92" s="0" t="n">
        <v>48.17</v>
      </c>
      <c r="J92" s="0" t="n">
        <v>159.25</v>
      </c>
      <c r="K92" s="0" t="n">
        <v>4</v>
      </c>
      <c r="T92" s="0" t="n">
        <v>4</v>
      </c>
      <c r="U92" s="0" t="n">
        <v>4</v>
      </c>
      <c r="V92" s="0" t="inlineStr">
        <is>
          <t>계단식</t>
        </is>
      </c>
      <c r="W92" s="0" t="inlineStr">
        <is>
          <t>210B</t>
        </is>
      </c>
      <c r="X92" s="0" t="n">
        <v>49</v>
      </c>
      <c r="Y92" s="0" t="n">
        <v>30</v>
      </c>
      <c r="Z92" s="0" t="inlineStr">
        <is>
          <t>https://new.land.naver.com/complexes/127674?tab=detail&amp;rf=Y</t>
        </is>
      </c>
      <c r="AA92" s="0" t="inlineStr">
        <is>
          <t>인천시 서구 가정동 루원시티주상복합 4블록</t>
        </is>
      </c>
      <c r="AB92" s="0" t="inlineStr">
        <is>
          <t>인천시</t>
        </is>
      </c>
      <c r="AC92" s="0" t="inlineStr">
        <is>
          <t>서구</t>
        </is>
      </c>
      <c r="AD92" s="0" t="inlineStr">
        <is>
          <t>가정동</t>
        </is>
      </c>
      <c r="AG92" s="0" t="inlineStr">
        <is>
          <t>인천시 서구</t>
        </is>
      </c>
      <c r="AH92" s="0" t="n">
        <v>0</v>
      </c>
      <c r="AI92" s="0" t="n">
        <v>0</v>
      </c>
      <c r="AJ92" s="0" t="n">
        <v>0</v>
      </c>
      <c r="AK92" s="0" t="n">
        <v>1380</v>
      </c>
      <c r="AL92" s="0" t="n">
        <v>1.3</v>
      </c>
    </row>
    <row r="93">
      <c r="A93" s="0" t="inlineStr">
        <is>
          <t>[가정동]</t>
        </is>
      </c>
      <c r="B93" s="0" t="n">
        <v>127674</v>
      </c>
      <c r="C93" s="0" t="n">
        <v>8</v>
      </c>
      <c r="D93" s="0" t="inlineStr">
        <is>
          <t>루원시티대성베르힐Ⅱ 더센트로</t>
        </is>
      </c>
      <c r="E93" s="0" t="inlineStr">
        <is>
          <t>2023.04.</t>
        </is>
      </c>
      <c r="F93" s="0" t="n">
        <v>1059</v>
      </c>
      <c r="G93" s="0" t="n">
        <v>68.36</v>
      </c>
      <c r="H93" s="0" t="n">
        <v>225.99</v>
      </c>
      <c r="I93" s="0" t="n">
        <v>51.5</v>
      </c>
      <c r="J93" s="0" t="n">
        <v>170.28</v>
      </c>
      <c r="K93" s="0" t="n">
        <v>4</v>
      </c>
      <c r="T93" s="0" t="n">
        <v>5</v>
      </c>
      <c r="U93" s="0" t="n">
        <v>4</v>
      </c>
      <c r="V93" s="0" t="inlineStr">
        <is>
          <t>계단식</t>
        </is>
      </c>
      <c r="W93" s="0" t="n">
        <v>225</v>
      </c>
      <c r="X93" s="0" t="n">
        <v>49</v>
      </c>
      <c r="Y93" s="0" t="n">
        <v>30</v>
      </c>
      <c r="Z93" s="0" t="inlineStr">
        <is>
          <t>https://new.land.naver.com/complexes/127674?tab=detail&amp;rf=Y</t>
        </is>
      </c>
      <c r="AA93" s="0" t="inlineStr">
        <is>
          <t>인천시 서구 가정동 루원시티주상복합 4블록</t>
        </is>
      </c>
      <c r="AB93" s="0" t="inlineStr">
        <is>
          <t>인천시</t>
        </is>
      </c>
      <c r="AC93" s="0" t="inlineStr">
        <is>
          <t>서구</t>
        </is>
      </c>
      <c r="AD93" s="0" t="inlineStr">
        <is>
          <t>가정동</t>
        </is>
      </c>
      <c r="AG93" s="0" t="inlineStr">
        <is>
          <t>인천시 서구</t>
        </is>
      </c>
      <c r="AH93" s="0" t="n">
        <v>0</v>
      </c>
      <c r="AI93" s="0" t="n">
        <v>0</v>
      </c>
      <c r="AJ93" s="0" t="n">
        <v>0</v>
      </c>
      <c r="AK93" s="0" t="n">
        <v>1380</v>
      </c>
      <c r="AL93" s="0" t="n">
        <v>1.3</v>
      </c>
    </row>
    <row r="94">
      <c r="A94" s="0" t="inlineStr">
        <is>
          <t>[가정동]</t>
        </is>
      </c>
      <c r="B94" s="0" t="n">
        <v>9295</v>
      </c>
      <c r="C94" s="0" t="n">
        <v>1</v>
      </c>
      <c r="D94" s="0" t="inlineStr">
        <is>
          <t>대진1차</t>
        </is>
      </c>
      <c r="E94" s="0" t="inlineStr">
        <is>
          <t>1990.07.</t>
        </is>
      </c>
      <c r="F94" s="0" t="n">
        <v>78</v>
      </c>
      <c r="G94" s="0" t="n">
        <v>20.89</v>
      </c>
      <c r="H94" s="0" t="n">
        <v>69.09</v>
      </c>
      <c r="I94" s="0" t="n">
        <v>14.57</v>
      </c>
      <c r="J94" s="0" t="n">
        <v>48.18</v>
      </c>
      <c r="K94" s="0" t="n">
        <v>6</v>
      </c>
      <c r="T94" s="0" t="n">
        <v>3</v>
      </c>
      <c r="U94" s="0" t="n">
        <v>1</v>
      </c>
      <c r="V94" s="0" t="inlineStr">
        <is>
          <t>계단식</t>
        </is>
      </c>
      <c r="W94" s="0" t="inlineStr">
        <is>
          <t>69B</t>
        </is>
      </c>
      <c r="X94" s="0" t="n">
        <v>6</v>
      </c>
      <c r="Y94" s="0" t="n">
        <v>6</v>
      </c>
      <c r="Z94" s="0" t="inlineStr">
        <is>
          <t>https://new.land.naver.com/complexes/9295?tab=detail&amp;rf=Y</t>
        </is>
      </c>
      <c r="AA94" s="0" t="inlineStr">
        <is>
          <t>인천시 서구 가정동 565</t>
        </is>
      </c>
      <c r="AB94" s="0" t="inlineStr">
        <is>
          <t>인천시</t>
        </is>
      </c>
      <c r="AC94" s="0" t="inlineStr">
        <is>
          <t>서구</t>
        </is>
      </c>
      <c r="AD94" s="0" t="inlineStr">
        <is>
          <t>가정동</t>
        </is>
      </c>
      <c r="AG94" s="0" t="inlineStr">
        <is>
          <t>인천시 서구 서달로179번길 6-13</t>
        </is>
      </c>
      <c r="AH94" s="0" t="n">
        <v>0</v>
      </c>
      <c r="AI94" s="0" t="n">
        <v>0</v>
      </c>
      <c r="AJ94" s="0" t="n">
        <v>0</v>
      </c>
      <c r="AK94" s="0" t="n">
        <v>0</v>
      </c>
      <c r="AL94" s="0" t="n">
        <v>0</v>
      </c>
    </row>
    <row r="95">
      <c r="A95" s="0" t="inlineStr">
        <is>
          <t>[가정동]</t>
        </is>
      </c>
      <c r="B95" s="0" t="n">
        <v>9295</v>
      </c>
      <c r="C95" s="0" t="n">
        <v>2</v>
      </c>
      <c r="D95" s="0" t="inlineStr">
        <is>
          <t>대진1차</t>
        </is>
      </c>
      <c r="E95" s="0" t="inlineStr">
        <is>
          <t>1990.07.</t>
        </is>
      </c>
      <c r="F95" s="0" t="n">
        <v>78</v>
      </c>
      <c r="G95" s="0" t="n">
        <v>21.43</v>
      </c>
      <c r="H95" s="0" t="n">
        <v>70.87</v>
      </c>
      <c r="I95" s="0" t="n">
        <v>16.51</v>
      </c>
      <c r="J95" s="0" t="n">
        <v>54.59</v>
      </c>
      <c r="K95" s="0" t="n">
        <v>48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70A</t>
        </is>
      </c>
      <c r="X95" s="0" t="n">
        <v>6</v>
      </c>
      <c r="Y95" s="0" t="n">
        <v>6</v>
      </c>
      <c r="Z95" s="0" t="inlineStr">
        <is>
          <t>https://new.land.naver.com/complexes/9295?tab=detail&amp;rf=Y</t>
        </is>
      </c>
      <c r="AA95" s="0" t="inlineStr">
        <is>
          <t>인천시 서구 가정동 565</t>
        </is>
      </c>
      <c r="AB95" s="0" t="inlineStr">
        <is>
          <t>인천시</t>
        </is>
      </c>
      <c r="AC95" s="0" t="inlineStr">
        <is>
          <t>서구</t>
        </is>
      </c>
      <c r="AD95" s="0" t="inlineStr">
        <is>
          <t>가정동</t>
        </is>
      </c>
      <c r="AG95" s="0" t="inlineStr">
        <is>
          <t>인천시 서구 서달로179번길 6-13</t>
        </is>
      </c>
      <c r="AH95" s="0" t="n">
        <v>0</v>
      </c>
      <c r="AI95" s="0" t="n">
        <v>0</v>
      </c>
      <c r="AJ95" s="0" t="n">
        <v>0</v>
      </c>
      <c r="AK95" s="0" t="n">
        <v>0</v>
      </c>
      <c r="AL95" s="0" t="n">
        <v>0</v>
      </c>
    </row>
    <row r="96">
      <c r="A96" s="0" t="inlineStr">
        <is>
          <t>[가정동]</t>
        </is>
      </c>
      <c r="B96" s="0" t="n">
        <v>9295</v>
      </c>
      <c r="C96" s="0" t="n">
        <v>3</v>
      </c>
      <c r="D96" s="0" t="inlineStr">
        <is>
          <t>대진1차</t>
        </is>
      </c>
      <c r="E96" s="0" t="inlineStr">
        <is>
          <t>1990.07.</t>
        </is>
      </c>
      <c r="F96" s="0" t="n">
        <v>78</v>
      </c>
      <c r="G96" s="0" t="n">
        <v>22.51</v>
      </c>
      <c r="H96" s="0" t="n">
        <v>74.42</v>
      </c>
      <c r="I96" s="0" t="n">
        <v>17.41</v>
      </c>
      <c r="J96" s="0" t="n">
        <v>57.57</v>
      </c>
      <c r="K96" s="0" t="n">
        <v>24</v>
      </c>
      <c r="T96" s="0" t="n">
        <v>3</v>
      </c>
      <c r="U96" s="0" t="n">
        <v>1</v>
      </c>
      <c r="V96" s="0" t="inlineStr">
        <is>
          <t>계단식</t>
        </is>
      </c>
      <c r="W96" s="0" t="n">
        <v>74</v>
      </c>
      <c r="X96" s="0" t="n">
        <v>6</v>
      </c>
      <c r="Y96" s="0" t="n">
        <v>6</v>
      </c>
      <c r="Z96" s="0" t="inlineStr">
        <is>
          <t>https://new.land.naver.com/complexes/9295?tab=detail&amp;rf=Y</t>
        </is>
      </c>
      <c r="AA96" s="0" t="inlineStr">
        <is>
          <t>인천시 서구 가정동 565</t>
        </is>
      </c>
      <c r="AB96" s="0" t="inlineStr">
        <is>
          <t>인천시</t>
        </is>
      </c>
      <c r="AC96" s="0" t="inlineStr">
        <is>
          <t>서구</t>
        </is>
      </c>
      <c r="AD96" s="0" t="inlineStr">
        <is>
          <t>가정동</t>
        </is>
      </c>
      <c r="AG96" s="0" t="inlineStr">
        <is>
          <t>인천시 서구 서달로179번길 6-13</t>
        </is>
      </c>
      <c r="AH96" s="0" t="n">
        <v>0</v>
      </c>
      <c r="AI96" s="0" t="n">
        <v>0</v>
      </c>
      <c r="AJ96" s="0" t="n">
        <v>0</v>
      </c>
      <c r="AK96" s="0" t="n">
        <v>0</v>
      </c>
      <c r="AL96" s="0" t="n">
        <v>0</v>
      </c>
    </row>
    <row r="97">
      <c r="A97" s="0" t="inlineStr">
        <is>
          <t>[가정동]</t>
        </is>
      </c>
      <c r="B97" s="0" t="n">
        <v>111216</v>
      </c>
      <c r="C97" s="0" t="n">
        <v>1</v>
      </c>
      <c r="D97" s="0" t="inlineStr">
        <is>
          <t>루원시티프라디움</t>
        </is>
      </c>
      <c r="E97" s="0" t="inlineStr">
        <is>
          <t>2018.03.</t>
        </is>
      </c>
      <c r="F97" s="0" t="n">
        <v>1598</v>
      </c>
      <c r="G97" s="0" t="n">
        <v>34.04</v>
      </c>
      <c r="H97" s="0" t="n">
        <v>112.56</v>
      </c>
      <c r="I97" s="0" t="n">
        <v>25.7</v>
      </c>
      <c r="J97" s="0" t="n">
        <v>84.98999999999999</v>
      </c>
      <c r="K97" s="0" t="n">
        <v>642</v>
      </c>
      <c r="T97" s="0" t="n">
        <v>3</v>
      </c>
      <c r="U97" s="0" t="n">
        <v>2</v>
      </c>
      <c r="V97" s="0" t="inlineStr">
        <is>
          <t>계단식</t>
        </is>
      </c>
      <c r="W97" s="0" t="inlineStr">
        <is>
          <t>112A</t>
        </is>
      </c>
      <c r="X97" s="0" t="n">
        <v>25</v>
      </c>
      <c r="Y97" s="0" t="n">
        <v>24</v>
      </c>
      <c r="Z97" s="0" t="inlineStr">
        <is>
          <t>https://new.land.naver.com/complexes/111216?tab=detail&amp;rf=Y</t>
        </is>
      </c>
      <c r="AA97" s="0" t="inlineStr">
        <is>
          <t>인천시 서구 가정동 610-1</t>
        </is>
      </c>
      <c r="AB97" s="0" t="inlineStr">
        <is>
          <t>인천시</t>
        </is>
      </c>
      <c r="AC97" s="0" t="inlineStr">
        <is>
          <t>서구</t>
        </is>
      </c>
      <c r="AD97" s="0" t="inlineStr">
        <is>
          <t>가정동</t>
        </is>
      </c>
      <c r="AG97" s="0" t="inlineStr">
        <is>
          <t>인천시 서구 봉오재3로 66</t>
        </is>
      </c>
      <c r="AH97" s="0" t="n">
        <v>0</v>
      </c>
      <c r="AI97" s="0" t="n">
        <v>220</v>
      </c>
      <c r="AJ97" s="0" t="n">
        <v>15</v>
      </c>
      <c r="AK97" s="0" t="n">
        <v>1913</v>
      </c>
      <c r="AL97" s="0" t="n">
        <v>1.2</v>
      </c>
    </row>
    <row r="98">
      <c r="A98" s="0" t="inlineStr">
        <is>
          <t>[가정동]</t>
        </is>
      </c>
      <c r="B98" s="0" t="n">
        <v>111216</v>
      </c>
      <c r="C98" s="0" t="n">
        <v>2</v>
      </c>
      <c r="D98" s="0" t="inlineStr">
        <is>
          <t>루원시티프라디움</t>
        </is>
      </c>
      <c r="E98" s="0" t="inlineStr">
        <is>
          <t>2018.03.</t>
        </is>
      </c>
      <c r="F98" s="0" t="n">
        <v>1598</v>
      </c>
      <c r="G98" s="0" t="n">
        <v>34.09</v>
      </c>
      <c r="H98" s="0" t="n">
        <v>112.72</v>
      </c>
      <c r="I98" s="0" t="n">
        <v>25.7</v>
      </c>
      <c r="J98" s="0" t="n">
        <v>84.98999999999999</v>
      </c>
      <c r="K98" s="0" t="n">
        <v>92</v>
      </c>
      <c r="T98" s="0" t="n">
        <v>3</v>
      </c>
      <c r="U98" s="0" t="n">
        <v>2</v>
      </c>
      <c r="V98" s="0" t="inlineStr">
        <is>
          <t>계단식</t>
        </is>
      </c>
      <c r="W98" s="0" t="inlineStr">
        <is>
          <t>112D</t>
        </is>
      </c>
      <c r="X98" s="0" t="n">
        <v>25</v>
      </c>
      <c r="Y98" s="0" t="n">
        <v>24</v>
      </c>
      <c r="Z98" s="0" t="inlineStr">
        <is>
          <t>https://new.land.naver.com/complexes/111216?tab=detail&amp;rf=Y</t>
        </is>
      </c>
      <c r="AA98" s="0" t="inlineStr">
        <is>
          <t>인천시 서구 가정동 610-1</t>
        </is>
      </c>
      <c r="AB98" s="0" t="inlineStr">
        <is>
          <t>인천시</t>
        </is>
      </c>
      <c r="AC98" s="0" t="inlineStr">
        <is>
          <t>서구</t>
        </is>
      </c>
      <c r="AD98" s="0" t="inlineStr">
        <is>
          <t>가정동</t>
        </is>
      </c>
      <c r="AG98" s="0" t="inlineStr">
        <is>
          <t>인천시 서구 봉오재3로 66</t>
        </is>
      </c>
      <c r="AH98" s="0" t="n">
        <v>0</v>
      </c>
      <c r="AI98" s="0" t="n">
        <v>220</v>
      </c>
      <c r="AJ98" s="0" t="n">
        <v>15</v>
      </c>
      <c r="AK98" s="0" t="n">
        <v>1913</v>
      </c>
      <c r="AL98" s="0" t="n">
        <v>1.2</v>
      </c>
    </row>
    <row r="99">
      <c r="A99" s="0" t="inlineStr">
        <is>
          <t>[가정동]</t>
        </is>
      </c>
      <c r="B99" s="0" t="n">
        <v>111216</v>
      </c>
      <c r="C99" s="0" t="n">
        <v>3</v>
      </c>
      <c r="D99" s="0" t="inlineStr">
        <is>
          <t>루원시티프라디움</t>
        </is>
      </c>
      <c r="E99" s="0" t="inlineStr">
        <is>
          <t>2018.03.</t>
        </is>
      </c>
      <c r="F99" s="0" t="n">
        <v>1598</v>
      </c>
      <c r="G99" s="0" t="n">
        <v>34.33</v>
      </c>
      <c r="H99" s="0" t="n">
        <v>113.5</v>
      </c>
      <c r="I99" s="0" t="n">
        <v>25.7</v>
      </c>
      <c r="J99" s="0" t="n">
        <v>84.98999999999999</v>
      </c>
      <c r="K99" s="0" t="n">
        <v>368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113B</t>
        </is>
      </c>
      <c r="X99" s="0" t="n">
        <v>25</v>
      </c>
      <c r="Y99" s="0" t="n">
        <v>24</v>
      </c>
      <c r="Z99" s="0" t="inlineStr">
        <is>
          <t>https://new.land.naver.com/complexes/111216?tab=detail&amp;rf=Y</t>
        </is>
      </c>
      <c r="AA99" s="0" t="inlineStr">
        <is>
          <t>인천시 서구 가정동 610-1</t>
        </is>
      </c>
      <c r="AB99" s="0" t="inlineStr">
        <is>
          <t>인천시</t>
        </is>
      </c>
      <c r="AC99" s="0" t="inlineStr">
        <is>
          <t>서구</t>
        </is>
      </c>
      <c r="AD99" s="0" t="inlineStr">
        <is>
          <t>가정동</t>
        </is>
      </c>
      <c r="AG99" s="0" t="inlineStr">
        <is>
          <t>인천시 서구 봉오재3로 66</t>
        </is>
      </c>
      <c r="AH99" s="0" t="n">
        <v>0</v>
      </c>
      <c r="AI99" s="0" t="n">
        <v>220</v>
      </c>
      <c r="AJ99" s="0" t="n">
        <v>15</v>
      </c>
      <c r="AK99" s="0" t="n">
        <v>1913</v>
      </c>
      <c r="AL99" s="0" t="n">
        <v>1.2</v>
      </c>
    </row>
    <row r="100">
      <c r="A100" s="0" t="inlineStr">
        <is>
          <t>[가정동]</t>
        </is>
      </c>
      <c r="B100" s="0" t="n">
        <v>111216</v>
      </c>
      <c r="C100" s="0" t="n">
        <v>4</v>
      </c>
      <c r="D100" s="0" t="inlineStr">
        <is>
          <t>루원시티프라디움</t>
        </is>
      </c>
      <c r="E100" s="0" t="inlineStr">
        <is>
          <t>2018.03.</t>
        </is>
      </c>
      <c r="F100" s="0" t="n">
        <v>1598</v>
      </c>
      <c r="G100" s="0" t="n">
        <v>34.19</v>
      </c>
      <c r="H100" s="0" t="n">
        <v>113.05</v>
      </c>
      <c r="I100" s="0" t="n">
        <v>25.7</v>
      </c>
      <c r="J100" s="0" t="n">
        <v>84.98999999999999</v>
      </c>
      <c r="K100" s="0" t="n">
        <v>368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113C</t>
        </is>
      </c>
      <c r="X100" s="0" t="n">
        <v>25</v>
      </c>
      <c r="Y100" s="0" t="n">
        <v>24</v>
      </c>
      <c r="Z100" s="0" t="inlineStr">
        <is>
          <t>https://new.land.naver.com/complexes/111216?tab=detail&amp;rf=Y</t>
        </is>
      </c>
      <c r="AA100" s="0" t="inlineStr">
        <is>
          <t>인천시 서구 가정동 610-1</t>
        </is>
      </c>
      <c r="AB100" s="0" t="inlineStr">
        <is>
          <t>인천시</t>
        </is>
      </c>
      <c r="AC100" s="0" t="inlineStr">
        <is>
          <t>서구</t>
        </is>
      </c>
      <c r="AD100" s="0" t="inlineStr">
        <is>
          <t>가정동</t>
        </is>
      </c>
      <c r="AG100" s="0" t="inlineStr">
        <is>
          <t>인천시 서구 봉오재3로 66</t>
        </is>
      </c>
      <c r="AH100" s="0" t="n">
        <v>0</v>
      </c>
      <c r="AI100" s="0" t="n">
        <v>220</v>
      </c>
      <c r="AJ100" s="0" t="n">
        <v>15</v>
      </c>
      <c r="AK100" s="0" t="n">
        <v>1913</v>
      </c>
      <c r="AL100" s="0" t="n">
        <v>1.2</v>
      </c>
    </row>
    <row r="101">
      <c r="A101" s="0" t="inlineStr">
        <is>
          <t>[가정동]</t>
        </is>
      </c>
      <c r="B101" s="0" t="n">
        <v>111216</v>
      </c>
      <c r="C101" s="0" t="n">
        <v>5</v>
      </c>
      <c r="D101" s="0" t="inlineStr">
        <is>
          <t>루원시티프라디움</t>
        </is>
      </c>
      <c r="E101" s="0" t="inlineStr">
        <is>
          <t>2018.03.</t>
        </is>
      </c>
      <c r="F101" s="0" t="n">
        <v>1598</v>
      </c>
      <c r="G101" s="0" t="n">
        <v>37.66</v>
      </c>
      <c r="H101" s="0" t="n">
        <v>124.5</v>
      </c>
      <c r="I101" s="0" t="n">
        <v>28.59</v>
      </c>
      <c r="J101" s="0" t="n">
        <v>94.52</v>
      </c>
      <c r="K101" s="0" t="n">
        <v>28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124TA</t>
        </is>
      </c>
      <c r="X101" s="0" t="n">
        <v>25</v>
      </c>
      <c r="Y101" s="0" t="n">
        <v>24</v>
      </c>
      <c r="Z101" s="0" t="inlineStr">
        <is>
          <t>https://new.land.naver.com/complexes/111216?tab=detail&amp;rf=Y</t>
        </is>
      </c>
      <c r="AA101" s="0" t="inlineStr">
        <is>
          <t>인천시 서구 가정동 610-1</t>
        </is>
      </c>
      <c r="AB101" s="0" t="inlineStr">
        <is>
          <t>인천시</t>
        </is>
      </c>
      <c r="AC101" s="0" t="inlineStr">
        <is>
          <t>서구</t>
        </is>
      </c>
      <c r="AD101" s="0" t="inlineStr">
        <is>
          <t>가정동</t>
        </is>
      </c>
      <c r="AG101" s="0" t="inlineStr">
        <is>
          <t>인천시 서구 봉오재3로 66</t>
        </is>
      </c>
      <c r="AH101" s="0" t="n">
        <v>0</v>
      </c>
      <c r="AI101" s="0" t="n">
        <v>220</v>
      </c>
      <c r="AJ101" s="0" t="n">
        <v>15</v>
      </c>
      <c r="AK101" s="0" t="n">
        <v>1913</v>
      </c>
      <c r="AL101" s="0" t="n">
        <v>1.2</v>
      </c>
    </row>
    <row r="102">
      <c r="A102" s="0" t="inlineStr">
        <is>
          <t>[가정동]</t>
        </is>
      </c>
      <c r="B102" s="0" t="n">
        <v>111216</v>
      </c>
      <c r="C102" s="0" t="n">
        <v>6</v>
      </c>
      <c r="D102" s="0" t="inlineStr">
        <is>
          <t>루원시티프라디움</t>
        </is>
      </c>
      <c r="E102" s="0" t="inlineStr">
        <is>
          <t>2018.03.</t>
        </is>
      </c>
      <c r="F102" s="0" t="n">
        <v>1598</v>
      </c>
      <c r="G102" s="0" t="n">
        <v>37.57</v>
      </c>
      <c r="H102" s="0" t="n">
        <v>124.21</v>
      </c>
      <c r="I102" s="0" t="n">
        <v>28.44</v>
      </c>
      <c r="J102" s="0" t="n">
        <v>94.03</v>
      </c>
      <c r="K102" s="0" t="n">
        <v>4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124TC</t>
        </is>
      </c>
      <c r="X102" s="0" t="n">
        <v>25</v>
      </c>
      <c r="Y102" s="0" t="n">
        <v>24</v>
      </c>
      <c r="Z102" s="0" t="inlineStr">
        <is>
          <t>https://new.land.naver.com/complexes/111216?tab=detail&amp;rf=Y</t>
        </is>
      </c>
      <c r="AA102" s="0" t="inlineStr">
        <is>
          <t>인천시 서구 가정동 610-1</t>
        </is>
      </c>
      <c r="AB102" s="0" t="inlineStr">
        <is>
          <t>인천시</t>
        </is>
      </c>
      <c r="AC102" s="0" t="inlineStr">
        <is>
          <t>서구</t>
        </is>
      </c>
      <c r="AD102" s="0" t="inlineStr">
        <is>
          <t>가정동</t>
        </is>
      </c>
      <c r="AG102" s="0" t="inlineStr">
        <is>
          <t>인천시 서구 봉오재3로 66</t>
        </is>
      </c>
      <c r="AH102" s="0" t="n">
        <v>0</v>
      </c>
      <c r="AI102" s="0" t="n">
        <v>220</v>
      </c>
      <c r="AJ102" s="0" t="n">
        <v>15</v>
      </c>
      <c r="AK102" s="0" t="n">
        <v>1913</v>
      </c>
      <c r="AL102" s="0" t="n">
        <v>1.2</v>
      </c>
    </row>
    <row r="103">
      <c r="A103" s="0" t="inlineStr">
        <is>
          <t>[가정동]</t>
        </is>
      </c>
      <c r="B103" s="0" t="n">
        <v>111216</v>
      </c>
      <c r="C103" s="0" t="n">
        <v>7</v>
      </c>
      <c r="D103" s="0" t="inlineStr">
        <is>
          <t>루원시티프라디움</t>
        </is>
      </c>
      <c r="E103" s="0" t="inlineStr">
        <is>
          <t>2018.03.</t>
        </is>
      </c>
      <c r="F103" s="0" t="n">
        <v>1598</v>
      </c>
      <c r="G103" s="0" t="n">
        <v>38.04</v>
      </c>
      <c r="H103" s="0" t="n">
        <v>125.76</v>
      </c>
      <c r="I103" s="0" t="n">
        <v>28.78</v>
      </c>
      <c r="J103" s="0" t="n">
        <v>95.15000000000001</v>
      </c>
      <c r="K103" s="0" t="n">
        <v>16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125T</t>
        </is>
      </c>
      <c r="X103" s="0" t="n">
        <v>25</v>
      </c>
      <c r="Y103" s="0" t="n">
        <v>24</v>
      </c>
      <c r="Z103" s="0" t="inlineStr">
        <is>
          <t>https://new.land.naver.com/complexes/111216?tab=detail&amp;rf=Y</t>
        </is>
      </c>
      <c r="AA103" s="0" t="inlineStr">
        <is>
          <t>인천시 서구 가정동 610-1</t>
        </is>
      </c>
      <c r="AB103" s="0" t="inlineStr">
        <is>
          <t>인천시</t>
        </is>
      </c>
      <c r="AC103" s="0" t="inlineStr">
        <is>
          <t>서구</t>
        </is>
      </c>
      <c r="AD103" s="0" t="inlineStr">
        <is>
          <t>가정동</t>
        </is>
      </c>
      <c r="AG103" s="0" t="inlineStr">
        <is>
          <t>인천시 서구 봉오재3로 66</t>
        </is>
      </c>
      <c r="AH103" s="0" t="n">
        <v>0</v>
      </c>
      <c r="AI103" s="0" t="n">
        <v>220</v>
      </c>
      <c r="AJ103" s="0" t="n">
        <v>15</v>
      </c>
      <c r="AK103" s="0" t="n">
        <v>1913</v>
      </c>
      <c r="AL103" s="0" t="n">
        <v>1.2</v>
      </c>
    </row>
    <row r="104">
      <c r="A104" s="0" t="inlineStr">
        <is>
          <t>[가정동]</t>
        </is>
      </c>
      <c r="B104" s="0" t="n">
        <v>111216</v>
      </c>
      <c r="C104" s="0" t="n">
        <v>8</v>
      </c>
      <c r="D104" s="0" t="inlineStr">
        <is>
          <t>루원시티프라디움</t>
        </is>
      </c>
      <c r="E104" s="0" t="inlineStr">
        <is>
          <t>2018.03.</t>
        </is>
      </c>
      <c r="F104" s="0" t="n">
        <v>1598</v>
      </c>
      <c r="G104" s="0" t="n">
        <v>37.94</v>
      </c>
      <c r="H104" s="0" t="n">
        <v>125.45</v>
      </c>
      <c r="I104" s="0" t="n">
        <v>28.59</v>
      </c>
      <c r="J104" s="0" t="n">
        <v>94.53</v>
      </c>
      <c r="K104" s="0" t="n">
        <v>16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125TB</t>
        </is>
      </c>
      <c r="X104" s="0" t="n">
        <v>25</v>
      </c>
      <c r="Y104" s="0" t="n">
        <v>24</v>
      </c>
      <c r="Z104" s="0" t="inlineStr">
        <is>
          <t>https://new.land.naver.com/complexes/111216?tab=detail&amp;rf=Y</t>
        </is>
      </c>
      <c r="AA104" s="0" t="inlineStr">
        <is>
          <t>인천시 서구 가정동 610-1</t>
        </is>
      </c>
      <c r="AB104" s="0" t="inlineStr">
        <is>
          <t>인천시</t>
        </is>
      </c>
      <c r="AC104" s="0" t="inlineStr">
        <is>
          <t>서구</t>
        </is>
      </c>
      <c r="AD104" s="0" t="inlineStr">
        <is>
          <t>가정동</t>
        </is>
      </c>
      <c r="AG104" s="0" t="inlineStr">
        <is>
          <t>인천시 서구 봉오재3로 66</t>
        </is>
      </c>
      <c r="AH104" s="0" t="n">
        <v>0</v>
      </c>
      <c r="AI104" s="0" t="n">
        <v>220</v>
      </c>
      <c r="AJ104" s="0" t="n">
        <v>15</v>
      </c>
      <c r="AK104" s="0" t="n">
        <v>1913</v>
      </c>
      <c r="AL104" s="0" t="n">
        <v>1.2</v>
      </c>
    </row>
    <row r="105">
      <c r="A105" s="0" t="inlineStr">
        <is>
          <t>[가정동]</t>
        </is>
      </c>
      <c r="B105" s="0" t="n">
        <v>111216</v>
      </c>
      <c r="C105" s="0" t="n">
        <v>9</v>
      </c>
      <c r="D105" s="0" t="inlineStr">
        <is>
          <t>루원시티프라디움</t>
        </is>
      </c>
      <c r="E105" s="0" t="inlineStr">
        <is>
          <t>2018.03.</t>
        </is>
      </c>
      <c r="F105" s="0" t="n">
        <v>1598</v>
      </c>
      <c r="G105" s="0" t="n">
        <v>42.31</v>
      </c>
      <c r="H105" s="0" t="n">
        <v>139.9</v>
      </c>
      <c r="I105" s="0" t="n">
        <v>32.14</v>
      </c>
      <c r="J105" s="0" t="n">
        <v>106.25</v>
      </c>
      <c r="K105" s="0" t="n">
        <v>16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139TA</t>
        </is>
      </c>
      <c r="X105" s="0" t="n">
        <v>25</v>
      </c>
      <c r="Y105" s="0" t="n">
        <v>24</v>
      </c>
      <c r="Z105" s="0" t="inlineStr">
        <is>
          <t>https://new.land.naver.com/complexes/111216?tab=detail&amp;rf=Y</t>
        </is>
      </c>
      <c r="AA105" s="0" t="inlineStr">
        <is>
          <t>인천시 서구 가정동 610-1</t>
        </is>
      </c>
      <c r="AB105" s="0" t="inlineStr">
        <is>
          <t>인천시</t>
        </is>
      </c>
      <c r="AC105" s="0" t="inlineStr">
        <is>
          <t>서구</t>
        </is>
      </c>
      <c r="AD105" s="0" t="inlineStr">
        <is>
          <t>가정동</t>
        </is>
      </c>
      <c r="AG105" s="0" t="inlineStr">
        <is>
          <t>인천시 서구 봉오재3로 66</t>
        </is>
      </c>
      <c r="AH105" s="0" t="n">
        <v>0</v>
      </c>
      <c r="AI105" s="0" t="n">
        <v>220</v>
      </c>
      <c r="AJ105" s="0" t="n">
        <v>15</v>
      </c>
      <c r="AK105" s="0" t="n">
        <v>1913</v>
      </c>
      <c r="AL105" s="0" t="n">
        <v>1.2</v>
      </c>
    </row>
    <row r="106">
      <c r="A106" s="0" t="inlineStr">
        <is>
          <t>[가정동]</t>
        </is>
      </c>
      <c r="B106" s="0" t="n">
        <v>111216</v>
      </c>
      <c r="C106" s="0" t="n">
        <v>10</v>
      </c>
      <c r="D106" s="0" t="inlineStr">
        <is>
          <t>루원시티프라디움</t>
        </is>
      </c>
      <c r="E106" s="0" t="inlineStr">
        <is>
          <t>2018.03.</t>
        </is>
      </c>
      <c r="F106" s="0" t="n">
        <v>1598</v>
      </c>
      <c r="G106" s="0" t="n">
        <v>42.4</v>
      </c>
      <c r="H106" s="0" t="n">
        <v>140.17</v>
      </c>
      <c r="I106" s="0" t="n">
        <v>32.44</v>
      </c>
      <c r="J106" s="0" t="n">
        <v>107.27</v>
      </c>
      <c r="K106" s="0" t="n">
        <v>28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140TA1</t>
        </is>
      </c>
      <c r="X106" s="0" t="n">
        <v>25</v>
      </c>
      <c r="Y106" s="0" t="n">
        <v>24</v>
      </c>
      <c r="Z106" s="0" t="inlineStr">
        <is>
          <t>https://new.land.naver.com/complexes/111216?tab=detail&amp;rf=Y</t>
        </is>
      </c>
      <c r="AA106" s="0" t="inlineStr">
        <is>
          <t>인천시 서구 가정동 610-1</t>
        </is>
      </c>
      <c r="AB106" s="0" t="inlineStr">
        <is>
          <t>인천시</t>
        </is>
      </c>
      <c r="AC106" s="0" t="inlineStr">
        <is>
          <t>서구</t>
        </is>
      </c>
      <c r="AD106" s="0" t="inlineStr">
        <is>
          <t>가정동</t>
        </is>
      </c>
      <c r="AG106" s="0" t="inlineStr">
        <is>
          <t>인천시 서구 봉오재3로 66</t>
        </is>
      </c>
      <c r="AH106" s="0" t="n">
        <v>0</v>
      </c>
      <c r="AI106" s="0" t="n">
        <v>220</v>
      </c>
      <c r="AJ106" s="0" t="n">
        <v>15</v>
      </c>
      <c r="AK106" s="0" t="n">
        <v>1913</v>
      </c>
      <c r="AL106" s="0" t="n">
        <v>1.2</v>
      </c>
    </row>
    <row r="107">
      <c r="A107" s="0" t="inlineStr">
        <is>
          <t>[가정동]</t>
        </is>
      </c>
      <c r="B107" s="0" t="n">
        <v>111216</v>
      </c>
      <c r="C107" s="0" t="n">
        <v>11</v>
      </c>
      <c r="D107" s="0" t="inlineStr">
        <is>
          <t>루원시티프라디움</t>
        </is>
      </c>
      <c r="E107" s="0" t="inlineStr">
        <is>
          <t>2018.03.</t>
        </is>
      </c>
      <c r="F107" s="0" t="n">
        <v>1598</v>
      </c>
      <c r="G107" s="0" t="n">
        <v>42.52</v>
      </c>
      <c r="H107" s="0" t="n">
        <v>140.59</v>
      </c>
      <c r="I107" s="0" t="n">
        <v>32.36</v>
      </c>
      <c r="J107" s="0" t="n">
        <v>106.98</v>
      </c>
      <c r="K107" s="0" t="n">
        <v>4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140TB1</t>
        </is>
      </c>
      <c r="X107" s="0" t="n">
        <v>25</v>
      </c>
      <c r="Y107" s="0" t="n">
        <v>24</v>
      </c>
      <c r="Z107" s="0" t="inlineStr">
        <is>
          <t>https://new.land.naver.com/complexes/111216?tab=detail&amp;rf=Y</t>
        </is>
      </c>
      <c r="AA107" s="0" t="inlineStr">
        <is>
          <t>인천시 서구 가정동 610-1</t>
        </is>
      </c>
      <c r="AB107" s="0" t="inlineStr">
        <is>
          <t>인천시</t>
        </is>
      </c>
      <c r="AC107" s="0" t="inlineStr">
        <is>
          <t>서구</t>
        </is>
      </c>
      <c r="AD107" s="0" t="inlineStr">
        <is>
          <t>가정동</t>
        </is>
      </c>
      <c r="AG107" s="0" t="inlineStr">
        <is>
          <t>인천시 서구 봉오재3로 66</t>
        </is>
      </c>
      <c r="AH107" s="0" t="n">
        <v>0</v>
      </c>
      <c r="AI107" s="0" t="n">
        <v>220</v>
      </c>
      <c r="AJ107" s="0" t="n">
        <v>15</v>
      </c>
      <c r="AK107" s="0" t="n">
        <v>1913</v>
      </c>
      <c r="AL107" s="0" t="n">
        <v>1.2</v>
      </c>
    </row>
    <row r="108">
      <c r="A108" s="0" t="inlineStr">
        <is>
          <t>[가정동]</t>
        </is>
      </c>
      <c r="B108" s="0" t="n">
        <v>111216</v>
      </c>
      <c r="C108" s="0" t="n">
        <v>12</v>
      </c>
      <c r="D108" s="0" t="inlineStr">
        <is>
          <t>루원시티프라디움</t>
        </is>
      </c>
      <c r="E108" s="0" t="inlineStr">
        <is>
          <t>2018.03.</t>
        </is>
      </c>
      <c r="F108" s="0" t="n">
        <v>1598</v>
      </c>
      <c r="G108" s="0" t="n">
        <v>42.78</v>
      </c>
      <c r="H108" s="0" t="n">
        <v>141.43</v>
      </c>
      <c r="I108" s="0" t="n">
        <v>32.64</v>
      </c>
      <c r="J108" s="0" t="n">
        <v>107.91</v>
      </c>
      <c r="K108" s="0" t="n">
        <v>16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141TB</t>
        </is>
      </c>
      <c r="X108" s="0" t="n">
        <v>25</v>
      </c>
      <c r="Y108" s="0" t="n">
        <v>24</v>
      </c>
      <c r="Z108" s="0" t="inlineStr">
        <is>
          <t>https://new.land.naver.com/complexes/111216?tab=detail&amp;rf=Y</t>
        </is>
      </c>
      <c r="AA108" s="0" t="inlineStr">
        <is>
          <t>인천시 서구 가정동 610-1</t>
        </is>
      </c>
      <c r="AB108" s="0" t="inlineStr">
        <is>
          <t>인천시</t>
        </is>
      </c>
      <c r="AC108" s="0" t="inlineStr">
        <is>
          <t>서구</t>
        </is>
      </c>
      <c r="AD108" s="0" t="inlineStr">
        <is>
          <t>가정동</t>
        </is>
      </c>
      <c r="AG108" s="0" t="inlineStr">
        <is>
          <t>인천시 서구 봉오재3로 66</t>
        </is>
      </c>
      <c r="AH108" s="0" t="n">
        <v>0</v>
      </c>
      <c r="AI108" s="0" t="n">
        <v>220</v>
      </c>
      <c r="AJ108" s="0" t="n">
        <v>15</v>
      </c>
      <c r="AK108" s="0" t="n">
        <v>1913</v>
      </c>
      <c r="AL108" s="0" t="n">
        <v>1.2</v>
      </c>
    </row>
    <row r="109">
      <c r="A109" s="0" t="inlineStr">
        <is>
          <t>[가정동]</t>
        </is>
      </c>
      <c r="B109" s="0" t="n">
        <v>2542</v>
      </c>
      <c r="C109" s="0" t="n">
        <v>1</v>
      </c>
      <c r="D109" s="0" t="inlineStr">
        <is>
          <t>뉴서울</t>
        </is>
      </c>
      <c r="E109" s="0" t="inlineStr">
        <is>
          <t>1990.12.</t>
        </is>
      </c>
      <c r="F109" s="0" t="n">
        <v>555</v>
      </c>
      <c r="G109" s="0" t="n">
        <v>24.59</v>
      </c>
      <c r="H109" s="0" t="n">
        <v>81.29000000000001</v>
      </c>
      <c r="I109" s="0" t="n">
        <v>17.3</v>
      </c>
      <c r="J109" s="0" t="n">
        <v>57.2</v>
      </c>
      <c r="K109" s="0" t="n">
        <v>345</v>
      </c>
      <c r="T109" s="0" t="n">
        <v>2</v>
      </c>
      <c r="U109" s="0" t="n">
        <v>1</v>
      </c>
      <c r="V109" s="0" t="inlineStr">
        <is>
          <t>복도식</t>
        </is>
      </c>
      <c r="W109" s="0" t="n">
        <v>81</v>
      </c>
      <c r="X109" s="0" t="n">
        <v>15</v>
      </c>
      <c r="Y109" s="0" t="n">
        <v>15</v>
      </c>
      <c r="Z109" s="0" t="inlineStr">
        <is>
          <t>https://new.land.naver.com/complexes/2542?tab=detail&amp;rf=Y</t>
        </is>
      </c>
      <c r="AA109" s="0" t="inlineStr">
        <is>
          <t>인천시 서구 가정동 284-401</t>
        </is>
      </c>
      <c r="AB109" s="0" t="inlineStr">
        <is>
          <t>인천시</t>
        </is>
      </c>
      <c r="AC109" s="0" t="inlineStr">
        <is>
          <t>서구</t>
        </is>
      </c>
      <c r="AD109" s="0" t="inlineStr">
        <is>
          <t>가정동</t>
        </is>
      </c>
      <c r="AG109" s="0" t="inlineStr">
        <is>
          <t>인천시 서구 봉오대로283번길 6</t>
        </is>
      </c>
      <c r="AH109" s="0" t="n">
        <v>0</v>
      </c>
      <c r="AI109" s="0" t="n">
        <v>363</v>
      </c>
      <c r="AJ109" s="0" t="n">
        <v>29</v>
      </c>
      <c r="AK109" s="0" t="n">
        <v>0</v>
      </c>
      <c r="AL109" s="0" t="n">
        <v>0</v>
      </c>
    </row>
    <row r="110">
      <c r="A110" s="0" t="inlineStr">
        <is>
          <t>[가정동]</t>
        </is>
      </c>
      <c r="B110" s="0" t="n">
        <v>2542</v>
      </c>
      <c r="C110" s="0" t="n">
        <v>2</v>
      </c>
      <c r="D110" s="0" t="inlineStr">
        <is>
          <t>뉴서울</t>
        </is>
      </c>
      <c r="E110" s="0" t="inlineStr">
        <is>
          <t>1990.12.</t>
        </is>
      </c>
      <c r="F110" s="0" t="n">
        <v>555</v>
      </c>
      <c r="G110" s="0" t="n">
        <v>29.61</v>
      </c>
      <c r="H110" s="0" t="n">
        <v>97.91</v>
      </c>
      <c r="I110" s="0" t="n">
        <v>20.84</v>
      </c>
      <c r="J110" s="0" t="n">
        <v>68.90000000000001</v>
      </c>
      <c r="K110" s="0" t="n">
        <v>150</v>
      </c>
      <c r="T110" s="0" t="n">
        <v>3</v>
      </c>
      <c r="U110" s="0" t="n">
        <v>1</v>
      </c>
      <c r="V110" s="0" t="inlineStr">
        <is>
          <t>복도식</t>
        </is>
      </c>
      <c r="W110" s="0" t="n">
        <v>97</v>
      </c>
      <c r="X110" s="0" t="n">
        <v>15</v>
      </c>
      <c r="Y110" s="0" t="n">
        <v>15</v>
      </c>
      <c r="Z110" s="0" t="inlineStr">
        <is>
          <t>https://new.land.naver.com/complexes/2542?tab=detail&amp;rf=Y</t>
        </is>
      </c>
      <c r="AA110" s="0" t="inlineStr">
        <is>
          <t>인천시 서구 가정동 284-401</t>
        </is>
      </c>
      <c r="AB110" s="0" t="inlineStr">
        <is>
          <t>인천시</t>
        </is>
      </c>
      <c r="AC110" s="0" t="inlineStr">
        <is>
          <t>서구</t>
        </is>
      </c>
      <c r="AD110" s="0" t="inlineStr">
        <is>
          <t>가정동</t>
        </is>
      </c>
      <c r="AG110" s="0" t="inlineStr">
        <is>
          <t>인천시 서구 봉오대로283번길 6</t>
        </is>
      </c>
      <c r="AH110" s="0" t="n">
        <v>0</v>
      </c>
      <c r="AI110" s="0" t="n">
        <v>363</v>
      </c>
      <c r="AJ110" s="0" t="n">
        <v>29</v>
      </c>
      <c r="AK110" s="0" t="n">
        <v>0</v>
      </c>
      <c r="AL110" s="0" t="n">
        <v>0</v>
      </c>
    </row>
    <row r="111">
      <c r="A111" s="0" t="inlineStr">
        <is>
          <t>[가정동]</t>
        </is>
      </c>
      <c r="B111" s="0" t="n">
        <v>2542</v>
      </c>
      <c r="C111" s="0" t="n">
        <v>3</v>
      </c>
      <c r="D111" s="0" t="inlineStr">
        <is>
          <t>뉴서울</t>
        </is>
      </c>
      <c r="E111" s="0" t="inlineStr">
        <is>
          <t>1990.12.</t>
        </is>
      </c>
      <c r="F111" s="0" t="n">
        <v>555</v>
      </c>
      <c r="G111" s="0" t="n">
        <v>30.13</v>
      </c>
      <c r="H111" s="0" t="n">
        <v>99.63</v>
      </c>
      <c r="I111" s="0" t="n">
        <v>21.21</v>
      </c>
      <c r="J111" s="0" t="n">
        <v>70.12</v>
      </c>
      <c r="K111" s="0" t="n">
        <v>30</v>
      </c>
      <c r="T111" s="0" t="n">
        <v>2</v>
      </c>
      <c r="U111" s="0" t="n">
        <v>1</v>
      </c>
      <c r="V111" s="0" t="inlineStr">
        <is>
          <t>복도식</t>
        </is>
      </c>
      <c r="W111" s="0" t="n">
        <v>99</v>
      </c>
      <c r="X111" s="0" t="n">
        <v>15</v>
      </c>
      <c r="Y111" s="0" t="n">
        <v>15</v>
      </c>
      <c r="Z111" s="0" t="inlineStr">
        <is>
          <t>https://new.land.naver.com/complexes/2542?tab=detail&amp;rf=Y</t>
        </is>
      </c>
      <c r="AA111" s="0" t="inlineStr">
        <is>
          <t>인천시 서구 가정동 284-401</t>
        </is>
      </c>
      <c r="AB111" s="0" t="inlineStr">
        <is>
          <t>인천시</t>
        </is>
      </c>
      <c r="AC111" s="0" t="inlineStr">
        <is>
          <t>서구</t>
        </is>
      </c>
      <c r="AD111" s="0" t="inlineStr">
        <is>
          <t>가정동</t>
        </is>
      </c>
      <c r="AG111" s="0" t="inlineStr">
        <is>
          <t>인천시 서구 봉오대로283번길 6</t>
        </is>
      </c>
      <c r="AH111" s="0" t="n">
        <v>0</v>
      </c>
      <c r="AI111" s="0" t="n">
        <v>363</v>
      </c>
      <c r="AJ111" s="0" t="n">
        <v>29</v>
      </c>
      <c r="AK111" s="0" t="n">
        <v>0</v>
      </c>
      <c r="AL111" s="0" t="n">
        <v>0</v>
      </c>
    </row>
    <row r="112">
      <c r="A112" s="0" t="inlineStr">
        <is>
          <t>[가정동]</t>
        </is>
      </c>
      <c r="B112" s="0" t="n">
        <v>2542</v>
      </c>
      <c r="C112" s="0" t="n">
        <v>4</v>
      </c>
      <c r="D112" s="0" t="inlineStr">
        <is>
          <t>뉴서울</t>
        </is>
      </c>
      <c r="E112" s="0" t="inlineStr">
        <is>
          <t>1990.12.</t>
        </is>
      </c>
      <c r="F112" s="0" t="n">
        <v>555</v>
      </c>
      <c r="G112" s="0" t="n">
        <v>36.31</v>
      </c>
      <c r="H112" s="0" t="n">
        <v>120.04</v>
      </c>
      <c r="I112" s="0" t="n">
        <v>25.55</v>
      </c>
      <c r="J112" s="0" t="n">
        <v>84.47</v>
      </c>
      <c r="K112" s="0" t="n">
        <v>30</v>
      </c>
      <c r="T112" s="0" t="n">
        <v>3</v>
      </c>
      <c r="U112" s="0" t="n">
        <v>2</v>
      </c>
      <c r="V112" s="0" t="inlineStr">
        <is>
          <t>복도식</t>
        </is>
      </c>
      <c r="W112" s="0" t="n">
        <v>120</v>
      </c>
      <c r="X112" s="0" t="n">
        <v>15</v>
      </c>
      <c r="Y112" s="0" t="n">
        <v>15</v>
      </c>
      <c r="Z112" s="0" t="inlineStr">
        <is>
          <t>https://new.land.naver.com/complexes/2542?tab=detail&amp;rf=Y</t>
        </is>
      </c>
      <c r="AA112" s="0" t="inlineStr">
        <is>
          <t>인천시 서구 가정동 284-401</t>
        </is>
      </c>
      <c r="AB112" s="0" t="inlineStr">
        <is>
          <t>인천시</t>
        </is>
      </c>
      <c r="AC112" s="0" t="inlineStr">
        <is>
          <t>서구</t>
        </is>
      </c>
      <c r="AD112" s="0" t="inlineStr">
        <is>
          <t>가정동</t>
        </is>
      </c>
      <c r="AG112" s="0" t="inlineStr">
        <is>
          <t>인천시 서구 봉오대로283번길 6</t>
        </is>
      </c>
      <c r="AH112" s="0" t="n">
        <v>0</v>
      </c>
      <c r="AI112" s="0" t="n">
        <v>363</v>
      </c>
      <c r="AJ112" s="0" t="n">
        <v>29</v>
      </c>
      <c r="AK112" s="0" t="n">
        <v>0</v>
      </c>
      <c r="AL112" s="0" t="n">
        <v>0</v>
      </c>
    </row>
    <row r="113">
      <c r="A113" s="0" t="inlineStr">
        <is>
          <t>[가정동]</t>
        </is>
      </c>
      <c r="B113" s="0" t="n">
        <v>8117</v>
      </c>
      <c r="C113" s="0" t="n">
        <v>1</v>
      </c>
      <c r="D113" s="0" t="inlineStr">
        <is>
          <t>진흥1단지</t>
        </is>
      </c>
      <c r="E113" s="0" t="inlineStr">
        <is>
          <t>1990.04.</t>
        </is>
      </c>
      <c r="F113" s="0" t="n">
        <v>192</v>
      </c>
      <c r="G113" s="0" t="n">
        <v>18.11</v>
      </c>
      <c r="H113" s="0" t="n">
        <v>59.87</v>
      </c>
      <c r="I113" s="0" t="n">
        <v>13.62</v>
      </c>
      <c r="J113" s="0" t="n">
        <v>45.04</v>
      </c>
      <c r="K113" s="0" t="n">
        <v>144</v>
      </c>
      <c r="T113" s="0" t="n">
        <v>3</v>
      </c>
      <c r="U113" s="0" t="n">
        <v>1</v>
      </c>
      <c r="V113" s="0" t="inlineStr">
        <is>
          <t>계단식</t>
        </is>
      </c>
      <c r="W113" s="0" t="n">
        <v>59</v>
      </c>
      <c r="X113" s="0" t="n">
        <v>6</v>
      </c>
      <c r="Y113" s="0" t="n">
        <v>6</v>
      </c>
      <c r="Z113" s="0" t="inlineStr">
        <is>
          <t>https://new.land.naver.com/complexes/8117?tab=detail&amp;rf=Y</t>
        </is>
      </c>
      <c r="AA113" s="0" t="inlineStr">
        <is>
          <t>인천시 서구 가정동 564</t>
        </is>
      </c>
      <c r="AB113" s="0" t="inlineStr">
        <is>
          <t>인천시</t>
        </is>
      </c>
      <c r="AC113" s="0" t="inlineStr">
        <is>
          <t>서구</t>
        </is>
      </c>
      <c r="AD113" s="0" t="inlineStr">
        <is>
          <t>가정동</t>
        </is>
      </c>
      <c r="AG113" s="0" t="inlineStr">
        <is>
          <t>인천시 서구 서달로179번길 6-10</t>
        </is>
      </c>
      <c r="AH113" s="0" t="n">
        <v>0</v>
      </c>
      <c r="AI113" s="0" t="n">
        <v>168</v>
      </c>
      <c r="AJ113" s="0" t="n">
        <v>29</v>
      </c>
      <c r="AK113" s="0" t="n">
        <v>0</v>
      </c>
      <c r="AL113" s="0" t="n">
        <v>0</v>
      </c>
    </row>
    <row r="114">
      <c r="A114" s="0" t="inlineStr">
        <is>
          <t>[가정동]</t>
        </is>
      </c>
      <c r="B114" s="0" t="n">
        <v>8117</v>
      </c>
      <c r="C114" s="0" t="n">
        <v>2</v>
      </c>
      <c r="D114" s="0" t="inlineStr">
        <is>
          <t>진흥1단지</t>
        </is>
      </c>
      <c r="E114" s="0" t="inlineStr">
        <is>
          <t>1990.04.</t>
        </is>
      </c>
      <c r="F114" s="0" t="n">
        <v>192</v>
      </c>
      <c r="G114" s="0" t="n">
        <v>22.67</v>
      </c>
      <c r="H114" s="0" t="n">
        <v>74.95</v>
      </c>
      <c r="I114" s="0" t="n">
        <v>17.46</v>
      </c>
      <c r="J114" s="0" t="n">
        <v>57.72</v>
      </c>
      <c r="K114" s="0" t="n">
        <v>48</v>
      </c>
      <c r="T114" s="0" t="n">
        <v>3</v>
      </c>
      <c r="U114" s="0" t="n">
        <v>1</v>
      </c>
      <c r="V114" s="0" t="inlineStr">
        <is>
          <t>계단식</t>
        </is>
      </c>
      <c r="W114" s="0" t="n">
        <v>74</v>
      </c>
      <c r="X114" s="0" t="n">
        <v>6</v>
      </c>
      <c r="Y114" s="0" t="n">
        <v>6</v>
      </c>
      <c r="Z114" s="0" t="inlineStr">
        <is>
          <t>https://new.land.naver.com/complexes/8117?tab=detail&amp;rf=Y</t>
        </is>
      </c>
      <c r="AA114" s="0" t="inlineStr">
        <is>
          <t>인천시 서구 가정동 564</t>
        </is>
      </c>
      <c r="AB114" s="0" t="inlineStr">
        <is>
          <t>인천시</t>
        </is>
      </c>
      <c r="AC114" s="0" t="inlineStr">
        <is>
          <t>서구</t>
        </is>
      </c>
      <c r="AD114" s="0" t="inlineStr">
        <is>
          <t>가정동</t>
        </is>
      </c>
      <c r="AG114" s="0" t="inlineStr">
        <is>
          <t>인천시 서구 서달로179번길 6-10</t>
        </is>
      </c>
      <c r="AH114" s="0" t="n">
        <v>0</v>
      </c>
      <c r="AI114" s="0" t="n">
        <v>168</v>
      </c>
      <c r="AJ114" s="0" t="n">
        <v>29</v>
      </c>
      <c r="AK114" s="0" t="n">
        <v>0</v>
      </c>
      <c r="AL114" s="0" t="n">
        <v>0</v>
      </c>
    </row>
    <row r="115">
      <c r="A115" s="0" t="inlineStr">
        <is>
          <t>[가정동]</t>
        </is>
      </c>
      <c r="B115" s="0" t="n">
        <v>9266</v>
      </c>
      <c r="C115" s="0" t="n">
        <v>1</v>
      </c>
      <c r="D115" s="0" t="inlineStr">
        <is>
          <t>하나3차</t>
        </is>
      </c>
      <c r="E115" s="0" t="inlineStr">
        <is>
          <t>1993.10.</t>
        </is>
      </c>
      <c r="F115" s="0" t="n">
        <v>274</v>
      </c>
      <c r="G115" s="0" t="n">
        <v>25.03</v>
      </c>
      <c r="H115" s="0" t="n">
        <v>82.76000000000001</v>
      </c>
      <c r="I115" s="0" t="n">
        <v>18.13</v>
      </c>
      <c r="J115" s="0" t="n">
        <v>59.94</v>
      </c>
      <c r="K115" s="0" t="n">
        <v>108</v>
      </c>
      <c r="T115" s="0" t="n">
        <v>3</v>
      </c>
      <c r="U115" s="0" t="n">
        <v>1</v>
      </c>
      <c r="V115" s="0" t="inlineStr">
        <is>
          <t>복도식</t>
        </is>
      </c>
      <c r="W115" s="0" t="n">
        <v>82</v>
      </c>
      <c r="X115" s="0" t="n">
        <v>18</v>
      </c>
      <c r="Y115" s="0" t="n">
        <v>8</v>
      </c>
      <c r="Z115" s="0" t="inlineStr">
        <is>
          <t>https://new.land.naver.com/complexes/9266?tab=detail&amp;rf=Y</t>
        </is>
      </c>
      <c r="AA115" s="0" t="inlineStr">
        <is>
          <t>인천시 서구 가정동 341-15</t>
        </is>
      </c>
      <c r="AB115" s="0" t="inlineStr">
        <is>
          <t>인천시</t>
        </is>
      </c>
      <c r="AC115" s="0" t="inlineStr">
        <is>
          <t>서구</t>
        </is>
      </c>
      <c r="AD115" s="0" t="inlineStr">
        <is>
          <t>가정동</t>
        </is>
      </c>
      <c r="AG115" s="0" t="inlineStr">
        <is>
          <t>인천시 서구 봉오대로318번길 21</t>
        </is>
      </c>
      <c r="AH115" s="0" t="n">
        <v>0</v>
      </c>
      <c r="AI115" s="0" t="n">
        <v>225</v>
      </c>
      <c r="AJ115" s="0" t="n">
        <v>17</v>
      </c>
      <c r="AK115" s="0" t="n">
        <v>0</v>
      </c>
      <c r="AL115" s="0" t="n">
        <v>0</v>
      </c>
    </row>
    <row r="116">
      <c r="A116" s="0" t="inlineStr">
        <is>
          <t>[가정동]</t>
        </is>
      </c>
      <c r="B116" s="0" t="n">
        <v>9266</v>
      </c>
      <c r="C116" s="0" t="n">
        <v>2</v>
      </c>
      <c r="D116" s="0" t="inlineStr">
        <is>
          <t>하나3차</t>
        </is>
      </c>
      <c r="E116" s="0" t="inlineStr">
        <is>
          <t>1993.10.</t>
        </is>
      </c>
      <c r="F116" s="0" t="n">
        <v>274</v>
      </c>
      <c r="G116" s="0" t="n">
        <v>27.85</v>
      </c>
      <c r="H116" s="0" t="n">
        <v>92.06999999999999</v>
      </c>
      <c r="I116" s="0" t="n">
        <v>20.17</v>
      </c>
      <c r="J116" s="0" t="n">
        <v>66.68000000000001</v>
      </c>
      <c r="K116" s="0" t="n">
        <v>18</v>
      </c>
      <c r="T116" s="0" t="n">
        <v>3</v>
      </c>
      <c r="U116" s="0" t="n">
        <v>1</v>
      </c>
      <c r="V116" s="0" t="inlineStr">
        <is>
          <t>복도식</t>
        </is>
      </c>
      <c r="W116" s="0" t="n">
        <v>92</v>
      </c>
      <c r="X116" s="0" t="n">
        <v>18</v>
      </c>
      <c r="Y116" s="0" t="n">
        <v>8</v>
      </c>
      <c r="Z116" s="0" t="inlineStr">
        <is>
          <t>https://new.land.naver.com/complexes/9266?tab=detail&amp;rf=Y</t>
        </is>
      </c>
      <c r="AA116" s="0" t="inlineStr">
        <is>
          <t>인천시 서구 가정동 341-15</t>
        </is>
      </c>
      <c r="AB116" s="0" t="inlineStr">
        <is>
          <t>인천시</t>
        </is>
      </c>
      <c r="AC116" s="0" t="inlineStr">
        <is>
          <t>서구</t>
        </is>
      </c>
      <c r="AD116" s="0" t="inlineStr">
        <is>
          <t>가정동</t>
        </is>
      </c>
      <c r="AG116" s="0" t="inlineStr">
        <is>
          <t>인천시 서구 봉오대로318번길 21</t>
        </is>
      </c>
      <c r="AH116" s="0" t="n">
        <v>0</v>
      </c>
      <c r="AI116" s="0" t="n">
        <v>225</v>
      </c>
      <c r="AJ116" s="0" t="n">
        <v>17</v>
      </c>
      <c r="AK116" s="0" t="n">
        <v>0</v>
      </c>
      <c r="AL116" s="0" t="n">
        <v>0</v>
      </c>
    </row>
    <row r="117">
      <c r="A117" s="0" t="inlineStr">
        <is>
          <t>[가정동]</t>
        </is>
      </c>
      <c r="B117" s="0" t="n">
        <v>9266</v>
      </c>
      <c r="C117" s="0" t="n">
        <v>3</v>
      </c>
      <c r="D117" s="0" t="inlineStr">
        <is>
          <t>하나3차</t>
        </is>
      </c>
      <c r="E117" s="0" t="inlineStr">
        <is>
          <t>1993.10.</t>
        </is>
      </c>
      <c r="F117" s="0" t="n">
        <v>274</v>
      </c>
      <c r="G117" s="0" t="n">
        <v>31.25</v>
      </c>
      <c r="H117" s="0" t="n">
        <v>103.31</v>
      </c>
      <c r="I117" s="0" t="n">
        <v>25.01</v>
      </c>
      <c r="J117" s="0" t="n">
        <v>82.7</v>
      </c>
      <c r="K117" s="0" t="n">
        <v>70</v>
      </c>
      <c r="T117" s="0" t="n">
        <v>3</v>
      </c>
      <c r="U117" s="0" t="n">
        <v>2</v>
      </c>
      <c r="V117" s="0" t="inlineStr">
        <is>
          <t>계단식</t>
        </is>
      </c>
      <c r="W117" s="0" t="n">
        <v>103</v>
      </c>
      <c r="X117" s="0" t="n">
        <v>18</v>
      </c>
      <c r="Y117" s="0" t="n">
        <v>8</v>
      </c>
      <c r="Z117" s="0" t="inlineStr">
        <is>
          <t>https://new.land.naver.com/complexes/9266?tab=detail&amp;rf=Y</t>
        </is>
      </c>
      <c r="AA117" s="0" t="inlineStr">
        <is>
          <t>인천시 서구 가정동 341-15</t>
        </is>
      </c>
      <c r="AB117" s="0" t="inlineStr">
        <is>
          <t>인천시</t>
        </is>
      </c>
      <c r="AC117" s="0" t="inlineStr">
        <is>
          <t>서구</t>
        </is>
      </c>
      <c r="AD117" s="0" t="inlineStr">
        <is>
          <t>가정동</t>
        </is>
      </c>
      <c r="AG117" s="0" t="inlineStr">
        <is>
          <t>인천시 서구 봉오대로318번길 21</t>
        </is>
      </c>
      <c r="AH117" s="0" t="n">
        <v>0</v>
      </c>
      <c r="AI117" s="0" t="n">
        <v>225</v>
      </c>
      <c r="AJ117" s="0" t="n">
        <v>17</v>
      </c>
      <c r="AK117" s="0" t="n">
        <v>0</v>
      </c>
      <c r="AL117" s="0" t="n">
        <v>0</v>
      </c>
    </row>
    <row r="118">
      <c r="A118" s="0" t="inlineStr">
        <is>
          <t>[가정동]</t>
        </is>
      </c>
      <c r="B118" s="0" t="n">
        <v>9266</v>
      </c>
      <c r="C118" s="0" t="n">
        <v>4</v>
      </c>
      <c r="D118" s="0" t="inlineStr">
        <is>
          <t>하나3차</t>
        </is>
      </c>
      <c r="E118" s="0" t="inlineStr">
        <is>
          <t>1993.10.</t>
        </is>
      </c>
      <c r="F118" s="0" t="n">
        <v>274</v>
      </c>
      <c r="G118" s="0" t="n">
        <v>33.71</v>
      </c>
      <c r="H118" s="0" t="n">
        <v>111.47</v>
      </c>
      <c r="I118" s="0" t="n">
        <v>24.41</v>
      </c>
      <c r="J118" s="0" t="n">
        <v>80.72</v>
      </c>
      <c r="K118" s="0" t="n">
        <v>18</v>
      </c>
      <c r="T118" s="0" t="n">
        <v>3</v>
      </c>
      <c r="U118" s="0" t="n">
        <v>2</v>
      </c>
      <c r="V118" s="0" t="inlineStr">
        <is>
          <t>복도식</t>
        </is>
      </c>
      <c r="W118" s="0" t="n">
        <v>111</v>
      </c>
      <c r="X118" s="0" t="n">
        <v>18</v>
      </c>
      <c r="Y118" s="0" t="n">
        <v>8</v>
      </c>
      <c r="Z118" s="0" t="inlineStr">
        <is>
          <t>https://new.land.naver.com/complexes/9266?tab=detail&amp;rf=Y</t>
        </is>
      </c>
      <c r="AA118" s="0" t="inlineStr">
        <is>
          <t>인천시 서구 가정동 341-15</t>
        </is>
      </c>
      <c r="AB118" s="0" t="inlineStr">
        <is>
          <t>인천시</t>
        </is>
      </c>
      <c r="AC118" s="0" t="inlineStr">
        <is>
          <t>서구</t>
        </is>
      </c>
      <c r="AD118" s="0" t="inlineStr">
        <is>
          <t>가정동</t>
        </is>
      </c>
      <c r="AG118" s="0" t="inlineStr">
        <is>
          <t>인천시 서구 봉오대로318번길 21</t>
        </is>
      </c>
      <c r="AH118" s="0" t="n">
        <v>0</v>
      </c>
      <c r="AI118" s="0" t="n">
        <v>225</v>
      </c>
      <c r="AJ118" s="0" t="n">
        <v>17</v>
      </c>
      <c r="AK118" s="0" t="n">
        <v>0</v>
      </c>
      <c r="AL118" s="0" t="n">
        <v>0</v>
      </c>
    </row>
    <row r="119">
      <c r="A119" s="0" t="inlineStr">
        <is>
          <t>[가정동]</t>
        </is>
      </c>
      <c r="B119" s="0" t="n">
        <v>9266</v>
      </c>
      <c r="C119" s="0" t="n">
        <v>5</v>
      </c>
      <c r="D119" s="0" t="inlineStr">
        <is>
          <t>하나3차</t>
        </is>
      </c>
      <c r="E119" s="0" t="inlineStr">
        <is>
          <t>1993.10.</t>
        </is>
      </c>
      <c r="F119" s="0" t="n">
        <v>274</v>
      </c>
      <c r="G119" s="0" t="n">
        <v>37.75</v>
      </c>
      <c r="H119" s="0" t="n">
        <v>124.8</v>
      </c>
      <c r="I119" s="0" t="n">
        <v>30.85</v>
      </c>
      <c r="J119" s="0" t="n">
        <v>102</v>
      </c>
      <c r="K119" s="0" t="n">
        <v>26</v>
      </c>
      <c r="T119" s="0" t="n">
        <v>4</v>
      </c>
      <c r="U119" s="0" t="n">
        <v>2</v>
      </c>
      <c r="V119" s="0" t="inlineStr">
        <is>
          <t>계단식</t>
        </is>
      </c>
      <c r="W119" s="0" t="n">
        <v>124</v>
      </c>
      <c r="X119" s="0" t="n">
        <v>18</v>
      </c>
      <c r="Y119" s="0" t="n">
        <v>8</v>
      </c>
      <c r="Z119" s="0" t="inlineStr">
        <is>
          <t>https://new.land.naver.com/complexes/9266?tab=detail&amp;rf=Y</t>
        </is>
      </c>
      <c r="AA119" s="0" t="inlineStr">
        <is>
          <t>인천시 서구 가정동 341-15</t>
        </is>
      </c>
      <c r="AB119" s="0" t="inlineStr">
        <is>
          <t>인천시</t>
        </is>
      </c>
      <c r="AC119" s="0" t="inlineStr">
        <is>
          <t>서구</t>
        </is>
      </c>
      <c r="AD119" s="0" t="inlineStr">
        <is>
          <t>가정동</t>
        </is>
      </c>
      <c r="AG119" s="0" t="inlineStr">
        <is>
          <t>인천시 서구 봉오대로318번길 21</t>
        </is>
      </c>
      <c r="AH119" s="0" t="n">
        <v>0</v>
      </c>
      <c r="AI119" s="0" t="n">
        <v>225</v>
      </c>
      <c r="AJ119" s="0" t="n">
        <v>17</v>
      </c>
      <c r="AK119" s="0" t="n">
        <v>0</v>
      </c>
      <c r="AL119" s="0" t="n">
        <v>0</v>
      </c>
    </row>
    <row r="120">
      <c r="A120" s="0" t="inlineStr">
        <is>
          <t>[가정동]</t>
        </is>
      </c>
      <c r="B120" s="0" t="n">
        <v>9266</v>
      </c>
      <c r="C120" s="0" t="n">
        <v>6</v>
      </c>
      <c r="D120" s="0" t="inlineStr">
        <is>
          <t>하나3차</t>
        </is>
      </c>
      <c r="E120" s="0" t="inlineStr">
        <is>
          <t>1993.10.</t>
        </is>
      </c>
      <c r="F120" s="0" t="n">
        <v>274</v>
      </c>
      <c r="G120" s="0" t="n">
        <v>47.99</v>
      </c>
      <c r="H120" s="0" t="n">
        <v>158.67</v>
      </c>
      <c r="I120" s="0" t="n">
        <v>39.8</v>
      </c>
      <c r="J120" s="0" t="n">
        <v>131.59</v>
      </c>
      <c r="K120" s="0" t="n">
        <v>34</v>
      </c>
      <c r="T120" s="0" t="n">
        <v>4</v>
      </c>
      <c r="U120" s="0" t="n">
        <v>2</v>
      </c>
      <c r="V120" s="0" t="inlineStr">
        <is>
          <t>계단식</t>
        </is>
      </c>
      <c r="W120" s="0" t="n">
        <v>158</v>
      </c>
      <c r="X120" s="0" t="n">
        <v>18</v>
      </c>
      <c r="Y120" s="0" t="n">
        <v>8</v>
      </c>
      <c r="Z120" s="0" t="inlineStr">
        <is>
          <t>https://new.land.naver.com/complexes/9266?tab=detail&amp;rf=Y</t>
        </is>
      </c>
      <c r="AA120" s="0" t="inlineStr">
        <is>
          <t>인천시 서구 가정동 341-15</t>
        </is>
      </c>
      <c r="AB120" s="0" t="inlineStr">
        <is>
          <t>인천시</t>
        </is>
      </c>
      <c r="AC120" s="0" t="inlineStr">
        <is>
          <t>서구</t>
        </is>
      </c>
      <c r="AD120" s="0" t="inlineStr">
        <is>
          <t>가정동</t>
        </is>
      </c>
      <c r="AG120" s="0" t="inlineStr">
        <is>
          <t>인천시 서구 봉오대로318번길 21</t>
        </is>
      </c>
      <c r="AH120" s="0" t="n">
        <v>0</v>
      </c>
      <c r="AI120" s="0" t="n">
        <v>225</v>
      </c>
      <c r="AJ120" s="0" t="n">
        <v>17</v>
      </c>
      <c r="AK120" s="0" t="n">
        <v>0</v>
      </c>
      <c r="AL120" s="0" t="n">
        <v>0</v>
      </c>
    </row>
    <row r="121">
      <c r="A121" s="0" t="inlineStr">
        <is>
          <t>[가정동]</t>
        </is>
      </c>
      <c r="B121" s="0" t="n">
        <v>2543</v>
      </c>
      <c r="C121" s="0" t="n">
        <v>1</v>
      </c>
      <c r="D121" s="0" t="inlineStr">
        <is>
          <t>동우1차</t>
        </is>
      </c>
      <c r="E121" s="0" t="inlineStr">
        <is>
          <t>1988.01.</t>
        </is>
      </c>
      <c r="F121" s="0" t="n">
        <v>474</v>
      </c>
      <c r="G121" s="0" t="n">
        <v>13.12</v>
      </c>
      <c r="H121" s="0" t="n">
        <v>43.38</v>
      </c>
      <c r="I121" s="0" t="n">
        <v>11.48</v>
      </c>
      <c r="J121" s="0" t="n">
        <v>37.98</v>
      </c>
      <c r="K121" s="0" t="n">
        <v>294</v>
      </c>
      <c r="T121" s="0" t="n">
        <v>2</v>
      </c>
      <c r="U121" s="0" t="n">
        <v>1</v>
      </c>
      <c r="V121" s="0" t="inlineStr">
        <is>
          <t>계단식</t>
        </is>
      </c>
      <c r="W121" s="0" t="n">
        <v>43</v>
      </c>
      <c r="X121" s="0" t="n">
        <v>6</v>
      </c>
      <c r="Y121" s="0" t="n">
        <v>6</v>
      </c>
      <c r="Z121" s="0" t="inlineStr">
        <is>
          <t>https://new.land.naver.com/complexes/2543?tab=detail&amp;rf=Y</t>
        </is>
      </c>
      <c r="AA121" s="0" t="inlineStr">
        <is>
          <t>인천시 서구 가정동 5-92</t>
        </is>
      </c>
      <c r="AB121" s="0" t="inlineStr">
        <is>
          <t>인천시</t>
        </is>
      </c>
      <c r="AC121" s="0" t="inlineStr">
        <is>
          <t>서구</t>
        </is>
      </c>
      <c r="AD121" s="0" t="inlineStr">
        <is>
          <t>가정동</t>
        </is>
      </c>
      <c r="AG121" s="0" t="inlineStr">
        <is>
          <t>인천시 서구 천마로13번길 6</t>
        </is>
      </c>
      <c r="AH121" s="0" t="n">
        <v>0</v>
      </c>
      <c r="AI121" s="0" t="n">
        <v>161</v>
      </c>
      <c r="AJ121" s="0" t="n">
        <v>26</v>
      </c>
      <c r="AK121" s="0" t="n">
        <v>0</v>
      </c>
      <c r="AL121" s="0" t="n">
        <v>0</v>
      </c>
    </row>
    <row r="122">
      <c r="A122" s="0" t="inlineStr">
        <is>
          <t>[가정동]</t>
        </is>
      </c>
      <c r="B122" s="0" t="n">
        <v>2543</v>
      </c>
      <c r="C122" s="0" t="n">
        <v>2</v>
      </c>
      <c r="D122" s="0" t="inlineStr">
        <is>
          <t>동우1차</t>
        </is>
      </c>
      <c r="E122" s="0" t="inlineStr">
        <is>
          <t>1988.01.</t>
        </is>
      </c>
      <c r="F122" s="0" t="n">
        <v>474</v>
      </c>
      <c r="G122" s="0" t="n">
        <v>15.54</v>
      </c>
      <c r="H122" s="0" t="n">
        <v>51.39</v>
      </c>
      <c r="I122" s="0" t="n">
        <v>13.91</v>
      </c>
      <c r="J122" s="0" t="n">
        <v>45.99</v>
      </c>
      <c r="K122" s="0" t="n">
        <v>60</v>
      </c>
      <c r="T122" s="0" t="n">
        <v>3</v>
      </c>
      <c r="U122" s="0" t="n">
        <v>1</v>
      </c>
      <c r="V122" s="0" t="inlineStr">
        <is>
          <t>계단식</t>
        </is>
      </c>
      <c r="W122" s="0" t="inlineStr">
        <is>
          <t>51A</t>
        </is>
      </c>
      <c r="X122" s="0" t="n">
        <v>6</v>
      </c>
      <c r="Y122" s="0" t="n">
        <v>6</v>
      </c>
      <c r="Z122" s="0" t="inlineStr">
        <is>
          <t>https://new.land.naver.com/complexes/2543?tab=detail&amp;rf=Y</t>
        </is>
      </c>
      <c r="AA122" s="0" t="inlineStr">
        <is>
          <t>인천시 서구 가정동 5-92</t>
        </is>
      </c>
      <c r="AB122" s="0" t="inlineStr">
        <is>
          <t>인천시</t>
        </is>
      </c>
      <c r="AC122" s="0" t="inlineStr">
        <is>
          <t>서구</t>
        </is>
      </c>
      <c r="AD122" s="0" t="inlineStr">
        <is>
          <t>가정동</t>
        </is>
      </c>
      <c r="AG122" s="0" t="inlineStr">
        <is>
          <t>인천시 서구 천마로13번길 6</t>
        </is>
      </c>
      <c r="AH122" s="0" t="n">
        <v>0</v>
      </c>
      <c r="AI122" s="0" t="n">
        <v>161</v>
      </c>
      <c r="AJ122" s="0" t="n">
        <v>26</v>
      </c>
      <c r="AK122" s="0" t="n">
        <v>0</v>
      </c>
      <c r="AL122" s="0" t="n">
        <v>0</v>
      </c>
    </row>
    <row r="123">
      <c r="A123" s="0" t="inlineStr">
        <is>
          <t>[가정동]</t>
        </is>
      </c>
      <c r="B123" s="0" t="n">
        <v>2543</v>
      </c>
      <c r="C123" s="0" t="n">
        <v>3</v>
      </c>
      <c r="D123" s="0" t="inlineStr">
        <is>
          <t>동우1차</t>
        </is>
      </c>
      <c r="E123" s="0" t="inlineStr">
        <is>
          <t>1988.01.</t>
        </is>
      </c>
      <c r="F123" s="0" t="n">
        <v>474</v>
      </c>
      <c r="G123" s="0" t="n">
        <v>15.88</v>
      </c>
      <c r="H123" s="0" t="n">
        <v>52.5</v>
      </c>
      <c r="I123" s="0" t="n">
        <v>14.24</v>
      </c>
      <c r="J123" s="0" t="n">
        <v>47.1</v>
      </c>
      <c r="K123" s="0" t="n">
        <v>120</v>
      </c>
      <c r="T123" s="0" t="n">
        <v>3</v>
      </c>
      <c r="U123" s="0" t="n">
        <v>1</v>
      </c>
      <c r="V123" s="0" t="inlineStr">
        <is>
          <t>계단식</t>
        </is>
      </c>
      <c r="W123" s="0" t="inlineStr">
        <is>
          <t>52B</t>
        </is>
      </c>
      <c r="X123" s="0" t="n">
        <v>6</v>
      </c>
      <c r="Y123" s="0" t="n">
        <v>6</v>
      </c>
      <c r="Z123" s="0" t="inlineStr">
        <is>
          <t>https://new.land.naver.com/complexes/2543?tab=detail&amp;rf=Y</t>
        </is>
      </c>
      <c r="AA123" s="0" t="inlineStr">
        <is>
          <t>인천시 서구 가정동 5-92</t>
        </is>
      </c>
      <c r="AB123" s="0" t="inlineStr">
        <is>
          <t>인천시</t>
        </is>
      </c>
      <c r="AC123" s="0" t="inlineStr">
        <is>
          <t>서구</t>
        </is>
      </c>
      <c r="AD123" s="0" t="inlineStr">
        <is>
          <t>가정동</t>
        </is>
      </c>
      <c r="AG123" s="0" t="inlineStr">
        <is>
          <t>인천시 서구 천마로13번길 6</t>
        </is>
      </c>
      <c r="AH123" s="0" t="n">
        <v>0</v>
      </c>
      <c r="AI123" s="0" t="n">
        <v>161</v>
      </c>
      <c r="AJ123" s="0" t="n">
        <v>26</v>
      </c>
      <c r="AK123" s="0" t="n">
        <v>0</v>
      </c>
      <c r="AL123" s="0" t="n">
        <v>0</v>
      </c>
    </row>
    <row r="124">
      <c r="A124" s="0" t="inlineStr">
        <is>
          <t>[가정동]</t>
        </is>
      </c>
      <c r="B124" s="0" t="n">
        <v>12017</v>
      </c>
      <c r="C124" s="0" t="n">
        <v>1</v>
      </c>
      <c r="D124" s="0" t="inlineStr">
        <is>
          <t>진흥</t>
        </is>
      </c>
      <c r="E124" s="0" t="inlineStr">
        <is>
          <t>2003.06.</t>
        </is>
      </c>
      <c r="F124" s="0" t="n">
        <v>19</v>
      </c>
      <c r="G124" s="0" t="n">
        <v>28.79</v>
      </c>
      <c r="H124" s="0" t="n">
        <v>95.18000000000001</v>
      </c>
      <c r="I124" s="0" t="n">
        <v>24.76</v>
      </c>
      <c r="J124" s="0" t="n">
        <v>81.88</v>
      </c>
      <c r="K124" s="0" t="n">
        <v>6</v>
      </c>
      <c r="T124" s="0" t="n">
        <v>3</v>
      </c>
      <c r="U124" s="0" t="n">
        <v>2</v>
      </c>
      <c r="V124" s="0" t="inlineStr">
        <is>
          <t>계단식</t>
        </is>
      </c>
      <c r="W124" s="0" t="n">
        <v>95</v>
      </c>
      <c r="X124" s="0" t="n">
        <v>8</v>
      </c>
      <c r="Y124" s="0" t="n">
        <v>8</v>
      </c>
      <c r="Z124" s="0" t="inlineStr">
        <is>
          <t>https://new.land.naver.com/complexes/12017?tab=detail&amp;rf=Y</t>
        </is>
      </c>
      <c r="AA124" s="0" t="inlineStr">
        <is>
          <t>인천시 서구 가정동 526-27</t>
        </is>
      </c>
      <c r="AB124" s="0" t="inlineStr">
        <is>
          <t>인천시</t>
        </is>
      </c>
      <c r="AC124" s="0" t="inlineStr">
        <is>
          <t>서구</t>
        </is>
      </c>
      <c r="AD124" s="0" t="inlineStr">
        <is>
          <t>가정동</t>
        </is>
      </c>
      <c r="AG124" s="0" t="inlineStr">
        <is>
          <t>인천시 서구 율도로 109</t>
        </is>
      </c>
      <c r="AH124" s="0" t="n">
        <v>0</v>
      </c>
      <c r="AI124" s="0" t="n">
        <v>299</v>
      </c>
      <c r="AJ124" s="0" t="n">
        <v>44</v>
      </c>
      <c r="AK124" s="0" t="n">
        <v>25</v>
      </c>
      <c r="AL124" s="0" t="n">
        <v>1.32</v>
      </c>
    </row>
    <row r="125">
      <c r="A125" s="0" t="inlineStr">
        <is>
          <t>[가정동]</t>
        </is>
      </c>
      <c r="B125" s="0" t="n">
        <v>12017</v>
      </c>
      <c r="C125" s="0" t="n">
        <v>2</v>
      </c>
      <c r="D125" s="0" t="inlineStr">
        <is>
          <t>진흥</t>
        </is>
      </c>
      <c r="E125" s="0" t="inlineStr">
        <is>
          <t>2003.06.</t>
        </is>
      </c>
      <c r="F125" s="0" t="n">
        <v>19</v>
      </c>
      <c r="G125" s="0" t="n">
        <v>29.52</v>
      </c>
      <c r="H125" s="0" t="n">
        <v>97.61</v>
      </c>
      <c r="I125" s="0" t="n">
        <v>25.4</v>
      </c>
      <c r="J125" s="0" t="n">
        <v>83.98</v>
      </c>
      <c r="K125" s="0" t="n">
        <v>1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97C</t>
        </is>
      </c>
      <c r="X125" s="0" t="n">
        <v>8</v>
      </c>
      <c r="Y125" s="0" t="n">
        <v>8</v>
      </c>
      <c r="Z125" s="0" t="inlineStr">
        <is>
          <t>https://new.land.naver.com/complexes/12017?tab=detail&amp;rf=Y</t>
        </is>
      </c>
      <c r="AA125" s="0" t="inlineStr">
        <is>
          <t>인천시 서구 가정동 526-27</t>
        </is>
      </c>
      <c r="AB125" s="0" t="inlineStr">
        <is>
          <t>인천시</t>
        </is>
      </c>
      <c r="AC125" s="0" t="inlineStr">
        <is>
          <t>서구</t>
        </is>
      </c>
      <c r="AD125" s="0" t="inlineStr">
        <is>
          <t>가정동</t>
        </is>
      </c>
      <c r="AG125" s="0" t="inlineStr">
        <is>
          <t>인천시 서구 율도로 109</t>
        </is>
      </c>
      <c r="AH125" s="0" t="n">
        <v>0</v>
      </c>
      <c r="AI125" s="0" t="n">
        <v>299</v>
      </c>
      <c r="AJ125" s="0" t="n">
        <v>44</v>
      </c>
      <c r="AK125" s="0" t="n">
        <v>25</v>
      </c>
      <c r="AL125" s="0" t="n">
        <v>1.32</v>
      </c>
    </row>
    <row r="126">
      <c r="A126" s="0" t="inlineStr">
        <is>
          <t>[가정동]</t>
        </is>
      </c>
      <c r="B126" s="0" t="n">
        <v>12017</v>
      </c>
      <c r="C126" s="0" t="n">
        <v>3</v>
      </c>
      <c r="D126" s="0" t="inlineStr">
        <is>
          <t>진흥</t>
        </is>
      </c>
      <c r="E126" s="0" t="inlineStr">
        <is>
          <t>2003.06.</t>
        </is>
      </c>
      <c r="F126" s="0" t="n">
        <v>19</v>
      </c>
      <c r="G126" s="0" t="n">
        <v>29.68</v>
      </c>
      <c r="H126" s="0" t="n">
        <v>98.14</v>
      </c>
      <c r="I126" s="0" t="n">
        <v>25.53</v>
      </c>
      <c r="J126" s="0" t="n">
        <v>84.42</v>
      </c>
      <c r="K126" s="0" t="n">
        <v>5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98A</t>
        </is>
      </c>
      <c r="X126" s="0" t="n">
        <v>8</v>
      </c>
      <c r="Y126" s="0" t="n">
        <v>8</v>
      </c>
      <c r="Z126" s="0" t="inlineStr">
        <is>
          <t>https://new.land.naver.com/complexes/12017?tab=detail&amp;rf=Y</t>
        </is>
      </c>
      <c r="AA126" s="0" t="inlineStr">
        <is>
          <t>인천시 서구 가정동 526-27</t>
        </is>
      </c>
      <c r="AB126" s="0" t="inlineStr">
        <is>
          <t>인천시</t>
        </is>
      </c>
      <c r="AC126" s="0" t="inlineStr">
        <is>
          <t>서구</t>
        </is>
      </c>
      <c r="AD126" s="0" t="inlineStr">
        <is>
          <t>가정동</t>
        </is>
      </c>
      <c r="AG126" s="0" t="inlineStr">
        <is>
          <t>인천시 서구 율도로 109</t>
        </is>
      </c>
      <c r="AH126" s="0" t="n">
        <v>0</v>
      </c>
      <c r="AI126" s="0" t="n">
        <v>299</v>
      </c>
      <c r="AJ126" s="0" t="n">
        <v>44</v>
      </c>
      <c r="AK126" s="0" t="n">
        <v>25</v>
      </c>
      <c r="AL126" s="0" t="n">
        <v>1.32</v>
      </c>
    </row>
    <row r="127">
      <c r="A127" s="0" t="inlineStr">
        <is>
          <t>[가정동]</t>
        </is>
      </c>
      <c r="B127" s="0" t="n">
        <v>12017</v>
      </c>
      <c r="C127" s="0" t="n">
        <v>4</v>
      </c>
      <c r="D127" s="0" t="inlineStr">
        <is>
          <t>진흥</t>
        </is>
      </c>
      <c r="E127" s="0" t="inlineStr">
        <is>
          <t>2003.06.</t>
        </is>
      </c>
      <c r="F127" s="0" t="n">
        <v>19</v>
      </c>
      <c r="G127" s="0" t="n">
        <v>29.86</v>
      </c>
      <c r="H127" s="0" t="n">
        <v>98.73</v>
      </c>
      <c r="I127" s="0" t="n">
        <v>25.69</v>
      </c>
      <c r="J127" s="0" t="n">
        <v>84.94</v>
      </c>
      <c r="K127" s="0" t="n">
        <v>5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98B</t>
        </is>
      </c>
      <c r="X127" s="0" t="n">
        <v>8</v>
      </c>
      <c r="Y127" s="0" t="n">
        <v>8</v>
      </c>
      <c r="Z127" s="0" t="inlineStr">
        <is>
          <t>https://new.land.naver.com/complexes/12017?tab=detail&amp;rf=Y</t>
        </is>
      </c>
      <c r="AA127" s="0" t="inlineStr">
        <is>
          <t>인천시 서구 가정동 526-27</t>
        </is>
      </c>
      <c r="AB127" s="0" t="inlineStr">
        <is>
          <t>인천시</t>
        </is>
      </c>
      <c r="AC127" s="0" t="inlineStr">
        <is>
          <t>서구</t>
        </is>
      </c>
      <c r="AD127" s="0" t="inlineStr">
        <is>
          <t>가정동</t>
        </is>
      </c>
      <c r="AG127" s="0" t="inlineStr">
        <is>
          <t>인천시 서구 율도로 109</t>
        </is>
      </c>
      <c r="AH127" s="0" t="n">
        <v>0</v>
      </c>
      <c r="AI127" s="0" t="n">
        <v>299</v>
      </c>
      <c r="AJ127" s="0" t="n">
        <v>44</v>
      </c>
      <c r="AK127" s="0" t="n">
        <v>25</v>
      </c>
      <c r="AL127" s="0" t="n">
        <v>1.32</v>
      </c>
    </row>
    <row r="128">
      <c r="A128" s="0" t="inlineStr">
        <is>
          <t>[가정동]</t>
        </is>
      </c>
      <c r="B128" s="0" t="n">
        <v>12017</v>
      </c>
      <c r="C128" s="0" t="n">
        <v>5</v>
      </c>
      <c r="D128" s="0" t="inlineStr">
        <is>
          <t>진흥</t>
        </is>
      </c>
      <c r="E128" s="0" t="inlineStr">
        <is>
          <t>2003.06.</t>
        </is>
      </c>
      <c r="F128" s="0" t="n">
        <v>19</v>
      </c>
      <c r="G128" s="0" t="n">
        <v>29.75</v>
      </c>
      <c r="H128" s="0" t="n">
        <v>98.37</v>
      </c>
      <c r="I128" s="0" t="n">
        <v>25.6</v>
      </c>
      <c r="J128" s="0" t="n">
        <v>84.64</v>
      </c>
      <c r="K128" s="0" t="n">
        <v>1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98D</t>
        </is>
      </c>
      <c r="X128" s="0" t="n">
        <v>8</v>
      </c>
      <c r="Y128" s="0" t="n">
        <v>8</v>
      </c>
      <c r="Z128" s="0" t="inlineStr">
        <is>
          <t>https://new.land.naver.com/complexes/12017?tab=detail&amp;rf=Y</t>
        </is>
      </c>
      <c r="AA128" s="0" t="inlineStr">
        <is>
          <t>인천시 서구 가정동 526-27</t>
        </is>
      </c>
      <c r="AB128" s="0" t="inlineStr">
        <is>
          <t>인천시</t>
        </is>
      </c>
      <c r="AC128" s="0" t="inlineStr">
        <is>
          <t>서구</t>
        </is>
      </c>
      <c r="AD128" s="0" t="inlineStr">
        <is>
          <t>가정동</t>
        </is>
      </c>
      <c r="AG128" s="0" t="inlineStr">
        <is>
          <t>인천시 서구 율도로 109</t>
        </is>
      </c>
      <c r="AH128" s="0" t="n">
        <v>0</v>
      </c>
      <c r="AI128" s="0" t="n">
        <v>299</v>
      </c>
      <c r="AJ128" s="0" t="n">
        <v>44</v>
      </c>
      <c r="AK128" s="0" t="n">
        <v>25</v>
      </c>
      <c r="AL128" s="0" t="n">
        <v>1.32</v>
      </c>
    </row>
    <row r="129">
      <c r="A129" s="0" t="inlineStr">
        <is>
          <t>[가정동]</t>
        </is>
      </c>
      <c r="B129" s="0" t="n">
        <v>12017</v>
      </c>
      <c r="C129" s="0" t="n">
        <v>6</v>
      </c>
      <c r="D129" s="0" t="inlineStr">
        <is>
          <t>진흥</t>
        </is>
      </c>
      <c r="E129" s="0" t="inlineStr">
        <is>
          <t>2003.06.</t>
        </is>
      </c>
      <c r="F129" s="0" t="n">
        <v>19</v>
      </c>
      <c r="G129" s="0" t="n">
        <v>36.07</v>
      </c>
      <c r="H129" s="0" t="n">
        <v>119.26</v>
      </c>
      <c r="I129" s="0" t="n">
        <v>31.03</v>
      </c>
      <c r="J129" s="0" t="n">
        <v>102.59</v>
      </c>
      <c r="K129" s="0" t="n">
        <v>1</v>
      </c>
      <c r="T129" s="0" t="n">
        <v>3</v>
      </c>
      <c r="U129" s="0" t="n">
        <v>2</v>
      </c>
      <c r="V129" s="0" t="inlineStr">
        <is>
          <t>계단식</t>
        </is>
      </c>
      <c r="W129" s="0" t="n">
        <v>119</v>
      </c>
      <c r="X129" s="0" t="n">
        <v>8</v>
      </c>
      <c r="Y129" s="0" t="n">
        <v>8</v>
      </c>
      <c r="Z129" s="0" t="inlineStr">
        <is>
          <t>https://new.land.naver.com/complexes/12017?tab=detail&amp;rf=Y</t>
        </is>
      </c>
      <c r="AA129" s="0" t="inlineStr">
        <is>
          <t>인천시 서구 가정동 526-27</t>
        </is>
      </c>
      <c r="AB129" s="0" t="inlineStr">
        <is>
          <t>인천시</t>
        </is>
      </c>
      <c r="AC129" s="0" t="inlineStr">
        <is>
          <t>서구</t>
        </is>
      </c>
      <c r="AD129" s="0" t="inlineStr">
        <is>
          <t>가정동</t>
        </is>
      </c>
      <c r="AG129" s="0" t="inlineStr">
        <is>
          <t>인천시 서구 율도로 109</t>
        </is>
      </c>
      <c r="AH129" s="0" t="n">
        <v>0</v>
      </c>
      <c r="AI129" s="0" t="n">
        <v>299</v>
      </c>
      <c r="AJ129" s="0" t="n">
        <v>44</v>
      </c>
      <c r="AK129" s="0" t="n">
        <v>25</v>
      </c>
      <c r="AL129" s="0" t="n">
        <v>1.32</v>
      </c>
    </row>
    <row r="130">
      <c r="A130" s="0" t="inlineStr">
        <is>
          <t>[가정동]</t>
        </is>
      </c>
      <c r="B130" s="0" t="n">
        <v>9301</v>
      </c>
      <c r="C130" s="0" t="n">
        <v>1</v>
      </c>
      <c r="D130" s="0" t="inlineStr">
        <is>
          <t>현광</t>
        </is>
      </c>
      <c r="E130" s="0" t="inlineStr">
        <is>
          <t>1989.04.</t>
        </is>
      </c>
      <c r="F130" s="0" t="n">
        <v>144</v>
      </c>
      <c r="G130" s="0" t="n">
        <v>16.24</v>
      </c>
      <c r="H130" s="0" t="n">
        <v>53.69</v>
      </c>
      <c r="I130" s="0" t="n">
        <v>12.55</v>
      </c>
      <c r="J130" s="0" t="n">
        <v>41.49</v>
      </c>
      <c r="K130" s="0" t="n">
        <v>84</v>
      </c>
      <c r="T130" s="0" t="n">
        <v>2</v>
      </c>
      <c r="U130" s="0" t="n">
        <v>1</v>
      </c>
      <c r="V130" s="0" t="inlineStr">
        <is>
          <t>계단식</t>
        </is>
      </c>
      <c r="W130" s="0" t="n">
        <v>53</v>
      </c>
      <c r="X130" s="0" t="n">
        <v>6</v>
      </c>
      <c r="Y130" s="0" t="n">
        <v>6</v>
      </c>
      <c r="Z130" s="0" t="inlineStr">
        <is>
          <t>https://new.land.naver.com/complexes/9301?tab=detail&amp;rf=Y</t>
        </is>
      </c>
      <c r="AA130" s="0" t="inlineStr">
        <is>
          <t>인천시 서구 가정동 산17-9</t>
        </is>
      </c>
      <c r="AB130" s="0" t="inlineStr">
        <is>
          <t>인천시</t>
        </is>
      </c>
      <c r="AC130" s="0" t="inlineStr">
        <is>
          <t>서구</t>
        </is>
      </c>
      <c r="AD130" s="0" t="inlineStr">
        <is>
          <t>가정동</t>
        </is>
      </c>
      <c r="AG130" s="0" t="inlineStr">
        <is>
          <t>인천시 서구 천마로14번길 6</t>
        </is>
      </c>
      <c r="AH130" s="0" t="n">
        <v>0</v>
      </c>
      <c r="AI130" s="0" t="n">
        <v>213</v>
      </c>
      <c r="AJ130" s="0" t="n">
        <v>37</v>
      </c>
      <c r="AK130" s="0" t="n">
        <v>0</v>
      </c>
      <c r="AL130" s="0" t="n">
        <v>0</v>
      </c>
    </row>
    <row r="131">
      <c r="A131" s="0" t="inlineStr">
        <is>
          <t>[가정동]</t>
        </is>
      </c>
      <c r="B131" s="0" t="n">
        <v>9301</v>
      </c>
      <c r="C131" s="0" t="n">
        <v>2</v>
      </c>
      <c r="D131" s="0" t="inlineStr">
        <is>
          <t>현광</t>
        </is>
      </c>
      <c r="E131" s="0" t="inlineStr">
        <is>
          <t>1989.04.</t>
        </is>
      </c>
      <c r="F131" s="0" t="n">
        <v>144</v>
      </c>
      <c r="G131" s="0" t="n">
        <v>18.74</v>
      </c>
      <c r="H131" s="0" t="n">
        <v>61.98</v>
      </c>
      <c r="I131" s="0" t="n">
        <v>14.56</v>
      </c>
      <c r="J131" s="0" t="n">
        <v>48.15</v>
      </c>
      <c r="K131" s="0" t="n">
        <v>60</v>
      </c>
      <c r="T131" s="0" t="n">
        <v>3</v>
      </c>
      <c r="U131" s="0" t="n">
        <v>1</v>
      </c>
      <c r="V131" s="0" t="inlineStr">
        <is>
          <t>계단식</t>
        </is>
      </c>
      <c r="W131" s="0" t="n">
        <v>61</v>
      </c>
      <c r="X131" s="0" t="n">
        <v>6</v>
      </c>
      <c r="Y131" s="0" t="n">
        <v>6</v>
      </c>
      <c r="Z131" s="0" t="inlineStr">
        <is>
          <t>https://new.land.naver.com/complexes/9301?tab=detail&amp;rf=Y</t>
        </is>
      </c>
      <c r="AA131" s="0" t="inlineStr">
        <is>
          <t>인천시 서구 가정동 산17-9</t>
        </is>
      </c>
      <c r="AB131" s="0" t="inlineStr">
        <is>
          <t>인천시</t>
        </is>
      </c>
      <c r="AC131" s="0" t="inlineStr">
        <is>
          <t>서구</t>
        </is>
      </c>
      <c r="AD131" s="0" t="inlineStr">
        <is>
          <t>가정동</t>
        </is>
      </c>
      <c r="AG131" s="0" t="inlineStr">
        <is>
          <t>인천시 서구 천마로14번길 6</t>
        </is>
      </c>
      <c r="AH131" s="0" t="n">
        <v>0</v>
      </c>
      <c r="AI131" s="0" t="n">
        <v>213</v>
      </c>
      <c r="AJ131" s="0" t="n">
        <v>37</v>
      </c>
      <c r="AK131" s="0" t="n">
        <v>0</v>
      </c>
      <c r="AL131" s="0" t="n">
        <v>0</v>
      </c>
    </row>
    <row r="132">
      <c r="A132" s="0" t="inlineStr">
        <is>
          <t>[가정동]</t>
        </is>
      </c>
      <c r="B132" s="0" t="n">
        <v>123363</v>
      </c>
      <c r="C132" s="0" t="n">
        <v>1</v>
      </c>
      <c r="D132" s="0" t="inlineStr">
        <is>
          <t>루원시티SK리더스뷰(주)</t>
        </is>
      </c>
      <c r="E132" s="0" t="inlineStr">
        <is>
          <t>2022.01.</t>
        </is>
      </c>
      <c r="F132" s="0" t="n">
        <v>2378</v>
      </c>
      <c r="G132" s="0" t="n">
        <v>30.32</v>
      </c>
      <c r="H132" s="0" t="n">
        <v>100.26</v>
      </c>
      <c r="I132" s="0" t="n">
        <v>22.93</v>
      </c>
      <c r="J132" s="0" t="n">
        <v>75.81999999999999</v>
      </c>
      <c r="K132" s="0" t="n">
        <v>174</v>
      </c>
      <c r="T132" s="0" t="n">
        <v>3</v>
      </c>
      <c r="U132" s="0" t="n">
        <v>2</v>
      </c>
      <c r="V132" s="0" t="inlineStr">
        <is>
          <t>계단식</t>
        </is>
      </c>
      <c r="W132" s="0" t="n">
        <v>100</v>
      </c>
      <c r="X132" s="0" t="n">
        <v>45</v>
      </c>
      <c r="Y132" s="0" t="n">
        <v>37</v>
      </c>
      <c r="Z132" s="0" t="inlineStr">
        <is>
          <t>https://new.land.naver.com/complexes/123363?tab=detail&amp;rf=Y</t>
        </is>
      </c>
      <c r="AA132" s="0" t="inlineStr">
        <is>
          <t>인천시 서구 가정동 루원시티 주상 1,2 BL</t>
        </is>
      </c>
      <c r="AB132" s="0" t="inlineStr">
        <is>
          <t>인천시</t>
        </is>
      </c>
      <c r="AC132" s="0" t="inlineStr">
        <is>
          <t>서구</t>
        </is>
      </c>
      <c r="AD132" s="0" t="inlineStr">
        <is>
          <t>가정동</t>
        </is>
      </c>
      <c r="AG132" s="0" t="inlineStr">
        <is>
          <t>인천시 서구 가정로 437</t>
        </is>
      </c>
      <c r="AH132" s="0" t="n">
        <v>0</v>
      </c>
      <c r="AI132" s="0" t="n">
        <v>439</v>
      </c>
      <c r="AJ132" s="0" t="n">
        <v>29</v>
      </c>
      <c r="AK132" s="0" t="n">
        <v>2955</v>
      </c>
      <c r="AL132" s="0" t="n">
        <v>1.24</v>
      </c>
    </row>
    <row r="133">
      <c r="A133" s="0" t="inlineStr">
        <is>
          <t>[가정동]</t>
        </is>
      </c>
      <c r="B133" s="0" t="n">
        <v>123363</v>
      </c>
      <c r="C133" s="0" t="n">
        <v>2</v>
      </c>
      <c r="D133" s="0" t="inlineStr">
        <is>
          <t>루원시티SK리더스뷰(주)</t>
        </is>
      </c>
      <c r="E133" s="0" t="inlineStr">
        <is>
          <t>2022.01.</t>
        </is>
      </c>
      <c r="F133" s="0" t="n">
        <v>2378</v>
      </c>
      <c r="G133" s="0" t="n">
        <v>33.73</v>
      </c>
      <c r="H133" s="0" t="n">
        <v>111.51</v>
      </c>
      <c r="I133" s="0" t="n">
        <v>25.65</v>
      </c>
      <c r="J133" s="0" t="n">
        <v>84.81999999999999</v>
      </c>
      <c r="K133" s="0" t="n">
        <v>882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111A</t>
        </is>
      </c>
      <c r="X133" s="0" t="n">
        <v>45</v>
      </c>
      <c r="Y133" s="0" t="n">
        <v>37</v>
      </c>
      <c r="Z133" s="0" t="inlineStr">
        <is>
          <t>https://new.land.naver.com/complexes/123363?tab=detail&amp;rf=Y</t>
        </is>
      </c>
      <c r="AA133" s="0" t="inlineStr">
        <is>
          <t>인천시 서구 가정동 루원시티 주상 1,2 BL</t>
        </is>
      </c>
      <c r="AB133" s="0" t="inlineStr">
        <is>
          <t>인천시</t>
        </is>
      </c>
      <c r="AC133" s="0" t="inlineStr">
        <is>
          <t>서구</t>
        </is>
      </c>
      <c r="AD133" s="0" t="inlineStr">
        <is>
          <t>가정동</t>
        </is>
      </c>
      <c r="AG133" s="0" t="inlineStr">
        <is>
          <t>인천시 서구 가정로 437</t>
        </is>
      </c>
      <c r="AH133" s="0" t="n">
        <v>0</v>
      </c>
      <c r="AI133" s="0" t="n">
        <v>439</v>
      </c>
      <c r="AJ133" s="0" t="n">
        <v>29</v>
      </c>
      <c r="AK133" s="0" t="n">
        <v>2955</v>
      </c>
      <c r="AL133" s="0" t="n">
        <v>1.24</v>
      </c>
    </row>
    <row r="134">
      <c r="A134" s="0" t="inlineStr">
        <is>
          <t>[가정동]</t>
        </is>
      </c>
      <c r="B134" s="0" t="n">
        <v>123363</v>
      </c>
      <c r="C134" s="0" t="n">
        <v>3</v>
      </c>
      <c r="D134" s="0" t="inlineStr">
        <is>
          <t>루원시티SK리더스뷰(주)</t>
        </is>
      </c>
      <c r="E134" s="0" t="inlineStr">
        <is>
          <t>2022.01.</t>
        </is>
      </c>
      <c r="F134" s="0" t="n">
        <v>2378</v>
      </c>
      <c r="G134" s="0" t="n">
        <v>33.88</v>
      </c>
      <c r="H134" s="0" t="n">
        <v>112.02</v>
      </c>
      <c r="I134" s="0" t="n">
        <v>25.59</v>
      </c>
      <c r="J134" s="0" t="n">
        <v>84.59999999999999</v>
      </c>
      <c r="K134" s="0" t="n">
        <v>348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112D</t>
        </is>
      </c>
      <c r="X134" s="0" t="n">
        <v>45</v>
      </c>
      <c r="Y134" s="0" t="n">
        <v>37</v>
      </c>
      <c r="Z134" s="0" t="inlineStr">
        <is>
          <t>https://new.land.naver.com/complexes/123363?tab=detail&amp;rf=Y</t>
        </is>
      </c>
      <c r="AA134" s="0" t="inlineStr">
        <is>
          <t>인천시 서구 가정동 루원시티 주상 1,2 BL</t>
        </is>
      </c>
      <c r="AB134" s="0" t="inlineStr">
        <is>
          <t>인천시</t>
        </is>
      </c>
      <c r="AC134" s="0" t="inlineStr">
        <is>
          <t>서구</t>
        </is>
      </c>
      <c r="AD134" s="0" t="inlineStr">
        <is>
          <t>가정동</t>
        </is>
      </c>
      <c r="AG134" s="0" t="inlineStr">
        <is>
          <t>인천시 서구 가정로 437</t>
        </is>
      </c>
      <c r="AH134" s="0" t="n">
        <v>0</v>
      </c>
      <c r="AI134" s="0" t="n">
        <v>439</v>
      </c>
      <c r="AJ134" s="0" t="n">
        <v>29</v>
      </c>
      <c r="AK134" s="0" t="n">
        <v>2955</v>
      </c>
      <c r="AL134" s="0" t="n">
        <v>1.24</v>
      </c>
    </row>
    <row r="135">
      <c r="A135" s="0" t="inlineStr">
        <is>
          <t>[가정동]</t>
        </is>
      </c>
      <c r="B135" s="0" t="n">
        <v>123363</v>
      </c>
      <c r="C135" s="0" t="n">
        <v>4</v>
      </c>
      <c r="D135" s="0" t="inlineStr">
        <is>
          <t>루원시티SK리더스뷰(주)</t>
        </is>
      </c>
      <c r="E135" s="0" t="inlineStr">
        <is>
          <t>2022.01.</t>
        </is>
      </c>
      <c r="F135" s="0" t="n">
        <v>2378</v>
      </c>
      <c r="G135" s="0" t="n">
        <v>34.03</v>
      </c>
      <c r="H135" s="0" t="n">
        <v>112.51</v>
      </c>
      <c r="I135" s="0" t="n">
        <v>25.6</v>
      </c>
      <c r="J135" s="0" t="n">
        <v>84.64</v>
      </c>
      <c r="K135" s="0" t="n">
        <v>348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112E</t>
        </is>
      </c>
      <c r="X135" s="0" t="n">
        <v>45</v>
      </c>
      <c r="Y135" s="0" t="n">
        <v>37</v>
      </c>
      <c r="Z135" s="0" t="inlineStr">
        <is>
          <t>https://new.land.naver.com/complexes/123363?tab=detail&amp;rf=Y</t>
        </is>
      </c>
      <c r="AA135" s="0" t="inlineStr">
        <is>
          <t>인천시 서구 가정동 루원시티 주상 1,2 BL</t>
        </is>
      </c>
      <c r="AB135" s="0" t="inlineStr">
        <is>
          <t>인천시</t>
        </is>
      </c>
      <c r="AC135" s="0" t="inlineStr">
        <is>
          <t>서구</t>
        </is>
      </c>
      <c r="AD135" s="0" t="inlineStr">
        <is>
          <t>가정동</t>
        </is>
      </c>
      <c r="AG135" s="0" t="inlineStr">
        <is>
          <t>인천시 서구 가정로 437</t>
        </is>
      </c>
      <c r="AH135" s="0" t="n">
        <v>0</v>
      </c>
      <c r="AI135" s="0" t="n">
        <v>439</v>
      </c>
      <c r="AJ135" s="0" t="n">
        <v>29</v>
      </c>
      <c r="AK135" s="0" t="n">
        <v>2955</v>
      </c>
      <c r="AL135" s="0" t="n">
        <v>1.24</v>
      </c>
    </row>
    <row r="136">
      <c r="A136" s="0" t="inlineStr">
        <is>
          <t>[가정동]</t>
        </is>
      </c>
      <c r="B136" s="0" t="n">
        <v>123363</v>
      </c>
      <c r="C136" s="0" t="n">
        <v>5</v>
      </c>
      <c r="D136" s="0" t="inlineStr">
        <is>
          <t>루원시티SK리더스뷰(주)</t>
        </is>
      </c>
      <c r="E136" s="0" t="inlineStr">
        <is>
          <t>2022.01.</t>
        </is>
      </c>
      <c r="F136" s="0" t="n">
        <v>2378</v>
      </c>
      <c r="G136" s="0" t="n">
        <v>34.12</v>
      </c>
      <c r="H136" s="0" t="n">
        <v>112.81</v>
      </c>
      <c r="I136" s="0" t="n">
        <v>25.69</v>
      </c>
      <c r="J136" s="0" t="n">
        <v>84.94</v>
      </c>
      <c r="K136" s="0" t="n">
        <v>292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112C</t>
        </is>
      </c>
      <c r="X136" s="0" t="n">
        <v>45</v>
      </c>
      <c r="Y136" s="0" t="n">
        <v>37</v>
      </c>
      <c r="Z136" s="0" t="inlineStr">
        <is>
          <t>https://new.land.naver.com/complexes/123363?tab=detail&amp;rf=Y</t>
        </is>
      </c>
      <c r="AA136" s="0" t="inlineStr">
        <is>
          <t>인천시 서구 가정동 루원시티 주상 1,2 BL</t>
        </is>
      </c>
      <c r="AB136" s="0" t="inlineStr">
        <is>
          <t>인천시</t>
        </is>
      </c>
      <c r="AC136" s="0" t="inlineStr">
        <is>
          <t>서구</t>
        </is>
      </c>
      <c r="AD136" s="0" t="inlineStr">
        <is>
          <t>가정동</t>
        </is>
      </c>
      <c r="AG136" s="0" t="inlineStr">
        <is>
          <t>인천시 서구 가정로 437</t>
        </is>
      </c>
      <c r="AH136" s="0" t="n">
        <v>0</v>
      </c>
      <c r="AI136" s="0" t="n">
        <v>439</v>
      </c>
      <c r="AJ136" s="0" t="n">
        <v>29</v>
      </c>
      <c r="AK136" s="0" t="n">
        <v>2955</v>
      </c>
      <c r="AL136" s="0" t="n">
        <v>1.24</v>
      </c>
    </row>
    <row r="137">
      <c r="A137" s="0" t="inlineStr">
        <is>
          <t>[가정동]</t>
        </is>
      </c>
      <c r="B137" s="0" t="n">
        <v>123363</v>
      </c>
      <c r="C137" s="0" t="n">
        <v>6</v>
      </c>
      <c r="D137" s="0" t="inlineStr">
        <is>
          <t>루원시티SK리더스뷰(주)</t>
        </is>
      </c>
      <c r="E137" s="0" t="inlineStr">
        <is>
          <t>2022.01.</t>
        </is>
      </c>
      <c r="F137" s="0" t="n">
        <v>2378</v>
      </c>
      <c r="G137" s="0" t="n">
        <v>33.98</v>
      </c>
      <c r="H137" s="0" t="n">
        <v>112.35</v>
      </c>
      <c r="I137" s="0" t="n">
        <v>25.66</v>
      </c>
      <c r="J137" s="0" t="n">
        <v>84.83</v>
      </c>
      <c r="K137" s="0" t="n">
        <v>156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112B</t>
        </is>
      </c>
      <c r="X137" s="0" t="n">
        <v>45</v>
      </c>
      <c r="Y137" s="0" t="n">
        <v>37</v>
      </c>
      <c r="Z137" s="0" t="inlineStr">
        <is>
          <t>https://new.land.naver.com/complexes/123363?tab=detail&amp;rf=Y</t>
        </is>
      </c>
      <c r="AA137" s="0" t="inlineStr">
        <is>
          <t>인천시 서구 가정동 루원시티 주상 1,2 BL</t>
        </is>
      </c>
      <c r="AB137" s="0" t="inlineStr">
        <is>
          <t>인천시</t>
        </is>
      </c>
      <c r="AC137" s="0" t="inlineStr">
        <is>
          <t>서구</t>
        </is>
      </c>
      <c r="AD137" s="0" t="inlineStr">
        <is>
          <t>가정동</t>
        </is>
      </c>
      <c r="AG137" s="0" t="inlineStr">
        <is>
          <t>인천시 서구 가정로 437</t>
        </is>
      </c>
      <c r="AH137" s="0" t="n">
        <v>0</v>
      </c>
      <c r="AI137" s="0" t="n">
        <v>439</v>
      </c>
      <c r="AJ137" s="0" t="n">
        <v>29</v>
      </c>
      <c r="AK137" s="0" t="n">
        <v>2955</v>
      </c>
      <c r="AL137" s="0" t="n">
        <v>1.24</v>
      </c>
    </row>
    <row r="138">
      <c r="A138" s="0" t="inlineStr">
        <is>
          <t>[가정동]</t>
        </is>
      </c>
      <c r="B138" s="0" t="n">
        <v>123363</v>
      </c>
      <c r="C138" s="0" t="n">
        <v>7</v>
      </c>
      <c r="D138" s="0" t="inlineStr">
        <is>
          <t>루원시티SK리더스뷰(주)</t>
        </is>
      </c>
      <c r="E138" s="0" t="inlineStr">
        <is>
          <t>2022.01.</t>
        </is>
      </c>
      <c r="F138" s="0" t="n">
        <v>2378</v>
      </c>
      <c r="G138" s="0" t="n">
        <v>35.12</v>
      </c>
      <c r="H138" s="0" t="n">
        <v>116.1</v>
      </c>
      <c r="I138" s="0" t="n">
        <v>25.7</v>
      </c>
      <c r="J138" s="0" t="n">
        <v>84.97</v>
      </c>
      <c r="K138" s="0" t="n">
        <v>7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116F</t>
        </is>
      </c>
      <c r="X138" s="0" t="n">
        <v>45</v>
      </c>
      <c r="Y138" s="0" t="n">
        <v>37</v>
      </c>
      <c r="Z138" s="0" t="inlineStr">
        <is>
          <t>https://new.land.naver.com/complexes/123363?tab=detail&amp;rf=Y</t>
        </is>
      </c>
      <c r="AA138" s="0" t="inlineStr">
        <is>
          <t>인천시 서구 가정동 루원시티 주상 1,2 BL</t>
        </is>
      </c>
      <c r="AB138" s="0" t="inlineStr">
        <is>
          <t>인천시</t>
        </is>
      </c>
      <c r="AC138" s="0" t="inlineStr">
        <is>
          <t>서구</t>
        </is>
      </c>
      <c r="AD138" s="0" t="inlineStr">
        <is>
          <t>가정동</t>
        </is>
      </c>
      <c r="AG138" s="0" t="inlineStr">
        <is>
          <t>인천시 서구 가정로 437</t>
        </is>
      </c>
      <c r="AH138" s="0" t="n">
        <v>0</v>
      </c>
      <c r="AI138" s="0" t="n">
        <v>439</v>
      </c>
      <c r="AJ138" s="0" t="n">
        <v>29</v>
      </c>
      <c r="AK138" s="0" t="n">
        <v>2955</v>
      </c>
      <c r="AL138" s="0" t="n">
        <v>1.24</v>
      </c>
    </row>
    <row r="139">
      <c r="A139" s="0" t="inlineStr">
        <is>
          <t>[가정동]</t>
        </is>
      </c>
      <c r="B139" s="0" t="n">
        <v>123363</v>
      </c>
      <c r="C139" s="0" t="n">
        <v>8</v>
      </c>
      <c r="D139" s="0" t="inlineStr">
        <is>
          <t>루원시티SK리더스뷰(주)</t>
        </is>
      </c>
      <c r="E139" s="0" t="inlineStr">
        <is>
          <t>2022.01.</t>
        </is>
      </c>
      <c r="F139" s="0" t="n">
        <v>2378</v>
      </c>
      <c r="G139" s="0" t="n">
        <v>35.12</v>
      </c>
      <c r="H139" s="0" t="n">
        <v>116.1</v>
      </c>
      <c r="I139" s="0" t="n">
        <v>25.7</v>
      </c>
      <c r="J139" s="0" t="n">
        <v>84.97</v>
      </c>
      <c r="K139" s="0" t="n">
        <v>7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116G</t>
        </is>
      </c>
      <c r="X139" s="0" t="n">
        <v>45</v>
      </c>
      <c r="Y139" s="0" t="n">
        <v>37</v>
      </c>
      <c r="Z139" s="0" t="inlineStr">
        <is>
          <t>https://new.land.naver.com/complexes/123363?tab=detail&amp;rf=Y</t>
        </is>
      </c>
      <c r="AA139" s="0" t="inlineStr">
        <is>
          <t>인천시 서구 가정동 루원시티 주상 1,2 BL</t>
        </is>
      </c>
      <c r="AB139" s="0" t="inlineStr">
        <is>
          <t>인천시</t>
        </is>
      </c>
      <c r="AC139" s="0" t="inlineStr">
        <is>
          <t>서구</t>
        </is>
      </c>
      <c r="AD139" s="0" t="inlineStr">
        <is>
          <t>가정동</t>
        </is>
      </c>
      <c r="AG139" s="0" t="inlineStr">
        <is>
          <t>인천시 서구 가정로 437</t>
        </is>
      </c>
      <c r="AH139" s="0" t="n">
        <v>0</v>
      </c>
      <c r="AI139" s="0" t="n">
        <v>439</v>
      </c>
      <c r="AJ139" s="0" t="n">
        <v>29</v>
      </c>
      <c r="AK139" s="0" t="n">
        <v>2955</v>
      </c>
      <c r="AL139" s="0" t="n">
        <v>1.24</v>
      </c>
    </row>
    <row r="140">
      <c r="A140" s="0" t="inlineStr">
        <is>
          <t>[가정동]</t>
        </is>
      </c>
      <c r="B140" s="0" t="n">
        <v>123363</v>
      </c>
      <c r="C140" s="0" t="n">
        <v>9</v>
      </c>
      <c r="D140" s="0" t="inlineStr">
        <is>
          <t>루원시티SK리더스뷰(주)</t>
        </is>
      </c>
      <c r="E140" s="0" t="inlineStr">
        <is>
          <t>2022.01.</t>
        </is>
      </c>
      <c r="F140" s="0" t="n">
        <v>2378</v>
      </c>
      <c r="G140" s="0" t="n">
        <v>39.91</v>
      </c>
      <c r="H140" s="0" t="n">
        <v>131.96</v>
      </c>
      <c r="I140" s="0" t="n">
        <v>30.53</v>
      </c>
      <c r="J140" s="0" t="n">
        <v>100.94</v>
      </c>
      <c r="K140" s="0" t="n">
        <v>80</v>
      </c>
      <c r="T140" s="0" t="n">
        <v>4</v>
      </c>
      <c r="U140" s="0" t="n">
        <v>2</v>
      </c>
      <c r="V140" s="0" t="inlineStr">
        <is>
          <t>계단식</t>
        </is>
      </c>
      <c r="W140" s="0" t="inlineStr">
        <is>
          <t>131A</t>
        </is>
      </c>
      <c r="X140" s="0" t="n">
        <v>45</v>
      </c>
      <c r="Y140" s="0" t="n">
        <v>37</v>
      </c>
      <c r="Z140" s="0" t="inlineStr">
        <is>
          <t>https://new.land.naver.com/complexes/123363?tab=detail&amp;rf=Y</t>
        </is>
      </c>
      <c r="AA140" s="0" t="inlineStr">
        <is>
          <t>인천시 서구 가정동 루원시티 주상 1,2 BL</t>
        </is>
      </c>
      <c r="AB140" s="0" t="inlineStr">
        <is>
          <t>인천시</t>
        </is>
      </c>
      <c r="AC140" s="0" t="inlineStr">
        <is>
          <t>서구</t>
        </is>
      </c>
      <c r="AD140" s="0" t="inlineStr">
        <is>
          <t>가정동</t>
        </is>
      </c>
      <c r="AG140" s="0" t="inlineStr">
        <is>
          <t>인천시 서구 가정로 437</t>
        </is>
      </c>
      <c r="AH140" s="0" t="n">
        <v>0</v>
      </c>
      <c r="AI140" s="0" t="n">
        <v>439</v>
      </c>
      <c r="AJ140" s="0" t="n">
        <v>29</v>
      </c>
      <c r="AK140" s="0" t="n">
        <v>2955</v>
      </c>
      <c r="AL140" s="0" t="n">
        <v>1.24</v>
      </c>
    </row>
    <row r="141">
      <c r="A141" s="0" t="inlineStr">
        <is>
          <t>[가정동]</t>
        </is>
      </c>
      <c r="B141" s="0" t="n">
        <v>123363</v>
      </c>
      <c r="C141" s="0" t="n">
        <v>10</v>
      </c>
      <c r="D141" s="0" t="inlineStr">
        <is>
          <t>루원시티SK리더스뷰(주)</t>
        </is>
      </c>
      <c r="E141" s="0" t="inlineStr">
        <is>
          <t>2022.01.</t>
        </is>
      </c>
      <c r="F141" s="0" t="n">
        <v>2378</v>
      </c>
      <c r="G141" s="0" t="n">
        <v>40.09</v>
      </c>
      <c r="H141" s="0" t="n">
        <v>132.56</v>
      </c>
      <c r="I141" s="0" t="n">
        <v>30.51</v>
      </c>
      <c r="J141" s="0" t="n">
        <v>100.88</v>
      </c>
      <c r="K141" s="0" t="n">
        <v>82</v>
      </c>
      <c r="T141" s="0" t="n">
        <v>4</v>
      </c>
      <c r="U141" s="0" t="n">
        <v>2</v>
      </c>
      <c r="V141" s="0" t="inlineStr">
        <is>
          <t>계단식</t>
        </is>
      </c>
      <c r="W141" s="0" t="inlineStr">
        <is>
          <t>132B</t>
        </is>
      </c>
      <c r="X141" s="0" t="n">
        <v>45</v>
      </c>
      <c r="Y141" s="0" t="n">
        <v>37</v>
      </c>
      <c r="Z141" s="0" t="inlineStr">
        <is>
          <t>https://new.land.naver.com/complexes/123363?tab=detail&amp;rf=Y</t>
        </is>
      </c>
      <c r="AA141" s="0" t="inlineStr">
        <is>
          <t>인천시 서구 가정동 루원시티 주상 1,2 BL</t>
        </is>
      </c>
      <c r="AB141" s="0" t="inlineStr">
        <is>
          <t>인천시</t>
        </is>
      </c>
      <c r="AC141" s="0" t="inlineStr">
        <is>
          <t>서구</t>
        </is>
      </c>
      <c r="AD141" s="0" t="inlineStr">
        <is>
          <t>가정동</t>
        </is>
      </c>
      <c r="AG141" s="0" t="inlineStr">
        <is>
          <t>인천시 서구 가정로 437</t>
        </is>
      </c>
      <c r="AH141" s="0" t="n">
        <v>0</v>
      </c>
      <c r="AI141" s="0" t="n">
        <v>439</v>
      </c>
      <c r="AJ141" s="0" t="n">
        <v>29</v>
      </c>
      <c r="AK141" s="0" t="n">
        <v>2955</v>
      </c>
      <c r="AL141" s="0" t="n">
        <v>1.24</v>
      </c>
    </row>
    <row r="142">
      <c r="A142" s="0" t="inlineStr">
        <is>
          <t>[가정동]</t>
        </is>
      </c>
      <c r="B142" s="0" t="n">
        <v>123363</v>
      </c>
      <c r="C142" s="0" t="n">
        <v>11</v>
      </c>
      <c r="D142" s="0" t="inlineStr">
        <is>
          <t>루원시티SK리더스뷰(주)</t>
        </is>
      </c>
      <c r="E142" s="0" t="inlineStr">
        <is>
          <t>2022.01.</t>
        </is>
      </c>
      <c r="F142" s="0" t="n">
        <v>2378</v>
      </c>
      <c r="G142" s="0" t="n">
        <v>42.23</v>
      </c>
      <c r="H142" s="0" t="n">
        <v>139.61</v>
      </c>
      <c r="I142" s="0" t="n">
        <v>31.09</v>
      </c>
      <c r="J142" s="0" t="n">
        <v>102.78</v>
      </c>
      <c r="K142" s="0" t="n">
        <v>2</v>
      </c>
      <c r="T142" s="0" t="n">
        <v>4</v>
      </c>
      <c r="U142" s="0" t="n">
        <v>2</v>
      </c>
      <c r="V142" s="0" t="inlineStr">
        <is>
          <t>계단식</t>
        </is>
      </c>
      <c r="W142" s="0" t="inlineStr">
        <is>
          <t>139P</t>
        </is>
      </c>
      <c r="X142" s="0" t="n">
        <v>45</v>
      </c>
      <c r="Y142" s="0" t="n">
        <v>37</v>
      </c>
      <c r="Z142" s="0" t="inlineStr">
        <is>
          <t>https://new.land.naver.com/complexes/123363?tab=detail&amp;rf=Y</t>
        </is>
      </c>
      <c r="AA142" s="0" t="inlineStr">
        <is>
          <t>인천시 서구 가정동 루원시티 주상 1,2 BL</t>
        </is>
      </c>
      <c r="AB142" s="0" t="inlineStr">
        <is>
          <t>인천시</t>
        </is>
      </c>
      <c r="AC142" s="0" t="inlineStr">
        <is>
          <t>서구</t>
        </is>
      </c>
      <c r="AD142" s="0" t="inlineStr">
        <is>
          <t>가정동</t>
        </is>
      </c>
      <c r="AG142" s="0" t="inlineStr">
        <is>
          <t>인천시 서구 가정로 437</t>
        </is>
      </c>
      <c r="AH142" s="0" t="n">
        <v>0</v>
      </c>
      <c r="AI142" s="0" t="n">
        <v>439</v>
      </c>
      <c r="AJ142" s="0" t="n">
        <v>29</v>
      </c>
      <c r="AK142" s="0" t="n">
        <v>2955</v>
      </c>
      <c r="AL142" s="0" t="n">
        <v>1.24</v>
      </c>
    </row>
    <row r="143">
      <c r="A143" s="0" t="inlineStr">
        <is>
          <t>[가정동]</t>
        </is>
      </c>
      <c r="B143" s="0" t="n">
        <v>127909</v>
      </c>
      <c r="C143" s="0" t="n">
        <v>1</v>
      </c>
      <c r="D143" s="0" t="inlineStr">
        <is>
          <t>루원시티린스트라우스</t>
        </is>
      </c>
      <c r="E143" s="0" t="inlineStr">
        <is>
          <t>2023.06.</t>
        </is>
      </c>
      <c r="F143" s="0" t="n">
        <v>1412</v>
      </c>
      <c r="G143" s="0" t="n">
        <v>36.84</v>
      </c>
      <c r="H143" s="0" t="n">
        <v>121.81</v>
      </c>
      <c r="I143" s="0" t="n">
        <v>25.63</v>
      </c>
      <c r="J143" s="0" t="n">
        <v>84.75</v>
      </c>
      <c r="K143" s="0" t="n">
        <v>593</v>
      </c>
      <c r="T143" s="0" t="n">
        <v>3</v>
      </c>
      <c r="U143" s="0" t="n">
        <v>2</v>
      </c>
      <c r="V143" s="0" t="inlineStr">
        <is>
          <t>계단식</t>
        </is>
      </c>
      <c r="W143" s="0" t="inlineStr">
        <is>
          <t>121A</t>
        </is>
      </c>
      <c r="X143" s="0" t="n">
        <v>47</v>
      </c>
      <c r="Y143" s="0" t="n">
        <v>46</v>
      </c>
      <c r="Z143" s="0" t="inlineStr">
        <is>
          <t>https://new.land.naver.com/complexes/127909?tab=detail&amp;rf=Y</t>
        </is>
      </c>
      <c r="AA143" s="0" t="inlineStr">
        <is>
          <t>인천시 서구 가정동 루원시티 주상7BL</t>
        </is>
      </c>
      <c r="AB143" s="0" t="inlineStr">
        <is>
          <t>인천시</t>
        </is>
      </c>
      <c r="AC143" s="0" t="inlineStr">
        <is>
          <t>서구</t>
        </is>
      </c>
      <c r="AD143" s="0" t="inlineStr">
        <is>
          <t>가정동</t>
        </is>
      </c>
      <c r="AG143" s="0" t="inlineStr">
        <is>
          <t>인천시 서구</t>
        </is>
      </c>
      <c r="AH143" s="0" t="n">
        <v>0</v>
      </c>
      <c r="AI143" s="0" t="n">
        <v>0</v>
      </c>
      <c r="AJ143" s="0" t="n">
        <v>0</v>
      </c>
      <c r="AK143" s="0" t="n">
        <v>1696</v>
      </c>
      <c r="AL143" s="0" t="n">
        <v>1.2</v>
      </c>
    </row>
    <row r="144">
      <c r="A144" s="0" t="inlineStr">
        <is>
          <t>[가정동]</t>
        </is>
      </c>
      <c r="B144" s="0" t="n">
        <v>127909</v>
      </c>
      <c r="C144" s="0" t="n">
        <v>2</v>
      </c>
      <c r="D144" s="0" t="inlineStr">
        <is>
          <t>루원시티린스트라우스</t>
        </is>
      </c>
      <c r="E144" s="0" t="inlineStr">
        <is>
          <t>2023.06.</t>
        </is>
      </c>
      <c r="F144" s="0" t="n">
        <v>1412</v>
      </c>
      <c r="G144" s="0" t="n">
        <v>36.78</v>
      </c>
      <c r="H144" s="0" t="n">
        <v>121.61</v>
      </c>
      <c r="I144" s="0" t="n">
        <v>25.63</v>
      </c>
      <c r="J144" s="0" t="n">
        <v>84.73999999999999</v>
      </c>
      <c r="K144" s="0" t="n">
        <v>276</v>
      </c>
      <c r="T144" s="0" t="n">
        <v>3</v>
      </c>
      <c r="U144" s="0" t="n">
        <v>2</v>
      </c>
      <c r="V144" s="0" t="inlineStr">
        <is>
          <t>계단식</t>
        </is>
      </c>
      <c r="W144" s="0" t="inlineStr">
        <is>
          <t>121C</t>
        </is>
      </c>
      <c r="X144" s="0" t="n">
        <v>47</v>
      </c>
      <c r="Y144" s="0" t="n">
        <v>46</v>
      </c>
      <c r="Z144" s="0" t="inlineStr">
        <is>
          <t>https://new.land.naver.com/complexes/127909?tab=detail&amp;rf=Y</t>
        </is>
      </c>
      <c r="AA144" s="0" t="inlineStr">
        <is>
          <t>인천시 서구 가정동 루원시티 주상7BL</t>
        </is>
      </c>
      <c r="AB144" s="0" t="inlineStr">
        <is>
          <t>인천시</t>
        </is>
      </c>
      <c r="AC144" s="0" t="inlineStr">
        <is>
          <t>서구</t>
        </is>
      </c>
      <c r="AD144" s="0" t="inlineStr">
        <is>
          <t>가정동</t>
        </is>
      </c>
      <c r="AG144" s="0" t="inlineStr">
        <is>
          <t>인천시 서구</t>
        </is>
      </c>
      <c r="AH144" s="0" t="n">
        <v>0</v>
      </c>
      <c r="AI144" s="0" t="n">
        <v>0</v>
      </c>
      <c r="AJ144" s="0" t="n">
        <v>0</v>
      </c>
      <c r="AK144" s="0" t="n">
        <v>1696</v>
      </c>
      <c r="AL144" s="0" t="n">
        <v>1.2</v>
      </c>
    </row>
    <row r="145">
      <c r="A145" s="0" t="inlineStr">
        <is>
          <t>[가정동]</t>
        </is>
      </c>
      <c r="B145" s="0" t="n">
        <v>127909</v>
      </c>
      <c r="C145" s="0" t="n">
        <v>3</v>
      </c>
      <c r="D145" s="0" t="inlineStr">
        <is>
          <t>루원시티린스트라우스</t>
        </is>
      </c>
      <c r="E145" s="0" t="inlineStr">
        <is>
          <t>2023.06.</t>
        </is>
      </c>
      <c r="F145" s="0" t="n">
        <v>1412</v>
      </c>
      <c r="G145" s="0" t="n">
        <v>36.82</v>
      </c>
      <c r="H145" s="0" t="n">
        <v>121.72</v>
      </c>
      <c r="I145" s="0" t="n">
        <v>25.58</v>
      </c>
      <c r="J145" s="0" t="n">
        <v>84.58</v>
      </c>
      <c r="K145" s="0" t="n">
        <v>45</v>
      </c>
      <c r="T145" s="0" t="n">
        <v>3</v>
      </c>
      <c r="U145" s="0" t="n">
        <v>2</v>
      </c>
      <c r="V145" s="0" t="inlineStr">
        <is>
          <t>계단식</t>
        </is>
      </c>
      <c r="W145" s="0" t="inlineStr">
        <is>
          <t>121D</t>
        </is>
      </c>
      <c r="X145" s="0" t="n">
        <v>47</v>
      </c>
      <c r="Y145" s="0" t="n">
        <v>46</v>
      </c>
      <c r="Z145" s="0" t="inlineStr">
        <is>
          <t>https://new.land.naver.com/complexes/127909?tab=detail&amp;rf=Y</t>
        </is>
      </c>
      <c r="AA145" s="0" t="inlineStr">
        <is>
          <t>인천시 서구 가정동 루원시티 주상7BL</t>
        </is>
      </c>
      <c r="AB145" s="0" t="inlineStr">
        <is>
          <t>인천시</t>
        </is>
      </c>
      <c r="AC145" s="0" t="inlineStr">
        <is>
          <t>서구</t>
        </is>
      </c>
      <c r="AD145" s="0" t="inlineStr">
        <is>
          <t>가정동</t>
        </is>
      </c>
      <c r="AG145" s="0" t="inlineStr">
        <is>
          <t>인천시 서구</t>
        </is>
      </c>
      <c r="AH145" s="0" t="n">
        <v>0</v>
      </c>
      <c r="AI145" s="0" t="n">
        <v>0</v>
      </c>
      <c r="AJ145" s="0" t="n">
        <v>0</v>
      </c>
      <c r="AK145" s="0" t="n">
        <v>1696</v>
      </c>
      <c r="AL145" s="0" t="n">
        <v>1.2</v>
      </c>
    </row>
    <row r="146">
      <c r="A146" s="0" t="inlineStr">
        <is>
          <t>[가정동]</t>
        </is>
      </c>
      <c r="B146" s="0" t="n">
        <v>127909</v>
      </c>
      <c r="C146" s="0" t="n">
        <v>4</v>
      </c>
      <c r="D146" s="0" t="inlineStr">
        <is>
          <t>루원시티린스트라우스</t>
        </is>
      </c>
      <c r="E146" s="0" t="inlineStr">
        <is>
          <t>2023.06.</t>
        </is>
      </c>
      <c r="F146" s="0" t="n">
        <v>1412</v>
      </c>
      <c r="G146" s="0" t="n">
        <v>36.98</v>
      </c>
      <c r="H146" s="0" t="n">
        <v>122.26</v>
      </c>
      <c r="I146" s="0" t="n">
        <v>25.63</v>
      </c>
      <c r="J146" s="0" t="n">
        <v>84.76000000000001</v>
      </c>
      <c r="K146" s="0" t="n">
        <v>498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122B</t>
        </is>
      </c>
      <c r="X146" s="0" t="n">
        <v>47</v>
      </c>
      <c r="Y146" s="0" t="n">
        <v>46</v>
      </c>
      <c r="Z146" s="0" t="inlineStr">
        <is>
          <t>https://new.land.naver.com/complexes/127909?tab=detail&amp;rf=Y</t>
        </is>
      </c>
      <c r="AA146" s="0" t="inlineStr">
        <is>
          <t>인천시 서구 가정동 루원시티 주상7BL</t>
        </is>
      </c>
      <c r="AB146" s="0" t="inlineStr">
        <is>
          <t>인천시</t>
        </is>
      </c>
      <c r="AC146" s="0" t="inlineStr">
        <is>
          <t>서구</t>
        </is>
      </c>
      <c r="AD146" s="0" t="inlineStr">
        <is>
          <t>가정동</t>
        </is>
      </c>
      <c r="AG146" s="0" t="inlineStr">
        <is>
          <t>인천시 서구</t>
        </is>
      </c>
      <c r="AH146" s="0" t="n">
        <v>0</v>
      </c>
      <c r="AI146" s="0" t="n">
        <v>0</v>
      </c>
      <c r="AJ146" s="0" t="n">
        <v>0</v>
      </c>
      <c r="AK146" s="0" t="n">
        <v>1696</v>
      </c>
      <c r="AL146" s="0" t="n">
        <v>1.2</v>
      </c>
    </row>
    <row r="147">
      <c r="A147" s="0" t="inlineStr">
        <is>
          <t>[가좌동]</t>
        </is>
      </c>
      <c r="B147" s="0" t="n">
        <v>13987</v>
      </c>
      <c r="C147" s="0" t="n">
        <v>1</v>
      </c>
      <c r="D147" s="0" t="inlineStr">
        <is>
          <t>영남</t>
        </is>
      </c>
      <c r="E147" s="0" t="inlineStr">
        <is>
          <t>1985.07.</t>
        </is>
      </c>
      <c r="F147" s="0" t="n">
        <v>195</v>
      </c>
      <c r="G147" s="0" t="n">
        <v>19.61</v>
      </c>
      <c r="H147" s="0" t="n">
        <v>64.84999999999999</v>
      </c>
      <c r="I147" s="0" t="n">
        <v>16.71</v>
      </c>
      <c r="J147" s="0" t="n">
        <v>55.26</v>
      </c>
      <c r="K147" s="0" t="n">
        <v>60</v>
      </c>
      <c r="T147" s="0" t="n">
        <v>3</v>
      </c>
      <c r="U147" s="0" t="n">
        <v>1</v>
      </c>
      <c r="V147" s="0" t="inlineStr">
        <is>
          <t>계단식</t>
        </is>
      </c>
      <c r="W147" s="0" t="n">
        <v>64</v>
      </c>
      <c r="X147" s="0" t="n">
        <v>5</v>
      </c>
      <c r="Y147" s="0" t="n">
        <v>5</v>
      </c>
      <c r="Z147" s="0" t="inlineStr">
        <is>
          <t>https://new.land.naver.com/complexes/13987?tab=detail&amp;rf=Y</t>
        </is>
      </c>
      <c r="AA147" s="0" t="inlineStr">
        <is>
          <t>인천시 서구 가좌동 207-1</t>
        </is>
      </c>
      <c r="AB147" s="0" t="inlineStr">
        <is>
          <t>인천시</t>
        </is>
      </c>
      <c r="AC147" s="0" t="inlineStr">
        <is>
          <t>서구</t>
        </is>
      </c>
      <c r="AD147" s="0" t="inlineStr">
        <is>
          <t>가좌동</t>
        </is>
      </c>
      <c r="AG147" s="0" t="inlineStr">
        <is>
          <t>인천시 서구 건지로334번길 50</t>
        </is>
      </c>
      <c r="AH147" s="0" t="n">
        <v>0</v>
      </c>
      <c r="AI147" s="0" t="n">
        <v>169</v>
      </c>
      <c r="AJ147" s="0" t="n">
        <v>33</v>
      </c>
      <c r="AK147" s="0" t="n">
        <v>0</v>
      </c>
      <c r="AL147" s="0" t="n">
        <v>0</v>
      </c>
    </row>
    <row r="148">
      <c r="A148" s="0" t="inlineStr">
        <is>
          <t>[가좌동]</t>
        </is>
      </c>
      <c r="B148" s="0" t="n">
        <v>13987</v>
      </c>
      <c r="C148" s="0" t="n">
        <v>2</v>
      </c>
      <c r="D148" s="0" t="inlineStr">
        <is>
          <t>영남</t>
        </is>
      </c>
      <c r="E148" s="0" t="inlineStr">
        <is>
          <t>1985.07.</t>
        </is>
      </c>
      <c r="F148" s="0" t="n">
        <v>195</v>
      </c>
      <c r="G148" s="0" t="n">
        <v>21.22</v>
      </c>
      <c r="H148" s="0" t="n">
        <v>70.17</v>
      </c>
      <c r="I148" s="0" t="n">
        <v>18.21</v>
      </c>
      <c r="J148" s="0" t="n">
        <v>60.21</v>
      </c>
      <c r="K148" s="0" t="n">
        <v>130</v>
      </c>
      <c r="T148" s="0" t="n">
        <v>3</v>
      </c>
      <c r="U148" s="0" t="n">
        <v>1</v>
      </c>
      <c r="V148" s="0" t="inlineStr">
        <is>
          <t>계단식</t>
        </is>
      </c>
      <c r="W148" s="0" t="n">
        <v>70</v>
      </c>
      <c r="X148" s="0" t="n">
        <v>5</v>
      </c>
      <c r="Y148" s="0" t="n">
        <v>5</v>
      </c>
      <c r="Z148" s="0" t="inlineStr">
        <is>
          <t>https://new.land.naver.com/complexes/13987?tab=detail&amp;rf=Y</t>
        </is>
      </c>
      <c r="AA148" s="0" t="inlineStr">
        <is>
          <t>인천시 서구 가좌동 207-1</t>
        </is>
      </c>
      <c r="AB148" s="0" t="inlineStr">
        <is>
          <t>인천시</t>
        </is>
      </c>
      <c r="AC148" s="0" t="inlineStr">
        <is>
          <t>서구</t>
        </is>
      </c>
      <c r="AD148" s="0" t="inlineStr">
        <is>
          <t>가좌동</t>
        </is>
      </c>
      <c r="AG148" s="0" t="inlineStr">
        <is>
          <t>인천시 서구 건지로334번길 50</t>
        </is>
      </c>
      <c r="AH148" s="0" t="n">
        <v>0</v>
      </c>
      <c r="AI148" s="0" t="n">
        <v>169</v>
      </c>
      <c r="AJ148" s="0" t="n">
        <v>33</v>
      </c>
      <c r="AK148" s="0" t="n">
        <v>0</v>
      </c>
      <c r="AL148" s="0" t="n">
        <v>0</v>
      </c>
    </row>
    <row r="149">
      <c r="A149" s="0" t="inlineStr">
        <is>
          <t>[가좌동]</t>
        </is>
      </c>
      <c r="B149" s="0" t="n">
        <v>13987</v>
      </c>
      <c r="C149" s="0" t="n">
        <v>3</v>
      </c>
      <c r="D149" s="0" t="inlineStr">
        <is>
          <t>영남</t>
        </is>
      </c>
      <c r="E149" s="0" t="inlineStr">
        <is>
          <t>1985.07.</t>
        </is>
      </c>
      <c r="F149" s="0" t="n">
        <v>195</v>
      </c>
      <c r="G149" s="0" t="n">
        <v>25.5</v>
      </c>
      <c r="H149" s="0" t="n">
        <v>84.31</v>
      </c>
      <c r="I149" s="0" t="n">
        <v>20.66</v>
      </c>
      <c r="J149" s="0" t="n">
        <v>68.31</v>
      </c>
      <c r="K149" s="0" t="n">
        <v>5</v>
      </c>
      <c r="T149" s="0" t="n">
        <v>3</v>
      </c>
      <c r="U149" s="0" t="n">
        <v>1</v>
      </c>
      <c r="V149" s="0" t="inlineStr">
        <is>
          <t>계단식</t>
        </is>
      </c>
      <c r="W149" s="0" t="n">
        <v>84</v>
      </c>
      <c r="X149" s="0" t="n">
        <v>5</v>
      </c>
      <c r="Y149" s="0" t="n">
        <v>5</v>
      </c>
      <c r="Z149" s="0" t="inlineStr">
        <is>
          <t>https://new.land.naver.com/complexes/13987?tab=detail&amp;rf=Y</t>
        </is>
      </c>
      <c r="AA149" s="0" t="inlineStr">
        <is>
          <t>인천시 서구 가좌동 207-1</t>
        </is>
      </c>
      <c r="AB149" s="0" t="inlineStr">
        <is>
          <t>인천시</t>
        </is>
      </c>
      <c r="AC149" s="0" t="inlineStr">
        <is>
          <t>서구</t>
        </is>
      </c>
      <c r="AD149" s="0" t="inlineStr">
        <is>
          <t>가좌동</t>
        </is>
      </c>
      <c r="AG149" s="0" t="inlineStr">
        <is>
          <t>인천시 서구 건지로334번길 50</t>
        </is>
      </c>
      <c r="AH149" s="0" t="n">
        <v>0</v>
      </c>
      <c r="AI149" s="0" t="n">
        <v>169</v>
      </c>
      <c r="AJ149" s="0" t="n">
        <v>33</v>
      </c>
      <c r="AK149" s="0" t="n">
        <v>0</v>
      </c>
      <c r="AL149" s="0" t="n">
        <v>0</v>
      </c>
    </row>
    <row r="150">
      <c r="A150" s="0" t="inlineStr">
        <is>
          <t>[가좌동]</t>
        </is>
      </c>
      <c r="B150" s="0" t="n">
        <v>2547</v>
      </c>
      <c r="C150" s="0" t="n">
        <v>1</v>
      </c>
      <c r="D150" s="0" t="inlineStr">
        <is>
          <t>풍림</t>
        </is>
      </c>
      <c r="E150" s="0" t="inlineStr">
        <is>
          <t>1996.09.</t>
        </is>
      </c>
      <c r="F150" s="0" t="n">
        <v>358</v>
      </c>
      <c r="G150" s="0" t="n">
        <v>23.83</v>
      </c>
      <c r="H150" s="0" t="n">
        <v>78.79000000000001</v>
      </c>
      <c r="I150" s="0" t="n">
        <v>18.13</v>
      </c>
      <c r="J150" s="0" t="n">
        <v>59.96</v>
      </c>
      <c r="K150" s="0" t="n">
        <v>178</v>
      </c>
      <c r="T150" s="0" t="n">
        <v>3</v>
      </c>
      <c r="U150" s="0" t="n">
        <v>1</v>
      </c>
      <c r="V150" s="0" t="inlineStr">
        <is>
          <t>계단식</t>
        </is>
      </c>
      <c r="W150" s="0" t="n">
        <v>78</v>
      </c>
      <c r="X150" s="0" t="n">
        <v>21</v>
      </c>
      <c r="Y150" s="0" t="n">
        <v>13</v>
      </c>
      <c r="Z150" s="0" t="inlineStr">
        <is>
          <t>https://new.land.naver.com/complexes/2547?tab=detail&amp;rf=Y</t>
        </is>
      </c>
      <c r="AA150" s="0" t="inlineStr">
        <is>
          <t>인천시 서구 가좌동 214</t>
        </is>
      </c>
      <c r="AB150" s="0" t="inlineStr">
        <is>
          <t>인천시</t>
        </is>
      </c>
      <c r="AC150" s="0" t="inlineStr">
        <is>
          <t>서구</t>
        </is>
      </c>
      <c r="AD150" s="0" t="inlineStr">
        <is>
          <t>가좌동</t>
        </is>
      </c>
      <c r="AG150" s="0" t="inlineStr">
        <is>
          <t>인천시 서구 원적로47번길 6</t>
        </is>
      </c>
      <c r="AH150" s="0" t="n">
        <v>0</v>
      </c>
      <c r="AI150" s="0" t="n">
        <v>289</v>
      </c>
      <c r="AJ150" s="0" t="n">
        <v>34</v>
      </c>
      <c r="AK150" s="0" t="n">
        <v>398</v>
      </c>
      <c r="AL150" s="0" t="n">
        <v>1.11</v>
      </c>
    </row>
    <row r="151">
      <c r="A151" s="0" t="inlineStr">
        <is>
          <t>[가좌동]</t>
        </is>
      </c>
      <c r="B151" s="0" t="n">
        <v>2547</v>
      </c>
      <c r="C151" s="0" t="n">
        <v>2</v>
      </c>
      <c r="D151" s="0" t="inlineStr">
        <is>
          <t>풍림</t>
        </is>
      </c>
      <c r="E151" s="0" t="inlineStr">
        <is>
          <t>1996.09.</t>
        </is>
      </c>
      <c r="F151" s="0" t="n">
        <v>358</v>
      </c>
      <c r="G151" s="0" t="n">
        <v>31.42</v>
      </c>
      <c r="H151" s="0" t="n">
        <v>103.88</v>
      </c>
      <c r="I151" s="0" t="n">
        <v>25.63</v>
      </c>
      <c r="J151" s="0" t="n">
        <v>84.76000000000001</v>
      </c>
      <c r="K151" s="0" t="n">
        <v>180</v>
      </c>
      <c r="T151" s="0" t="n">
        <v>3</v>
      </c>
      <c r="U151" s="0" t="n">
        <v>2</v>
      </c>
      <c r="V151" s="0" t="inlineStr">
        <is>
          <t>계단식</t>
        </is>
      </c>
      <c r="W151" s="0" t="n">
        <v>103</v>
      </c>
      <c r="X151" s="0" t="n">
        <v>21</v>
      </c>
      <c r="Y151" s="0" t="n">
        <v>13</v>
      </c>
      <c r="Z151" s="0" t="inlineStr">
        <is>
          <t>https://new.land.naver.com/complexes/2547?tab=detail&amp;rf=Y</t>
        </is>
      </c>
      <c r="AA151" s="0" t="inlineStr">
        <is>
          <t>인천시 서구 가좌동 214</t>
        </is>
      </c>
      <c r="AB151" s="0" t="inlineStr">
        <is>
          <t>인천시</t>
        </is>
      </c>
      <c r="AC151" s="0" t="inlineStr">
        <is>
          <t>서구</t>
        </is>
      </c>
      <c r="AD151" s="0" t="inlineStr">
        <is>
          <t>가좌동</t>
        </is>
      </c>
      <c r="AG151" s="0" t="inlineStr">
        <is>
          <t>인천시 서구 원적로47번길 6</t>
        </is>
      </c>
      <c r="AH151" s="0" t="n">
        <v>0</v>
      </c>
      <c r="AI151" s="0" t="n">
        <v>289</v>
      </c>
      <c r="AJ151" s="0" t="n">
        <v>34</v>
      </c>
      <c r="AK151" s="0" t="n">
        <v>398</v>
      </c>
      <c r="AL151" s="0" t="n">
        <v>1.11</v>
      </c>
    </row>
    <row r="152">
      <c r="A152" s="0" t="inlineStr">
        <is>
          <t>[가좌동]</t>
        </is>
      </c>
      <c r="B152" s="0" t="n">
        <v>9359</v>
      </c>
      <c r="C152" s="0" t="n">
        <v>1</v>
      </c>
      <c r="D152" s="0" t="inlineStr">
        <is>
          <t>한샘</t>
        </is>
      </c>
      <c r="E152" s="0" t="inlineStr">
        <is>
          <t>1983.12.</t>
        </is>
      </c>
      <c r="F152" s="0" t="n">
        <v>160</v>
      </c>
      <c r="G152" s="0" t="n">
        <v>13.96</v>
      </c>
      <c r="H152" s="0" t="n">
        <v>46.17</v>
      </c>
      <c r="I152" s="0" t="n">
        <v>13.96</v>
      </c>
      <c r="J152" s="0" t="n">
        <v>46.17</v>
      </c>
      <c r="K152" s="0" t="n">
        <v>50</v>
      </c>
      <c r="T152" s="0" t="n">
        <v>2</v>
      </c>
      <c r="U152" s="0" t="n">
        <v>1</v>
      </c>
      <c r="V152" s="0" t="inlineStr">
        <is>
          <t>계단식</t>
        </is>
      </c>
      <c r="W152" s="0" t="n">
        <v>46</v>
      </c>
      <c r="X152" s="0" t="n">
        <v>5</v>
      </c>
      <c r="Y152" s="0" t="n">
        <v>5</v>
      </c>
      <c r="Z152" s="0" t="inlineStr">
        <is>
          <t>https://new.land.naver.com/complexes/9359?tab=detail&amp;rf=Y</t>
        </is>
      </c>
      <c r="AA152" s="0" t="inlineStr">
        <is>
          <t>인천시 서구 가좌동 261-2</t>
        </is>
      </c>
      <c r="AB152" s="0" t="inlineStr">
        <is>
          <t>인천시</t>
        </is>
      </c>
      <c r="AC152" s="0" t="inlineStr">
        <is>
          <t>서구</t>
        </is>
      </c>
      <c r="AD152" s="0" t="inlineStr">
        <is>
          <t>가좌동</t>
        </is>
      </c>
      <c r="AG152" s="0" t="inlineStr">
        <is>
          <t>인천시 서구 원적로 31</t>
        </is>
      </c>
      <c r="AH152" s="0" t="n">
        <v>0</v>
      </c>
      <c r="AI152" s="0" t="n">
        <v>146</v>
      </c>
      <c r="AJ152" s="0" t="n">
        <v>29</v>
      </c>
      <c r="AK152" s="0" t="n">
        <v>0</v>
      </c>
      <c r="AL152" s="0" t="n">
        <v>0</v>
      </c>
    </row>
    <row r="153">
      <c r="A153" s="0" t="inlineStr">
        <is>
          <t>[가좌동]</t>
        </is>
      </c>
      <c r="B153" s="0" t="n">
        <v>9359</v>
      </c>
      <c r="C153" s="0" t="n">
        <v>2</v>
      </c>
      <c r="D153" s="0" t="inlineStr">
        <is>
          <t>한샘</t>
        </is>
      </c>
      <c r="E153" s="0" t="inlineStr">
        <is>
          <t>1983.12.</t>
        </is>
      </c>
      <c r="F153" s="0" t="n">
        <v>160</v>
      </c>
      <c r="G153" s="0" t="n">
        <v>15.89</v>
      </c>
      <c r="H153" s="0" t="n">
        <v>52.56</v>
      </c>
      <c r="I153" s="0" t="n">
        <v>15.89</v>
      </c>
      <c r="J153" s="0" t="n">
        <v>52.56</v>
      </c>
      <c r="K153" s="0" t="n">
        <v>40</v>
      </c>
      <c r="T153" s="0" t="n">
        <v>3</v>
      </c>
      <c r="U153" s="0" t="n">
        <v>1</v>
      </c>
      <c r="V153" s="0" t="inlineStr">
        <is>
          <t>계단식</t>
        </is>
      </c>
      <c r="W153" s="0" t="n">
        <v>52</v>
      </c>
      <c r="X153" s="0" t="n">
        <v>5</v>
      </c>
      <c r="Y153" s="0" t="n">
        <v>5</v>
      </c>
      <c r="Z153" s="0" t="inlineStr">
        <is>
          <t>https://new.land.naver.com/complexes/9359?tab=detail&amp;rf=Y</t>
        </is>
      </c>
      <c r="AA153" s="0" t="inlineStr">
        <is>
          <t>인천시 서구 가좌동 261-2</t>
        </is>
      </c>
      <c r="AB153" s="0" t="inlineStr">
        <is>
          <t>인천시</t>
        </is>
      </c>
      <c r="AC153" s="0" t="inlineStr">
        <is>
          <t>서구</t>
        </is>
      </c>
      <c r="AD153" s="0" t="inlineStr">
        <is>
          <t>가좌동</t>
        </is>
      </c>
      <c r="AG153" s="0" t="inlineStr">
        <is>
          <t>인천시 서구 원적로 31</t>
        </is>
      </c>
      <c r="AH153" s="0" t="n">
        <v>0</v>
      </c>
      <c r="AI153" s="0" t="n">
        <v>146</v>
      </c>
      <c r="AJ153" s="0" t="n">
        <v>29</v>
      </c>
      <c r="AK153" s="0" t="n">
        <v>0</v>
      </c>
      <c r="AL153" s="0" t="n">
        <v>0</v>
      </c>
    </row>
    <row r="154">
      <c r="A154" s="0" t="inlineStr">
        <is>
          <t>[가좌동]</t>
        </is>
      </c>
      <c r="B154" s="0" t="n">
        <v>9359</v>
      </c>
      <c r="C154" s="0" t="n">
        <v>3</v>
      </c>
      <c r="D154" s="0" t="inlineStr">
        <is>
          <t>한샘</t>
        </is>
      </c>
      <c r="E154" s="0" t="inlineStr">
        <is>
          <t>1983.12.</t>
        </is>
      </c>
      <c r="F154" s="0" t="n">
        <v>160</v>
      </c>
      <c r="G154" s="0" t="n">
        <v>18.05</v>
      </c>
      <c r="H154" s="0" t="n">
        <v>59.67</v>
      </c>
      <c r="I154" s="0" t="n">
        <v>18.05</v>
      </c>
      <c r="J154" s="0" t="n">
        <v>59.67</v>
      </c>
      <c r="K154" s="0" t="n">
        <v>30</v>
      </c>
      <c r="T154" s="0" t="n">
        <v>3</v>
      </c>
      <c r="U154" s="0" t="n">
        <v>1</v>
      </c>
      <c r="V154" s="0" t="inlineStr">
        <is>
          <t>계단식</t>
        </is>
      </c>
      <c r="W154" s="0" t="n">
        <v>59</v>
      </c>
      <c r="X154" s="0" t="n">
        <v>5</v>
      </c>
      <c r="Y154" s="0" t="n">
        <v>5</v>
      </c>
      <c r="Z154" s="0" t="inlineStr">
        <is>
          <t>https://new.land.naver.com/complexes/9359?tab=detail&amp;rf=Y</t>
        </is>
      </c>
      <c r="AA154" s="0" t="inlineStr">
        <is>
          <t>인천시 서구 가좌동 261-2</t>
        </is>
      </c>
      <c r="AB154" s="0" t="inlineStr">
        <is>
          <t>인천시</t>
        </is>
      </c>
      <c r="AC154" s="0" t="inlineStr">
        <is>
          <t>서구</t>
        </is>
      </c>
      <c r="AD154" s="0" t="inlineStr">
        <is>
          <t>가좌동</t>
        </is>
      </c>
      <c r="AG154" s="0" t="inlineStr">
        <is>
          <t>인천시 서구 원적로 31</t>
        </is>
      </c>
      <c r="AH154" s="0" t="n">
        <v>0</v>
      </c>
      <c r="AI154" s="0" t="n">
        <v>146</v>
      </c>
      <c r="AJ154" s="0" t="n">
        <v>29</v>
      </c>
      <c r="AK154" s="0" t="n">
        <v>0</v>
      </c>
      <c r="AL154" s="0" t="n">
        <v>0</v>
      </c>
    </row>
    <row r="155">
      <c r="A155" s="0" t="inlineStr">
        <is>
          <t>[가좌동]</t>
        </is>
      </c>
      <c r="B155" s="0" t="n">
        <v>9359</v>
      </c>
      <c r="C155" s="0" t="n">
        <v>4</v>
      </c>
      <c r="D155" s="0" t="inlineStr">
        <is>
          <t>한샘</t>
        </is>
      </c>
      <c r="E155" s="0" t="inlineStr">
        <is>
          <t>1983.12.</t>
        </is>
      </c>
      <c r="F155" s="0" t="n">
        <v>160</v>
      </c>
      <c r="G155" s="0" t="n">
        <v>19.38</v>
      </c>
      <c r="H155" s="0" t="n">
        <v>64.08</v>
      </c>
      <c r="I155" s="0" t="n">
        <v>19.38</v>
      </c>
      <c r="J155" s="0" t="n">
        <v>64.08</v>
      </c>
      <c r="K155" s="0" t="n">
        <v>40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64</v>
      </c>
      <c r="X155" s="0" t="n">
        <v>5</v>
      </c>
      <c r="Y155" s="0" t="n">
        <v>5</v>
      </c>
      <c r="Z155" s="0" t="inlineStr">
        <is>
          <t>https://new.land.naver.com/complexes/9359?tab=detail&amp;rf=Y</t>
        </is>
      </c>
      <c r="AA155" s="0" t="inlineStr">
        <is>
          <t>인천시 서구 가좌동 261-2</t>
        </is>
      </c>
      <c r="AB155" s="0" t="inlineStr">
        <is>
          <t>인천시</t>
        </is>
      </c>
      <c r="AC155" s="0" t="inlineStr">
        <is>
          <t>서구</t>
        </is>
      </c>
      <c r="AD155" s="0" t="inlineStr">
        <is>
          <t>가좌동</t>
        </is>
      </c>
      <c r="AG155" s="0" t="inlineStr">
        <is>
          <t>인천시 서구 원적로 31</t>
        </is>
      </c>
      <c r="AH155" s="0" t="n">
        <v>0</v>
      </c>
      <c r="AI155" s="0" t="n">
        <v>146</v>
      </c>
      <c r="AJ155" s="0" t="n">
        <v>29</v>
      </c>
      <c r="AK155" s="0" t="n">
        <v>0</v>
      </c>
      <c r="AL155" s="0" t="n">
        <v>0</v>
      </c>
    </row>
    <row r="156">
      <c r="A156" s="0" t="inlineStr">
        <is>
          <t>[가좌동]</t>
        </is>
      </c>
      <c r="B156" s="0" t="n">
        <v>112027</v>
      </c>
      <c r="C156" s="0" t="n">
        <v>1</v>
      </c>
      <c r="D156" s="0" t="inlineStr">
        <is>
          <t>인천가좌두산위브트레지움</t>
        </is>
      </c>
      <c r="E156" s="0" t="inlineStr">
        <is>
          <t>2017.12.</t>
        </is>
      </c>
      <c r="F156" s="0" t="n">
        <v>1757</v>
      </c>
      <c r="G156" s="0" t="n">
        <v>21.9</v>
      </c>
      <c r="H156" s="0" t="n">
        <v>72.42</v>
      </c>
      <c r="I156" s="0" t="n">
        <v>15.62</v>
      </c>
      <c r="J156" s="0" t="n">
        <v>51.66</v>
      </c>
      <c r="K156" s="0" t="n">
        <v>185</v>
      </c>
      <c r="T156" s="0" t="n">
        <v>2</v>
      </c>
      <c r="U156" s="0" t="n">
        <v>1</v>
      </c>
      <c r="V156" s="0" t="inlineStr">
        <is>
          <t>계단식</t>
        </is>
      </c>
      <c r="W156" s="0" t="inlineStr">
        <is>
          <t>72B</t>
        </is>
      </c>
      <c r="X156" s="0" t="n">
        <v>27</v>
      </c>
      <c r="Y156" s="0" t="n">
        <v>8</v>
      </c>
      <c r="Z156" s="0" t="inlineStr">
        <is>
          <t>https://new.land.naver.com/complexes/112027?tab=detail&amp;rf=Y</t>
        </is>
      </c>
      <c r="AA156" s="0" t="inlineStr">
        <is>
          <t>인천시 서구 가좌동 611</t>
        </is>
      </c>
      <c r="AB156" s="0" t="inlineStr">
        <is>
          <t>인천시</t>
        </is>
      </c>
      <c r="AC156" s="0" t="inlineStr">
        <is>
          <t>서구</t>
        </is>
      </c>
      <c r="AD156" s="0" t="inlineStr">
        <is>
          <t>가좌동</t>
        </is>
      </c>
      <c r="AG156" s="0" t="inlineStr">
        <is>
          <t>인천시 서구 여우재로 136</t>
        </is>
      </c>
      <c r="AH156" s="0" t="n">
        <v>0</v>
      </c>
      <c r="AI156" s="0" t="n">
        <v>249</v>
      </c>
      <c r="AJ156" s="0" t="n">
        <v>19</v>
      </c>
      <c r="AK156" s="0" t="n">
        <v>2091</v>
      </c>
      <c r="AL156" s="0" t="n">
        <v>1.19</v>
      </c>
    </row>
    <row r="157">
      <c r="A157" s="0" t="inlineStr">
        <is>
          <t>[가좌동]</t>
        </is>
      </c>
      <c r="B157" s="0" t="n">
        <v>112027</v>
      </c>
      <c r="C157" s="0" t="n">
        <v>2</v>
      </c>
      <c r="D157" s="0" t="inlineStr">
        <is>
          <t>인천가좌두산위브트레지움</t>
        </is>
      </c>
      <c r="E157" s="0" t="inlineStr">
        <is>
          <t>2017.12.</t>
        </is>
      </c>
      <c r="F157" s="0" t="n">
        <v>1757</v>
      </c>
      <c r="G157" s="0" t="n">
        <v>21.84</v>
      </c>
      <c r="H157" s="0" t="n">
        <v>72.20999999999999</v>
      </c>
      <c r="I157" s="0" t="n">
        <v>15.59</v>
      </c>
      <c r="J157" s="0" t="n">
        <v>51.57</v>
      </c>
      <c r="K157" s="0" t="n">
        <v>60</v>
      </c>
      <c r="T157" s="0" t="n">
        <v>2</v>
      </c>
      <c r="U157" s="0" t="n">
        <v>1</v>
      </c>
      <c r="V157" s="0" t="inlineStr">
        <is>
          <t>계단식</t>
        </is>
      </c>
      <c r="W157" s="0" t="inlineStr">
        <is>
          <t>72A</t>
        </is>
      </c>
      <c r="X157" s="0" t="n">
        <v>27</v>
      </c>
      <c r="Y157" s="0" t="n">
        <v>8</v>
      </c>
      <c r="Z157" s="0" t="inlineStr">
        <is>
          <t>https://new.land.naver.com/complexes/112027?tab=detail&amp;rf=Y</t>
        </is>
      </c>
      <c r="AA157" s="0" t="inlineStr">
        <is>
          <t>인천시 서구 가좌동 611</t>
        </is>
      </c>
      <c r="AB157" s="0" t="inlineStr">
        <is>
          <t>인천시</t>
        </is>
      </c>
      <c r="AC157" s="0" t="inlineStr">
        <is>
          <t>서구</t>
        </is>
      </c>
      <c r="AD157" s="0" t="inlineStr">
        <is>
          <t>가좌동</t>
        </is>
      </c>
      <c r="AG157" s="0" t="inlineStr">
        <is>
          <t>인천시 서구 여우재로 136</t>
        </is>
      </c>
      <c r="AH157" s="0" t="n">
        <v>0</v>
      </c>
      <c r="AI157" s="0" t="n">
        <v>249</v>
      </c>
      <c r="AJ157" s="0" t="n">
        <v>19</v>
      </c>
      <c r="AK157" s="0" t="n">
        <v>2091</v>
      </c>
      <c r="AL157" s="0" t="n">
        <v>1.19</v>
      </c>
    </row>
    <row r="158">
      <c r="A158" s="0" t="inlineStr">
        <is>
          <t>[가좌동]</t>
        </is>
      </c>
      <c r="B158" s="0" t="n">
        <v>112027</v>
      </c>
      <c r="C158" s="0" t="n">
        <v>3</v>
      </c>
      <c r="D158" s="0" t="inlineStr">
        <is>
          <t>인천가좌두산위브트레지움</t>
        </is>
      </c>
      <c r="E158" s="0" t="inlineStr">
        <is>
          <t>2017.12.</t>
        </is>
      </c>
      <c r="F158" s="0" t="n">
        <v>1757</v>
      </c>
      <c r="G158" s="0" t="n">
        <v>25.24</v>
      </c>
      <c r="H158" s="0" t="n">
        <v>83.47</v>
      </c>
      <c r="I158" s="0" t="n">
        <v>18.08</v>
      </c>
      <c r="J158" s="0" t="n">
        <v>59.78</v>
      </c>
      <c r="K158" s="0" t="n">
        <v>536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83A</t>
        </is>
      </c>
      <c r="X158" s="0" t="n">
        <v>27</v>
      </c>
      <c r="Y158" s="0" t="n">
        <v>8</v>
      </c>
      <c r="Z158" s="0" t="inlineStr">
        <is>
          <t>https://new.land.naver.com/complexes/112027?tab=detail&amp;rf=Y</t>
        </is>
      </c>
      <c r="AA158" s="0" t="inlineStr">
        <is>
          <t>인천시 서구 가좌동 611</t>
        </is>
      </c>
      <c r="AB158" s="0" t="inlineStr">
        <is>
          <t>인천시</t>
        </is>
      </c>
      <c r="AC158" s="0" t="inlineStr">
        <is>
          <t>서구</t>
        </is>
      </c>
      <c r="AD158" s="0" t="inlineStr">
        <is>
          <t>가좌동</t>
        </is>
      </c>
      <c r="AG158" s="0" t="inlineStr">
        <is>
          <t>인천시 서구 여우재로 136</t>
        </is>
      </c>
      <c r="AH158" s="0" t="n">
        <v>0</v>
      </c>
      <c r="AI158" s="0" t="n">
        <v>249</v>
      </c>
      <c r="AJ158" s="0" t="n">
        <v>19</v>
      </c>
      <c r="AK158" s="0" t="n">
        <v>2091</v>
      </c>
      <c r="AL158" s="0" t="n">
        <v>1.19</v>
      </c>
    </row>
    <row r="159">
      <c r="A159" s="0" t="inlineStr">
        <is>
          <t>[가좌동]</t>
        </is>
      </c>
      <c r="B159" s="0" t="n">
        <v>112027</v>
      </c>
      <c r="C159" s="0" t="n">
        <v>4</v>
      </c>
      <c r="D159" s="0" t="inlineStr">
        <is>
          <t>인천가좌두산위브트레지움</t>
        </is>
      </c>
      <c r="E159" s="0" t="inlineStr">
        <is>
          <t>2017.12.</t>
        </is>
      </c>
      <c r="F159" s="0" t="n">
        <v>1757</v>
      </c>
      <c r="G159" s="0" t="n">
        <v>25.39</v>
      </c>
      <c r="H159" s="0" t="n">
        <v>83.95999999999999</v>
      </c>
      <c r="I159" s="0" t="n">
        <v>18.07</v>
      </c>
      <c r="J159" s="0" t="n">
        <v>59.74</v>
      </c>
      <c r="K159" s="0" t="n">
        <v>151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83C</t>
        </is>
      </c>
      <c r="X159" s="0" t="n">
        <v>27</v>
      </c>
      <c r="Y159" s="0" t="n">
        <v>8</v>
      </c>
      <c r="Z159" s="0" t="inlineStr">
        <is>
          <t>https://new.land.naver.com/complexes/112027?tab=detail&amp;rf=Y</t>
        </is>
      </c>
      <c r="AA159" s="0" t="inlineStr">
        <is>
          <t>인천시 서구 가좌동 611</t>
        </is>
      </c>
      <c r="AB159" s="0" t="inlineStr">
        <is>
          <t>인천시</t>
        </is>
      </c>
      <c r="AC159" s="0" t="inlineStr">
        <is>
          <t>서구</t>
        </is>
      </c>
      <c r="AD159" s="0" t="inlineStr">
        <is>
          <t>가좌동</t>
        </is>
      </c>
      <c r="AG159" s="0" t="inlineStr">
        <is>
          <t>인천시 서구 여우재로 136</t>
        </is>
      </c>
      <c r="AH159" s="0" t="n">
        <v>0</v>
      </c>
      <c r="AI159" s="0" t="n">
        <v>249</v>
      </c>
      <c r="AJ159" s="0" t="n">
        <v>19</v>
      </c>
      <c r="AK159" s="0" t="n">
        <v>2091</v>
      </c>
      <c r="AL159" s="0" t="n">
        <v>1.19</v>
      </c>
    </row>
    <row r="160">
      <c r="A160" s="0" t="inlineStr">
        <is>
          <t>[가좌동]</t>
        </is>
      </c>
      <c r="B160" s="0" t="n">
        <v>112027</v>
      </c>
      <c r="C160" s="0" t="n">
        <v>5</v>
      </c>
      <c r="D160" s="0" t="inlineStr">
        <is>
          <t>인천가좌두산위브트레지움</t>
        </is>
      </c>
      <c r="E160" s="0" t="inlineStr">
        <is>
          <t>2017.12.</t>
        </is>
      </c>
      <c r="F160" s="0" t="n">
        <v>1757</v>
      </c>
      <c r="G160" s="0" t="n">
        <v>25.39</v>
      </c>
      <c r="H160" s="0" t="n">
        <v>83.94</v>
      </c>
      <c r="I160" s="0" t="n">
        <v>18.08</v>
      </c>
      <c r="J160" s="0" t="n">
        <v>59.8</v>
      </c>
      <c r="K160" s="0" t="n">
        <v>60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83B</t>
        </is>
      </c>
      <c r="X160" s="0" t="n">
        <v>27</v>
      </c>
      <c r="Y160" s="0" t="n">
        <v>8</v>
      </c>
      <c r="Z160" s="0" t="inlineStr">
        <is>
          <t>https://new.land.naver.com/complexes/112027?tab=detail&amp;rf=Y</t>
        </is>
      </c>
      <c r="AA160" s="0" t="inlineStr">
        <is>
          <t>인천시 서구 가좌동 611</t>
        </is>
      </c>
      <c r="AB160" s="0" t="inlineStr">
        <is>
          <t>인천시</t>
        </is>
      </c>
      <c r="AC160" s="0" t="inlineStr">
        <is>
          <t>서구</t>
        </is>
      </c>
      <c r="AD160" s="0" t="inlineStr">
        <is>
          <t>가좌동</t>
        </is>
      </c>
      <c r="AG160" s="0" t="inlineStr">
        <is>
          <t>인천시 서구 여우재로 136</t>
        </is>
      </c>
      <c r="AH160" s="0" t="n">
        <v>0</v>
      </c>
      <c r="AI160" s="0" t="n">
        <v>249</v>
      </c>
      <c r="AJ160" s="0" t="n">
        <v>19</v>
      </c>
      <c r="AK160" s="0" t="n">
        <v>2091</v>
      </c>
      <c r="AL160" s="0" t="n">
        <v>1.19</v>
      </c>
    </row>
    <row r="161">
      <c r="A161" s="0" t="inlineStr">
        <is>
          <t>[가좌동]</t>
        </is>
      </c>
      <c r="B161" s="0" t="n">
        <v>112027</v>
      </c>
      <c r="C161" s="0" t="n">
        <v>6</v>
      </c>
      <c r="D161" s="0" t="inlineStr">
        <is>
          <t>인천가좌두산위브트레지움</t>
        </is>
      </c>
      <c r="E161" s="0" t="inlineStr">
        <is>
          <t>2017.12.</t>
        </is>
      </c>
      <c r="F161" s="0" t="n">
        <v>1757</v>
      </c>
      <c r="G161" s="0" t="n">
        <v>28.27</v>
      </c>
      <c r="H161" s="0" t="n">
        <v>93.48</v>
      </c>
      <c r="I161" s="0" t="n">
        <v>20.99</v>
      </c>
      <c r="J161" s="0" t="n">
        <v>69.39</v>
      </c>
      <c r="K161" s="0" t="n">
        <v>296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93C</t>
        </is>
      </c>
      <c r="X161" s="0" t="n">
        <v>27</v>
      </c>
      <c r="Y161" s="0" t="n">
        <v>8</v>
      </c>
      <c r="Z161" s="0" t="inlineStr">
        <is>
          <t>https://new.land.naver.com/complexes/112027?tab=detail&amp;rf=Y</t>
        </is>
      </c>
      <c r="AA161" s="0" t="inlineStr">
        <is>
          <t>인천시 서구 가좌동 611</t>
        </is>
      </c>
      <c r="AB161" s="0" t="inlineStr">
        <is>
          <t>인천시</t>
        </is>
      </c>
      <c r="AC161" s="0" t="inlineStr">
        <is>
          <t>서구</t>
        </is>
      </c>
      <c r="AD161" s="0" t="inlineStr">
        <is>
          <t>가좌동</t>
        </is>
      </c>
      <c r="AG161" s="0" t="inlineStr">
        <is>
          <t>인천시 서구 여우재로 136</t>
        </is>
      </c>
      <c r="AH161" s="0" t="n">
        <v>0</v>
      </c>
      <c r="AI161" s="0" t="n">
        <v>249</v>
      </c>
      <c r="AJ161" s="0" t="n">
        <v>19</v>
      </c>
      <c r="AK161" s="0" t="n">
        <v>2091</v>
      </c>
      <c r="AL161" s="0" t="n">
        <v>1.19</v>
      </c>
    </row>
    <row r="162">
      <c r="A162" s="0" t="inlineStr">
        <is>
          <t>[가좌동]</t>
        </is>
      </c>
      <c r="B162" s="0" t="n">
        <v>112027</v>
      </c>
      <c r="C162" s="0" t="n">
        <v>7</v>
      </c>
      <c r="D162" s="0" t="inlineStr">
        <is>
          <t>인천가좌두산위브트레지움</t>
        </is>
      </c>
      <c r="E162" s="0" t="inlineStr">
        <is>
          <t>2017.12.</t>
        </is>
      </c>
      <c r="F162" s="0" t="n">
        <v>1757</v>
      </c>
      <c r="G162" s="0" t="n">
        <v>28.22</v>
      </c>
      <c r="H162" s="0" t="n">
        <v>93.31</v>
      </c>
      <c r="I162" s="0" t="n">
        <v>21.14</v>
      </c>
      <c r="J162" s="0" t="n">
        <v>69.90000000000001</v>
      </c>
      <c r="K162" s="0" t="n">
        <v>102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93A</t>
        </is>
      </c>
      <c r="X162" s="0" t="n">
        <v>27</v>
      </c>
      <c r="Y162" s="0" t="n">
        <v>8</v>
      </c>
      <c r="Z162" s="0" t="inlineStr">
        <is>
          <t>https://new.land.naver.com/complexes/112027?tab=detail&amp;rf=Y</t>
        </is>
      </c>
      <c r="AA162" s="0" t="inlineStr">
        <is>
          <t>인천시 서구 가좌동 611</t>
        </is>
      </c>
      <c r="AB162" s="0" t="inlineStr">
        <is>
          <t>인천시</t>
        </is>
      </c>
      <c r="AC162" s="0" t="inlineStr">
        <is>
          <t>서구</t>
        </is>
      </c>
      <c r="AD162" s="0" t="inlineStr">
        <is>
          <t>가좌동</t>
        </is>
      </c>
      <c r="AG162" s="0" t="inlineStr">
        <is>
          <t>인천시 서구 여우재로 136</t>
        </is>
      </c>
      <c r="AH162" s="0" t="n">
        <v>0</v>
      </c>
      <c r="AI162" s="0" t="n">
        <v>249</v>
      </c>
      <c r="AJ162" s="0" t="n">
        <v>19</v>
      </c>
      <c r="AK162" s="0" t="n">
        <v>2091</v>
      </c>
      <c r="AL162" s="0" t="n">
        <v>1.19</v>
      </c>
    </row>
    <row r="163">
      <c r="A163" s="0" t="inlineStr">
        <is>
          <t>[가좌동]</t>
        </is>
      </c>
      <c r="B163" s="0" t="n">
        <v>112027</v>
      </c>
      <c r="C163" s="0" t="n">
        <v>8</v>
      </c>
      <c r="D163" s="0" t="inlineStr">
        <is>
          <t>인천가좌두산위브트레지움</t>
        </is>
      </c>
      <c r="E163" s="0" t="inlineStr">
        <is>
          <t>2017.12.</t>
        </is>
      </c>
      <c r="F163" s="0" t="n">
        <v>1757</v>
      </c>
      <c r="G163" s="0" t="n">
        <v>28.15</v>
      </c>
      <c r="H163" s="0" t="n">
        <v>93.09</v>
      </c>
      <c r="I163" s="0" t="n">
        <v>21.05</v>
      </c>
      <c r="J163" s="0" t="n">
        <v>69.59</v>
      </c>
      <c r="K163" s="0" t="n">
        <v>48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93B</t>
        </is>
      </c>
      <c r="X163" s="0" t="n">
        <v>27</v>
      </c>
      <c r="Y163" s="0" t="n">
        <v>8</v>
      </c>
      <c r="Z163" s="0" t="inlineStr">
        <is>
          <t>https://new.land.naver.com/complexes/112027?tab=detail&amp;rf=Y</t>
        </is>
      </c>
      <c r="AA163" s="0" t="inlineStr">
        <is>
          <t>인천시 서구 가좌동 611</t>
        </is>
      </c>
      <c r="AB163" s="0" t="inlineStr">
        <is>
          <t>인천시</t>
        </is>
      </c>
      <c r="AC163" s="0" t="inlineStr">
        <is>
          <t>서구</t>
        </is>
      </c>
      <c r="AD163" s="0" t="inlineStr">
        <is>
          <t>가좌동</t>
        </is>
      </c>
      <c r="AG163" s="0" t="inlineStr">
        <is>
          <t>인천시 서구 여우재로 136</t>
        </is>
      </c>
      <c r="AH163" s="0" t="n">
        <v>0</v>
      </c>
      <c r="AI163" s="0" t="n">
        <v>249</v>
      </c>
      <c r="AJ163" s="0" t="n">
        <v>19</v>
      </c>
      <c r="AK163" s="0" t="n">
        <v>2091</v>
      </c>
      <c r="AL163" s="0" t="n">
        <v>1.19</v>
      </c>
    </row>
    <row r="164">
      <c r="A164" s="0" t="inlineStr">
        <is>
          <t>[가좌동]</t>
        </is>
      </c>
      <c r="B164" s="0" t="n">
        <v>112027</v>
      </c>
      <c r="C164" s="0" t="n">
        <v>9</v>
      </c>
      <c r="D164" s="0" t="inlineStr">
        <is>
          <t>인천가좌두산위브트레지움</t>
        </is>
      </c>
      <c r="E164" s="0" t="inlineStr">
        <is>
          <t>2017.12.</t>
        </is>
      </c>
      <c r="F164" s="0" t="n">
        <v>1757</v>
      </c>
      <c r="G164" s="0" t="n">
        <v>33.58</v>
      </c>
      <c r="H164" s="0" t="n">
        <v>111.04</v>
      </c>
      <c r="I164" s="0" t="n">
        <v>25.65</v>
      </c>
      <c r="J164" s="0" t="n">
        <v>84.81999999999999</v>
      </c>
      <c r="K164" s="0" t="n">
        <v>269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111A</t>
        </is>
      </c>
      <c r="X164" s="0" t="n">
        <v>27</v>
      </c>
      <c r="Y164" s="0" t="n">
        <v>8</v>
      </c>
      <c r="Z164" s="0" t="inlineStr">
        <is>
          <t>https://new.land.naver.com/complexes/112027?tab=detail&amp;rf=Y</t>
        </is>
      </c>
      <c r="AA164" s="0" t="inlineStr">
        <is>
          <t>인천시 서구 가좌동 611</t>
        </is>
      </c>
      <c r="AB164" s="0" t="inlineStr">
        <is>
          <t>인천시</t>
        </is>
      </c>
      <c r="AC164" s="0" t="inlineStr">
        <is>
          <t>서구</t>
        </is>
      </c>
      <c r="AD164" s="0" t="inlineStr">
        <is>
          <t>가좌동</t>
        </is>
      </c>
      <c r="AG164" s="0" t="inlineStr">
        <is>
          <t>인천시 서구 여우재로 136</t>
        </is>
      </c>
      <c r="AH164" s="0" t="n">
        <v>0</v>
      </c>
      <c r="AI164" s="0" t="n">
        <v>249</v>
      </c>
      <c r="AJ164" s="0" t="n">
        <v>19</v>
      </c>
      <c r="AK164" s="0" t="n">
        <v>2091</v>
      </c>
      <c r="AL164" s="0" t="n">
        <v>1.19</v>
      </c>
    </row>
    <row r="165">
      <c r="A165" s="0" t="inlineStr">
        <is>
          <t>[가좌동]</t>
        </is>
      </c>
      <c r="B165" s="0" t="n">
        <v>112027</v>
      </c>
      <c r="C165" s="0" t="n">
        <v>10</v>
      </c>
      <c r="D165" s="0" t="inlineStr">
        <is>
          <t>인천가좌두산위브트레지움</t>
        </is>
      </c>
      <c r="E165" s="0" t="inlineStr">
        <is>
          <t>2017.12.</t>
        </is>
      </c>
      <c r="F165" s="0" t="n">
        <v>1757</v>
      </c>
      <c r="G165" s="0" t="n">
        <v>33.74</v>
      </c>
      <c r="H165" s="0" t="n">
        <v>111.56</v>
      </c>
      <c r="I165" s="0" t="n">
        <v>25.49</v>
      </c>
      <c r="J165" s="0" t="n">
        <v>84.27</v>
      </c>
      <c r="K165" s="0" t="n">
        <v>50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111B</t>
        </is>
      </c>
      <c r="X165" s="0" t="n">
        <v>27</v>
      </c>
      <c r="Y165" s="0" t="n">
        <v>8</v>
      </c>
      <c r="Z165" s="0" t="inlineStr">
        <is>
          <t>https://new.land.naver.com/complexes/112027?tab=detail&amp;rf=Y</t>
        </is>
      </c>
      <c r="AA165" s="0" t="inlineStr">
        <is>
          <t>인천시 서구 가좌동 611</t>
        </is>
      </c>
      <c r="AB165" s="0" t="inlineStr">
        <is>
          <t>인천시</t>
        </is>
      </c>
      <c r="AC165" s="0" t="inlineStr">
        <is>
          <t>서구</t>
        </is>
      </c>
      <c r="AD165" s="0" t="inlineStr">
        <is>
          <t>가좌동</t>
        </is>
      </c>
      <c r="AG165" s="0" t="inlineStr">
        <is>
          <t>인천시 서구 여우재로 136</t>
        </is>
      </c>
      <c r="AH165" s="0" t="n">
        <v>0</v>
      </c>
      <c r="AI165" s="0" t="n">
        <v>249</v>
      </c>
      <c r="AJ165" s="0" t="n">
        <v>19</v>
      </c>
      <c r="AK165" s="0" t="n">
        <v>2091</v>
      </c>
      <c r="AL165" s="0" t="n">
        <v>1.19</v>
      </c>
    </row>
    <row r="166">
      <c r="A166" s="0" t="inlineStr">
        <is>
          <t>[가좌동]</t>
        </is>
      </c>
      <c r="B166" s="0" t="n">
        <v>9258</v>
      </c>
      <c r="C166" s="0" t="n">
        <v>1</v>
      </c>
      <c r="D166" s="0" t="inlineStr">
        <is>
          <t>한일</t>
        </is>
      </c>
      <c r="E166" s="0" t="inlineStr">
        <is>
          <t>1985.09.</t>
        </is>
      </c>
      <c r="F166" s="0" t="n">
        <v>60</v>
      </c>
      <c r="G166" s="0" t="n">
        <v>21.86</v>
      </c>
      <c r="H166" s="0" t="n">
        <v>72.28</v>
      </c>
      <c r="I166" s="0" t="n">
        <v>16.87</v>
      </c>
      <c r="J166" s="0" t="n">
        <v>55.8</v>
      </c>
      <c r="K166" s="0" t="n">
        <v>60</v>
      </c>
      <c r="T166" s="0" t="n">
        <v>3</v>
      </c>
      <c r="U166" s="0" t="n">
        <v>1</v>
      </c>
      <c r="V166" s="0" t="inlineStr">
        <is>
          <t>계단식</t>
        </is>
      </c>
      <c r="W166" s="0" t="n">
        <v>72</v>
      </c>
      <c r="X166" s="0" t="n">
        <v>5</v>
      </c>
      <c r="Y166" s="0" t="n">
        <v>5</v>
      </c>
      <c r="Z166" s="0" t="inlineStr">
        <is>
          <t>https://new.land.naver.com/complexes/9258?tab=detail&amp;rf=Y</t>
        </is>
      </c>
      <c r="AA166" s="0" t="inlineStr">
        <is>
          <t>인천시 서구 가좌동 206-7</t>
        </is>
      </c>
      <c r="AB166" s="0" t="inlineStr">
        <is>
          <t>인천시</t>
        </is>
      </c>
      <c r="AC166" s="0" t="inlineStr">
        <is>
          <t>서구</t>
        </is>
      </c>
      <c r="AD166" s="0" t="inlineStr">
        <is>
          <t>가좌동</t>
        </is>
      </c>
      <c r="AG166" s="0" t="inlineStr">
        <is>
          <t>인천시 서구 건지로318번길 50</t>
        </is>
      </c>
      <c r="AH166" s="0" t="n">
        <v>0</v>
      </c>
      <c r="AI166" s="0" t="n">
        <v>0</v>
      </c>
      <c r="AJ166" s="0" t="n">
        <v>0</v>
      </c>
      <c r="AK166" s="0" t="n">
        <v>0</v>
      </c>
      <c r="AL166" s="0" t="n">
        <v>0</v>
      </c>
    </row>
    <row r="167">
      <c r="A167" s="0" t="inlineStr">
        <is>
          <t>[가좌동]</t>
        </is>
      </c>
      <c r="B167" s="0" t="n">
        <v>22536</v>
      </c>
      <c r="C167" s="0" t="n">
        <v>1</v>
      </c>
      <c r="D167" s="0" t="inlineStr">
        <is>
          <t>가좌한신휴플러스</t>
        </is>
      </c>
      <c r="E167" s="0" t="inlineStr">
        <is>
          <t>2007.10.</t>
        </is>
      </c>
      <c r="F167" s="0" t="n">
        <v>2276</v>
      </c>
      <c r="G167" s="0" t="n">
        <v>24.76</v>
      </c>
      <c r="H167" s="0" t="n">
        <v>81.88</v>
      </c>
      <c r="I167" s="0" t="n">
        <v>18.14</v>
      </c>
      <c r="J167" s="0" t="n">
        <v>59.99</v>
      </c>
      <c r="K167" s="0" t="n">
        <v>242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81</v>
      </c>
      <c r="X167" s="0" t="n">
        <v>25</v>
      </c>
      <c r="Y167" s="0" t="n">
        <v>18</v>
      </c>
      <c r="Z167" s="0" t="inlineStr">
        <is>
          <t>https://new.land.naver.com/complexes/22536?tab=detail&amp;rf=Y</t>
        </is>
      </c>
      <c r="AA167" s="0" t="inlineStr">
        <is>
          <t>인천시 서구 가좌동 7</t>
        </is>
      </c>
      <c r="AB167" s="0" t="inlineStr">
        <is>
          <t>인천시</t>
        </is>
      </c>
      <c r="AC167" s="0" t="inlineStr">
        <is>
          <t>서구</t>
        </is>
      </c>
      <c r="AD167" s="0" t="inlineStr">
        <is>
          <t>가좌동</t>
        </is>
      </c>
      <c r="AG167" s="0" t="inlineStr">
        <is>
          <t>인천시 서구 건지로 402</t>
        </is>
      </c>
      <c r="AH167" s="0" t="n">
        <v>300</v>
      </c>
      <c r="AI167" s="0" t="n">
        <v>295</v>
      </c>
      <c r="AJ167" s="0" t="n">
        <v>16</v>
      </c>
      <c r="AK167" s="0" t="n">
        <v>2508</v>
      </c>
      <c r="AL167" s="0" t="n">
        <v>1.1</v>
      </c>
    </row>
    <row r="168">
      <c r="A168" s="0" t="inlineStr">
        <is>
          <t>[가좌동]</t>
        </is>
      </c>
      <c r="B168" s="0" t="n">
        <v>22536</v>
      </c>
      <c r="C168" s="0" t="n">
        <v>2</v>
      </c>
      <c r="D168" s="0" t="inlineStr">
        <is>
          <t>가좌한신휴플러스</t>
        </is>
      </c>
      <c r="E168" s="0" t="inlineStr">
        <is>
          <t>2007.10.</t>
        </is>
      </c>
      <c r="F168" s="0" t="n">
        <v>2276</v>
      </c>
      <c r="G168" s="0" t="n">
        <v>28.61</v>
      </c>
      <c r="H168" s="0" t="n">
        <v>94.58</v>
      </c>
      <c r="I168" s="0" t="n">
        <v>21.98</v>
      </c>
      <c r="J168" s="0" t="n">
        <v>72.69</v>
      </c>
      <c r="K168" s="0" t="n">
        <v>200</v>
      </c>
      <c r="T168" s="0" t="n">
        <v>3</v>
      </c>
      <c r="U168" s="0" t="n">
        <v>2</v>
      </c>
      <c r="V168" s="0" t="inlineStr">
        <is>
          <t>계단식</t>
        </is>
      </c>
      <c r="W168" s="0" t="n">
        <v>94</v>
      </c>
      <c r="X168" s="0" t="n">
        <v>25</v>
      </c>
      <c r="Y168" s="0" t="n">
        <v>18</v>
      </c>
      <c r="Z168" s="0" t="inlineStr">
        <is>
          <t>https://new.land.naver.com/complexes/22536?tab=detail&amp;rf=Y</t>
        </is>
      </c>
      <c r="AA168" s="0" t="inlineStr">
        <is>
          <t>인천시 서구 가좌동 7</t>
        </is>
      </c>
      <c r="AB168" s="0" t="inlineStr">
        <is>
          <t>인천시</t>
        </is>
      </c>
      <c r="AC168" s="0" t="inlineStr">
        <is>
          <t>서구</t>
        </is>
      </c>
      <c r="AD168" s="0" t="inlineStr">
        <is>
          <t>가좌동</t>
        </is>
      </c>
      <c r="AG168" s="0" t="inlineStr">
        <is>
          <t>인천시 서구 건지로 402</t>
        </is>
      </c>
      <c r="AH168" s="0" t="n">
        <v>300</v>
      </c>
      <c r="AI168" s="0" t="n">
        <v>295</v>
      </c>
      <c r="AJ168" s="0" t="n">
        <v>16</v>
      </c>
      <c r="AK168" s="0" t="n">
        <v>2508</v>
      </c>
      <c r="AL168" s="0" t="n">
        <v>1.1</v>
      </c>
    </row>
    <row r="169">
      <c r="A169" s="0" t="inlineStr">
        <is>
          <t>[가좌동]</t>
        </is>
      </c>
      <c r="B169" s="0" t="n">
        <v>22536</v>
      </c>
      <c r="C169" s="0" t="n">
        <v>3</v>
      </c>
      <c r="D169" s="0" t="inlineStr">
        <is>
          <t>가좌한신휴플러스</t>
        </is>
      </c>
      <c r="E169" s="0" t="inlineStr">
        <is>
          <t>2007.10.</t>
        </is>
      </c>
      <c r="F169" s="0" t="n">
        <v>2276</v>
      </c>
      <c r="G169" s="0" t="n">
        <v>32.68</v>
      </c>
      <c r="H169" s="0" t="n">
        <v>108.04</v>
      </c>
      <c r="I169" s="0" t="n">
        <v>25.69</v>
      </c>
      <c r="J169" s="0" t="n">
        <v>84.95</v>
      </c>
      <c r="K169" s="0" t="n">
        <v>736</v>
      </c>
      <c r="T169" s="0" t="n">
        <v>3</v>
      </c>
      <c r="U169" s="0" t="n">
        <v>2</v>
      </c>
      <c r="V169" s="0" t="inlineStr">
        <is>
          <t>계단식</t>
        </is>
      </c>
      <c r="W169" s="0" t="n">
        <v>108</v>
      </c>
      <c r="X169" s="0" t="n">
        <v>25</v>
      </c>
      <c r="Y169" s="0" t="n">
        <v>18</v>
      </c>
      <c r="Z169" s="0" t="inlineStr">
        <is>
          <t>https://new.land.naver.com/complexes/22536?tab=detail&amp;rf=Y</t>
        </is>
      </c>
      <c r="AA169" s="0" t="inlineStr">
        <is>
          <t>인천시 서구 가좌동 7</t>
        </is>
      </c>
      <c r="AB169" s="0" t="inlineStr">
        <is>
          <t>인천시</t>
        </is>
      </c>
      <c r="AC169" s="0" t="inlineStr">
        <is>
          <t>서구</t>
        </is>
      </c>
      <c r="AD169" s="0" t="inlineStr">
        <is>
          <t>가좌동</t>
        </is>
      </c>
      <c r="AG169" s="0" t="inlineStr">
        <is>
          <t>인천시 서구 건지로 402</t>
        </is>
      </c>
      <c r="AH169" s="0" t="n">
        <v>300</v>
      </c>
      <c r="AI169" s="0" t="n">
        <v>295</v>
      </c>
      <c r="AJ169" s="0" t="n">
        <v>16</v>
      </c>
      <c r="AK169" s="0" t="n">
        <v>2508</v>
      </c>
      <c r="AL169" s="0" t="n">
        <v>1.1</v>
      </c>
    </row>
    <row r="170">
      <c r="A170" s="0" t="inlineStr">
        <is>
          <t>[가좌동]</t>
        </is>
      </c>
      <c r="B170" s="0" t="n">
        <v>22536</v>
      </c>
      <c r="C170" s="0" t="n">
        <v>4</v>
      </c>
      <c r="D170" s="0" t="inlineStr">
        <is>
          <t>가좌한신휴플러스</t>
        </is>
      </c>
      <c r="E170" s="0" t="inlineStr">
        <is>
          <t>2007.10.</t>
        </is>
      </c>
      <c r="F170" s="0" t="n">
        <v>2276</v>
      </c>
      <c r="G170" s="0" t="n">
        <v>34.31</v>
      </c>
      <c r="H170" s="0" t="n">
        <v>113.44</v>
      </c>
      <c r="I170" s="0" t="n">
        <v>25.7</v>
      </c>
      <c r="J170" s="0" t="n">
        <v>84.98</v>
      </c>
      <c r="K170" s="0" t="n">
        <v>276</v>
      </c>
      <c r="T170" s="0" t="n">
        <v>3</v>
      </c>
      <c r="U170" s="0" t="n">
        <v>2</v>
      </c>
      <c r="V170" s="0" t="inlineStr">
        <is>
          <t>계단식</t>
        </is>
      </c>
      <c r="W170" s="0" t="inlineStr">
        <is>
          <t>113A</t>
        </is>
      </c>
      <c r="X170" s="0" t="n">
        <v>25</v>
      </c>
      <c r="Y170" s="0" t="n">
        <v>18</v>
      </c>
      <c r="Z170" s="0" t="inlineStr">
        <is>
          <t>https://new.land.naver.com/complexes/22536?tab=detail&amp;rf=Y</t>
        </is>
      </c>
      <c r="AA170" s="0" t="inlineStr">
        <is>
          <t>인천시 서구 가좌동 7</t>
        </is>
      </c>
      <c r="AB170" s="0" t="inlineStr">
        <is>
          <t>인천시</t>
        </is>
      </c>
      <c r="AC170" s="0" t="inlineStr">
        <is>
          <t>서구</t>
        </is>
      </c>
      <c r="AD170" s="0" t="inlineStr">
        <is>
          <t>가좌동</t>
        </is>
      </c>
      <c r="AG170" s="0" t="inlineStr">
        <is>
          <t>인천시 서구 건지로 402</t>
        </is>
      </c>
      <c r="AH170" s="0" t="n">
        <v>300</v>
      </c>
      <c r="AI170" s="0" t="n">
        <v>295</v>
      </c>
      <c r="AJ170" s="0" t="n">
        <v>16</v>
      </c>
      <c r="AK170" s="0" t="n">
        <v>2508</v>
      </c>
      <c r="AL170" s="0" t="n">
        <v>1.1</v>
      </c>
    </row>
    <row r="171">
      <c r="A171" s="0" t="inlineStr">
        <is>
          <t>[가좌동]</t>
        </is>
      </c>
      <c r="B171" s="0" t="n">
        <v>22536</v>
      </c>
      <c r="C171" s="0" t="n">
        <v>5</v>
      </c>
      <c r="D171" s="0" t="inlineStr">
        <is>
          <t>가좌한신휴플러스</t>
        </is>
      </c>
      <c r="E171" s="0" t="inlineStr">
        <is>
          <t>2007.10.</t>
        </is>
      </c>
      <c r="F171" s="0" t="n">
        <v>2276</v>
      </c>
      <c r="G171" s="0" t="n">
        <v>34.28</v>
      </c>
      <c r="H171" s="0" t="n">
        <v>113.34</v>
      </c>
      <c r="I171" s="0" t="n">
        <v>25.7</v>
      </c>
      <c r="J171" s="0" t="n">
        <v>84.97</v>
      </c>
      <c r="K171" s="0" t="n">
        <v>136</v>
      </c>
      <c r="T171" s="0" t="n">
        <v>3</v>
      </c>
      <c r="U171" s="0" t="n">
        <v>2</v>
      </c>
      <c r="V171" s="0" t="inlineStr">
        <is>
          <t>계단식</t>
        </is>
      </c>
      <c r="W171" s="0" t="inlineStr">
        <is>
          <t>113B</t>
        </is>
      </c>
      <c r="X171" s="0" t="n">
        <v>25</v>
      </c>
      <c r="Y171" s="0" t="n">
        <v>18</v>
      </c>
      <c r="Z171" s="0" t="inlineStr">
        <is>
          <t>https://new.land.naver.com/complexes/22536?tab=detail&amp;rf=Y</t>
        </is>
      </c>
      <c r="AA171" s="0" t="inlineStr">
        <is>
          <t>인천시 서구 가좌동 7</t>
        </is>
      </c>
      <c r="AB171" s="0" t="inlineStr">
        <is>
          <t>인천시</t>
        </is>
      </c>
      <c r="AC171" s="0" t="inlineStr">
        <is>
          <t>서구</t>
        </is>
      </c>
      <c r="AD171" s="0" t="inlineStr">
        <is>
          <t>가좌동</t>
        </is>
      </c>
      <c r="AG171" s="0" t="inlineStr">
        <is>
          <t>인천시 서구 건지로 402</t>
        </is>
      </c>
      <c r="AH171" s="0" t="n">
        <v>300</v>
      </c>
      <c r="AI171" s="0" t="n">
        <v>295</v>
      </c>
      <c r="AJ171" s="0" t="n">
        <v>16</v>
      </c>
      <c r="AK171" s="0" t="n">
        <v>2508</v>
      </c>
      <c r="AL171" s="0" t="n">
        <v>1.1</v>
      </c>
    </row>
    <row r="172">
      <c r="A172" s="0" t="inlineStr">
        <is>
          <t>[가좌동]</t>
        </is>
      </c>
      <c r="B172" s="0" t="n">
        <v>22536</v>
      </c>
      <c r="C172" s="0" t="n">
        <v>6</v>
      </c>
      <c r="D172" s="0" t="inlineStr">
        <is>
          <t>가좌한신휴플러스</t>
        </is>
      </c>
      <c r="E172" s="0" t="inlineStr">
        <is>
          <t>2007.10.</t>
        </is>
      </c>
      <c r="F172" s="0" t="n">
        <v>2276</v>
      </c>
      <c r="G172" s="0" t="n">
        <v>43.19</v>
      </c>
      <c r="H172" s="0" t="n">
        <v>142.8</v>
      </c>
      <c r="I172" s="0" t="n">
        <v>34.74</v>
      </c>
      <c r="J172" s="0" t="n">
        <v>114.87</v>
      </c>
      <c r="K172" s="0" t="n">
        <v>242</v>
      </c>
      <c r="T172" s="0" t="n">
        <v>4</v>
      </c>
      <c r="U172" s="0" t="n">
        <v>2</v>
      </c>
      <c r="V172" s="0" t="inlineStr">
        <is>
          <t>계단식</t>
        </is>
      </c>
      <c r="W172" s="0" t="n">
        <v>142</v>
      </c>
      <c r="X172" s="0" t="n">
        <v>25</v>
      </c>
      <c r="Y172" s="0" t="n">
        <v>18</v>
      </c>
      <c r="Z172" s="0" t="inlineStr">
        <is>
          <t>https://new.land.naver.com/complexes/22536?tab=detail&amp;rf=Y</t>
        </is>
      </c>
      <c r="AA172" s="0" t="inlineStr">
        <is>
          <t>인천시 서구 가좌동 7</t>
        </is>
      </c>
      <c r="AB172" s="0" t="inlineStr">
        <is>
          <t>인천시</t>
        </is>
      </c>
      <c r="AC172" s="0" t="inlineStr">
        <is>
          <t>서구</t>
        </is>
      </c>
      <c r="AD172" s="0" t="inlineStr">
        <is>
          <t>가좌동</t>
        </is>
      </c>
      <c r="AG172" s="0" t="inlineStr">
        <is>
          <t>인천시 서구 건지로 402</t>
        </is>
      </c>
      <c r="AH172" s="0" t="n">
        <v>300</v>
      </c>
      <c r="AI172" s="0" t="n">
        <v>295</v>
      </c>
      <c r="AJ172" s="0" t="n">
        <v>16</v>
      </c>
      <c r="AK172" s="0" t="n">
        <v>2508</v>
      </c>
      <c r="AL172" s="0" t="n">
        <v>1.1</v>
      </c>
    </row>
    <row r="173">
      <c r="A173" s="0" t="inlineStr">
        <is>
          <t>[가좌동]</t>
        </is>
      </c>
      <c r="B173" s="0" t="n">
        <v>22536</v>
      </c>
      <c r="C173" s="0" t="n">
        <v>7</v>
      </c>
      <c r="D173" s="0" t="inlineStr">
        <is>
          <t>가좌한신휴플러스</t>
        </is>
      </c>
      <c r="E173" s="0" t="inlineStr">
        <is>
          <t>2007.10.</t>
        </is>
      </c>
      <c r="F173" s="0" t="n">
        <v>2276</v>
      </c>
      <c r="G173" s="0" t="n">
        <v>52.26</v>
      </c>
      <c r="H173" s="0" t="n">
        <v>172.77</v>
      </c>
      <c r="I173" s="0" t="n">
        <v>43.39</v>
      </c>
      <c r="J173" s="0" t="n">
        <v>143.47</v>
      </c>
      <c r="K173" s="0" t="n">
        <v>144</v>
      </c>
      <c r="T173" s="0" t="n">
        <v>5</v>
      </c>
      <c r="U173" s="0" t="n">
        <v>2</v>
      </c>
      <c r="V173" s="0" t="inlineStr">
        <is>
          <t>계단식</t>
        </is>
      </c>
      <c r="W173" s="0" t="n">
        <v>172</v>
      </c>
      <c r="X173" s="0" t="n">
        <v>25</v>
      </c>
      <c r="Y173" s="0" t="n">
        <v>18</v>
      </c>
      <c r="Z173" s="0" t="inlineStr">
        <is>
          <t>https://new.land.naver.com/complexes/22536?tab=detail&amp;rf=Y</t>
        </is>
      </c>
      <c r="AA173" s="0" t="inlineStr">
        <is>
          <t>인천시 서구 가좌동 7</t>
        </is>
      </c>
      <c r="AB173" s="0" t="inlineStr">
        <is>
          <t>인천시</t>
        </is>
      </c>
      <c r="AC173" s="0" t="inlineStr">
        <is>
          <t>서구</t>
        </is>
      </c>
      <c r="AD173" s="0" t="inlineStr">
        <is>
          <t>가좌동</t>
        </is>
      </c>
      <c r="AG173" s="0" t="inlineStr">
        <is>
          <t>인천시 서구 건지로 402</t>
        </is>
      </c>
      <c r="AH173" s="0" t="n">
        <v>300</v>
      </c>
      <c r="AI173" s="0" t="n">
        <v>295</v>
      </c>
      <c r="AJ173" s="0" t="n">
        <v>16</v>
      </c>
      <c r="AK173" s="0" t="n">
        <v>2508</v>
      </c>
      <c r="AL173" s="0" t="n">
        <v>1.1</v>
      </c>
    </row>
    <row r="174">
      <c r="A174" s="0" t="inlineStr">
        <is>
          <t>[가좌동]</t>
        </is>
      </c>
      <c r="B174" s="0" t="n">
        <v>103092</v>
      </c>
      <c r="C174" s="0" t="n">
        <v>1</v>
      </c>
      <c r="D174" s="0" t="inlineStr">
        <is>
          <t>한화미리움</t>
        </is>
      </c>
      <c r="E174" s="0" t="inlineStr">
        <is>
          <t>2006.08.</t>
        </is>
      </c>
      <c r="F174" s="0" t="n">
        <v>47</v>
      </c>
      <c r="G174" s="0" t="n">
        <v>24.71</v>
      </c>
      <c r="H174" s="0" t="n">
        <v>81.69</v>
      </c>
      <c r="I174" s="0" t="n">
        <v>17.57</v>
      </c>
      <c r="J174" s="0" t="n">
        <v>58.11</v>
      </c>
      <c r="K174" s="0" t="n">
        <v>2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81</v>
      </c>
      <c r="X174" s="0" t="n">
        <v>12</v>
      </c>
      <c r="Y174" s="0" t="n">
        <v>12</v>
      </c>
      <c r="Z174" s="0" t="inlineStr">
        <is>
          <t>https://new.land.naver.com/complexes/103092?tab=detail&amp;rf=Y</t>
        </is>
      </c>
      <c r="AA174" s="0" t="inlineStr">
        <is>
          <t>인천시 서구 가좌동 144-30</t>
        </is>
      </c>
      <c r="AB174" s="0" t="inlineStr">
        <is>
          <t>인천시</t>
        </is>
      </c>
      <c r="AC174" s="0" t="inlineStr">
        <is>
          <t>서구</t>
        </is>
      </c>
      <c r="AD174" s="0" t="inlineStr">
        <is>
          <t>가좌동</t>
        </is>
      </c>
      <c r="AG174" s="0" t="inlineStr">
        <is>
          <t>인천시 서구 건지로284번길 44</t>
        </is>
      </c>
      <c r="AH174" s="0" t="n">
        <v>0</v>
      </c>
      <c r="AI174" s="0" t="n">
        <v>244</v>
      </c>
      <c r="AJ174" s="0" t="n">
        <v>32</v>
      </c>
      <c r="AK174" s="0" t="n">
        <v>0</v>
      </c>
      <c r="AL174" s="0" t="n">
        <v>0</v>
      </c>
    </row>
    <row r="175">
      <c r="A175" s="0" t="inlineStr">
        <is>
          <t>[가좌동]</t>
        </is>
      </c>
      <c r="B175" s="0" t="n">
        <v>103092</v>
      </c>
      <c r="C175" s="0" t="n">
        <v>2</v>
      </c>
      <c r="D175" s="0" t="inlineStr">
        <is>
          <t>한화미리움</t>
        </is>
      </c>
      <c r="E175" s="0" t="inlineStr">
        <is>
          <t>2006.08.</t>
        </is>
      </c>
      <c r="F175" s="0" t="n">
        <v>47</v>
      </c>
      <c r="G175" s="0" t="n">
        <v>25.58</v>
      </c>
      <c r="H175" s="0" t="n">
        <v>84.58</v>
      </c>
      <c r="I175" s="0" t="n">
        <v>18.13</v>
      </c>
      <c r="J175" s="0" t="n">
        <v>59.96</v>
      </c>
      <c r="K175" s="0" t="n">
        <v>17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84</v>
      </c>
      <c r="X175" s="0" t="n">
        <v>12</v>
      </c>
      <c r="Y175" s="0" t="n">
        <v>12</v>
      </c>
      <c r="Z175" s="0" t="inlineStr">
        <is>
          <t>https://new.land.naver.com/complexes/103092?tab=detail&amp;rf=Y</t>
        </is>
      </c>
      <c r="AA175" s="0" t="inlineStr">
        <is>
          <t>인천시 서구 가좌동 144-30</t>
        </is>
      </c>
      <c r="AB175" s="0" t="inlineStr">
        <is>
          <t>인천시</t>
        </is>
      </c>
      <c r="AC175" s="0" t="inlineStr">
        <is>
          <t>서구</t>
        </is>
      </c>
      <c r="AD175" s="0" t="inlineStr">
        <is>
          <t>가좌동</t>
        </is>
      </c>
      <c r="AG175" s="0" t="inlineStr">
        <is>
          <t>인천시 서구 건지로284번길 44</t>
        </is>
      </c>
      <c r="AH175" s="0" t="n">
        <v>0</v>
      </c>
      <c r="AI175" s="0" t="n">
        <v>244</v>
      </c>
      <c r="AJ175" s="0" t="n">
        <v>32</v>
      </c>
      <c r="AK175" s="0" t="n">
        <v>0</v>
      </c>
      <c r="AL175" s="0" t="n">
        <v>0</v>
      </c>
    </row>
    <row r="176">
      <c r="A176" s="0" t="inlineStr">
        <is>
          <t>[가좌동]</t>
        </is>
      </c>
      <c r="B176" s="0" t="n">
        <v>103092</v>
      </c>
      <c r="C176" s="0" t="n">
        <v>3</v>
      </c>
      <c r="D176" s="0" t="inlineStr">
        <is>
          <t>한화미리움</t>
        </is>
      </c>
      <c r="E176" s="0" t="inlineStr">
        <is>
          <t>2006.08.</t>
        </is>
      </c>
      <c r="F176" s="0" t="n">
        <v>47</v>
      </c>
      <c r="G176" s="0" t="n">
        <v>28.92</v>
      </c>
      <c r="H176" s="0" t="n">
        <v>95.61</v>
      </c>
      <c r="I176" s="0" t="n">
        <v>20.49</v>
      </c>
      <c r="J176" s="0" t="n">
        <v>67.73999999999999</v>
      </c>
      <c r="K176" s="0" t="n">
        <v>28</v>
      </c>
      <c r="T176" s="0" t="n">
        <v>3</v>
      </c>
      <c r="U176" s="0" t="n">
        <v>2</v>
      </c>
      <c r="V176" s="0" t="inlineStr">
        <is>
          <t>계단식</t>
        </is>
      </c>
      <c r="W176" s="0" t="n">
        <v>95</v>
      </c>
      <c r="X176" s="0" t="n">
        <v>12</v>
      </c>
      <c r="Y176" s="0" t="n">
        <v>12</v>
      </c>
      <c r="Z176" s="0" t="inlineStr">
        <is>
          <t>https://new.land.naver.com/complexes/103092?tab=detail&amp;rf=Y</t>
        </is>
      </c>
      <c r="AA176" s="0" t="inlineStr">
        <is>
          <t>인천시 서구 가좌동 144-30</t>
        </is>
      </c>
      <c r="AB176" s="0" t="inlineStr">
        <is>
          <t>인천시</t>
        </is>
      </c>
      <c r="AC176" s="0" t="inlineStr">
        <is>
          <t>서구</t>
        </is>
      </c>
      <c r="AD176" s="0" t="inlineStr">
        <is>
          <t>가좌동</t>
        </is>
      </c>
      <c r="AG176" s="0" t="inlineStr">
        <is>
          <t>인천시 서구 건지로284번길 44</t>
        </is>
      </c>
      <c r="AH176" s="0" t="n">
        <v>0</v>
      </c>
      <c r="AI176" s="0" t="n">
        <v>244</v>
      </c>
      <c r="AJ176" s="0" t="n">
        <v>32</v>
      </c>
      <c r="AK176" s="0" t="n">
        <v>0</v>
      </c>
      <c r="AL176" s="0" t="n">
        <v>0</v>
      </c>
    </row>
    <row r="177">
      <c r="A177" s="0" t="inlineStr">
        <is>
          <t>[가좌동]</t>
        </is>
      </c>
      <c r="B177" s="0" t="n">
        <v>10592</v>
      </c>
      <c r="C177" s="0" t="n">
        <v>1</v>
      </c>
      <c r="D177" s="0" t="inlineStr">
        <is>
          <t>삼영</t>
        </is>
      </c>
      <c r="E177" s="0" t="inlineStr">
        <is>
          <t>1985.03.</t>
        </is>
      </c>
      <c r="F177" s="0" t="n">
        <v>190</v>
      </c>
      <c r="G177" s="0" t="n">
        <v>14.55</v>
      </c>
      <c r="H177" s="0" t="n">
        <v>48.12</v>
      </c>
      <c r="I177" s="0" t="n">
        <v>14.55</v>
      </c>
      <c r="J177" s="0" t="n">
        <v>48.12</v>
      </c>
      <c r="K177" s="0" t="n">
        <v>3</v>
      </c>
      <c r="T177" s="0" t="n">
        <v>1</v>
      </c>
      <c r="U177" s="0" t="n">
        <v>1</v>
      </c>
      <c r="V177" s="0" t="inlineStr">
        <is>
          <t>계단식</t>
        </is>
      </c>
      <c r="W177" s="0" t="n">
        <v>48</v>
      </c>
      <c r="X177" s="0" t="n">
        <v>5</v>
      </c>
      <c r="Y177" s="0" t="n">
        <v>3</v>
      </c>
      <c r="Z177" s="0" t="inlineStr">
        <is>
          <t>https://new.land.naver.com/complexes/10592?tab=detail&amp;rf=Y</t>
        </is>
      </c>
      <c r="AA177" s="0" t="inlineStr">
        <is>
          <t>인천시 서구 가좌동 140</t>
        </is>
      </c>
      <c r="AB177" s="0" t="inlineStr">
        <is>
          <t>인천시</t>
        </is>
      </c>
      <c r="AC177" s="0" t="inlineStr">
        <is>
          <t>서구</t>
        </is>
      </c>
      <c r="AD177" s="0" t="inlineStr">
        <is>
          <t>가좌동</t>
        </is>
      </c>
      <c r="AG177" s="0" t="inlineStr">
        <is>
          <t>인천시 서구 가정로 136</t>
        </is>
      </c>
      <c r="AH177" s="0" t="n">
        <v>0</v>
      </c>
      <c r="AI177" s="0" t="n">
        <v>155</v>
      </c>
      <c r="AJ177" s="0" t="n">
        <v>35</v>
      </c>
      <c r="AK177" s="0" t="n">
        <v>0</v>
      </c>
      <c r="AL177" s="0" t="n">
        <v>0</v>
      </c>
    </row>
    <row r="178">
      <c r="A178" s="0" t="inlineStr">
        <is>
          <t>[가좌동]</t>
        </is>
      </c>
      <c r="B178" s="0" t="n">
        <v>10592</v>
      </c>
      <c r="C178" s="0" t="n">
        <v>2</v>
      </c>
      <c r="D178" s="0" t="inlineStr">
        <is>
          <t>삼영</t>
        </is>
      </c>
      <c r="E178" s="0" t="inlineStr">
        <is>
          <t>1985.03.</t>
        </is>
      </c>
      <c r="F178" s="0" t="n">
        <v>190</v>
      </c>
      <c r="G178" s="0" t="n">
        <v>17.14</v>
      </c>
      <c r="H178" s="0" t="n">
        <v>56.67</v>
      </c>
      <c r="I178" s="0" t="n">
        <v>17.14</v>
      </c>
      <c r="J178" s="0" t="n">
        <v>56.67</v>
      </c>
      <c r="K178" s="0" t="n">
        <v>3</v>
      </c>
      <c r="T178" s="0" t="n">
        <v>1</v>
      </c>
      <c r="U178" s="0" t="n">
        <v>1</v>
      </c>
      <c r="V178" s="0" t="inlineStr">
        <is>
          <t>계단식</t>
        </is>
      </c>
      <c r="W178" s="0" t="n">
        <v>56</v>
      </c>
      <c r="X178" s="0" t="n">
        <v>5</v>
      </c>
      <c r="Y178" s="0" t="n">
        <v>3</v>
      </c>
      <c r="Z178" s="0" t="inlineStr">
        <is>
          <t>https://new.land.naver.com/complexes/10592?tab=detail&amp;rf=Y</t>
        </is>
      </c>
      <c r="AA178" s="0" t="inlineStr">
        <is>
          <t>인천시 서구 가좌동 140</t>
        </is>
      </c>
      <c r="AB178" s="0" t="inlineStr">
        <is>
          <t>인천시</t>
        </is>
      </c>
      <c r="AC178" s="0" t="inlineStr">
        <is>
          <t>서구</t>
        </is>
      </c>
      <c r="AD178" s="0" t="inlineStr">
        <is>
          <t>가좌동</t>
        </is>
      </c>
      <c r="AG178" s="0" t="inlineStr">
        <is>
          <t>인천시 서구 가정로 136</t>
        </is>
      </c>
      <c r="AH178" s="0" t="n">
        <v>0</v>
      </c>
      <c r="AI178" s="0" t="n">
        <v>155</v>
      </c>
      <c r="AJ178" s="0" t="n">
        <v>35</v>
      </c>
      <c r="AK178" s="0" t="n">
        <v>0</v>
      </c>
      <c r="AL178" s="0" t="n">
        <v>0</v>
      </c>
    </row>
    <row r="179">
      <c r="A179" s="0" t="inlineStr">
        <is>
          <t>[가좌동]</t>
        </is>
      </c>
      <c r="B179" s="0" t="n">
        <v>10592</v>
      </c>
      <c r="C179" s="0" t="n">
        <v>3</v>
      </c>
      <c r="D179" s="0" t="inlineStr">
        <is>
          <t>삼영</t>
        </is>
      </c>
      <c r="E179" s="0" t="inlineStr">
        <is>
          <t>1985.03.</t>
        </is>
      </c>
      <c r="F179" s="0" t="n">
        <v>190</v>
      </c>
      <c r="G179" s="0" t="n">
        <v>20</v>
      </c>
      <c r="H179" s="0" t="n">
        <v>66.12</v>
      </c>
      <c r="I179" s="0" t="n">
        <v>18.68</v>
      </c>
      <c r="J179" s="0" t="n">
        <v>61.77</v>
      </c>
      <c r="K179" s="0" t="n">
        <v>104</v>
      </c>
      <c r="T179" s="0" t="n">
        <v>3</v>
      </c>
      <c r="U179" s="0" t="n">
        <v>1</v>
      </c>
      <c r="V179" s="0" t="inlineStr">
        <is>
          <t>계단식</t>
        </is>
      </c>
      <c r="W179" s="0" t="n">
        <v>66</v>
      </c>
      <c r="X179" s="0" t="n">
        <v>5</v>
      </c>
      <c r="Y179" s="0" t="n">
        <v>3</v>
      </c>
      <c r="Z179" s="0" t="inlineStr">
        <is>
          <t>https://new.land.naver.com/complexes/10592?tab=detail&amp;rf=Y</t>
        </is>
      </c>
      <c r="AA179" s="0" t="inlineStr">
        <is>
          <t>인천시 서구 가좌동 140</t>
        </is>
      </c>
      <c r="AB179" s="0" t="inlineStr">
        <is>
          <t>인천시</t>
        </is>
      </c>
      <c r="AC179" s="0" t="inlineStr">
        <is>
          <t>서구</t>
        </is>
      </c>
      <c r="AD179" s="0" t="inlineStr">
        <is>
          <t>가좌동</t>
        </is>
      </c>
      <c r="AG179" s="0" t="inlineStr">
        <is>
          <t>인천시 서구 가정로 136</t>
        </is>
      </c>
      <c r="AH179" s="0" t="n">
        <v>0</v>
      </c>
      <c r="AI179" s="0" t="n">
        <v>155</v>
      </c>
      <c r="AJ179" s="0" t="n">
        <v>35</v>
      </c>
      <c r="AK179" s="0" t="n">
        <v>0</v>
      </c>
      <c r="AL179" s="0" t="n">
        <v>0</v>
      </c>
    </row>
    <row r="180">
      <c r="A180" s="0" t="inlineStr">
        <is>
          <t>[가좌동]</t>
        </is>
      </c>
      <c r="B180" s="0" t="n">
        <v>10592</v>
      </c>
      <c r="C180" s="0" t="n">
        <v>4</v>
      </c>
      <c r="D180" s="0" t="inlineStr">
        <is>
          <t>삼영</t>
        </is>
      </c>
      <c r="E180" s="0" t="inlineStr">
        <is>
          <t>1985.03.</t>
        </is>
      </c>
      <c r="F180" s="0" t="n">
        <v>190</v>
      </c>
      <c r="G180" s="0" t="n">
        <v>22.99</v>
      </c>
      <c r="H180" s="0" t="n">
        <v>76.03</v>
      </c>
      <c r="I180" s="0" t="n">
        <v>19.71</v>
      </c>
      <c r="J180" s="0" t="n">
        <v>65.19</v>
      </c>
      <c r="K180" s="0" t="n">
        <v>40</v>
      </c>
      <c r="T180" s="0" t="n">
        <v>3</v>
      </c>
      <c r="U180" s="0" t="n">
        <v>1</v>
      </c>
      <c r="V180" s="0" t="inlineStr">
        <is>
          <t>계단식</t>
        </is>
      </c>
      <c r="W180" s="0" t="n">
        <v>76</v>
      </c>
      <c r="X180" s="0" t="n">
        <v>5</v>
      </c>
      <c r="Y180" s="0" t="n">
        <v>3</v>
      </c>
      <c r="Z180" s="0" t="inlineStr">
        <is>
          <t>https://new.land.naver.com/complexes/10592?tab=detail&amp;rf=Y</t>
        </is>
      </c>
      <c r="AA180" s="0" t="inlineStr">
        <is>
          <t>인천시 서구 가좌동 140</t>
        </is>
      </c>
      <c r="AB180" s="0" t="inlineStr">
        <is>
          <t>인천시</t>
        </is>
      </c>
      <c r="AC180" s="0" t="inlineStr">
        <is>
          <t>서구</t>
        </is>
      </c>
      <c r="AD180" s="0" t="inlineStr">
        <is>
          <t>가좌동</t>
        </is>
      </c>
      <c r="AG180" s="0" t="inlineStr">
        <is>
          <t>인천시 서구 가정로 136</t>
        </is>
      </c>
      <c r="AH180" s="0" t="n">
        <v>0</v>
      </c>
      <c r="AI180" s="0" t="n">
        <v>155</v>
      </c>
      <c r="AJ180" s="0" t="n">
        <v>35</v>
      </c>
      <c r="AK180" s="0" t="n">
        <v>0</v>
      </c>
      <c r="AL180" s="0" t="n">
        <v>0</v>
      </c>
    </row>
    <row r="181">
      <c r="A181" s="0" t="inlineStr">
        <is>
          <t>[가좌동]</t>
        </is>
      </c>
      <c r="B181" s="0" t="n">
        <v>10592</v>
      </c>
      <c r="C181" s="0" t="n">
        <v>5</v>
      </c>
      <c r="D181" s="0" t="inlineStr">
        <is>
          <t>삼영</t>
        </is>
      </c>
      <c r="E181" s="0" t="inlineStr">
        <is>
          <t>1985.03.</t>
        </is>
      </c>
      <c r="F181" s="0" t="n">
        <v>190</v>
      </c>
      <c r="G181" s="0" t="n">
        <v>23.99</v>
      </c>
      <c r="H181" s="0" t="n">
        <v>79.33</v>
      </c>
      <c r="I181" s="0" t="n">
        <v>18.98</v>
      </c>
      <c r="J181" s="0" t="n">
        <v>62.76</v>
      </c>
      <c r="K181" s="0" t="n">
        <v>40</v>
      </c>
      <c r="T181" s="0" t="n">
        <v>3</v>
      </c>
      <c r="U181" s="0" t="n">
        <v>1</v>
      </c>
      <c r="V181" s="0" t="inlineStr">
        <is>
          <t>계단식</t>
        </is>
      </c>
      <c r="W181" s="0" t="n">
        <v>79</v>
      </c>
      <c r="X181" s="0" t="n">
        <v>5</v>
      </c>
      <c r="Y181" s="0" t="n">
        <v>3</v>
      </c>
      <c r="Z181" s="0" t="inlineStr">
        <is>
          <t>https://new.land.naver.com/complexes/10592?tab=detail&amp;rf=Y</t>
        </is>
      </c>
      <c r="AA181" s="0" t="inlineStr">
        <is>
          <t>인천시 서구 가좌동 140</t>
        </is>
      </c>
      <c r="AB181" s="0" t="inlineStr">
        <is>
          <t>인천시</t>
        </is>
      </c>
      <c r="AC181" s="0" t="inlineStr">
        <is>
          <t>서구</t>
        </is>
      </c>
      <c r="AD181" s="0" t="inlineStr">
        <is>
          <t>가좌동</t>
        </is>
      </c>
      <c r="AG181" s="0" t="inlineStr">
        <is>
          <t>인천시 서구 가정로 136</t>
        </is>
      </c>
      <c r="AH181" s="0" t="n">
        <v>0</v>
      </c>
      <c r="AI181" s="0" t="n">
        <v>155</v>
      </c>
      <c r="AJ181" s="0" t="n">
        <v>35</v>
      </c>
      <c r="AK181" s="0" t="n">
        <v>0</v>
      </c>
      <c r="AL181" s="0" t="n">
        <v>0</v>
      </c>
    </row>
    <row r="182">
      <c r="A182" s="0" t="inlineStr">
        <is>
          <t>[가좌동]</t>
        </is>
      </c>
      <c r="B182" s="0" t="n">
        <v>11747</v>
      </c>
      <c r="C182" s="0" t="n">
        <v>1</v>
      </c>
      <c r="D182" s="0" t="inlineStr">
        <is>
          <t>아주</t>
        </is>
      </c>
      <c r="E182" s="0" t="inlineStr">
        <is>
          <t>1984.05.</t>
        </is>
      </c>
      <c r="F182" s="0" t="n">
        <v>96</v>
      </c>
      <c r="G182" s="0" t="n">
        <v>18.39</v>
      </c>
      <c r="H182" s="0" t="n">
        <v>60.82</v>
      </c>
      <c r="I182" s="0" t="n">
        <v>16.66</v>
      </c>
      <c r="J182" s="0" t="n">
        <v>55.08</v>
      </c>
      <c r="K182" s="0" t="n">
        <v>48</v>
      </c>
      <c r="T182" s="0" t="n">
        <v>3</v>
      </c>
      <c r="U182" s="0" t="n">
        <v>1</v>
      </c>
      <c r="V182" s="0" t="inlineStr">
        <is>
          <t>계단식</t>
        </is>
      </c>
      <c r="W182" s="0" t="n">
        <v>60</v>
      </c>
      <c r="X182" s="0" t="n">
        <v>6</v>
      </c>
      <c r="Y182" s="0" t="n">
        <v>6</v>
      </c>
      <c r="Z182" s="0" t="inlineStr">
        <is>
          <t>https://new.land.naver.com/complexes/11747?tab=detail&amp;rf=Y</t>
        </is>
      </c>
      <c r="AA182" s="0" t="inlineStr">
        <is>
          <t>인천시 서구 가좌동 171-3</t>
        </is>
      </c>
      <c r="AB182" s="0" t="inlineStr">
        <is>
          <t>인천시</t>
        </is>
      </c>
      <c r="AC182" s="0" t="inlineStr">
        <is>
          <t>서구</t>
        </is>
      </c>
      <c r="AD182" s="0" t="inlineStr">
        <is>
          <t>가좌동</t>
        </is>
      </c>
      <c r="AG182" s="0" t="inlineStr">
        <is>
          <t>인천시 서구 건지로318번길 4</t>
        </is>
      </c>
      <c r="AH182" s="0" t="n">
        <v>0</v>
      </c>
      <c r="AI182" s="0" t="n">
        <v>0</v>
      </c>
      <c r="AJ182" s="0" t="n">
        <v>0</v>
      </c>
      <c r="AK182" s="0" t="n">
        <v>0</v>
      </c>
      <c r="AL182" s="0" t="n">
        <v>0</v>
      </c>
    </row>
    <row r="183">
      <c r="A183" s="0" t="inlineStr">
        <is>
          <t>[가좌동]</t>
        </is>
      </c>
      <c r="B183" s="0" t="n">
        <v>11747</v>
      </c>
      <c r="C183" s="0" t="n">
        <v>2</v>
      </c>
      <c r="D183" s="0" t="inlineStr">
        <is>
          <t>아주</t>
        </is>
      </c>
      <c r="E183" s="0" t="inlineStr">
        <is>
          <t>1984.05.</t>
        </is>
      </c>
      <c r="F183" s="0" t="n">
        <v>96</v>
      </c>
      <c r="G183" s="0" t="n">
        <v>21.79</v>
      </c>
      <c r="H183" s="0" t="n">
        <v>72.04000000000001</v>
      </c>
      <c r="I183" s="0" t="n">
        <v>19.71</v>
      </c>
      <c r="J183" s="0" t="n">
        <v>65.18000000000001</v>
      </c>
      <c r="K183" s="0" t="n">
        <v>48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72</v>
      </c>
      <c r="X183" s="0" t="n">
        <v>6</v>
      </c>
      <c r="Y183" s="0" t="n">
        <v>6</v>
      </c>
      <c r="Z183" s="0" t="inlineStr">
        <is>
          <t>https://new.land.naver.com/complexes/11747?tab=detail&amp;rf=Y</t>
        </is>
      </c>
      <c r="AA183" s="0" t="inlineStr">
        <is>
          <t>인천시 서구 가좌동 171-3</t>
        </is>
      </c>
      <c r="AB183" s="0" t="inlineStr">
        <is>
          <t>인천시</t>
        </is>
      </c>
      <c r="AC183" s="0" t="inlineStr">
        <is>
          <t>서구</t>
        </is>
      </c>
      <c r="AD183" s="0" t="inlineStr">
        <is>
          <t>가좌동</t>
        </is>
      </c>
      <c r="AG183" s="0" t="inlineStr">
        <is>
          <t>인천시 서구 건지로318번길 4</t>
        </is>
      </c>
      <c r="AH183" s="0" t="n">
        <v>0</v>
      </c>
      <c r="AI183" s="0" t="n">
        <v>0</v>
      </c>
      <c r="AJ183" s="0" t="n">
        <v>0</v>
      </c>
      <c r="AK183" s="0" t="n">
        <v>0</v>
      </c>
      <c r="AL183" s="0" t="n">
        <v>0</v>
      </c>
    </row>
    <row r="184">
      <c r="A184" s="0" t="inlineStr">
        <is>
          <t>[가좌동]</t>
        </is>
      </c>
      <c r="B184" s="0" t="n">
        <v>9867</v>
      </c>
      <c r="C184" s="0" t="n">
        <v>1</v>
      </c>
      <c r="D184" s="0" t="inlineStr">
        <is>
          <t>코스모스</t>
        </is>
      </c>
      <c r="E184" s="0" t="inlineStr">
        <is>
          <t>1986.03.</t>
        </is>
      </c>
      <c r="F184" s="0" t="n">
        <v>241</v>
      </c>
      <c r="G184" s="0" t="n">
        <v>14.78</v>
      </c>
      <c r="H184" s="0" t="n">
        <v>48.87</v>
      </c>
      <c r="I184" s="0" t="n">
        <v>11.38</v>
      </c>
      <c r="J184" s="0" t="n">
        <v>37.62</v>
      </c>
      <c r="K184" s="0" t="n">
        <v>189</v>
      </c>
      <c r="T184" s="0" t="n">
        <v>2</v>
      </c>
      <c r="U184" s="0" t="n">
        <v>1</v>
      </c>
      <c r="V184" s="0" t="inlineStr">
        <is>
          <t>계단식</t>
        </is>
      </c>
      <c r="W184" s="0" t="n">
        <v>48</v>
      </c>
      <c r="X184" s="0" t="n">
        <v>4</v>
      </c>
      <c r="Y184" s="0" t="n">
        <v>4</v>
      </c>
      <c r="Z184" s="0" t="inlineStr">
        <is>
          <t>https://new.land.naver.com/complexes/9867?tab=detail&amp;rf=Y</t>
        </is>
      </c>
      <c r="AA184" s="0" t="inlineStr">
        <is>
          <t>인천시 서구 가좌동 306</t>
        </is>
      </c>
      <c r="AB184" s="0" t="inlineStr">
        <is>
          <t>인천시</t>
        </is>
      </c>
      <c r="AC184" s="0" t="inlineStr">
        <is>
          <t>서구</t>
        </is>
      </c>
      <c r="AD184" s="0" t="inlineStr">
        <is>
          <t>가좌동</t>
        </is>
      </c>
      <c r="AG184" s="0" t="inlineStr">
        <is>
          <t>인천시 서구 장고개로 354</t>
        </is>
      </c>
      <c r="AH184" s="0" t="n">
        <v>0</v>
      </c>
      <c r="AI184" s="0" t="n">
        <v>119</v>
      </c>
      <c r="AJ184" s="0" t="n">
        <v>30</v>
      </c>
      <c r="AK184" s="0" t="n">
        <v>0</v>
      </c>
      <c r="AL184" s="0" t="n">
        <v>0</v>
      </c>
    </row>
    <row r="185">
      <c r="A185" s="0" t="inlineStr">
        <is>
          <t>[가좌동]</t>
        </is>
      </c>
      <c r="B185" s="0" t="n">
        <v>9867</v>
      </c>
      <c r="C185" s="0" t="n">
        <v>2</v>
      </c>
      <c r="D185" s="0" t="inlineStr">
        <is>
          <t>코스모스</t>
        </is>
      </c>
      <c r="E185" s="0" t="inlineStr">
        <is>
          <t>1986.03.</t>
        </is>
      </c>
      <c r="F185" s="0" t="n">
        <v>241</v>
      </c>
      <c r="G185" s="0" t="n">
        <v>17.93</v>
      </c>
      <c r="H185" s="0" t="n">
        <v>59.29</v>
      </c>
      <c r="I185" s="0" t="n">
        <v>14.1</v>
      </c>
      <c r="J185" s="0" t="n">
        <v>46.62</v>
      </c>
      <c r="K185" s="0" t="n">
        <v>12</v>
      </c>
      <c r="T185" s="0" t="n">
        <v>3</v>
      </c>
      <c r="U185" s="0" t="n">
        <v>1</v>
      </c>
      <c r="V185" s="0" t="inlineStr">
        <is>
          <t>계단식</t>
        </is>
      </c>
      <c r="W185" s="0" t="n">
        <v>59</v>
      </c>
      <c r="X185" s="0" t="n">
        <v>4</v>
      </c>
      <c r="Y185" s="0" t="n">
        <v>4</v>
      </c>
      <c r="Z185" s="0" t="inlineStr">
        <is>
          <t>https://new.land.naver.com/complexes/9867?tab=detail&amp;rf=Y</t>
        </is>
      </c>
      <c r="AA185" s="0" t="inlineStr">
        <is>
          <t>인천시 서구 가좌동 306</t>
        </is>
      </c>
      <c r="AB185" s="0" t="inlineStr">
        <is>
          <t>인천시</t>
        </is>
      </c>
      <c r="AC185" s="0" t="inlineStr">
        <is>
          <t>서구</t>
        </is>
      </c>
      <c r="AD185" s="0" t="inlineStr">
        <is>
          <t>가좌동</t>
        </is>
      </c>
      <c r="AG185" s="0" t="inlineStr">
        <is>
          <t>인천시 서구 장고개로 354</t>
        </is>
      </c>
      <c r="AH185" s="0" t="n">
        <v>0</v>
      </c>
      <c r="AI185" s="0" t="n">
        <v>119</v>
      </c>
      <c r="AJ185" s="0" t="n">
        <v>30</v>
      </c>
      <c r="AK185" s="0" t="n">
        <v>0</v>
      </c>
      <c r="AL185" s="0" t="n">
        <v>0</v>
      </c>
    </row>
    <row r="186">
      <c r="A186" s="0" t="inlineStr">
        <is>
          <t>[가좌동]</t>
        </is>
      </c>
      <c r="B186" s="0" t="n">
        <v>9867</v>
      </c>
      <c r="C186" s="0" t="n">
        <v>3</v>
      </c>
      <c r="D186" s="0" t="inlineStr">
        <is>
          <t>코스모스</t>
        </is>
      </c>
      <c r="E186" s="0" t="inlineStr">
        <is>
          <t>1986.03.</t>
        </is>
      </c>
      <c r="F186" s="0" t="n">
        <v>241</v>
      </c>
      <c r="G186" s="0" t="n">
        <v>18.9</v>
      </c>
      <c r="H186" s="0" t="n">
        <v>62.48</v>
      </c>
      <c r="I186" s="0" t="n">
        <v>14.95</v>
      </c>
      <c r="J186" s="0" t="n">
        <v>49.44</v>
      </c>
      <c r="K186" s="0" t="n">
        <v>40</v>
      </c>
      <c r="T186" s="0" t="n">
        <v>3</v>
      </c>
      <c r="U186" s="0" t="n">
        <v>1</v>
      </c>
      <c r="V186" s="0" t="inlineStr">
        <is>
          <t>계단식</t>
        </is>
      </c>
      <c r="W186" s="0" t="n">
        <v>62</v>
      </c>
      <c r="X186" s="0" t="n">
        <v>4</v>
      </c>
      <c r="Y186" s="0" t="n">
        <v>4</v>
      </c>
      <c r="Z186" s="0" t="inlineStr">
        <is>
          <t>https://new.land.naver.com/complexes/9867?tab=detail&amp;rf=Y</t>
        </is>
      </c>
      <c r="AA186" s="0" t="inlineStr">
        <is>
          <t>인천시 서구 가좌동 306</t>
        </is>
      </c>
      <c r="AB186" s="0" t="inlineStr">
        <is>
          <t>인천시</t>
        </is>
      </c>
      <c r="AC186" s="0" t="inlineStr">
        <is>
          <t>서구</t>
        </is>
      </c>
      <c r="AD186" s="0" t="inlineStr">
        <is>
          <t>가좌동</t>
        </is>
      </c>
      <c r="AG186" s="0" t="inlineStr">
        <is>
          <t>인천시 서구 장고개로 354</t>
        </is>
      </c>
      <c r="AH186" s="0" t="n">
        <v>0</v>
      </c>
      <c r="AI186" s="0" t="n">
        <v>119</v>
      </c>
      <c r="AJ186" s="0" t="n">
        <v>30</v>
      </c>
      <c r="AK186" s="0" t="n">
        <v>0</v>
      </c>
      <c r="AL186" s="0" t="n">
        <v>0</v>
      </c>
    </row>
    <row r="187">
      <c r="A187" s="0" t="inlineStr">
        <is>
          <t>[가좌동]</t>
        </is>
      </c>
      <c r="B187" s="0" t="n">
        <v>11015</v>
      </c>
      <c r="C187" s="0" t="n">
        <v>1</v>
      </c>
      <c r="D187" s="0" t="inlineStr">
        <is>
          <t>이화</t>
        </is>
      </c>
      <c r="E187" s="0" t="inlineStr">
        <is>
          <t>1984.10.</t>
        </is>
      </c>
      <c r="F187" s="0" t="n">
        <v>40</v>
      </c>
      <c r="G187" s="0" t="n">
        <v>21.65</v>
      </c>
      <c r="H187" s="0" t="n">
        <v>71.59</v>
      </c>
      <c r="I187" s="0" t="n">
        <v>18.83</v>
      </c>
      <c r="J187" s="0" t="n">
        <v>62.28</v>
      </c>
      <c r="K187" s="0" t="n">
        <v>40</v>
      </c>
      <c r="T187" s="0" t="n">
        <v>2</v>
      </c>
      <c r="U187" s="0" t="n">
        <v>1</v>
      </c>
      <c r="V187" s="0" t="inlineStr">
        <is>
          <t>계단식</t>
        </is>
      </c>
      <c r="W187" s="0" t="n">
        <v>71</v>
      </c>
      <c r="X187" s="0" t="n">
        <v>5</v>
      </c>
      <c r="Y187" s="0" t="n">
        <v>5</v>
      </c>
      <c r="Z187" s="0" t="inlineStr">
        <is>
          <t>https://new.land.naver.com/complexes/11015?tab=detail&amp;rf=Y</t>
        </is>
      </c>
      <c r="AA187" s="0" t="inlineStr">
        <is>
          <t>인천시 서구 가좌동 272-1</t>
        </is>
      </c>
      <c r="AB187" s="0" t="inlineStr">
        <is>
          <t>인천시</t>
        </is>
      </c>
      <c r="AC187" s="0" t="inlineStr">
        <is>
          <t>서구</t>
        </is>
      </c>
      <c r="AD187" s="0" t="inlineStr">
        <is>
          <t>가좌동</t>
        </is>
      </c>
      <c r="AG187" s="0" t="inlineStr">
        <is>
          <t>인천시 서구 원적로17번길 28</t>
        </is>
      </c>
      <c r="AH187" s="0" t="n">
        <v>0</v>
      </c>
      <c r="AI187" s="0" t="n">
        <v>0</v>
      </c>
      <c r="AJ187" s="0" t="n">
        <v>0</v>
      </c>
      <c r="AK187" s="0" t="n">
        <v>0</v>
      </c>
      <c r="AL187" s="0" t="n">
        <v>0</v>
      </c>
    </row>
    <row r="188">
      <c r="A188" s="0" t="inlineStr">
        <is>
          <t>[가좌동]</t>
        </is>
      </c>
      <c r="B188" s="0" t="n">
        <v>2546</v>
      </c>
      <c r="C188" s="0" t="n">
        <v>1</v>
      </c>
      <c r="D188" s="0" t="inlineStr">
        <is>
          <t>진흥(215-3)</t>
        </is>
      </c>
      <c r="E188" s="0" t="inlineStr">
        <is>
          <t>1987.10.</t>
        </is>
      </c>
      <c r="F188" s="0" t="n">
        <v>240</v>
      </c>
      <c r="G188" s="0" t="n">
        <v>13.99</v>
      </c>
      <c r="H188" s="0" t="n">
        <v>46.26</v>
      </c>
      <c r="I188" s="0" t="n">
        <v>12.36</v>
      </c>
      <c r="J188" s="0" t="n">
        <v>40.86</v>
      </c>
      <c r="K188" s="0" t="n">
        <v>10</v>
      </c>
      <c r="T188" s="0" t="n">
        <v>2</v>
      </c>
      <c r="U188" s="0" t="n">
        <v>1</v>
      </c>
      <c r="V188" s="0" t="inlineStr">
        <is>
          <t>계단식</t>
        </is>
      </c>
      <c r="W188" s="0" t="inlineStr">
        <is>
          <t>46A</t>
        </is>
      </c>
      <c r="X188" s="0" t="n">
        <v>5</v>
      </c>
      <c r="Y188" s="0" t="n">
        <v>5</v>
      </c>
      <c r="Z188" s="0" t="inlineStr">
        <is>
          <t>https://new.land.naver.com/complexes/2546?tab=detail&amp;rf=Y</t>
        </is>
      </c>
      <c r="AA188" s="0" t="inlineStr">
        <is>
          <t>인천시 서구 가좌동 215-3</t>
        </is>
      </c>
      <c r="AB188" s="0" t="inlineStr">
        <is>
          <t>인천시</t>
        </is>
      </c>
      <c r="AC188" s="0" t="inlineStr">
        <is>
          <t>서구</t>
        </is>
      </c>
      <c r="AD188" s="0" t="inlineStr">
        <is>
          <t>가좌동</t>
        </is>
      </c>
      <c r="AG188" s="0" t="inlineStr">
        <is>
          <t>인천시 서구 신진말로28번길 16</t>
        </is>
      </c>
      <c r="AH188" s="0" t="n">
        <v>0</v>
      </c>
      <c r="AI188" s="0" t="n">
        <v>169</v>
      </c>
      <c r="AJ188" s="0" t="n">
        <v>34</v>
      </c>
      <c r="AK188" s="0" t="n">
        <v>240</v>
      </c>
      <c r="AL188" s="0" t="n">
        <v>1</v>
      </c>
    </row>
    <row r="189">
      <c r="A189" s="0" t="inlineStr">
        <is>
          <t>[가좌동]</t>
        </is>
      </c>
      <c r="B189" s="0" t="n">
        <v>2546</v>
      </c>
      <c r="C189" s="0" t="n">
        <v>2</v>
      </c>
      <c r="D189" s="0" t="inlineStr">
        <is>
          <t>진흥(215-3)</t>
        </is>
      </c>
      <c r="E189" s="0" t="inlineStr">
        <is>
          <t>1987.10.</t>
        </is>
      </c>
      <c r="F189" s="0" t="n">
        <v>240</v>
      </c>
      <c r="G189" s="0" t="n">
        <v>14.37</v>
      </c>
      <c r="H189" s="0" t="n">
        <v>47.52</v>
      </c>
      <c r="I189" s="0" t="n">
        <v>12.74</v>
      </c>
      <c r="J189" s="0" t="n">
        <v>42.12</v>
      </c>
      <c r="K189" s="0" t="n">
        <v>30</v>
      </c>
      <c r="T189" s="0" t="n">
        <v>2</v>
      </c>
      <c r="U189" s="0" t="n">
        <v>1</v>
      </c>
      <c r="V189" s="0" t="inlineStr">
        <is>
          <t>계단식</t>
        </is>
      </c>
      <c r="W189" s="0" t="inlineStr">
        <is>
          <t>47B</t>
        </is>
      </c>
      <c r="X189" s="0" t="n">
        <v>5</v>
      </c>
      <c r="Y189" s="0" t="n">
        <v>5</v>
      </c>
      <c r="Z189" s="0" t="inlineStr">
        <is>
          <t>https://new.land.naver.com/complexes/2546?tab=detail&amp;rf=Y</t>
        </is>
      </c>
      <c r="AA189" s="0" t="inlineStr">
        <is>
          <t>인천시 서구 가좌동 215-3</t>
        </is>
      </c>
      <c r="AB189" s="0" t="inlineStr">
        <is>
          <t>인천시</t>
        </is>
      </c>
      <c r="AC189" s="0" t="inlineStr">
        <is>
          <t>서구</t>
        </is>
      </c>
      <c r="AD189" s="0" t="inlineStr">
        <is>
          <t>가좌동</t>
        </is>
      </c>
      <c r="AG189" s="0" t="inlineStr">
        <is>
          <t>인천시 서구 신진말로28번길 16</t>
        </is>
      </c>
      <c r="AH189" s="0" t="n">
        <v>0</v>
      </c>
      <c r="AI189" s="0" t="n">
        <v>169</v>
      </c>
      <c r="AJ189" s="0" t="n">
        <v>34</v>
      </c>
      <c r="AK189" s="0" t="n">
        <v>240</v>
      </c>
      <c r="AL189" s="0" t="n">
        <v>1</v>
      </c>
    </row>
    <row r="190">
      <c r="A190" s="0" t="inlineStr">
        <is>
          <t>[가좌동]</t>
        </is>
      </c>
      <c r="B190" s="0" t="n">
        <v>2546</v>
      </c>
      <c r="C190" s="0" t="n">
        <v>3</v>
      </c>
      <c r="D190" s="0" t="inlineStr">
        <is>
          <t>진흥(215-3)</t>
        </is>
      </c>
      <c r="E190" s="0" t="inlineStr">
        <is>
          <t>1987.10.</t>
        </is>
      </c>
      <c r="F190" s="0" t="n">
        <v>240</v>
      </c>
      <c r="G190" s="0" t="n">
        <v>14.81</v>
      </c>
      <c r="H190" s="0" t="n">
        <v>48.96</v>
      </c>
      <c r="I190" s="0" t="n">
        <v>13.17</v>
      </c>
      <c r="J190" s="0" t="n">
        <v>43.56</v>
      </c>
      <c r="K190" s="0" t="n">
        <v>155</v>
      </c>
      <c r="T190" s="0" t="n">
        <v>2</v>
      </c>
      <c r="U190" s="0" t="n">
        <v>1</v>
      </c>
      <c r="V190" s="0" t="inlineStr">
        <is>
          <t>계단식</t>
        </is>
      </c>
      <c r="W190" s="0" t="n">
        <v>48</v>
      </c>
      <c r="X190" s="0" t="n">
        <v>5</v>
      </c>
      <c r="Y190" s="0" t="n">
        <v>5</v>
      </c>
      <c r="Z190" s="0" t="inlineStr">
        <is>
          <t>https://new.land.naver.com/complexes/2546?tab=detail&amp;rf=Y</t>
        </is>
      </c>
      <c r="AA190" s="0" t="inlineStr">
        <is>
          <t>인천시 서구 가좌동 215-3</t>
        </is>
      </c>
      <c r="AB190" s="0" t="inlineStr">
        <is>
          <t>인천시</t>
        </is>
      </c>
      <c r="AC190" s="0" t="inlineStr">
        <is>
          <t>서구</t>
        </is>
      </c>
      <c r="AD190" s="0" t="inlineStr">
        <is>
          <t>가좌동</t>
        </is>
      </c>
      <c r="AG190" s="0" t="inlineStr">
        <is>
          <t>인천시 서구 신진말로28번길 16</t>
        </is>
      </c>
      <c r="AH190" s="0" t="n">
        <v>0</v>
      </c>
      <c r="AI190" s="0" t="n">
        <v>169</v>
      </c>
      <c r="AJ190" s="0" t="n">
        <v>34</v>
      </c>
      <c r="AK190" s="0" t="n">
        <v>240</v>
      </c>
      <c r="AL190" s="0" t="n">
        <v>1</v>
      </c>
    </row>
    <row r="191">
      <c r="A191" s="0" t="inlineStr">
        <is>
          <t>[가좌동]</t>
        </is>
      </c>
      <c r="B191" s="0" t="n">
        <v>2546</v>
      </c>
      <c r="C191" s="0" t="n">
        <v>4</v>
      </c>
      <c r="D191" s="0" t="inlineStr">
        <is>
          <t>진흥(215-3)</t>
        </is>
      </c>
      <c r="E191" s="0" t="inlineStr">
        <is>
          <t>1987.10.</t>
        </is>
      </c>
      <c r="F191" s="0" t="n">
        <v>240</v>
      </c>
      <c r="G191" s="0" t="n">
        <v>16.44</v>
      </c>
      <c r="H191" s="0" t="n">
        <v>54.36</v>
      </c>
      <c r="I191" s="0" t="n">
        <v>14.81</v>
      </c>
      <c r="J191" s="0" t="n">
        <v>48.96</v>
      </c>
      <c r="K191" s="0" t="n">
        <v>30</v>
      </c>
      <c r="T191" s="0" t="n">
        <v>3</v>
      </c>
      <c r="U191" s="0" t="n">
        <v>1</v>
      </c>
      <c r="V191" s="0" t="inlineStr">
        <is>
          <t>계단식</t>
        </is>
      </c>
      <c r="W191" s="0" t="n">
        <v>54</v>
      </c>
      <c r="X191" s="0" t="n">
        <v>5</v>
      </c>
      <c r="Y191" s="0" t="n">
        <v>5</v>
      </c>
      <c r="Z191" s="0" t="inlineStr">
        <is>
          <t>https://new.land.naver.com/complexes/2546?tab=detail&amp;rf=Y</t>
        </is>
      </c>
      <c r="AA191" s="0" t="inlineStr">
        <is>
          <t>인천시 서구 가좌동 215-3</t>
        </is>
      </c>
      <c r="AB191" s="0" t="inlineStr">
        <is>
          <t>인천시</t>
        </is>
      </c>
      <c r="AC191" s="0" t="inlineStr">
        <is>
          <t>서구</t>
        </is>
      </c>
      <c r="AD191" s="0" t="inlineStr">
        <is>
          <t>가좌동</t>
        </is>
      </c>
      <c r="AG191" s="0" t="inlineStr">
        <is>
          <t>인천시 서구 신진말로28번길 16</t>
        </is>
      </c>
      <c r="AH191" s="0" t="n">
        <v>0</v>
      </c>
      <c r="AI191" s="0" t="n">
        <v>169</v>
      </c>
      <c r="AJ191" s="0" t="n">
        <v>34</v>
      </c>
      <c r="AK191" s="0" t="n">
        <v>240</v>
      </c>
      <c r="AL191" s="0" t="n">
        <v>1</v>
      </c>
    </row>
    <row r="192">
      <c r="A192" s="0" t="inlineStr">
        <is>
          <t>[가좌동]</t>
        </is>
      </c>
      <c r="B192" s="0" t="n">
        <v>2546</v>
      </c>
      <c r="C192" s="0" t="n">
        <v>5</v>
      </c>
      <c r="D192" s="0" t="inlineStr">
        <is>
          <t>진흥(215-3)</t>
        </is>
      </c>
      <c r="E192" s="0" t="inlineStr">
        <is>
          <t>1987.10.</t>
        </is>
      </c>
      <c r="F192" s="0" t="n">
        <v>240</v>
      </c>
      <c r="G192" s="0" t="n">
        <v>18.21</v>
      </c>
      <c r="H192" s="0" t="n">
        <v>60.22</v>
      </c>
      <c r="I192" s="0" t="n">
        <v>16.58</v>
      </c>
      <c r="J192" s="0" t="n">
        <v>54.82</v>
      </c>
      <c r="K192" s="0" t="n">
        <v>5</v>
      </c>
      <c r="T192" s="0" t="n">
        <v>3</v>
      </c>
      <c r="U192" s="0" t="n">
        <v>1</v>
      </c>
      <c r="V192" s="0" t="inlineStr">
        <is>
          <t>계단식</t>
        </is>
      </c>
      <c r="W192" s="0" t="n">
        <v>60</v>
      </c>
      <c r="X192" s="0" t="n">
        <v>5</v>
      </c>
      <c r="Y192" s="0" t="n">
        <v>5</v>
      </c>
      <c r="Z192" s="0" t="inlineStr">
        <is>
          <t>https://new.land.naver.com/complexes/2546?tab=detail&amp;rf=Y</t>
        </is>
      </c>
      <c r="AA192" s="0" t="inlineStr">
        <is>
          <t>인천시 서구 가좌동 215-3</t>
        </is>
      </c>
      <c r="AB192" s="0" t="inlineStr">
        <is>
          <t>인천시</t>
        </is>
      </c>
      <c r="AC192" s="0" t="inlineStr">
        <is>
          <t>서구</t>
        </is>
      </c>
      <c r="AD192" s="0" t="inlineStr">
        <is>
          <t>가좌동</t>
        </is>
      </c>
      <c r="AG192" s="0" t="inlineStr">
        <is>
          <t>인천시 서구 신진말로28번길 16</t>
        </is>
      </c>
      <c r="AH192" s="0" t="n">
        <v>0</v>
      </c>
      <c r="AI192" s="0" t="n">
        <v>169</v>
      </c>
      <c r="AJ192" s="0" t="n">
        <v>34</v>
      </c>
      <c r="AK192" s="0" t="n">
        <v>240</v>
      </c>
      <c r="AL192" s="0" t="n">
        <v>1</v>
      </c>
    </row>
    <row r="193">
      <c r="A193" s="0" t="inlineStr">
        <is>
          <t>[가좌동]</t>
        </is>
      </c>
      <c r="B193" s="0" t="n">
        <v>2546</v>
      </c>
      <c r="C193" s="0" t="n">
        <v>6</v>
      </c>
      <c r="D193" s="0" t="inlineStr">
        <is>
          <t>진흥(215-3)</t>
        </is>
      </c>
      <c r="E193" s="0" t="inlineStr">
        <is>
          <t>1987.10.</t>
        </is>
      </c>
      <c r="F193" s="0" t="n">
        <v>240</v>
      </c>
      <c r="G193" s="0" t="n">
        <v>18.51</v>
      </c>
      <c r="H193" s="0" t="n">
        <v>61.2</v>
      </c>
      <c r="I193" s="0" t="n">
        <v>15.24</v>
      </c>
      <c r="J193" s="0" t="n">
        <v>50.4</v>
      </c>
      <c r="K193" s="0" t="n">
        <v>10</v>
      </c>
      <c r="T193" s="0" t="n">
        <v>3</v>
      </c>
      <c r="U193" s="0" t="n">
        <v>1</v>
      </c>
      <c r="V193" s="0" t="inlineStr">
        <is>
          <t>계단식</t>
        </is>
      </c>
      <c r="W193" s="0" t="n">
        <v>61</v>
      </c>
      <c r="X193" s="0" t="n">
        <v>5</v>
      </c>
      <c r="Y193" s="0" t="n">
        <v>5</v>
      </c>
      <c r="Z193" s="0" t="inlineStr">
        <is>
          <t>https://new.land.naver.com/complexes/2546?tab=detail&amp;rf=Y</t>
        </is>
      </c>
      <c r="AA193" s="0" t="inlineStr">
        <is>
          <t>인천시 서구 가좌동 215-3</t>
        </is>
      </c>
      <c r="AB193" s="0" t="inlineStr">
        <is>
          <t>인천시</t>
        </is>
      </c>
      <c r="AC193" s="0" t="inlineStr">
        <is>
          <t>서구</t>
        </is>
      </c>
      <c r="AD193" s="0" t="inlineStr">
        <is>
          <t>가좌동</t>
        </is>
      </c>
      <c r="AG193" s="0" t="inlineStr">
        <is>
          <t>인천시 서구 신진말로28번길 16</t>
        </is>
      </c>
      <c r="AH193" s="0" t="n">
        <v>0</v>
      </c>
      <c r="AI193" s="0" t="n">
        <v>169</v>
      </c>
      <c r="AJ193" s="0" t="n">
        <v>34</v>
      </c>
      <c r="AK193" s="0" t="n">
        <v>240</v>
      </c>
      <c r="AL193" s="0" t="n">
        <v>1</v>
      </c>
    </row>
    <row r="194">
      <c r="A194" s="0" t="inlineStr">
        <is>
          <t>[가좌동]</t>
        </is>
      </c>
      <c r="B194" s="0" t="n">
        <v>2550</v>
      </c>
      <c r="C194" s="0" t="n">
        <v>1</v>
      </c>
      <c r="D194" s="0" t="inlineStr">
        <is>
          <t>하나</t>
        </is>
      </c>
      <c r="E194" s="0" t="inlineStr">
        <is>
          <t>1984.08.</t>
        </is>
      </c>
      <c r="F194" s="0" t="n">
        <v>300</v>
      </c>
      <c r="G194" s="0" t="n">
        <v>24</v>
      </c>
      <c r="H194" s="0" t="n">
        <v>79.34</v>
      </c>
      <c r="I194" s="0" t="n">
        <v>19.16</v>
      </c>
      <c r="J194" s="0" t="n">
        <v>63.36</v>
      </c>
      <c r="K194" s="0" t="n">
        <v>250</v>
      </c>
      <c r="T194" s="0" t="n">
        <v>3</v>
      </c>
      <c r="U194" s="0" t="n">
        <v>1</v>
      </c>
      <c r="V194" s="0" t="inlineStr">
        <is>
          <t>계단식</t>
        </is>
      </c>
      <c r="W194" s="0" t="n">
        <v>79</v>
      </c>
      <c r="X194" s="0" t="n">
        <v>6</v>
      </c>
      <c r="Y194" s="0" t="n">
        <v>5</v>
      </c>
      <c r="Z194" s="0" t="inlineStr">
        <is>
          <t>https://new.land.naver.com/complexes/2550?tab=detail&amp;rf=Y</t>
        </is>
      </c>
      <c r="AA194" s="0" t="inlineStr">
        <is>
          <t>인천시 서구 가좌동 224-2</t>
        </is>
      </c>
      <c r="AB194" s="0" t="inlineStr">
        <is>
          <t>인천시</t>
        </is>
      </c>
      <c r="AC194" s="0" t="inlineStr">
        <is>
          <t>서구</t>
        </is>
      </c>
      <c r="AD194" s="0" t="inlineStr">
        <is>
          <t>가좌동</t>
        </is>
      </c>
      <c r="AG194" s="0" t="inlineStr">
        <is>
          <t>인천시 서구 신진말로28번길 26</t>
        </is>
      </c>
      <c r="AH194" s="0" t="n">
        <v>0</v>
      </c>
      <c r="AI194" s="0" t="n">
        <v>195</v>
      </c>
      <c r="AJ194" s="0" t="n">
        <v>0</v>
      </c>
      <c r="AK194" s="0" t="n">
        <v>0</v>
      </c>
      <c r="AL194" s="0" t="n">
        <v>0</v>
      </c>
    </row>
    <row r="195">
      <c r="A195" s="0" t="inlineStr">
        <is>
          <t>[가좌동]</t>
        </is>
      </c>
      <c r="B195" s="0" t="n">
        <v>2550</v>
      </c>
      <c r="C195" s="0" t="n">
        <v>2</v>
      </c>
      <c r="D195" s="0" t="inlineStr">
        <is>
          <t>하나</t>
        </is>
      </c>
      <c r="E195" s="0" t="inlineStr">
        <is>
          <t>1984.08.</t>
        </is>
      </c>
      <c r="F195" s="0" t="n">
        <v>300</v>
      </c>
      <c r="G195" s="0" t="n">
        <v>25.99</v>
      </c>
      <c r="H195" s="0" t="n">
        <v>85.95</v>
      </c>
      <c r="I195" s="0" t="n">
        <v>20.47</v>
      </c>
      <c r="J195" s="0" t="n">
        <v>67.68000000000001</v>
      </c>
      <c r="K195" s="0" t="n">
        <v>50</v>
      </c>
      <c r="T195" s="0" t="n">
        <v>3</v>
      </c>
      <c r="U195" s="0" t="n">
        <v>1</v>
      </c>
      <c r="V195" s="0" t="inlineStr">
        <is>
          <t>계단식</t>
        </is>
      </c>
      <c r="W195" s="0" t="n">
        <v>85</v>
      </c>
      <c r="X195" s="0" t="n">
        <v>6</v>
      </c>
      <c r="Y195" s="0" t="n">
        <v>5</v>
      </c>
      <c r="Z195" s="0" t="inlineStr">
        <is>
          <t>https://new.land.naver.com/complexes/2550?tab=detail&amp;rf=Y</t>
        </is>
      </c>
      <c r="AA195" s="0" t="inlineStr">
        <is>
          <t>인천시 서구 가좌동 224-2</t>
        </is>
      </c>
      <c r="AB195" s="0" t="inlineStr">
        <is>
          <t>인천시</t>
        </is>
      </c>
      <c r="AC195" s="0" t="inlineStr">
        <is>
          <t>서구</t>
        </is>
      </c>
      <c r="AD195" s="0" t="inlineStr">
        <is>
          <t>가좌동</t>
        </is>
      </c>
      <c r="AG195" s="0" t="inlineStr">
        <is>
          <t>인천시 서구 신진말로28번길 26</t>
        </is>
      </c>
      <c r="AH195" s="0" t="n">
        <v>0</v>
      </c>
      <c r="AI195" s="0" t="n">
        <v>195</v>
      </c>
      <c r="AJ195" s="0" t="n">
        <v>0</v>
      </c>
      <c r="AK195" s="0" t="n">
        <v>0</v>
      </c>
      <c r="AL195" s="0" t="n">
        <v>0</v>
      </c>
    </row>
    <row r="196">
      <c r="A196" s="0" t="inlineStr">
        <is>
          <t>[가좌동]</t>
        </is>
      </c>
      <c r="B196" s="0" t="n">
        <v>9378</v>
      </c>
      <c r="C196" s="0" t="n">
        <v>1</v>
      </c>
      <c r="D196" s="0" t="inlineStr">
        <is>
          <t>덕산</t>
        </is>
      </c>
      <c r="E196" s="0" t="inlineStr">
        <is>
          <t>1982.02.</t>
        </is>
      </c>
      <c r="F196" s="0" t="n">
        <v>120</v>
      </c>
      <c r="G196" s="0" t="n">
        <v>17.33</v>
      </c>
      <c r="H196" s="0" t="n">
        <v>57.32</v>
      </c>
      <c r="I196" s="0" t="n">
        <v>12.65</v>
      </c>
      <c r="J196" s="0" t="n">
        <v>41.82</v>
      </c>
      <c r="K196" s="0" t="n">
        <v>120</v>
      </c>
      <c r="T196" s="0" t="n">
        <v>2</v>
      </c>
      <c r="U196" s="0" t="n">
        <v>1</v>
      </c>
      <c r="V196" s="0" t="inlineStr">
        <is>
          <t>계단식</t>
        </is>
      </c>
      <c r="W196" s="0" t="n">
        <v>57</v>
      </c>
      <c r="X196" s="0" t="n">
        <v>5</v>
      </c>
      <c r="Y196" s="0" t="n">
        <v>5</v>
      </c>
      <c r="Z196" s="0" t="inlineStr">
        <is>
          <t>https://new.land.naver.com/complexes/9378?tab=detail&amp;rf=Y</t>
        </is>
      </c>
      <c r="AA196" s="0" t="inlineStr">
        <is>
          <t>인천시 서구 가좌동 158-12</t>
        </is>
      </c>
      <c r="AB196" s="0" t="inlineStr">
        <is>
          <t>인천시</t>
        </is>
      </c>
      <c r="AC196" s="0" t="inlineStr">
        <is>
          <t>서구</t>
        </is>
      </c>
      <c r="AD196" s="0" t="inlineStr">
        <is>
          <t>가좌동</t>
        </is>
      </c>
      <c r="AG196" s="0" t="inlineStr">
        <is>
          <t>인천시 서구 건지로284번길 93</t>
        </is>
      </c>
      <c r="AH196" s="0" t="n">
        <v>0</v>
      </c>
      <c r="AI196" s="0" t="n">
        <v>114</v>
      </c>
      <c r="AJ196" s="0" t="n">
        <v>24</v>
      </c>
      <c r="AK196" s="0" t="n">
        <v>0</v>
      </c>
      <c r="AL196" s="0" t="n">
        <v>0</v>
      </c>
    </row>
    <row r="197">
      <c r="A197" s="0" t="inlineStr">
        <is>
          <t>[가좌동]</t>
        </is>
      </c>
      <c r="B197" s="0" t="n">
        <v>10456</v>
      </c>
      <c r="C197" s="0" t="n">
        <v>1</v>
      </c>
      <c r="D197" s="0" t="inlineStr">
        <is>
          <t>신영</t>
        </is>
      </c>
      <c r="E197" s="0" t="inlineStr">
        <is>
          <t>1984.11.</t>
        </is>
      </c>
      <c r="F197" s="0" t="n">
        <v>155</v>
      </c>
      <c r="G197" s="0" t="n">
        <v>14.44</v>
      </c>
      <c r="H197" s="0" t="n">
        <v>47.76</v>
      </c>
      <c r="I197" s="0" t="n">
        <v>14.44</v>
      </c>
      <c r="J197" s="0" t="n">
        <v>47.76</v>
      </c>
      <c r="K197" s="0" t="n">
        <v>35</v>
      </c>
      <c r="T197" s="0" t="n">
        <v>2</v>
      </c>
      <c r="U197" s="0" t="n">
        <v>1</v>
      </c>
      <c r="V197" s="0" t="inlineStr">
        <is>
          <t>계단식</t>
        </is>
      </c>
      <c r="W197" s="0" t="n">
        <v>47</v>
      </c>
      <c r="X197" s="0" t="n">
        <v>5</v>
      </c>
      <c r="Y197" s="0" t="n">
        <v>5</v>
      </c>
      <c r="Z197" s="0" t="inlineStr">
        <is>
          <t>https://new.land.naver.com/complexes/10456?tab=detail&amp;rf=Y</t>
        </is>
      </c>
      <c r="AA197" s="0" t="inlineStr">
        <is>
          <t>인천시 서구 가좌동 262-1</t>
        </is>
      </c>
      <c r="AB197" s="0" t="inlineStr">
        <is>
          <t>인천시</t>
        </is>
      </c>
      <c r="AC197" s="0" t="inlineStr">
        <is>
          <t>서구</t>
        </is>
      </c>
      <c r="AD197" s="0" t="inlineStr">
        <is>
          <t>가좌동</t>
        </is>
      </c>
      <c r="AG197" s="0" t="inlineStr">
        <is>
          <t>인천시 서구 원적로37번길 23</t>
        </is>
      </c>
      <c r="AH197" s="0" t="n">
        <v>0</v>
      </c>
      <c r="AI197" s="0" t="n">
        <v>150</v>
      </c>
      <c r="AJ197" s="0" t="n">
        <v>30</v>
      </c>
      <c r="AK197" s="0" t="n">
        <v>0</v>
      </c>
      <c r="AL197" s="0" t="n">
        <v>0</v>
      </c>
    </row>
    <row r="198">
      <c r="A198" s="0" t="inlineStr">
        <is>
          <t>[가좌동]</t>
        </is>
      </c>
      <c r="B198" s="0" t="n">
        <v>10456</v>
      </c>
      <c r="C198" s="0" t="n">
        <v>2</v>
      </c>
      <c r="D198" s="0" t="inlineStr">
        <is>
          <t>신영</t>
        </is>
      </c>
      <c r="E198" s="0" t="inlineStr">
        <is>
          <t>1984.11.</t>
        </is>
      </c>
      <c r="F198" s="0" t="n">
        <v>155</v>
      </c>
      <c r="G198" s="0" t="n">
        <v>14.96</v>
      </c>
      <c r="H198" s="0" t="n">
        <v>49.48</v>
      </c>
      <c r="I198" s="0" t="n">
        <v>14.96</v>
      </c>
      <c r="J198" s="0" t="n">
        <v>49.48</v>
      </c>
      <c r="K198" s="0" t="n">
        <v>20</v>
      </c>
      <c r="T198" s="0" t="n">
        <v>2</v>
      </c>
      <c r="U198" s="0" t="n">
        <v>1</v>
      </c>
      <c r="V198" s="0" t="inlineStr">
        <is>
          <t>계단식</t>
        </is>
      </c>
      <c r="W198" s="0" t="n">
        <v>49</v>
      </c>
      <c r="X198" s="0" t="n">
        <v>5</v>
      </c>
      <c r="Y198" s="0" t="n">
        <v>5</v>
      </c>
      <c r="Z198" s="0" t="inlineStr">
        <is>
          <t>https://new.land.naver.com/complexes/10456?tab=detail&amp;rf=Y</t>
        </is>
      </c>
      <c r="AA198" s="0" t="inlineStr">
        <is>
          <t>인천시 서구 가좌동 262-1</t>
        </is>
      </c>
      <c r="AB198" s="0" t="inlineStr">
        <is>
          <t>인천시</t>
        </is>
      </c>
      <c r="AC198" s="0" t="inlineStr">
        <is>
          <t>서구</t>
        </is>
      </c>
      <c r="AD198" s="0" t="inlineStr">
        <is>
          <t>가좌동</t>
        </is>
      </c>
      <c r="AG198" s="0" t="inlineStr">
        <is>
          <t>인천시 서구 원적로37번길 23</t>
        </is>
      </c>
      <c r="AH198" s="0" t="n">
        <v>0</v>
      </c>
      <c r="AI198" s="0" t="n">
        <v>150</v>
      </c>
      <c r="AJ198" s="0" t="n">
        <v>30</v>
      </c>
      <c r="AK198" s="0" t="n">
        <v>0</v>
      </c>
      <c r="AL198" s="0" t="n">
        <v>0</v>
      </c>
    </row>
    <row r="199">
      <c r="A199" s="0" t="inlineStr">
        <is>
          <t>[가좌동]</t>
        </is>
      </c>
      <c r="B199" s="0" t="n">
        <v>10456</v>
      </c>
      <c r="C199" s="0" t="n">
        <v>3</v>
      </c>
      <c r="D199" s="0" t="inlineStr">
        <is>
          <t>신영</t>
        </is>
      </c>
      <c r="E199" s="0" t="inlineStr">
        <is>
          <t>1984.11.</t>
        </is>
      </c>
      <c r="F199" s="0" t="n">
        <v>155</v>
      </c>
      <c r="G199" s="0" t="n">
        <v>16.04</v>
      </c>
      <c r="H199" s="0" t="n">
        <v>53.04</v>
      </c>
      <c r="I199" s="0" t="n">
        <v>16.04</v>
      </c>
      <c r="J199" s="0" t="n">
        <v>53.04</v>
      </c>
      <c r="K199" s="0" t="n">
        <v>5</v>
      </c>
      <c r="T199" s="0" t="n">
        <v>2</v>
      </c>
      <c r="U199" s="0" t="n">
        <v>1</v>
      </c>
      <c r="V199" s="0" t="inlineStr">
        <is>
          <t>계단식</t>
        </is>
      </c>
      <c r="W199" s="0" t="n">
        <v>53</v>
      </c>
      <c r="X199" s="0" t="n">
        <v>5</v>
      </c>
      <c r="Y199" s="0" t="n">
        <v>5</v>
      </c>
      <c r="Z199" s="0" t="inlineStr">
        <is>
          <t>https://new.land.naver.com/complexes/10456?tab=detail&amp;rf=Y</t>
        </is>
      </c>
      <c r="AA199" s="0" t="inlineStr">
        <is>
          <t>인천시 서구 가좌동 262-1</t>
        </is>
      </c>
      <c r="AB199" s="0" t="inlineStr">
        <is>
          <t>인천시</t>
        </is>
      </c>
      <c r="AC199" s="0" t="inlineStr">
        <is>
          <t>서구</t>
        </is>
      </c>
      <c r="AD199" s="0" t="inlineStr">
        <is>
          <t>가좌동</t>
        </is>
      </c>
      <c r="AG199" s="0" t="inlineStr">
        <is>
          <t>인천시 서구 원적로37번길 23</t>
        </is>
      </c>
      <c r="AH199" s="0" t="n">
        <v>0</v>
      </c>
      <c r="AI199" s="0" t="n">
        <v>150</v>
      </c>
      <c r="AJ199" s="0" t="n">
        <v>30</v>
      </c>
      <c r="AK199" s="0" t="n">
        <v>0</v>
      </c>
      <c r="AL199" s="0" t="n">
        <v>0</v>
      </c>
    </row>
    <row r="200">
      <c r="A200" s="0" t="inlineStr">
        <is>
          <t>[가좌동]</t>
        </is>
      </c>
      <c r="B200" s="0" t="n">
        <v>10456</v>
      </c>
      <c r="C200" s="0" t="n">
        <v>4</v>
      </c>
      <c r="D200" s="0" t="inlineStr">
        <is>
          <t>신영</t>
        </is>
      </c>
      <c r="E200" s="0" t="inlineStr">
        <is>
          <t>1984.11.</t>
        </is>
      </c>
      <c r="F200" s="0" t="n">
        <v>155</v>
      </c>
      <c r="G200" s="0" t="n">
        <v>16.57</v>
      </c>
      <c r="H200" s="0" t="n">
        <v>54.8</v>
      </c>
      <c r="I200" s="0" t="n">
        <v>13.89</v>
      </c>
      <c r="J200" s="0" t="n">
        <v>45.93</v>
      </c>
      <c r="K200" s="0" t="n">
        <v>40</v>
      </c>
      <c r="T200" s="0" t="n">
        <v>2</v>
      </c>
      <c r="U200" s="0" t="n">
        <v>1</v>
      </c>
      <c r="V200" s="0" t="inlineStr">
        <is>
          <t>계단식</t>
        </is>
      </c>
      <c r="W200" s="0" t="n">
        <v>54</v>
      </c>
      <c r="X200" s="0" t="n">
        <v>5</v>
      </c>
      <c r="Y200" s="0" t="n">
        <v>5</v>
      </c>
      <c r="Z200" s="0" t="inlineStr">
        <is>
          <t>https://new.land.naver.com/complexes/10456?tab=detail&amp;rf=Y</t>
        </is>
      </c>
      <c r="AA200" s="0" t="inlineStr">
        <is>
          <t>인천시 서구 가좌동 262-1</t>
        </is>
      </c>
      <c r="AB200" s="0" t="inlineStr">
        <is>
          <t>인천시</t>
        </is>
      </c>
      <c r="AC200" s="0" t="inlineStr">
        <is>
          <t>서구</t>
        </is>
      </c>
      <c r="AD200" s="0" t="inlineStr">
        <is>
          <t>가좌동</t>
        </is>
      </c>
      <c r="AG200" s="0" t="inlineStr">
        <is>
          <t>인천시 서구 원적로37번길 23</t>
        </is>
      </c>
      <c r="AH200" s="0" t="n">
        <v>0</v>
      </c>
      <c r="AI200" s="0" t="n">
        <v>150</v>
      </c>
      <c r="AJ200" s="0" t="n">
        <v>30</v>
      </c>
      <c r="AK200" s="0" t="n">
        <v>0</v>
      </c>
      <c r="AL200" s="0" t="n">
        <v>0</v>
      </c>
    </row>
    <row r="201">
      <c r="A201" s="0" t="inlineStr">
        <is>
          <t>[가좌동]</t>
        </is>
      </c>
      <c r="B201" s="0" t="n">
        <v>10456</v>
      </c>
      <c r="C201" s="0" t="n">
        <v>5</v>
      </c>
      <c r="D201" s="0" t="inlineStr">
        <is>
          <t>신영</t>
        </is>
      </c>
      <c r="E201" s="0" t="inlineStr">
        <is>
          <t>1984.11.</t>
        </is>
      </c>
      <c r="F201" s="0" t="n">
        <v>155</v>
      </c>
      <c r="G201" s="0" t="n">
        <v>17.52</v>
      </c>
      <c r="H201" s="0" t="n">
        <v>57.95</v>
      </c>
      <c r="I201" s="0" t="n">
        <v>14.68</v>
      </c>
      <c r="J201" s="0" t="n">
        <v>48.54</v>
      </c>
      <c r="K201" s="0" t="n">
        <v>10</v>
      </c>
      <c r="T201" s="0" t="n">
        <v>3</v>
      </c>
      <c r="U201" s="0" t="n">
        <v>1</v>
      </c>
      <c r="V201" s="0" t="inlineStr">
        <is>
          <t>계단식</t>
        </is>
      </c>
      <c r="W201" s="0" t="n">
        <v>57</v>
      </c>
      <c r="X201" s="0" t="n">
        <v>5</v>
      </c>
      <c r="Y201" s="0" t="n">
        <v>5</v>
      </c>
      <c r="Z201" s="0" t="inlineStr">
        <is>
          <t>https://new.land.naver.com/complexes/10456?tab=detail&amp;rf=Y</t>
        </is>
      </c>
      <c r="AA201" s="0" t="inlineStr">
        <is>
          <t>인천시 서구 가좌동 262-1</t>
        </is>
      </c>
      <c r="AB201" s="0" t="inlineStr">
        <is>
          <t>인천시</t>
        </is>
      </c>
      <c r="AC201" s="0" t="inlineStr">
        <is>
          <t>서구</t>
        </is>
      </c>
      <c r="AD201" s="0" t="inlineStr">
        <is>
          <t>가좌동</t>
        </is>
      </c>
      <c r="AG201" s="0" t="inlineStr">
        <is>
          <t>인천시 서구 원적로37번길 23</t>
        </is>
      </c>
      <c r="AH201" s="0" t="n">
        <v>0</v>
      </c>
      <c r="AI201" s="0" t="n">
        <v>150</v>
      </c>
      <c r="AJ201" s="0" t="n">
        <v>30</v>
      </c>
      <c r="AK201" s="0" t="n">
        <v>0</v>
      </c>
      <c r="AL201" s="0" t="n">
        <v>0</v>
      </c>
    </row>
    <row r="202">
      <c r="A202" s="0" t="inlineStr">
        <is>
          <t>[가좌동]</t>
        </is>
      </c>
      <c r="B202" s="0" t="n">
        <v>10456</v>
      </c>
      <c r="C202" s="0" t="n">
        <v>6</v>
      </c>
      <c r="D202" s="0" t="inlineStr">
        <is>
          <t>신영</t>
        </is>
      </c>
      <c r="E202" s="0" t="inlineStr">
        <is>
          <t>1984.11.</t>
        </is>
      </c>
      <c r="F202" s="0" t="n">
        <v>155</v>
      </c>
      <c r="G202" s="0" t="n">
        <v>19.45</v>
      </c>
      <c r="H202" s="0" t="n">
        <v>64.31999999999999</v>
      </c>
      <c r="I202" s="0" t="n">
        <v>19.45</v>
      </c>
      <c r="J202" s="0" t="n">
        <v>64.31999999999999</v>
      </c>
      <c r="K202" s="0" t="n">
        <v>5</v>
      </c>
      <c r="T202" s="0" t="n">
        <v>3</v>
      </c>
      <c r="U202" s="0" t="n">
        <v>1</v>
      </c>
      <c r="V202" s="0" t="inlineStr">
        <is>
          <t>계단식</t>
        </is>
      </c>
      <c r="W202" s="0" t="n">
        <v>64</v>
      </c>
      <c r="X202" s="0" t="n">
        <v>5</v>
      </c>
      <c r="Y202" s="0" t="n">
        <v>5</v>
      </c>
      <c r="Z202" s="0" t="inlineStr">
        <is>
          <t>https://new.land.naver.com/complexes/10456?tab=detail&amp;rf=Y</t>
        </is>
      </c>
      <c r="AA202" s="0" t="inlineStr">
        <is>
          <t>인천시 서구 가좌동 262-1</t>
        </is>
      </c>
      <c r="AB202" s="0" t="inlineStr">
        <is>
          <t>인천시</t>
        </is>
      </c>
      <c r="AC202" s="0" t="inlineStr">
        <is>
          <t>서구</t>
        </is>
      </c>
      <c r="AD202" s="0" t="inlineStr">
        <is>
          <t>가좌동</t>
        </is>
      </c>
      <c r="AG202" s="0" t="inlineStr">
        <is>
          <t>인천시 서구 원적로37번길 23</t>
        </is>
      </c>
      <c r="AH202" s="0" t="n">
        <v>0</v>
      </c>
      <c r="AI202" s="0" t="n">
        <v>150</v>
      </c>
      <c r="AJ202" s="0" t="n">
        <v>30</v>
      </c>
      <c r="AK202" s="0" t="n">
        <v>0</v>
      </c>
      <c r="AL202" s="0" t="n">
        <v>0</v>
      </c>
    </row>
    <row r="203">
      <c r="A203" s="0" t="inlineStr">
        <is>
          <t>[가좌동]</t>
        </is>
      </c>
      <c r="B203" s="0" t="n">
        <v>10456</v>
      </c>
      <c r="C203" s="0" t="n">
        <v>7</v>
      </c>
      <c r="D203" s="0" t="inlineStr">
        <is>
          <t>신영</t>
        </is>
      </c>
      <c r="E203" s="0" t="inlineStr">
        <is>
          <t>1984.11.</t>
        </is>
      </c>
      <c r="F203" s="0" t="n">
        <v>155</v>
      </c>
      <c r="G203" s="0" t="n">
        <v>21.85</v>
      </c>
      <c r="H203" s="0" t="n">
        <v>72.26000000000001</v>
      </c>
      <c r="I203" s="0" t="n">
        <v>18.46</v>
      </c>
      <c r="J203" s="0" t="n">
        <v>61.05</v>
      </c>
      <c r="K203" s="0" t="n">
        <v>30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72</v>
      </c>
      <c r="X203" s="0" t="n">
        <v>5</v>
      </c>
      <c r="Y203" s="0" t="n">
        <v>5</v>
      </c>
      <c r="Z203" s="0" t="inlineStr">
        <is>
          <t>https://new.land.naver.com/complexes/10456?tab=detail&amp;rf=Y</t>
        </is>
      </c>
      <c r="AA203" s="0" t="inlineStr">
        <is>
          <t>인천시 서구 가좌동 262-1</t>
        </is>
      </c>
      <c r="AB203" s="0" t="inlineStr">
        <is>
          <t>인천시</t>
        </is>
      </c>
      <c r="AC203" s="0" t="inlineStr">
        <is>
          <t>서구</t>
        </is>
      </c>
      <c r="AD203" s="0" t="inlineStr">
        <is>
          <t>가좌동</t>
        </is>
      </c>
      <c r="AG203" s="0" t="inlineStr">
        <is>
          <t>인천시 서구 원적로37번길 23</t>
        </is>
      </c>
      <c r="AH203" s="0" t="n">
        <v>0</v>
      </c>
      <c r="AI203" s="0" t="n">
        <v>150</v>
      </c>
      <c r="AJ203" s="0" t="n">
        <v>30</v>
      </c>
      <c r="AK203" s="0" t="n">
        <v>0</v>
      </c>
      <c r="AL203" s="0" t="n">
        <v>0</v>
      </c>
    </row>
    <row r="204">
      <c r="A204" s="0" t="inlineStr">
        <is>
          <t>[가좌동]</t>
        </is>
      </c>
      <c r="B204" s="0" t="n">
        <v>10456</v>
      </c>
      <c r="C204" s="0" t="n">
        <v>8</v>
      </c>
      <c r="D204" s="0" t="inlineStr">
        <is>
          <t>신영</t>
        </is>
      </c>
      <c r="E204" s="0" t="inlineStr">
        <is>
          <t>1984.11.</t>
        </is>
      </c>
      <c r="F204" s="0" t="n">
        <v>155</v>
      </c>
      <c r="G204" s="0" t="n">
        <v>23.7</v>
      </c>
      <c r="H204" s="0" t="n">
        <v>78.38</v>
      </c>
      <c r="I204" s="0" t="n">
        <v>19.99</v>
      </c>
      <c r="J204" s="0" t="n">
        <v>66.09</v>
      </c>
      <c r="K204" s="0" t="n">
        <v>10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78</v>
      </c>
      <c r="X204" s="0" t="n">
        <v>5</v>
      </c>
      <c r="Y204" s="0" t="n">
        <v>5</v>
      </c>
      <c r="Z204" s="0" t="inlineStr">
        <is>
          <t>https://new.land.naver.com/complexes/10456?tab=detail&amp;rf=Y</t>
        </is>
      </c>
      <c r="AA204" s="0" t="inlineStr">
        <is>
          <t>인천시 서구 가좌동 262-1</t>
        </is>
      </c>
      <c r="AB204" s="0" t="inlineStr">
        <is>
          <t>인천시</t>
        </is>
      </c>
      <c r="AC204" s="0" t="inlineStr">
        <is>
          <t>서구</t>
        </is>
      </c>
      <c r="AD204" s="0" t="inlineStr">
        <is>
          <t>가좌동</t>
        </is>
      </c>
      <c r="AG204" s="0" t="inlineStr">
        <is>
          <t>인천시 서구 원적로37번길 23</t>
        </is>
      </c>
      <c r="AH204" s="0" t="n">
        <v>0</v>
      </c>
      <c r="AI204" s="0" t="n">
        <v>150</v>
      </c>
      <c r="AJ204" s="0" t="n">
        <v>30</v>
      </c>
      <c r="AK204" s="0" t="n">
        <v>0</v>
      </c>
      <c r="AL204" s="0" t="n">
        <v>0</v>
      </c>
    </row>
    <row r="205">
      <c r="A205" s="0" t="inlineStr">
        <is>
          <t>[가좌동]</t>
        </is>
      </c>
      <c r="B205" s="0" t="n">
        <v>8118</v>
      </c>
      <c r="C205" s="0" t="n">
        <v>1</v>
      </c>
      <c r="D205" s="0" t="inlineStr">
        <is>
          <t>진주1단지</t>
        </is>
      </c>
      <c r="E205" s="0" t="inlineStr">
        <is>
          <t>1983.03.</t>
        </is>
      </c>
      <c r="F205" s="0" t="n">
        <v>686</v>
      </c>
      <c r="G205" s="0" t="n">
        <v>16.72</v>
      </c>
      <c r="H205" s="0" t="n">
        <v>55.3</v>
      </c>
      <c r="I205" s="0" t="n">
        <v>15.77</v>
      </c>
      <c r="J205" s="0" t="n">
        <v>52.16</v>
      </c>
      <c r="K205" s="0" t="n">
        <v>260</v>
      </c>
      <c r="T205" s="0" t="n">
        <v>3</v>
      </c>
      <c r="U205" s="0" t="n">
        <v>1</v>
      </c>
      <c r="V205" s="0" t="inlineStr">
        <is>
          <t>복도식</t>
        </is>
      </c>
      <c r="W205" s="0" t="inlineStr">
        <is>
          <t>55A</t>
        </is>
      </c>
      <c r="X205" s="0" t="n">
        <v>14</v>
      </c>
      <c r="Y205" s="0" t="n">
        <v>14</v>
      </c>
      <c r="Z205" s="0" t="inlineStr">
        <is>
          <t>https://new.land.naver.com/complexes/8118?tab=detail&amp;rf=Y</t>
        </is>
      </c>
      <c r="AA205" s="0" t="inlineStr">
        <is>
          <t>인천시 서구 가좌동 30-2</t>
        </is>
      </c>
      <c r="AB205" s="0" t="inlineStr">
        <is>
          <t>인천시</t>
        </is>
      </c>
      <c r="AC205" s="0" t="inlineStr">
        <is>
          <t>서구</t>
        </is>
      </c>
      <c r="AD205" s="0" t="inlineStr">
        <is>
          <t>가좌동</t>
        </is>
      </c>
      <c r="AG205" s="0" t="inlineStr">
        <is>
          <t>인천시 서구 원적로 82</t>
        </is>
      </c>
      <c r="AH205" s="0" t="n">
        <v>0</v>
      </c>
      <c r="AI205" s="0" t="n">
        <v>0</v>
      </c>
      <c r="AJ205" s="0" t="n">
        <v>0</v>
      </c>
      <c r="AK205" s="0" t="n">
        <v>0</v>
      </c>
      <c r="AL205" s="0" t="n">
        <v>0</v>
      </c>
    </row>
    <row r="206">
      <c r="A206" s="0" t="inlineStr">
        <is>
          <t>[가좌동]</t>
        </is>
      </c>
      <c r="B206" s="0" t="n">
        <v>8118</v>
      </c>
      <c r="C206" s="0" t="n">
        <v>2</v>
      </c>
      <c r="D206" s="0" t="inlineStr">
        <is>
          <t>진주1단지</t>
        </is>
      </c>
      <c r="E206" s="0" t="inlineStr">
        <is>
          <t>1983.03.</t>
        </is>
      </c>
      <c r="F206" s="0" t="n">
        <v>686</v>
      </c>
      <c r="G206" s="0" t="n">
        <v>16.99</v>
      </c>
      <c r="H206" s="0" t="n">
        <v>56.19</v>
      </c>
      <c r="I206" s="0" t="n">
        <v>16.12</v>
      </c>
      <c r="J206" s="0" t="n">
        <v>53.32</v>
      </c>
      <c r="K206" s="0" t="n">
        <v>20</v>
      </c>
      <c r="T206" s="0" t="n">
        <v>3</v>
      </c>
      <c r="U206" s="0" t="n">
        <v>1</v>
      </c>
      <c r="V206" s="0" t="inlineStr">
        <is>
          <t>복도식</t>
        </is>
      </c>
      <c r="W206" s="0" t="inlineStr">
        <is>
          <t>56B</t>
        </is>
      </c>
      <c r="X206" s="0" t="n">
        <v>14</v>
      </c>
      <c r="Y206" s="0" t="n">
        <v>14</v>
      </c>
      <c r="Z206" s="0" t="inlineStr">
        <is>
          <t>https://new.land.naver.com/complexes/8118?tab=detail&amp;rf=Y</t>
        </is>
      </c>
      <c r="AA206" s="0" t="inlineStr">
        <is>
          <t>인천시 서구 가좌동 30-2</t>
        </is>
      </c>
      <c r="AB206" s="0" t="inlineStr">
        <is>
          <t>인천시</t>
        </is>
      </c>
      <c r="AC206" s="0" t="inlineStr">
        <is>
          <t>서구</t>
        </is>
      </c>
      <c r="AD206" s="0" t="inlineStr">
        <is>
          <t>가좌동</t>
        </is>
      </c>
      <c r="AG206" s="0" t="inlineStr">
        <is>
          <t>인천시 서구 원적로 82</t>
        </is>
      </c>
      <c r="AH206" s="0" t="n">
        <v>0</v>
      </c>
      <c r="AI206" s="0" t="n">
        <v>0</v>
      </c>
      <c r="AJ206" s="0" t="n">
        <v>0</v>
      </c>
      <c r="AK206" s="0" t="n">
        <v>0</v>
      </c>
      <c r="AL206" s="0" t="n">
        <v>0</v>
      </c>
    </row>
    <row r="207">
      <c r="A207" s="0" t="inlineStr">
        <is>
          <t>[가좌동]</t>
        </is>
      </c>
      <c r="B207" s="0" t="n">
        <v>8118</v>
      </c>
      <c r="C207" s="0" t="n">
        <v>3</v>
      </c>
      <c r="D207" s="0" t="inlineStr">
        <is>
          <t>진주1단지</t>
        </is>
      </c>
      <c r="E207" s="0" t="inlineStr">
        <is>
          <t>1983.03.</t>
        </is>
      </c>
      <c r="F207" s="0" t="n">
        <v>686</v>
      </c>
      <c r="G207" s="0" t="n">
        <v>19.42</v>
      </c>
      <c r="H207" s="0" t="n">
        <v>64.22</v>
      </c>
      <c r="I207" s="0" t="n">
        <v>14.35</v>
      </c>
      <c r="J207" s="0" t="n">
        <v>47.44</v>
      </c>
      <c r="K207" s="0" t="n">
        <v>210</v>
      </c>
      <c r="T207" s="0" t="n">
        <v>3</v>
      </c>
      <c r="U207" s="0" t="n">
        <v>1</v>
      </c>
      <c r="V207" s="0" t="inlineStr">
        <is>
          <t>복도식</t>
        </is>
      </c>
      <c r="W207" s="0" t="n">
        <v>64</v>
      </c>
      <c r="X207" s="0" t="n">
        <v>14</v>
      </c>
      <c r="Y207" s="0" t="n">
        <v>14</v>
      </c>
      <c r="Z207" s="0" t="inlineStr">
        <is>
          <t>https://new.land.naver.com/complexes/8118?tab=detail&amp;rf=Y</t>
        </is>
      </c>
      <c r="AA207" s="0" t="inlineStr">
        <is>
          <t>인천시 서구 가좌동 30-2</t>
        </is>
      </c>
      <c r="AB207" s="0" t="inlineStr">
        <is>
          <t>인천시</t>
        </is>
      </c>
      <c r="AC207" s="0" t="inlineStr">
        <is>
          <t>서구</t>
        </is>
      </c>
      <c r="AD207" s="0" t="inlineStr">
        <is>
          <t>가좌동</t>
        </is>
      </c>
      <c r="AG207" s="0" t="inlineStr">
        <is>
          <t>인천시 서구 원적로 82</t>
        </is>
      </c>
      <c r="AH207" s="0" t="n">
        <v>0</v>
      </c>
      <c r="AI207" s="0" t="n">
        <v>0</v>
      </c>
      <c r="AJ207" s="0" t="n">
        <v>0</v>
      </c>
      <c r="AK207" s="0" t="n">
        <v>0</v>
      </c>
      <c r="AL207" s="0" t="n">
        <v>0</v>
      </c>
    </row>
    <row r="208">
      <c r="A208" s="0" t="inlineStr">
        <is>
          <t>[가좌동]</t>
        </is>
      </c>
      <c r="B208" s="0" t="n">
        <v>8118</v>
      </c>
      <c r="C208" s="0" t="n">
        <v>4</v>
      </c>
      <c r="D208" s="0" t="inlineStr">
        <is>
          <t>진주1단지</t>
        </is>
      </c>
      <c r="E208" s="0" t="inlineStr">
        <is>
          <t>1983.03.</t>
        </is>
      </c>
      <c r="F208" s="0" t="n">
        <v>686</v>
      </c>
      <c r="G208" s="0" t="n">
        <v>23.24</v>
      </c>
      <c r="H208" s="0" t="n">
        <v>76.84999999999999</v>
      </c>
      <c r="I208" s="0" t="n">
        <v>17.65</v>
      </c>
      <c r="J208" s="0" t="n">
        <v>58.36</v>
      </c>
      <c r="K208" s="0" t="n">
        <v>196</v>
      </c>
      <c r="T208" s="0" t="n">
        <v>3</v>
      </c>
      <c r="U208" s="0" t="n">
        <v>1</v>
      </c>
      <c r="V208" s="0" t="inlineStr">
        <is>
          <t>복도식</t>
        </is>
      </c>
      <c r="W208" s="0" t="n">
        <v>76</v>
      </c>
      <c r="X208" s="0" t="n">
        <v>14</v>
      </c>
      <c r="Y208" s="0" t="n">
        <v>14</v>
      </c>
      <c r="Z208" s="0" t="inlineStr">
        <is>
          <t>https://new.land.naver.com/complexes/8118?tab=detail&amp;rf=Y</t>
        </is>
      </c>
      <c r="AA208" s="0" t="inlineStr">
        <is>
          <t>인천시 서구 가좌동 30-2</t>
        </is>
      </c>
      <c r="AB208" s="0" t="inlineStr">
        <is>
          <t>인천시</t>
        </is>
      </c>
      <c r="AC208" s="0" t="inlineStr">
        <is>
          <t>서구</t>
        </is>
      </c>
      <c r="AD208" s="0" t="inlineStr">
        <is>
          <t>가좌동</t>
        </is>
      </c>
      <c r="AG208" s="0" t="inlineStr">
        <is>
          <t>인천시 서구 원적로 82</t>
        </is>
      </c>
      <c r="AH208" s="0" t="n">
        <v>0</v>
      </c>
      <c r="AI208" s="0" t="n">
        <v>0</v>
      </c>
      <c r="AJ208" s="0" t="n">
        <v>0</v>
      </c>
      <c r="AK208" s="0" t="n">
        <v>0</v>
      </c>
      <c r="AL208" s="0" t="n">
        <v>0</v>
      </c>
    </row>
    <row r="209">
      <c r="A209" s="0" t="inlineStr">
        <is>
          <t>[가좌동]</t>
        </is>
      </c>
      <c r="B209" s="0" t="n">
        <v>27128</v>
      </c>
      <c r="C209" s="0" t="n">
        <v>1</v>
      </c>
      <c r="D209" s="0" t="inlineStr">
        <is>
          <t>가좌라일실크빌</t>
        </is>
      </c>
      <c r="E209" s="0" t="inlineStr">
        <is>
          <t>2008.10.</t>
        </is>
      </c>
      <c r="F209" s="0" t="n">
        <v>101</v>
      </c>
      <c r="G209" s="0" t="n">
        <v>17.04</v>
      </c>
      <c r="H209" s="0" t="n">
        <v>56.36</v>
      </c>
      <c r="I209" s="0" t="n">
        <v>13.4</v>
      </c>
      <c r="J209" s="0" t="n">
        <v>44.3</v>
      </c>
      <c r="K209" s="0" t="n">
        <v>1</v>
      </c>
      <c r="T209" s="0" t="n">
        <v>2</v>
      </c>
      <c r="U209" s="0" t="n">
        <v>1</v>
      </c>
      <c r="V209" s="0" t="inlineStr">
        <is>
          <t>복합식</t>
        </is>
      </c>
      <c r="W209" s="0" t="n">
        <v>56</v>
      </c>
      <c r="X209" s="0" t="n">
        <v>14</v>
      </c>
      <c r="Y209" s="0" t="n">
        <v>10</v>
      </c>
      <c r="Z209" s="0" t="inlineStr">
        <is>
          <t>https://new.land.naver.com/complexes/27128?tab=detail&amp;rf=Y</t>
        </is>
      </c>
      <c r="AA209" s="0" t="inlineStr">
        <is>
          <t>인천시 서구 가좌동 329-5</t>
        </is>
      </c>
      <c r="AB209" s="0" t="inlineStr">
        <is>
          <t>인천시</t>
        </is>
      </c>
      <c r="AC209" s="0" t="inlineStr">
        <is>
          <t>서구</t>
        </is>
      </c>
      <c r="AD209" s="0" t="inlineStr">
        <is>
          <t>가좌동</t>
        </is>
      </c>
      <c r="AG209" s="0" t="inlineStr">
        <is>
          <t>인천시 서구 열우물로282번길 16-6</t>
        </is>
      </c>
      <c r="AH209" s="0" t="n">
        <v>0</v>
      </c>
      <c r="AI209" s="0" t="n">
        <v>253</v>
      </c>
      <c r="AJ209" s="0" t="n">
        <v>23</v>
      </c>
      <c r="AK209" s="0" t="n">
        <v>110</v>
      </c>
      <c r="AL209" s="0" t="n">
        <v>1.09</v>
      </c>
    </row>
    <row r="210">
      <c r="A210" s="0" t="inlineStr">
        <is>
          <t>[가좌동]</t>
        </is>
      </c>
      <c r="B210" s="0" t="n">
        <v>27128</v>
      </c>
      <c r="C210" s="0" t="n">
        <v>2</v>
      </c>
      <c r="D210" s="0" t="inlineStr">
        <is>
          <t>가좌라일실크빌</t>
        </is>
      </c>
      <c r="E210" s="0" t="inlineStr">
        <is>
          <t>2008.10.</t>
        </is>
      </c>
      <c r="F210" s="0" t="n">
        <v>101</v>
      </c>
      <c r="G210" s="0" t="n">
        <v>27.86</v>
      </c>
      <c r="H210" s="0" t="n">
        <v>92.09999999999999</v>
      </c>
      <c r="I210" s="0" t="n">
        <v>22.12</v>
      </c>
      <c r="J210" s="0" t="n">
        <v>73.14</v>
      </c>
      <c r="K210" s="0" t="n">
        <v>67</v>
      </c>
      <c r="T210" s="0" t="n">
        <v>3</v>
      </c>
      <c r="U210" s="0" t="n">
        <v>2</v>
      </c>
      <c r="V210" s="0" t="inlineStr">
        <is>
          <t>복합식</t>
        </is>
      </c>
      <c r="W210" s="0" t="n">
        <v>92</v>
      </c>
      <c r="X210" s="0" t="n">
        <v>14</v>
      </c>
      <c r="Y210" s="0" t="n">
        <v>10</v>
      </c>
      <c r="Z210" s="0" t="inlineStr">
        <is>
          <t>https://new.land.naver.com/complexes/27128?tab=detail&amp;rf=Y</t>
        </is>
      </c>
      <c r="AA210" s="0" t="inlineStr">
        <is>
          <t>인천시 서구 가좌동 329-5</t>
        </is>
      </c>
      <c r="AB210" s="0" t="inlineStr">
        <is>
          <t>인천시</t>
        </is>
      </c>
      <c r="AC210" s="0" t="inlineStr">
        <is>
          <t>서구</t>
        </is>
      </c>
      <c r="AD210" s="0" t="inlineStr">
        <is>
          <t>가좌동</t>
        </is>
      </c>
      <c r="AG210" s="0" t="inlineStr">
        <is>
          <t>인천시 서구 열우물로282번길 16-6</t>
        </is>
      </c>
      <c r="AH210" s="0" t="n">
        <v>0</v>
      </c>
      <c r="AI210" s="0" t="n">
        <v>253</v>
      </c>
      <c r="AJ210" s="0" t="n">
        <v>23</v>
      </c>
      <c r="AK210" s="0" t="n">
        <v>110</v>
      </c>
      <c r="AL210" s="0" t="n">
        <v>1.09</v>
      </c>
    </row>
    <row r="211">
      <c r="A211" s="0" t="inlineStr">
        <is>
          <t>[가좌동]</t>
        </is>
      </c>
      <c r="B211" s="0" t="n">
        <v>27128</v>
      </c>
      <c r="C211" s="0" t="n">
        <v>3</v>
      </c>
      <c r="D211" s="0" t="inlineStr">
        <is>
          <t>가좌라일실크빌</t>
        </is>
      </c>
      <c r="E211" s="0" t="inlineStr">
        <is>
          <t>2008.10.</t>
        </is>
      </c>
      <c r="F211" s="0" t="n">
        <v>101</v>
      </c>
      <c r="G211" s="0" t="n">
        <v>28.51</v>
      </c>
      <c r="H211" s="0" t="n">
        <v>94.28</v>
      </c>
      <c r="I211" s="0" t="n">
        <v>22.32</v>
      </c>
      <c r="J211" s="0" t="n">
        <v>73.8</v>
      </c>
      <c r="K211" s="0" t="n">
        <v>9</v>
      </c>
      <c r="T211" s="0" t="n">
        <v>3</v>
      </c>
      <c r="U211" s="0" t="n">
        <v>2</v>
      </c>
      <c r="V211" s="0" t="inlineStr">
        <is>
          <t>복합식</t>
        </is>
      </c>
      <c r="W211" s="0" t="n">
        <v>94</v>
      </c>
      <c r="X211" s="0" t="n">
        <v>14</v>
      </c>
      <c r="Y211" s="0" t="n">
        <v>10</v>
      </c>
      <c r="Z211" s="0" t="inlineStr">
        <is>
          <t>https://new.land.naver.com/complexes/27128?tab=detail&amp;rf=Y</t>
        </is>
      </c>
      <c r="AA211" s="0" t="inlineStr">
        <is>
          <t>인천시 서구 가좌동 329-5</t>
        </is>
      </c>
      <c r="AB211" s="0" t="inlineStr">
        <is>
          <t>인천시</t>
        </is>
      </c>
      <c r="AC211" s="0" t="inlineStr">
        <is>
          <t>서구</t>
        </is>
      </c>
      <c r="AD211" s="0" t="inlineStr">
        <is>
          <t>가좌동</t>
        </is>
      </c>
      <c r="AG211" s="0" t="inlineStr">
        <is>
          <t>인천시 서구 열우물로282번길 16-6</t>
        </is>
      </c>
      <c r="AH211" s="0" t="n">
        <v>0</v>
      </c>
      <c r="AI211" s="0" t="n">
        <v>253</v>
      </c>
      <c r="AJ211" s="0" t="n">
        <v>23</v>
      </c>
      <c r="AK211" s="0" t="n">
        <v>110</v>
      </c>
      <c r="AL211" s="0" t="n">
        <v>1.09</v>
      </c>
    </row>
    <row r="212">
      <c r="A212" s="0" t="inlineStr">
        <is>
          <t>[가좌동]</t>
        </is>
      </c>
      <c r="B212" s="0" t="n">
        <v>27128</v>
      </c>
      <c r="C212" s="0" t="n">
        <v>4</v>
      </c>
      <c r="D212" s="0" t="inlineStr">
        <is>
          <t>가좌라일실크빌</t>
        </is>
      </c>
      <c r="E212" s="0" t="inlineStr">
        <is>
          <t>2008.10.</t>
        </is>
      </c>
      <c r="F212" s="0" t="n">
        <v>101</v>
      </c>
      <c r="G212" s="0" t="n">
        <v>31.99</v>
      </c>
      <c r="H212" s="0" t="n">
        <v>105.77</v>
      </c>
      <c r="I212" s="0" t="n">
        <v>25.47</v>
      </c>
      <c r="J212" s="0" t="n">
        <v>84.23</v>
      </c>
      <c r="K212" s="0" t="n">
        <v>14</v>
      </c>
      <c r="T212" s="0" t="n">
        <v>3</v>
      </c>
      <c r="U212" s="0" t="n">
        <v>2</v>
      </c>
      <c r="V212" s="0" t="inlineStr">
        <is>
          <t>복합식</t>
        </is>
      </c>
      <c r="W212" s="0" t="n">
        <v>105</v>
      </c>
      <c r="X212" s="0" t="n">
        <v>14</v>
      </c>
      <c r="Y212" s="0" t="n">
        <v>10</v>
      </c>
      <c r="Z212" s="0" t="inlineStr">
        <is>
          <t>https://new.land.naver.com/complexes/27128?tab=detail&amp;rf=Y</t>
        </is>
      </c>
      <c r="AA212" s="0" t="inlineStr">
        <is>
          <t>인천시 서구 가좌동 329-5</t>
        </is>
      </c>
      <c r="AB212" s="0" t="inlineStr">
        <is>
          <t>인천시</t>
        </is>
      </c>
      <c r="AC212" s="0" t="inlineStr">
        <is>
          <t>서구</t>
        </is>
      </c>
      <c r="AD212" s="0" t="inlineStr">
        <is>
          <t>가좌동</t>
        </is>
      </c>
      <c r="AG212" s="0" t="inlineStr">
        <is>
          <t>인천시 서구 열우물로282번길 16-6</t>
        </is>
      </c>
      <c r="AH212" s="0" t="n">
        <v>0</v>
      </c>
      <c r="AI212" s="0" t="n">
        <v>253</v>
      </c>
      <c r="AJ212" s="0" t="n">
        <v>23</v>
      </c>
      <c r="AK212" s="0" t="n">
        <v>110</v>
      </c>
      <c r="AL212" s="0" t="n">
        <v>1.09</v>
      </c>
    </row>
    <row r="213">
      <c r="A213" s="0" t="inlineStr">
        <is>
          <t>[가좌동]</t>
        </is>
      </c>
      <c r="B213" s="0" t="n">
        <v>27128</v>
      </c>
      <c r="C213" s="0" t="n">
        <v>5</v>
      </c>
      <c r="D213" s="0" t="inlineStr">
        <is>
          <t>가좌라일실크빌</t>
        </is>
      </c>
      <c r="E213" s="0" t="inlineStr">
        <is>
          <t>2008.10.</t>
        </is>
      </c>
      <c r="F213" s="0" t="n">
        <v>101</v>
      </c>
      <c r="G213" s="0" t="n">
        <v>32.32</v>
      </c>
      <c r="H213" s="0" t="n">
        <v>106.86</v>
      </c>
      <c r="I213" s="0" t="n">
        <v>25.67</v>
      </c>
      <c r="J213" s="0" t="n">
        <v>84.86</v>
      </c>
      <c r="K213" s="0" t="n">
        <v>10</v>
      </c>
      <c r="T213" s="0" t="n">
        <v>3</v>
      </c>
      <c r="U213" s="0" t="n">
        <v>2</v>
      </c>
      <c r="V213" s="0" t="inlineStr">
        <is>
          <t>복합식</t>
        </is>
      </c>
      <c r="W213" s="0" t="n">
        <v>106</v>
      </c>
      <c r="X213" s="0" t="n">
        <v>14</v>
      </c>
      <c r="Y213" s="0" t="n">
        <v>10</v>
      </c>
      <c r="Z213" s="0" t="inlineStr">
        <is>
          <t>https://new.land.naver.com/complexes/27128?tab=detail&amp;rf=Y</t>
        </is>
      </c>
      <c r="AA213" s="0" t="inlineStr">
        <is>
          <t>인천시 서구 가좌동 329-5</t>
        </is>
      </c>
      <c r="AB213" s="0" t="inlineStr">
        <is>
          <t>인천시</t>
        </is>
      </c>
      <c r="AC213" s="0" t="inlineStr">
        <is>
          <t>서구</t>
        </is>
      </c>
      <c r="AD213" s="0" t="inlineStr">
        <is>
          <t>가좌동</t>
        </is>
      </c>
      <c r="AG213" s="0" t="inlineStr">
        <is>
          <t>인천시 서구 열우물로282번길 16-6</t>
        </is>
      </c>
      <c r="AH213" s="0" t="n">
        <v>0</v>
      </c>
      <c r="AI213" s="0" t="n">
        <v>253</v>
      </c>
      <c r="AJ213" s="0" t="n">
        <v>23</v>
      </c>
      <c r="AK213" s="0" t="n">
        <v>110</v>
      </c>
      <c r="AL213" s="0" t="n">
        <v>1.09</v>
      </c>
    </row>
    <row r="214">
      <c r="A214" s="0" t="inlineStr">
        <is>
          <t>[가좌동]</t>
        </is>
      </c>
      <c r="B214" s="0" t="n">
        <v>121505</v>
      </c>
      <c r="C214" s="0" t="n">
        <v>1</v>
      </c>
      <c r="D214" s="0" t="inlineStr">
        <is>
          <t>두현예뜰채</t>
        </is>
      </c>
      <c r="E214" s="0" t="inlineStr">
        <is>
          <t>2017.12.</t>
        </is>
      </c>
      <c r="F214" s="0" t="n">
        <v>61</v>
      </c>
      <c r="G214" s="0" t="n">
        <v>22.34</v>
      </c>
      <c r="H214" s="0" t="n">
        <v>73.88</v>
      </c>
      <c r="I214" s="0" t="n">
        <v>15.97</v>
      </c>
      <c r="J214" s="0" t="n">
        <v>52.82</v>
      </c>
      <c r="K214" s="0" t="n">
        <v>1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73</v>
      </c>
      <c r="X214" s="0" t="n">
        <v>12</v>
      </c>
      <c r="Y214" s="0" t="n">
        <v>8</v>
      </c>
      <c r="Z214" s="0" t="inlineStr">
        <is>
          <t>https://new.land.naver.com/complexes/121505?tab=detail&amp;rf=Y</t>
        </is>
      </c>
      <c r="AA214" s="0" t="inlineStr">
        <is>
          <t>인천시 서구 가좌동 618</t>
        </is>
      </c>
      <c r="AB214" s="0" t="inlineStr">
        <is>
          <t>인천시</t>
        </is>
      </c>
      <c r="AC214" s="0" t="inlineStr">
        <is>
          <t>서구</t>
        </is>
      </c>
      <c r="AD214" s="0" t="inlineStr">
        <is>
          <t>가좌동</t>
        </is>
      </c>
      <c r="AG214" s="0" t="inlineStr">
        <is>
          <t>인천시 서구 열우물로282번길 16</t>
        </is>
      </c>
      <c r="AH214" s="0" t="n">
        <v>0</v>
      </c>
      <c r="AI214" s="0" t="n">
        <v>244</v>
      </c>
      <c r="AJ214" s="0" t="n">
        <v>30</v>
      </c>
      <c r="AK214" s="0" t="n">
        <v>59</v>
      </c>
      <c r="AL214" s="0" t="n">
        <v>0.97</v>
      </c>
    </row>
    <row r="215">
      <c r="A215" s="0" t="inlineStr">
        <is>
          <t>[가좌동]</t>
        </is>
      </c>
      <c r="B215" s="0" t="n">
        <v>121505</v>
      </c>
      <c r="C215" s="0" t="n">
        <v>2</v>
      </c>
      <c r="D215" s="0" t="inlineStr">
        <is>
          <t>두현예뜰채</t>
        </is>
      </c>
      <c r="E215" s="0" t="inlineStr">
        <is>
          <t>2017.12.</t>
        </is>
      </c>
      <c r="F215" s="0" t="n">
        <v>61</v>
      </c>
      <c r="G215" s="0" t="n">
        <v>23.42</v>
      </c>
      <c r="H215" s="0" t="n">
        <v>77.43000000000001</v>
      </c>
      <c r="I215" s="0" t="n">
        <v>16.96</v>
      </c>
      <c r="J215" s="0" t="n">
        <v>56.08</v>
      </c>
      <c r="K215" s="0" t="n">
        <v>1</v>
      </c>
      <c r="T215" s="0" t="n">
        <v>3</v>
      </c>
      <c r="U215" s="0" t="n">
        <v>2</v>
      </c>
      <c r="V215" s="0" t="inlineStr">
        <is>
          <t>계단식</t>
        </is>
      </c>
      <c r="W215" s="0" t="n">
        <v>77</v>
      </c>
      <c r="X215" s="0" t="n">
        <v>12</v>
      </c>
      <c r="Y215" s="0" t="n">
        <v>8</v>
      </c>
      <c r="Z215" s="0" t="inlineStr">
        <is>
          <t>https://new.land.naver.com/complexes/121505?tab=detail&amp;rf=Y</t>
        </is>
      </c>
      <c r="AA215" s="0" t="inlineStr">
        <is>
          <t>인천시 서구 가좌동 618</t>
        </is>
      </c>
      <c r="AB215" s="0" t="inlineStr">
        <is>
          <t>인천시</t>
        </is>
      </c>
      <c r="AC215" s="0" t="inlineStr">
        <is>
          <t>서구</t>
        </is>
      </c>
      <c r="AD215" s="0" t="inlineStr">
        <is>
          <t>가좌동</t>
        </is>
      </c>
      <c r="AG215" s="0" t="inlineStr">
        <is>
          <t>인천시 서구 열우물로282번길 16</t>
        </is>
      </c>
      <c r="AH215" s="0" t="n">
        <v>0</v>
      </c>
      <c r="AI215" s="0" t="n">
        <v>244</v>
      </c>
      <c r="AJ215" s="0" t="n">
        <v>30</v>
      </c>
      <c r="AK215" s="0" t="n">
        <v>59</v>
      </c>
      <c r="AL215" s="0" t="n">
        <v>0.97</v>
      </c>
    </row>
    <row r="216">
      <c r="A216" s="0" t="inlineStr">
        <is>
          <t>[가좌동]</t>
        </is>
      </c>
      <c r="B216" s="0" t="n">
        <v>121505</v>
      </c>
      <c r="C216" s="0" t="n">
        <v>3</v>
      </c>
      <c r="D216" s="0" t="inlineStr">
        <is>
          <t>두현예뜰채</t>
        </is>
      </c>
      <c r="E216" s="0" t="inlineStr">
        <is>
          <t>2017.12.</t>
        </is>
      </c>
      <c r="F216" s="0" t="n">
        <v>61</v>
      </c>
      <c r="G216" s="0" t="n">
        <v>24.56</v>
      </c>
      <c r="H216" s="0" t="n">
        <v>81.22</v>
      </c>
      <c r="I216" s="0" t="n">
        <v>17.81</v>
      </c>
      <c r="J216" s="0" t="n">
        <v>58.89</v>
      </c>
      <c r="K216" s="0" t="n">
        <v>2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81A</t>
        </is>
      </c>
      <c r="X216" s="0" t="n">
        <v>12</v>
      </c>
      <c r="Y216" s="0" t="n">
        <v>8</v>
      </c>
      <c r="Z216" s="0" t="inlineStr">
        <is>
          <t>https://new.land.naver.com/complexes/121505?tab=detail&amp;rf=Y</t>
        </is>
      </c>
      <c r="AA216" s="0" t="inlineStr">
        <is>
          <t>인천시 서구 가좌동 618</t>
        </is>
      </c>
      <c r="AB216" s="0" t="inlineStr">
        <is>
          <t>인천시</t>
        </is>
      </c>
      <c r="AC216" s="0" t="inlineStr">
        <is>
          <t>서구</t>
        </is>
      </c>
      <c r="AD216" s="0" t="inlineStr">
        <is>
          <t>가좌동</t>
        </is>
      </c>
      <c r="AG216" s="0" t="inlineStr">
        <is>
          <t>인천시 서구 열우물로282번길 16</t>
        </is>
      </c>
      <c r="AH216" s="0" t="n">
        <v>0</v>
      </c>
      <c r="AI216" s="0" t="n">
        <v>244</v>
      </c>
      <c r="AJ216" s="0" t="n">
        <v>30</v>
      </c>
      <c r="AK216" s="0" t="n">
        <v>59</v>
      </c>
      <c r="AL216" s="0" t="n">
        <v>0.97</v>
      </c>
    </row>
    <row r="217">
      <c r="A217" s="0" t="inlineStr">
        <is>
          <t>[가좌동]</t>
        </is>
      </c>
      <c r="B217" s="0" t="n">
        <v>121505</v>
      </c>
      <c r="C217" s="0" t="n">
        <v>4</v>
      </c>
      <c r="D217" s="0" t="inlineStr">
        <is>
          <t>두현예뜰채</t>
        </is>
      </c>
      <c r="E217" s="0" t="inlineStr">
        <is>
          <t>2017.12.</t>
        </is>
      </c>
      <c r="F217" s="0" t="n">
        <v>61</v>
      </c>
      <c r="G217" s="0" t="n">
        <v>24.78</v>
      </c>
      <c r="H217" s="0" t="n">
        <v>81.92</v>
      </c>
      <c r="I217" s="0" t="n">
        <v>17.93</v>
      </c>
      <c r="J217" s="0" t="n">
        <v>59.3</v>
      </c>
      <c r="K217" s="0" t="n">
        <v>1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81B</t>
        </is>
      </c>
      <c r="X217" s="0" t="n">
        <v>12</v>
      </c>
      <c r="Y217" s="0" t="n">
        <v>8</v>
      </c>
      <c r="Z217" s="0" t="inlineStr">
        <is>
          <t>https://new.land.naver.com/complexes/121505?tab=detail&amp;rf=Y</t>
        </is>
      </c>
      <c r="AA217" s="0" t="inlineStr">
        <is>
          <t>인천시 서구 가좌동 618</t>
        </is>
      </c>
      <c r="AB217" s="0" t="inlineStr">
        <is>
          <t>인천시</t>
        </is>
      </c>
      <c r="AC217" s="0" t="inlineStr">
        <is>
          <t>서구</t>
        </is>
      </c>
      <c r="AD217" s="0" t="inlineStr">
        <is>
          <t>가좌동</t>
        </is>
      </c>
      <c r="AG217" s="0" t="inlineStr">
        <is>
          <t>인천시 서구 열우물로282번길 16</t>
        </is>
      </c>
      <c r="AH217" s="0" t="n">
        <v>0</v>
      </c>
      <c r="AI217" s="0" t="n">
        <v>244</v>
      </c>
      <c r="AJ217" s="0" t="n">
        <v>30</v>
      </c>
      <c r="AK217" s="0" t="n">
        <v>59</v>
      </c>
      <c r="AL217" s="0" t="n">
        <v>0.97</v>
      </c>
    </row>
    <row r="218">
      <c r="A218" s="0" t="inlineStr">
        <is>
          <t>[가좌동]</t>
        </is>
      </c>
      <c r="B218" s="0" t="n">
        <v>121505</v>
      </c>
      <c r="C218" s="0" t="n">
        <v>5</v>
      </c>
      <c r="D218" s="0" t="inlineStr">
        <is>
          <t>두현예뜰채</t>
        </is>
      </c>
      <c r="E218" s="0" t="inlineStr">
        <is>
          <t>2017.12.</t>
        </is>
      </c>
      <c r="F218" s="0" t="n">
        <v>61</v>
      </c>
      <c r="G218" s="0" t="n">
        <v>25.07</v>
      </c>
      <c r="H218" s="0" t="n">
        <v>82.89</v>
      </c>
      <c r="I218" s="0" t="n">
        <v>18.03</v>
      </c>
      <c r="J218" s="0" t="n">
        <v>59.63</v>
      </c>
      <c r="K218" s="0" t="n">
        <v>9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82D</t>
        </is>
      </c>
      <c r="X218" s="0" t="n">
        <v>12</v>
      </c>
      <c r="Y218" s="0" t="n">
        <v>8</v>
      </c>
      <c r="Z218" s="0" t="inlineStr">
        <is>
          <t>https://new.land.naver.com/complexes/121505?tab=detail&amp;rf=Y</t>
        </is>
      </c>
      <c r="AA218" s="0" t="inlineStr">
        <is>
          <t>인천시 서구 가좌동 618</t>
        </is>
      </c>
      <c r="AB218" s="0" t="inlineStr">
        <is>
          <t>인천시</t>
        </is>
      </c>
      <c r="AC218" s="0" t="inlineStr">
        <is>
          <t>서구</t>
        </is>
      </c>
      <c r="AD218" s="0" t="inlineStr">
        <is>
          <t>가좌동</t>
        </is>
      </c>
      <c r="AG218" s="0" t="inlineStr">
        <is>
          <t>인천시 서구 열우물로282번길 16</t>
        </is>
      </c>
      <c r="AH218" s="0" t="n">
        <v>0</v>
      </c>
      <c r="AI218" s="0" t="n">
        <v>244</v>
      </c>
      <c r="AJ218" s="0" t="n">
        <v>30</v>
      </c>
      <c r="AK218" s="0" t="n">
        <v>59</v>
      </c>
      <c r="AL218" s="0" t="n">
        <v>0.97</v>
      </c>
    </row>
    <row r="219">
      <c r="A219" s="0" t="inlineStr">
        <is>
          <t>[가좌동]</t>
        </is>
      </c>
      <c r="B219" s="0" t="n">
        <v>121505</v>
      </c>
      <c r="C219" s="0" t="n">
        <v>6</v>
      </c>
      <c r="D219" s="0" t="inlineStr">
        <is>
          <t>두현예뜰채</t>
        </is>
      </c>
      <c r="E219" s="0" t="inlineStr">
        <is>
          <t>2017.12.</t>
        </is>
      </c>
      <c r="F219" s="0" t="n">
        <v>61</v>
      </c>
      <c r="G219" s="0" t="n">
        <v>25.03</v>
      </c>
      <c r="H219" s="0" t="n">
        <v>82.76000000000001</v>
      </c>
      <c r="I219" s="0" t="n">
        <v>17.94</v>
      </c>
      <c r="J219" s="0" t="n">
        <v>59.33</v>
      </c>
      <c r="K219" s="0" t="n">
        <v>7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82C</t>
        </is>
      </c>
      <c r="X219" s="0" t="n">
        <v>12</v>
      </c>
      <c r="Y219" s="0" t="n">
        <v>8</v>
      </c>
      <c r="Z219" s="0" t="inlineStr">
        <is>
          <t>https://new.land.naver.com/complexes/121505?tab=detail&amp;rf=Y</t>
        </is>
      </c>
      <c r="AA219" s="0" t="inlineStr">
        <is>
          <t>인천시 서구 가좌동 618</t>
        </is>
      </c>
      <c r="AB219" s="0" t="inlineStr">
        <is>
          <t>인천시</t>
        </is>
      </c>
      <c r="AC219" s="0" t="inlineStr">
        <is>
          <t>서구</t>
        </is>
      </c>
      <c r="AD219" s="0" t="inlineStr">
        <is>
          <t>가좌동</t>
        </is>
      </c>
      <c r="AG219" s="0" t="inlineStr">
        <is>
          <t>인천시 서구 열우물로282번길 16</t>
        </is>
      </c>
      <c r="AH219" s="0" t="n">
        <v>0</v>
      </c>
      <c r="AI219" s="0" t="n">
        <v>244</v>
      </c>
      <c r="AJ219" s="0" t="n">
        <v>30</v>
      </c>
      <c r="AK219" s="0" t="n">
        <v>59</v>
      </c>
      <c r="AL219" s="0" t="n">
        <v>0.97</v>
      </c>
    </row>
    <row r="220">
      <c r="A220" s="0" t="inlineStr">
        <is>
          <t>[가좌동]</t>
        </is>
      </c>
      <c r="B220" s="0" t="n">
        <v>121505</v>
      </c>
      <c r="C220" s="0" t="n">
        <v>7</v>
      </c>
      <c r="D220" s="0" t="inlineStr">
        <is>
          <t>두현예뜰채</t>
        </is>
      </c>
      <c r="E220" s="0" t="inlineStr">
        <is>
          <t>2017.12.</t>
        </is>
      </c>
      <c r="F220" s="0" t="n">
        <v>61</v>
      </c>
      <c r="G220" s="0" t="n">
        <v>25.13</v>
      </c>
      <c r="H220" s="0" t="n">
        <v>83.08</v>
      </c>
      <c r="I220" s="0" t="n">
        <v>18.14</v>
      </c>
      <c r="J220" s="0" t="n">
        <v>59.97</v>
      </c>
      <c r="K220" s="0" t="n">
        <v>9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83E</t>
        </is>
      </c>
      <c r="X220" s="0" t="n">
        <v>12</v>
      </c>
      <c r="Y220" s="0" t="n">
        <v>8</v>
      </c>
      <c r="Z220" s="0" t="inlineStr">
        <is>
          <t>https://new.land.naver.com/complexes/121505?tab=detail&amp;rf=Y</t>
        </is>
      </c>
      <c r="AA220" s="0" t="inlineStr">
        <is>
          <t>인천시 서구 가좌동 618</t>
        </is>
      </c>
      <c r="AB220" s="0" t="inlineStr">
        <is>
          <t>인천시</t>
        </is>
      </c>
      <c r="AC220" s="0" t="inlineStr">
        <is>
          <t>서구</t>
        </is>
      </c>
      <c r="AD220" s="0" t="inlineStr">
        <is>
          <t>가좌동</t>
        </is>
      </c>
      <c r="AG220" s="0" t="inlineStr">
        <is>
          <t>인천시 서구 열우물로282번길 16</t>
        </is>
      </c>
      <c r="AH220" s="0" t="n">
        <v>0</v>
      </c>
      <c r="AI220" s="0" t="n">
        <v>244</v>
      </c>
      <c r="AJ220" s="0" t="n">
        <v>30</v>
      </c>
      <c r="AK220" s="0" t="n">
        <v>59</v>
      </c>
      <c r="AL220" s="0" t="n">
        <v>0.97</v>
      </c>
    </row>
    <row r="221">
      <c r="A221" s="0" t="inlineStr">
        <is>
          <t>[가좌동]</t>
        </is>
      </c>
      <c r="B221" s="0" t="n">
        <v>121505</v>
      </c>
      <c r="C221" s="0" t="n">
        <v>8</v>
      </c>
      <c r="D221" s="0" t="inlineStr">
        <is>
          <t>두현예뜰채</t>
        </is>
      </c>
      <c r="E221" s="0" t="inlineStr">
        <is>
          <t>2017.12.</t>
        </is>
      </c>
      <c r="F221" s="0" t="n">
        <v>61</v>
      </c>
      <c r="G221" s="0" t="n">
        <v>26.55</v>
      </c>
      <c r="H221" s="0" t="n">
        <v>87.8</v>
      </c>
      <c r="I221" s="0" t="n">
        <v>19.32</v>
      </c>
      <c r="J221" s="0" t="n">
        <v>63.89</v>
      </c>
      <c r="K221" s="0" t="n">
        <v>30</v>
      </c>
      <c r="T221" s="0" t="n">
        <v>3</v>
      </c>
      <c r="U221" s="0" t="n">
        <v>2</v>
      </c>
      <c r="V221" s="0" t="inlineStr">
        <is>
          <t>계단식</t>
        </is>
      </c>
      <c r="W221" s="0" t="n">
        <v>87</v>
      </c>
      <c r="X221" s="0" t="n">
        <v>12</v>
      </c>
      <c r="Y221" s="0" t="n">
        <v>8</v>
      </c>
      <c r="Z221" s="0" t="inlineStr">
        <is>
          <t>https://new.land.naver.com/complexes/121505?tab=detail&amp;rf=Y</t>
        </is>
      </c>
      <c r="AA221" s="0" t="inlineStr">
        <is>
          <t>인천시 서구 가좌동 618</t>
        </is>
      </c>
      <c r="AB221" s="0" t="inlineStr">
        <is>
          <t>인천시</t>
        </is>
      </c>
      <c r="AC221" s="0" t="inlineStr">
        <is>
          <t>서구</t>
        </is>
      </c>
      <c r="AD221" s="0" t="inlineStr">
        <is>
          <t>가좌동</t>
        </is>
      </c>
      <c r="AG221" s="0" t="inlineStr">
        <is>
          <t>인천시 서구 열우물로282번길 16</t>
        </is>
      </c>
      <c r="AH221" s="0" t="n">
        <v>0</v>
      </c>
      <c r="AI221" s="0" t="n">
        <v>244</v>
      </c>
      <c r="AJ221" s="0" t="n">
        <v>30</v>
      </c>
      <c r="AK221" s="0" t="n">
        <v>59</v>
      </c>
      <c r="AL221" s="0" t="n">
        <v>0.97</v>
      </c>
    </row>
    <row r="222">
      <c r="A222" s="0" t="inlineStr">
        <is>
          <t>[가좌동]</t>
        </is>
      </c>
      <c r="B222" s="0" t="n">
        <v>121505</v>
      </c>
      <c r="C222" s="0" t="n">
        <v>9</v>
      </c>
      <c r="D222" s="0" t="inlineStr">
        <is>
          <t>두현예뜰채</t>
        </is>
      </c>
      <c r="E222" s="0" t="inlineStr">
        <is>
          <t>2017.12.</t>
        </is>
      </c>
      <c r="F222" s="0" t="n">
        <v>61</v>
      </c>
      <c r="G222" s="0" t="n">
        <v>31.18</v>
      </c>
      <c r="H222" s="0" t="n">
        <v>103.1</v>
      </c>
      <c r="I222" s="0" t="n">
        <v>22.6</v>
      </c>
      <c r="J222" s="0" t="n">
        <v>74.72</v>
      </c>
      <c r="K222" s="0" t="n">
        <v>1</v>
      </c>
      <c r="T222" s="0" t="n">
        <v>3</v>
      </c>
      <c r="U222" s="0" t="n">
        <v>2</v>
      </c>
      <c r="V222" s="0" t="inlineStr">
        <is>
          <t>계단식</t>
        </is>
      </c>
      <c r="W222" s="0" t="n">
        <v>103</v>
      </c>
      <c r="X222" s="0" t="n">
        <v>12</v>
      </c>
      <c r="Y222" s="0" t="n">
        <v>8</v>
      </c>
      <c r="Z222" s="0" t="inlineStr">
        <is>
          <t>https://new.land.naver.com/complexes/121505?tab=detail&amp;rf=Y</t>
        </is>
      </c>
      <c r="AA222" s="0" t="inlineStr">
        <is>
          <t>인천시 서구 가좌동 618</t>
        </is>
      </c>
      <c r="AB222" s="0" t="inlineStr">
        <is>
          <t>인천시</t>
        </is>
      </c>
      <c r="AC222" s="0" t="inlineStr">
        <is>
          <t>서구</t>
        </is>
      </c>
      <c r="AD222" s="0" t="inlineStr">
        <is>
          <t>가좌동</t>
        </is>
      </c>
      <c r="AG222" s="0" t="inlineStr">
        <is>
          <t>인천시 서구 열우물로282번길 16</t>
        </is>
      </c>
      <c r="AH222" s="0" t="n">
        <v>0</v>
      </c>
      <c r="AI222" s="0" t="n">
        <v>244</v>
      </c>
      <c r="AJ222" s="0" t="n">
        <v>30</v>
      </c>
      <c r="AK222" s="0" t="n">
        <v>59</v>
      </c>
      <c r="AL222" s="0" t="n">
        <v>0.97</v>
      </c>
    </row>
    <row r="223">
      <c r="A223" s="0" t="inlineStr">
        <is>
          <t>[가좌동]</t>
        </is>
      </c>
      <c r="B223" s="0" t="n">
        <v>8122</v>
      </c>
      <c r="C223" s="0" t="n">
        <v>1</v>
      </c>
      <c r="D223" s="0" t="inlineStr">
        <is>
          <t>진주5단지</t>
        </is>
      </c>
      <c r="E223" s="0" t="inlineStr">
        <is>
          <t>1991.07.</t>
        </is>
      </c>
      <c r="F223" s="0" t="n">
        <v>268</v>
      </c>
      <c r="G223" s="0" t="n">
        <v>30.63</v>
      </c>
      <c r="H223" s="0" t="n">
        <v>101.27</v>
      </c>
      <c r="I223" s="0" t="n">
        <v>25.66</v>
      </c>
      <c r="J223" s="0" t="n">
        <v>84.84999999999999</v>
      </c>
      <c r="K223" s="0" t="n">
        <v>178</v>
      </c>
      <c r="T223" s="0" t="n">
        <v>3</v>
      </c>
      <c r="U223" s="0" t="n">
        <v>2</v>
      </c>
      <c r="V223" s="0" t="inlineStr">
        <is>
          <t>계단식</t>
        </is>
      </c>
      <c r="W223" s="0" t="n">
        <v>101</v>
      </c>
      <c r="X223" s="0" t="n">
        <v>15</v>
      </c>
      <c r="Y223" s="0" t="n">
        <v>14</v>
      </c>
      <c r="Z223" s="0" t="inlineStr">
        <is>
          <t>https://new.land.naver.com/complexes/8122?tab=detail&amp;rf=Y</t>
        </is>
      </c>
      <c r="AA223" s="0" t="inlineStr">
        <is>
          <t>인천시 서구 가좌동 30-102</t>
        </is>
      </c>
      <c r="AB223" s="0" t="inlineStr">
        <is>
          <t>인천시</t>
        </is>
      </c>
      <c r="AC223" s="0" t="inlineStr">
        <is>
          <t>서구</t>
        </is>
      </c>
      <c r="AD223" s="0" t="inlineStr">
        <is>
          <t>가좌동</t>
        </is>
      </c>
      <c r="AG223" s="0" t="inlineStr">
        <is>
          <t>인천시 서구 장고개로 319</t>
        </is>
      </c>
      <c r="AH223" s="0" t="n">
        <v>0</v>
      </c>
      <c r="AI223" s="0" t="n">
        <v>235</v>
      </c>
      <c r="AJ223" s="0" t="n">
        <v>17</v>
      </c>
      <c r="AK223" s="0" t="n">
        <v>0</v>
      </c>
      <c r="AL223" s="0" t="n">
        <v>0</v>
      </c>
    </row>
    <row r="224">
      <c r="A224" s="0" t="inlineStr">
        <is>
          <t>[가좌동]</t>
        </is>
      </c>
      <c r="B224" s="0" t="n">
        <v>8122</v>
      </c>
      <c r="C224" s="0" t="n">
        <v>2</v>
      </c>
      <c r="D224" s="0" t="inlineStr">
        <is>
          <t>진주5단지</t>
        </is>
      </c>
      <c r="E224" s="0" t="inlineStr">
        <is>
          <t>1991.07.</t>
        </is>
      </c>
      <c r="F224" s="0" t="n">
        <v>268</v>
      </c>
      <c r="G224" s="0" t="n">
        <v>47.43</v>
      </c>
      <c r="H224" s="0" t="n">
        <v>156.8</v>
      </c>
      <c r="I224" s="0" t="n">
        <v>41.21</v>
      </c>
      <c r="J224" s="0" t="n">
        <v>136.24</v>
      </c>
      <c r="K224" s="0" t="n">
        <v>30</v>
      </c>
      <c r="T224" s="0" t="n">
        <v>4</v>
      </c>
      <c r="U224" s="0" t="n">
        <v>2</v>
      </c>
      <c r="V224" s="0" t="inlineStr">
        <is>
          <t>계단식</t>
        </is>
      </c>
      <c r="W224" s="0" t="n">
        <v>156</v>
      </c>
      <c r="X224" s="0" t="n">
        <v>15</v>
      </c>
      <c r="Y224" s="0" t="n">
        <v>14</v>
      </c>
      <c r="Z224" s="0" t="inlineStr">
        <is>
          <t>https://new.land.naver.com/complexes/8122?tab=detail&amp;rf=Y</t>
        </is>
      </c>
      <c r="AA224" s="0" t="inlineStr">
        <is>
          <t>인천시 서구 가좌동 30-102</t>
        </is>
      </c>
      <c r="AB224" s="0" t="inlineStr">
        <is>
          <t>인천시</t>
        </is>
      </c>
      <c r="AC224" s="0" t="inlineStr">
        <is>
          <t>서구</t>
        </is>
      </c>
      <c r="AD224" s="0" t="inlineStr">
        <is>
          <t>가좌동</t>
        </is>
      </c>
      <c r="AG224" s="0" t="inlineStr">
        <is>
          <t>인천시 서구 장고개로 319</t>
        </is>
      </c>
      <c r="AH224" s="0" t="n">
        <v>0</v>
      </c>
      <c r="AI224" s="0" t="n">
        <v>235</v>
      </c>
      <c r="AJ224" s="0" t="n">
        <v>17</v>
      </c>
      <c r="AK224" s="0" t="n">
        <v>0</v>
      </c>
      <c r="AL224" s="0" t="n">
        <v>0</v>
      </c>
    </row>
    <row r="225">
      <c r="A225" s="0" t="inlineStr">
        <is>
          <t>[가좌동]</t>
        </is>
      </c>
      <c r="B225" s="0" t="n">
        <v>8122</v>
      </c>
      <c r="C225" s="0" t="n">
        <v>3</v>
      </c>
      <c r="D225" s="0" t="inlineStr">
        <is>
          <t>진주5단지</t>
        </is>
      </c>
      <c r="E225" s="0" t="inlineStr">
        <is>
          <t>1991.07.</t>
        </is>
      </c>
      <c r="F225" s="0" t="n">
        <v>268</v>
      </c>
      <c r="G225" s="0" t="n">
        <v>55.82</v>
      </c>
      <c r="H225" s="0" t="n">
        <v>184.54</v>
      </c>
      <c r="I225" s="0" t="n">
        <v>49.46</v>
      </c>
      <c r="J225" s="0" t="n">
        <v>163.51</v>
      </c>
      <c r="K225" s="0" t="n">
        <v>60</v>
      </c>
      <c r="T225" s="0" t="n">
        <v>5</v>
      </c>
      <c r="U225" s="0" t="n">
        <v>2</v>
      </c>
      <c r="V225" s="0" t="inlineStr">
        <is>
          <t>계단식</t>
        </is>
      </c>
      <c r="W225" s="0" t="n">
        <v>184</v>
      </c>
      <c r="X225" s="0" t="n">
        <v>15</v>
      </c>
      <c r="Y225" s="0" t="n">
        <v>14</v>
      </c>
      <c r="Z225" s="0" t="inlineStr">
        <is>
          <t>https://new.land.naver.com/complexes/8122?tab=detail&amp;rf=Y</t>
        </is>
      </c>
      <c r="AA225" s="0" t="inlineStr">
        <is>
          <t>인천시 서구 가좌동 30-102</t>
        </is>
      </c>
      <c r="AB225" s="0" t="inlineStr">
        <is>
          <t>인천시</t>
        </is>
      </c>
      <c r="AC225" s="0" t="inlineStr">
        <is>
          <t>서구</t>
        </is>
      </c>
      <c r="AD225" s="0" t="inlineStr">
        <is>
          <t>가좌동</t>
        </is>
      </c>
      <c r="AG225" s="0" t="inlineStr">
        <is>
          <t>인천시 서구 장고개로 319</t>
        </is>
      </c>
      <c r="AH225" s="0" t="n">
        <v>0</v>
      </c>
      <c r="AI225" s="0" t="n">
        <v>235</v>
      </c>
      <c r="AJ225" s="0" t="n">
        <v>17</v>
      </c>
      <c r="AK225" s="0" t="n">
        <v>0</v>
      </c>
      <c r="AL225" s="0" t="n">
        <v>0</v>
      </c>
    </row>
    <row r="226">
      <c r="A226" s="0" t="inlineStr">
        <is>
          <t>[가좌동]</t>
        </is>
      </c>
      <c r="B226" s="0" t="n">
        <v>11382</v>
      </c>
      <c r="C226" s="0" t="n">
        <v>1</v>
      </c>
      <c r="D226" s="0" t="inlineStr">
        <is>
          <t>세우</t>
        </is>
      </c>
      <c r="E226" s="0" t="inlineStr">
        <is>
          <t>1984.06.</t>
        </is>
      </c>
      <c r="F226" s="0" t="n">
        <v>180</v>
      </c>
      <c r="G226" s="0" t="n">
        <v>20</v>
      </c>
      <c r="H226" s="0" t="n">
        <v>66.13</v>
      </c>
      <c r="I226" s="0" t="n">
        <v>18.12</v>
      </c>
      <c r="J226" s="0" t="n">
        <v>59.92</v>
      </c>
      <c r="K226" s="0" t="n">
        <v>100</v>
      </c>
      <c r="T226" s="0" t="n">
        <v>3</v>
      </c>
      <c r="U226" s="0" t="n">
        <v>1</v>
      </c>
      <c r="V226" s="0" t="inlineStr">
        <is>
          <t>계단식</t>
        </is>
      </c>
      <c r="W226" s="0" t="n">
        <v>66</v>
      </c>
      <c r="X226" s="0" t="n">
        <v>5</v>
      </c>
      <c r="Y226" s="0" t="n">
        <v>5</v>
      </c>
      <c r="Z226" s="0" t="inlineStr">
        <is>
          <t>https://new.land.naver.com/complexes/11382?tab=detail&amp;rf=Y</t>
        </is>
      </c>
      <c r="AA226" s="0" t="inlineStr">
        <is>
          <t>인천시 서구 가좌동 192-7</t>
        </is>
      </c>
      <c r="AB226" s="0" t="inlineStr">
        <is>
          <t>인천시</t>
        </is>
      </c>
      <c r="AC226" s="0" t="inlineStr">
        <is>
          <t>서구</t>
        </is>
      </c>
      <c r="AD226" s="0" t="inlineStr">
        <is>
          <t>가좌동</t>
        </is>
      </c>
      <c r="AG226" s="0" t="inlineStr">
        <is>
          <t>인천시 서구 건지로318번길 27</t>
        </is>
      </c>
      <c r="AH226" s="0" t="n">
        <v>0</v>
      </c>
      <c r="AI226" s="0" t="n">
        <v>125</v>
      </c>
      <c r="AJ226" s="0" t="n">
        <v>25</v>
      </c>
      <c r="AK226" s="0" t="n">
        <v>0</v>
      </c>
      <c r="AL226" s="0" t="n">
        <v>0</v>
      </c>
    </row>
    <row r="227">
      <c r="A227" s="0" t="inlineStr">
        <is>
          <t>[가좌동]</t>
        </is>
      </c>
      <c r="B227" s="0" t="n">
        <v>11382</v>
      </c>
      <c r="C227" s="0" t="n">
        <v>2</v>
      </c>
      <c r="D227" s="0" t="inlineStr">
        <is>
          <t>세우</t>
        </is>
      </c>
      <c r="E227" s="0" t="inlineStr">
        <is>
          <t>1984.06.</t>
        </is>
      </c>
      <c r="F227" s="0" t="n">
        <v>180</v>
      </c>
      <c r="G227" s="0" t="n">
        <v>22.53</v>
      </c>
      <c r="H227" s="0" t="n">
        <v>74.48999999999999</v>
      </c>
      <c r="I227" s="0" t="n">
        <v>20.4</v>
      </c>
      <c r="J227" s="0" t="n">
        <v>67.47</v>
      </c>
      <c r="K227" s="0" t="n">
        <v>80</v>
      </c>
      <c r="T227" s="0" t="n">
        <v>3</v>
      </c>
      <c r="U227" s="0" t="n">
        <v>1</v>
      </c>
      <c r="V227" s="0" t="inlineStr">
        <is>
          <t>계단식</t>
        </is>
      </c>
      <c r="W227" s="0" t="n">
        <v>74</v>
      </c>
      <c r="X227" s="0" t="n">
        <v>5</v>
      </c>
      <c r="Y227" s="0" t="n">
        <v>5</v>
      </c>
      <c r="Z227" s="0" t="inlineStr">
        <is>
          <t>https://new.land.naver.com/complexes/11382?tab=detail&amp;rf=Y</t>
        </is>
      </c>
      <c r="AA227" s="0" t="inlineStr">
        <is>
          <t>인천시 서구 가좌동 192-7</t>
        </is>
      </c>
      <c r="AB227" s="0" t="inlineStr">
        <is>
          <t>인천시</t>
        </is>
      </c>
      <c r="AC227" s="0" t="inlineStr">
        <is>
          <t>서구</t>
        </is>
      </c>
      <c r="AD227" s="0" t="inlineStr">
        <is>
          <t>가좌동</t>
        </is>
      </c>
      <c r="AG227" s="0" t="inlineStr">
        <is>
          <t>인천시 서구 건지로318번길 27</t>
        </is>
      </c>
      <c r="AH227" s="0" t="n">
        <v>0</v>
      </c>
      <c r="AI227" s="0" t="n">
        <v>125</v>
      </c>
      <c r="AJ227" s="0" t="n">
        <v>25</v>
      </c>
      <c r="AK227" s="0" t="n">
        <v>0</v>
      </c>
      <c r="AL227" s="0" t="n">
        <v>0</v>
      </c>
    </row>
    <row r="228">
      <c r="A228" s="0" t="inlineStr">
        <is>
          <t>[가좌동]</t>
        </is>
      </c>
      <c r="B228" s="0" t="n">
        <v>9928</v>
      </c>
      <c r="C228" s="0" t="n">
        <v>1</v>
      </c>
      <c r="D228" s="0" t="inlineStr">
        <is>
          <t>공작</t>
        </is>
      </c>
      <c r="E228" s="0" t="inlineStr">
        <is>
          <t>1990.04.</t>
        </is>
      </c>
      <c r="F228" s="0" t="n">
        <v>156</v>
      </c>
      <c r="G228" s="0" t="n">
        <v>18.01</v>
      </c>
      <c r="H228" s="0" t="n">
        <v>59.56</v>
      </c>
      <c r="I228" s="0" t="n">
        <v>13.86</v>
      </c>
      <c r="J228" s="0" t="n">
        <v>45.85</v>
      </c>
      <c r="K228" s="0" t="n">
        <v>48</v>
      </c>
      <c r="T228" s="0" t="n">
        <v>3</v>
      </c>
      <c r="U228" s="0" t="n">
        <v>1</v>
      </c>
      <c r="V228" s="0" t="inlineStr">
        <is>
          <t>계단식</t>
        </is>
      </c>
      <c r="W228" s="0" t="inlineStr">
        <is>
          <t>59A</t>
        </is>
      </c>
      <c r="X228" s="0" t="n">
        <v>6</v>
      </c>
      <c r="Y228" s="0" t="n">
        <v>6</v>
      </c>
      <c r="Z228" s="0" t="inlineStr">
        <is>
          <t>https://new.land.naver.com/complexes/9928?tab=detail&amp;rf=Y</t>
        </is>
      </c>
      <c r="AA228" s="0" t="inlineStr">
        <is>
          <t>인천시 서구 가좌동 2-19</t>
        </is>
      </c>
      <c r="AB228" s="0" t="inlineStr">
        <is>
          <t>인천시</t>
        </is>
      </c>
      <c r="AC228" s="0" t="inlineStr">
        <is>
          <t>서구</t>
        </is>
      </c>
      <c r="AD228" s="0" t="inlineStr">
        <is>
          <t>가좌동</t>
        </is>
      </c>
      <c r="AG228" s="0" t="inlineStr">
        <is>
          <t>인천시 서구 장고개로 375-3</t>
        </is>
      </c>
      <c r="AH228" s="0" t="n">
        <v>0</v>
      </c>
      <c r="AI228" s="0" t="n">
        <v>165</v>
      </c>
      <c r="AJ228" s="0" t="n">
        <v>28</v>
      </c>
      <c r="AK228" s="0" t="n">
        <v>0</v>
      </c>
      <c r="AL228" s="0" t="n">
        <v>0</v>
      </c>
    </row>
    <row r="229">
      <c r="A229" s="0" t="inlineStr">
        <is>
          <t>[가좌동]</t>
        </is>
      </c>
      <c r="B229" s="0" t="n">
        <v>9928</v>
      </c>
      <c r="C229" s="0" t="n">
        <v>2</v>
      </c>
      <c r="D229" s="0" t="inlineStr">
        <is>
          <t>공작</t>
        </is>
      </c>
      <c r="E229" s="0" t="inlineStr">
        <is>
          <t>1990.04.</t>
        </is>
      </c>
      <c r="F229" s="0" t="n">
        <v>156</v>
      </c>
      <c r="G229" s="0" t="n">
        <v>18.28</v>
      </c>
      <c r="H229" s="0" t="n">
        <v>60.46</v>
      </c>
      <c r="I229" s="0" t="n">
        <v>14.09</v>
      </c>
      <c r="J229" s="0" t="n">
        <v>46.61</v>
      </c>
      <c r="K229" s="0" t="n">
        <v>48</v>
      </c>
      <c r="T229" s="0" t="n">
        <v>2</v>
      </c>
      <c r="U229" s="0" t="n">
        <v>1</v>
      </c>
      <c r="V229" s="0" t="inlineStr">
        <is>
          <t>계단식</t>
        </is>
      </c>
      <c r="W229" s="0" t="inlineStr">
        <is>
          <t>60B</t>
        </is>
      </c>
      <c r="X229" s="0" t="n">
        <v>6</v>
      </c>
      <c r="Y229" s="0" t="n">
        <v>6</v>
      </c>
      <c r="Z229" s="0" t="inlineStr">
        <is>
          <t>https://new.land.naver.com/complexes/9928?tab=detail&amp;rf=Y</t>
        </is>
      </c>
      <c r="AA229" s="0" t="inlineStr">
        <is>
          <t>인천시 서구 가좌동 2-19</t>
        </is>
      </c>
      <c r="AB229" s="0" t="inlineStr">
        <is>
          <t>인천시</t>
        </is>
      </c>
      <c r="AC229" s="0" t="inlineStr">
        <is>
          <t>서구</t>
        </is>
      </c>
      <c r="AD229" s="0" t="inlineStr">
        <is>
          <t>가좌동</t>
        </is>
      </c>
      <c r="AG229" s="0" t="inlineStr">
        <is>
          <t>인천시 서구 장고개로 375-3</t>
        </is>
      </c>
      <c r="AH229" s="0" t="n">
        <v>0</v>
      </c>
      <c r="AI229" s="0" t="n">
        <v>165</v>
      </c>
      <c r="AJ229" s="0" t="n">
        <v>28</v>
      </c>
      <c r="AK229" s="0" t="n">
        <v>0</v>
      </c>
      <c r="AL229" s="0" t="n">
        <v>0</v>
      </c>
    </row>
    <row r="230">
      <c r="A230" s="0" t="inlineStr">
        <is>
          <t>[가좌동]</t>
        </is>
      </c>
      <c r="B230" s="0" t="n">
        <v>9928</v>
      </c>
      <c r="C230" s="0" t="n">
        <v>3</v>
      </c>
      <c r="D230" s="0" t="inlineStr">
        <is>
          <t>공작</t>
        </is>
      </c>
      <c r="E230" s="0" t="inlineStr">
        <is>
          <t>1990.04.</t>
        </is>
      </c>
      <c r="F230" s="0" t="n">
        <v>156</v>
      </c>
      <c r="G230" s="0" t="n">
        <v>23.81</v>
      </c>
      <c r="H230" s="0" t="n">
        <v>78.73999999999999</v>
      </c>
      <c r="I230" s="0" t="n">
        <v>18.85</v>
      </c>
      <c r="J230" s="0" t="n">
        <v>62.34</v>
      </c>
      <c r="K230" s="0" t="n">
        <v>18</v>
      </c>
      <c r="T230" s="0" t="n">
        <v>3</v>
      </c>
      <c r="U230" s="0" t="n">
        <v>1</v>
      </c>
      <c r="V230" s="0" t="inlineStr">
        <is>
          <t>계단식</t>
        </is>
      </c>
      <c r="W230" s="0" t="n">
        <v>78</v>
      </c>
      <c r="X230" s="0" t="n">
        <v>6</v>
      </c>
      <c r="Y230" s="0" t="n">
        <v>6</v>
      </c>
      <c r="Z230" s="0" t="inlineStr">
        <is>
          <t>https://new.land.naver.com/complexes/9928?tab=detail&amp;rf=Y</t>
        </is>
      </c>
      <c r="AA230" s="0" t="inlineStr">
        <is>
          <t>인천시 서구 가좌동 2-19</t>
        </is>
      </c>
      <c r="AB230" s="0" t="inlineStr">
        <is>
          <t>인천시</t>
        </is>
      </c>
      <c r="AC230" s="0" t="inlineStr">
        <is>
          <t>서구</t>
        </is>
      </c>
      <c r="AD230" s="0" t="inlineStr">
        <is>
          <t>가좌동</t>
        </is>
      </c>
      <c r="AG230" s="0" t="inlineStr">
        <is>
          <t>인천시 서구 장고개로 375-3</t>
        </is>
      </c>
      <c r="AH230" s="0" t="n">
        <v>0</v>
      </c>
      <c r="AI230" s="0" t="n">
        <v>165</v>
      </c>
      <c r="AJ230" s="0" t="n">
        <v>28</v>
      </c>
      <c r="AK230" s="0" t="n">
        <v>0</v>
      </c>
      <c r="AL230" s="0" t="n">
        <v>0</v>
      </c>
    </row>
    <row r="231">
      <c r="A231" s="0" t="inlineStr">
        <is>
          <t>[가좌동]</t>
        </is>
      </c>
      <c r="B231" s="0" t="n">
        <v>9928</v>
      </c>
      <c r="C231" s="0" t="n">
        <v>4</v>
      </c>
      <c r="D231" s="0" t="inlineStr">
        <is>
          <t>공작</t>
        </is>
      </c>
      <c r="E231" s="0" t="inlineStr">
        <is>
          <t>1990.04.</t>
        </is>
      </c>
      <c r="F231" s="0" t="n">
        <v>156</v>
      </c>
      <c r="G231" s="0" t="n">
        <v>24.9</v>
      </c>
      <c r="H231" s="0" t="n">
        <v>82.31999999999999</v>
      </c>
      <c r="I231" s="0" t="n">
        <v>19.78</v>
      </c>
      <c r="J231" s="0" t="n">
        <v>65.40000000000001</v>
      </c>
      <c r="K231" s="0" t="n">
        <v>42</v>
      </c>
      <c r="T231" s="0" t="n">
        <v>3</v>
      </c>
      <c r="U231" s="0" t="n">
        <v>1</v>
      </c>
      <c r="V231" s="0" t="inlineStr">
        <is>
          <t>계단식</t>
        </is>
      </c>
      <c r="W231" s="0" t="n">
        <v>82</v>
      </c>
      <c r="X231" s="0" t="n">
        <v>6</v>
      </c>
      <c r="Y231" s="0" t="n">
        <v>6</v>
      </c>
      <c r="Z231" s="0" t="inlineStr">
        <is>
          <t>https://new.land.naver.com/complexes/9928?tab=detail&amp;rf=Y</t>
        </is>
      </c>
      <c r="AA231" s="0" t="inlineStr">
        <is>
          <t>인천시 서구 가좌동 2-19</t>
        </is>
      </c>
      <c r="AB231" s="0" t="inlineStr">
        <is>
          <t>인천시</t>
        </is>
      </c>
      <c r="AC231" s="0" t="inlineStr">
        <is>
          <t>서구</t>
        </is>
      </c>
      <c r="AD231" s="0" t="inlineStr">
        <is>
          <t>가좌동</t>
        </is>
      </c>
      <c r="AG231" s="0" t="inlineStr">
        <is>
          <t>인천시 서구 장고개로 375-3</t>
        </is>
      </c>
      <c r="AH231" s="0" t="n">
        <v>0</v>
      </c>
      <c r="AI231" s="0" t="n">
        <v>165</v>
      </c>
      <c r="AJ231" s="0" t="n">
        <v>28</v>
      </c>
      <c r="AK231" s="0" t="n">
        <v>0</v>
      </c>
      <c r="AL231" s="0" t="n">
        <v>0</v>
      </c>
    </row>
    <row r="232">
      <c r="A232" s="0" t="inlineStr">
        <is>
          <t>[가좌동]</t>
        </is>
      </c>
      <c r="B232" s="0" t="n">
        <v>14847</v>
      </c>
      <c r="C232" s="0" t="n">
        <v>1</v>
      </c>
      <c r="D232" s="0" t="inlineStr">
        <is>
          <t>유진</t>
        </is>
      </c>
      <c r="E232" s="0" t="inlineStr">
        <is>
          <t>1985.02.</t>
        </is>
      </c>
      <c r="F232" s="0" t="n">
        <v>130</v>
      </c>
      <c r="G232" s="0" t="n">
        <v>22.09</v>
      </c>
      <c r="H232" s="0" t="n">
        <v>73.05</v>
      </c>
      <c r="I232" s="0" t="n">
        <v>19.42</v>
      </c>
      <c r="J232" s="0" t="n">
        <v>64.23</v>
      </c>
      <c r="K232" s="0" t="n">
        <v>70</v>
      </c>
      <c r="T232" s="0" t="n">
        <v>3</v>
      </c>
      <c r="U232" s="0" t="n">
        <v>1</v>
      </c>
      <c r="V232" s="0" t="inlineStr">
        <is>
          <t>계단식</t>
        </is>
      </c>
      <c r="W232" s="0" t="n">
        <v>73</v>
      </c>
      <c r="X232" s="0" t="n">
        <v>5</v>
      </c>
      <c r="Y232" s="0" t="n">
        <v>5</v>
      </c>
      <c r="Z232" s="0" t="inlineStr">
        <is>
          <t>https://new.land.naver.com/complexes/14847?tab=detail&amp;rf=Y</t>
        </is>
      </c>
      <c r="AA232" s="0" t="inlineStr">
        <is>
          <t>인천시 서구 가좌동 157-14</t>
        </is>
      </c>
      <c r="AB232" s="0" t="inlineStr">
        <is>
          <t>인천시</t>
        </is>
      </c>
      <c r="AC232" s="0" t="inlineStr">
        <is>
          <t>서구</t>
        </is>
      </c>
      <c r="AD232" s="0" t="inlineStr">
        <is>
          <t>가좌동</t>
        </is>
      </c>
      <c r="AG232" s="0" t="inlineStr">
        <is>
          <t>인천시 서구 가정로78번길 23</t>
        </is>
      </c>
      <c r="AH232" s="0" t="n">
        <v>0</v>
      </c>
      <c r="AI232" s="0" t="n">
        <v>136</v>
      </c>
      <c r="AJ232" s="0" t="n">
        <v>27</v>
      </c>
      <c r="AK232" s="0" t="n">
        <v>0</v>
      </c>
      <c r="AL232" s="0" t="n">
        <v>0</v>
      </c>
    </row>
    <row r="233">
      <c r="A233" s="0" t="inlineStr">
        <is>
          <t>[가좌동]</t>
        </is>
      </c>
      <c r="B233" s="0" t="n">
        <v>14847</v>
      </c>
      <c r="C233" s="0" t="n">
        <v>2</v>
      </c>
      <c r="D233" s="0" t="inlineStr">
        <is>
          <t>유진</t>
        </is>
      </c>
      <c r="E233" s="0" t="inlineStr">
        <is>
          <t>1985.02.</t>
        </is>
      </c>
      <c r="F233" s="0" t="n">
        <v>130</v>
      </c>
      <c r="G233" s="0" t="n">
        <v>23.46</v>
      </c>
      <c r="H233" s="0" t="n">
        <v>77.58</v>
      </c>
      <c r="I233" s="0" t="n">
        <v>20.11</v>
      </c>
      <c r="J233" s="0" t="n">
        <v>66.48</v>
      </c>
      <c r="K233" s="0" t="n">
        <v>25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77</v>
      </c>
      <c r="X233" s="0" t="n">
        <v>5</v>
      </c>
      <c r="Y233" s="0" t="n">
        <v>5</v>
      </c>
      <c r="Z233" s="0" t="inlineStr">
        <is>
          <t>https://new.land.naver.com/complexes/14847?tab=detail&amp;rf=Y</t>
        </is>
      </c>
      <c r="AA233" s="0" t="inlineStr">
        <is>
          <t>인천시 서구 가좌동 157-14</t>
        </is>
      </c>
      <c r="AB233" s="0" t="inlineStr">
        <is>
          <t>인천시</t>
        </is>
      </c>
      <c r="AC233" s="0" t="inlineStr">
        <is>
          <t>서구</t>
        </is>
      </c>
      <c r="AD233" s="0" t="inlineStr">
        <is>
          <t>가좌동</t>
        </is>
      </c>
      <c r="AG233" s="0" t="inlineStr">
        <is>
          <t>인천시 서구 가정로78번길 23</t>
        </is>
      </c>
      <c r="AH233" s="0" t="n">
        <v>0</v>
      </c>
      <c r="AI233" s="0" t="n">
        <v>136</v>
      </c>
      <c r="AJ233" s="0" t="n">
        <v>27</v>
      </c>
      <c r="AK233" s="0" t="n">
        <v>0</v>
      </c>
      <c r="AL233" s="0" t="n">
        <v>0</v>
      </c>
    </row>
    <row r="234">
      <c r="A234" s="0" t="inlineStr">
        <is>
          <t>[가좌동]</t>
        </is>
      </c>
      <c r="B234" s="0" t="n">
        <v>14847</v>
      </c>
      <c r="C234" s="0" t="n">
        <v>3</v>
      </c>
      <c r="D234" s="0" t="inlineStr">
        <is>
          <t>유진</t>
        </is>
      </c>
      <c r="E234" s="0" t="inlineStr">
        <is>
          <t>1985.02.</t>
        </is>
      </c>
      <c r="F234" s="0" t="n">
        <v>130</v>
      </c>
      <c r="G234" s="0" t="n">
        <v>23.97</v>
      </c>
      <c r="H234" s="0" t="n">
        <v>79.26000000000001</v>
      </c>
      <c r="I234" s="0" t="n">
        <v>20.61</v>
      </c>
      <c r="J234" s="0" t="n">
        <v>68.16</v>
      </c>
      <c r="K234" s="0" t="n">
        <v>30</v>
      </c>
      <c r="T234" s="0" t="n">
        <v>3</v>
      </c>
      <c r="U234" s="0" t="n">
        <v>1</v>
      </c>
      <c r="V234" s="0" t="inlineStr">
        <is>
          <t>계단식</t>
        </is>
      </c>
      <c r="W234" s="0" t="n">
        <v>79</v>
      </c>
      <c r="X234" s="0" t="n">
        <v>5</v>
      </c>
      <c r="Y234" s="0" t="n">
        <v>5</v>
      </c>
      <c r="Z234" s="0" t="inlineStr">
        <is>
          <t>https://new.land.naver.com/complexes/14847?tab=detail&amp;rf=Y</t>
        </is>
      </c>
      <c r="AA234" s="0" t="inlineStr">
        <is>
          <t>인천시 서구 가좌동 157-14</t>
        </is>
      </c>
      <c r="AB234" s="0" t="inlineStr">
        <is>
          <t>인천시</t>
        </is>
      </c>
      <c r="AC234" s="0" t="inlineStr">
        <is>
          <t>서구</t>
        </is>
      </c>
      <c r="AD234" s="0" t="inlineStr">
        <is>
          <t>가좌동</t>
        </is>
      </c>
      <c r="AG234" s="0" t="inlineStr">
        <is>
          <t>인천시 서구 가정로78번길 23</t>
        </is>
      </c>
      <c r="AH234" s="0" t="n">
        <v>0</v>
      </c>
      <c r="AI234" s="0" t="n">
        <v>136</v>
      </c>
      <c r="AJ234" s="0" t="n">
        <v>27</v>
      </c>
      <c r="AK234" s="0" t="n">
        <v>0</v>
      </c>
      <c r="AL234" s="0" t="n">
        <v>0</v>
      </c>
    </row>
    <row r="235">
      <c r="A235" s="0" t="inlineStr">
        <is>
          <t>[가좌동]</t>
        </is>
      </c>
      <c r="B235" s="0" t="n">
        <v>14847</v>
      </c>
      <c r="C235" s="0" t="n">
        <v>4</v>
      </c>
      <c r="D235" s="0" t="inlineStr">
        <is>
          <t>유진</t>
        </is>
      </c>
      <c r="E235" s="0" t="inlineStr">
        <is>
          <t>1985.02.</t>
        </is>
      </c>
      <c r="F235" s="0" t="n">
        <v>130</v>
      </c>
      <c r="G235" s="0" t="n">
        <v>30.08</v>
      </c>
      <c r="H235" s="0" t="n">
        <v>99.45</v>
      </c>
      <c r="I235" s="0" t="n">
        <v>26.72</v>
      </c>
      <c r="J235" s="0" t="n">
        <v>88.34999999999999</v>
      </c>
      <c r="K235" s="0" t="n">
        <v>5</v>
      </c>
      <c r="T235" s="0" t="n">
        <v>3</v>
      </c>
      <c r="U235" s="0" t="n">
        <v>1</v>
      </c>
      <c r="V235" s="0" t="inlineStr">
        <is>
          <t>계단식</t>
        </is>
      </c>
      <c r="W235" s="0" t="n">
        <v>99</v>
      </c>
      <c r="X235" s="0" t="n">
        <v>5</v>
      </c>
      <c r="Y235" s="0" t="n">
        <v>5</v>
      </c>
      <c r="Z235" s="0" t="inlineStr">
        <is>
          <t>https://new.land.naver.com/complexes/14847?tab=detail&amp;rf=Y</t>
        </is>
      </c>
      <c r="AA235" s="0" t="inlineStr">
        <is>
          <t>인천시 서구 가좌동 157-14</t>
        </is>
      </c>
      <c r="AB235" s="0" t="inlineStr">
        <is>
          <t>인천시</t>
        </is>
      </c>
      <c r="AC235" s="0" t="inlineStr">
        <is>
          <t>서구</t>
        </is>
      </c>
      <c r="AD235" s="0" t="inlineStr">
        <is>
          <t>가좌동</t>
        </is>
      </c>
      <c r="AG235" s="0" t="inlineStr">
        <is>
          <t>인천시 서구 가정로78번길 23</t>
        </is>
      </c>
      <c r="AH235" s="0" t="n">
        <v>0</v>
      </c>
      <c r="AI235" s="0" t="n">
        <v>136</v>
      </c>
      <c r="AJ235" s="0" t="n">
        <v>27</v>
      </c>
      <c r="AK235" s="0" t="n">
        <v>0</v>
      </c>
      <c r="AL235" s="0" t="n">
        <v>0</v>
      </c>
    </row>
    <row r="236">
      <c r="A236" s="0" t="inlineStr">
        <is>
          <t>[가좌동]</t>
        </is>
      </c>
      <c r="B236" s="0" t="n">
        <v>8121</v>
      </c>
      <c r="C236" s="0" t="n">
        <v>1</v>
      </c>
      <c r="D236" s="0" t="inlineStr">
        <is>
          <t>진주4단지</t>
        </is>
      </c>
      <c r="E236" s="0" t="inlineStr">
        <is>
          <t>1991.01.</t>
        </is>
      </c>
      <c r="F236" s="0" t="n">
        <v>302</v>
      </c>
      <c r="G236" s="0" t="n">
        <v>30.7</v>
      </c>
      <c r="H236" s="0" t="n">
        <v>101.52</v>
      </c>
      <c r="I236" s="0" t="n">
        <v>25.66</v>
      </c>
      <c r="J236" s="0" t="n">
        <v>84.84999999999999</v>
      </c>
      <c r="K236" s="0" t="n">
        <v>163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101</v>
      </c>
      <c r="X236" s="0" t="n">
        <v>15</v>
      </c>
      <c r="Y236" s="0" t="n">
        <v>7</v>
      </c>
      <c r="Z236" s="0" t="inlineStr">
        <is>
          <t>https://new.land.naver.com/complexes/8121?tab=detail&amp;rf=Y</t>
        </is>
      </c>
      <c r="AA236" s="0" t="inlineStr">
        <is>
          <t>인천시 서구 가좌동 30-100</t>
        </is>
      </c>
      <c r="AB236" s="0" t="inlineStr">
        <is>
          <t>인천시</t>
        </is>
      </c>
      <c r="AC236" s="0" t="inlineStr">
        <is>
          <t>서구</t>
        </is>
      </c>
      <c r="AD236" s="0" t="inlineStr">
        <is>
          <t>가좌동</t>
        </is>
      </c>
      <c r="AG236" s="0" t="inlineStr">
        <is>
          <t>인천시 서구 장고개로309번길 19</t>
        </is>
      </c>
      <c r="AH236" s="0" t="n">
        <v>0</v>
      </c>
      <c r="AI236" s="0" t="n">
        <v>243</v>
      </c>
      <c r="AJ236" s="0" t="n">
        <v>25</v>
      </c>
      <c r="AK236" s="0" t="n">
        <v>0</v>
      </c>
      <c r="AL236" s="0" t="n">
        <v>0</v>
      </c>
    </row>
    <row r="237">
      <c r="A237" s="0" t="inlineStr">
        <is>
          <t>[가좌동]</t>
        </is>
      </c>
      <c r="B237" s="0" t="n">
        <v>8121</v>
      </c>
      <c r="C237" s="0" t="n">
        <v>2</v>
      </c>
      <c r="D237" s="0" t="inlineStr">
        <is>
          <t>진주4단지</t>
        </is>
      </c>
      <c r="E237" s="0" t="inlineStr">
        <is>
          <t>1991.01.</t>
        </is>
      </c>
      <c r="F237" s="0" t="n">
        <v>302</v>
      </c>
      <c r="G237" s="0" t="n">
        <v>40.81</v>
      </c>
      <c r="H237" s="0" t="n">
        <v>134.94</v>
      </c>
      <c r="I237" s="0" t="n">
        <v>35.18</v>
      </c>
      <c r="J237" s="0" t="n">
        <v>116.32</v>
      </c>
      <c r="K237" s="0" t="n">
        <v>14</v>
      </c>
      <c r="T237" s="0" t="n">
        <v>4</v>
      </c>
      <c r="U237" s="0" t="n">
        <v>2</v>
      </c>
      <c r="V237" s="0" t="inlineStr">
        <is>
          <t>계단식</t>
        </is>
      </c>
      <c r="W237" s="0" t="n">
        <v>134</v>
      </c>
      <c r="X237" s="0" t="n">
        <v>15</v>
      </c>
      <c r="Y237" s="0" t="n">
        <v>7</v>
      </c>
      <c r="Z237" s="0" t="inlineStr">
        <is>
          <t>https://new.land.naver.com/complexes/8121?tab=detail&amp;rf=Y</t>
        </is>
      </c>
      <c r="AA237" s="0" t="inlineStr">
        <is>
          <t>인천시 서구 가좌동 30-100</t>
        </is>
      </c>
      <c r="AB237" s="0" t="inlineStr">
        <is>
          <t>인천시</t>
        </is>
      </c>
      <c r="AC237" s="0" t="inlineStr">
        <is>
          <t>서구</t>
        </is>
      </c>
      <c r="AD237" s="0" t="inlineStr">
        <is>
          <t>가좌동</t>
        </is>
      </c>
      <c r="AG237" s="0" t="inlineStr">
        <is>
          <t>인천시 서구 장고개로309번길 19</t>
        </is>
      </c>
      <c r="AH237" s="0" t="n">
        <v>0</v>
      </c>
      <c r="AI237" s="0" t="n">
        <v>243</v>
      </c>
      <c r="AJ237" s="0" t="n">
        <v>25</v>
      </c>
      <c r="AK237" s="0" t="n">
        <v>0</v>
      </c>
      <c r="AL237" s="0" t="n">
        <v>0</v>
      </c>
    </row>
    <row r="238">
      <c r="A238" s="0" t="inlineStr">
        <is>
          <t>[가좌동]</t>
        </is>
      </c>
      <c r="B238" s="0" t="n">
        <v>8121</v>
      </c>
      <c r="C238" s="0" t="n">
        <v>3</v>
      </c>
      <c r="D238" s="0" t="inlineStr">
        <is>
          <t>진주4단지</t>
        </is>
      </c>
      <c r="E238" s="0" t="inlineStr">
        <is>
          <t>1991.01.</t>
        </is>
      </c>
      <c r="F238" s="0" t="n">
        <v>302</v>
      </c>
      <c r="G238" s="0" t="n">
        <v>43.88</v>
      </c>
      <c r="H238" s="0" t="n">
        <v>145.09</v>
      </c>
      <c r="I238" s="0" t="n">
        <v>38.26</v>
      </c>
      <c r="J238" s="0" t="n">
        <v>126.48</v>
      </c>
      <c r="K238" s="0" t="n">
        <v>1</v>
      </c>
      <c r="T238" s="0" t="n">
        <v>4</v>
      </c>
      <c r="U238" s="0" t="n">
        <v>2</v>
      </c>
      <c r="V238" s="0" t="inlineStr">
        <is>
          <t>계단식</t>
        </is>
      </c>
      <c r="W238" s="0" t="n">
        <v>145</v>
      </c>
      <c r="X238" s="0" t="n">
        <v>15</v>
      </c>
      <c r="Y238" s="0" t="n">
        <v>7</v>
      </c>
      <c r="Z238" s="0" t="inlineStr">
        <is>
          <t>https://new.land.naver.com/complexes/8121?tab=detail&amp;rf=Y</t>
        </is>
      </c>
      <c r="AA238" s="0" t="inlineStr">
        <is>
          <t>인천시 서구 가좌동 30-100</t>
        </is>
      </c>
      <c r="AB238" s="0" t="inlineStr">
        <is>
          <t>인천시</t>
        </is>
      </c>
      <c r="AC238" s="0" t="inlineStr">
        <is>
          <t>서구</t>
        </is>
      </c>
      <c r="AD238" s="0" t="inlineStr">
        <is>
          <t>가좌동</t>
        </is>
      </c>
      <c r="AG238" s="0" t="inlineStr">
        <is>
          <t>인천시 서구 장고개로309번길 19</t>
        </is>
      </c>
      <c r="AH238" s="0" t="n">
        <v>0</v>
      </c>
      <c r="AI238" s="0" t="n">
        <v>243</v>
      </c>
      <c r="AJ238" s="0" t="n">
        <v>25</v>
      </c>
      <c r="AK238" s="0" t="n">
        <v>0</v>
      </c>
      <c r="AL238" s="0" t="n">
        <v>0</v>
      </c>
    </row>
    <row r="239">
      <c r="A239" s="0" t="inlineStr">
        <is>
          <t>[가좌동]</t>
        </is>
      </c>
      <c r="B239" s="0" t="n">
        <v>8121</v>
      </c>
      <c r="C239" s="0" t="n">
        <v>4</v>
      </c>
      <c r="D239" s="0" t="inlineStr">
        <is>
          <t>진주4단지</t>
        </is>
      </c>
      <c r="E239" s="0" t="inlineStr">
        <is>
          <t>1991.01.</t>
        </is>
      </c>
      <c r="F239" s="0" t="n">
        <v>302</v>
      </c>
      <c r="G239" s="0" t="n">
        <v>47.67</v>
      </c>
      <c r="H239" s="0" t="n">
        <v>157.6</v>
      </c>
      <c r="I239" s="0" t="n">
        <v>41.2</v>
      </c>
      <c r="J239" s="0" t="n">
        <v>136.23</v>
      </c>
      <c r="K239" s="0" t="n">
        <v>124</v>
      </c>
      <c r="T239" s="0" t="n">
        <v>4</v>
      </c>
      <c r="U239" s="0" t="n">
        <v>2</v>
      </c>
      <c r="V239" s="0" t="inlineStr">
        <is>
          <t>계단식</t>
        </is>
      </c>
      <c r="W239" s="0" t="n">
        <v>157</v>
      </c>
      <c r="X239" s="0" t="n">
        <v>15</v>
      </c>
      <c r="Y239" s="0" t="n">
        <v>7</v>
      </c>
      <c r="Z239" s="0" t="inlineStr">
        <is>
          <t>https://new.land.naver.com/complexes/8121?tab=detail&amp;rf=Y</t>
        </is>
      </c>
      <c r="AA239" s="0" t="inlineStr">
        <is>
          <t>인천시 서구 가좌동 30-100</t>
        </is>
      </c>
      <c r="AB239" s="0" t="inlineStr">
        <is>
          <t>인천시</t>
        </is>
      </c>
      <c r="AC239" s="0" t="inlineStr">
        <is>
          <t>서구</t>
        </is>
      </c>
      <c r="AD239" s="0" t="inlineStr">
        <is>
          <t>가좌동</t>
        </is>
      </c>
      <c r="AG239" s="0" t="inlineStr">
        <is>
          <t>인천시 서구 장고개로309번길 19</t>
        </is>
      </c>
      <c r="AH239" s="0" t="n">
        <v>0</v>
      </c>
      <c r="AI239" s="0" t="n">
        <v>243</v>
      </c>
      <c r="AJ239" s="0" t="n">
        <v>25</v>
      </c>
      <c r="AK239" s="0" t="n">
        <v>0</v>
      </c>
      <c r="AL239" s="0" t="n">
        <v>0</v>
      </c>
    </row>
    <row r="240">
      <c r="A240" s="0" t="inlineStr">
        <is>
          <t>[가좌동]</t>
        </is>
      </c>
      <c r="B240" s="0" t="n">
        <v>11711</v>
      </c>
      <c r="C240" s="0" t="n">
        <v>1</v>
      </c>
      <c r="D240" s="0" t="inlineStr">
        <is>
          <t>쌍마</t>
        </is>
      </c>
      <c r="E240" s="0" t="inlineStr">
        <is>
          <t>1986.05.</t>
        </is>
      </c>
      <c r="F240" s="0" t="n">
        <v>160</v>
      </c>
      <c r="G240" s="0" t="n">
        <v>21.15</v>
      </c>
      <c r="H240" s="0" t="n">
        <v>69.93000000000001</v>
      </c>
      <c r="I240" s="0" t="n">
        <v>16.29</v>
      </c>
      <c r="J240" s="0" t="n">
        <v>53.88</v>
      </c>
      <c r="K240" s="0" t="n">
        <v>90</v>
      </c>
      <c r="T240" s="0" t="n">
        <v>3</v>
      </c>
      <c r="U240" s="0" t="n">
        <v>1</v>
      </c>
      <c r="V240" s="0" t="inlineStr">
        <is>
          <t>계단식</t>
        </is>
      </c>
      <c r="W240" s="0" t="n">
        <v>69</v>
      </c>
      <c r="X240" s="0" t="n">
        <v>5</v>
      </c>
      <c r="Y240" s="0" t="n">
        <v>5</v>
      </c>
      <c r="Z240" s="0" t="inlineStr">
        <is>
          <t>https://new.land.naver.com/complexes/11711?tab=detail&amp;rf=Y</t>
        </is>
      </c>
      <c r="AA240" s="0" t="inlineStr">
        <is>
          <t>인천시 서구 가좌동 107</t>
        </is>
      </c>
      <c r="AB240" s="0" t="inlineStr">
        <is>
          <t>인천시</t>
        </is>
      </c>
      <c r="AC240" s="0" t="inlineStr">
        <is>
          <t>서구</t>
        </is>
      </c>
      <c r="AD240" s="0" t="inlineStr">
        <is>
          <t>가좌동</t>
        </is>
      </c>
      <c r="AG240" s="0" t="inlineStr">
        <is>
          <t>인천시 서구 가정로 156</t>
        </is>
      </c>
      <c r="AH240" s="0" t="n">
        <v>0</v>
      </c>
      <c r="AI240" s="0" t="n">
        <v>145</v>
      </c>
      <c r="AJ240" s="0" t="n">
        <v>29</v>
      </c>
      <c r="AK240" s="0" t="n">
        <v>58</v>
      </c>
      <c r="AL240" s="0" t="n">
        <v>0.36</v>
      </c>
    </row>
    <row r="241">
      <c r="A241" s="0" t="inlineStr">
        <is>
          <t>[가좌동]</t>
        </is>
      </c>
      <c r="B241" s="0" t="n">
        <v>11711</v>
      </c>
      <c r="C241" s="0" t="n">
        <v>2</v>
      </c>
      <c r="D241" s="0" t="inlineStr">
        <is>
          <t>쌍마</t>
        </is>
      </c>
      <c r="E241" s="0" t="inlineStr">
        <is>
          <t>1986.05.</t>
        </is>
      </c>
      <c r="F241" s="0" t="n">
        <v>160</v>
      </c>
      <c r="G241" s="0" t="n">
        <v>22.2</v>
      </c>
      <c r="H241" s="0" t="n">
        <v>73.39</v>
      </c>
      <c r="I241" s="0" t="n">
        <v>17.18</v>
      </c>
      <c r="J241" s="0" t="n">
        <v>56.82</v>
      </c>
      <c r="K241" s="0" t="n">
        <v>40</v>
      </c>
      <c r="T241" s="0" t="n">
        <v>3</v>
      </c>
      <c r="U241" s="0" t="n">
        <v>1</v>
      </c>
      <c r="V241" s="0" t="inlineStr">
        <is>
          <t>계단식</t>
        </is>
      </c>
      <c r="W241" s="0" t="n">
        <v>73</v>
      </c>
      <c r="X241" s="0" t="n">
        <v>5</v>
      </c>
      <c r="Y241" s="0" t="n">
        <v>5</v>
      </c>
      <c r="Z241" s="0" t="inlineStr">
        <is>
          <t>https://new.land.naver.com/complexes/11711?tab=detail&amp;rf=Y</t>
        </is>
      </c>
      <c r="AA241" s="0" t="inlineStr">
        <is>
          <t>인천시 서구 가좌동 107</t>
        </is>
      </c>
      <c r="AB241" s="0" t="inlineStr">
        <is>
          <t>인천시</t>
        </is>
      </c>
      <c r="AC241" s="0" t="inlineStr">
        <is>
          <t>서구</t>
        </is>
      </c>
      <c r="AD241" s="0" t="inlineStr">
        <is>
          <t>가좌동</t>
        </is>
      </c>
      <c r="AG241" s="0" t="inlineStr">
        <is>
          <t>인천시 서구 가정로 156</t>
        </is>
      </c>
      <c r="AH241" s="0" t="n">
        <v>0</v>
      </c>
      <c r="AI241" s="0" t="n">
        <v>145</v>
      </c>
      <c r="AJ241" s="0" t="n">
        <v>29</v>
      </c>
      <c r="AK241" s="0" t="n">
        <v>58</v>
      </c>
      <c r="AL241" s="0" t="n">
        <v>0.36</v>
      </c>
    </row>
    <row r="242">
      <c r="A242" s="0" t="inlineStr">
        <is>
          <t>[가좌동]</t>
        </is>
      </c>
      <c r="B242" s="0" t="n">
        <v>11711</v>
      </c>
      <c r="C242" s="0" t="n">
        <v>3</v>
      </c>
      <c r="D242" s="0" t="inlineStr">
        <is>
          <t>쌍마</t>
        </is>
      </c>
      <c r="E242" s="0" t="inlineStr">
        <is>
          <t>1986.05.</t>
        </is>
      </c>
      <c r="F242" s="0" t="n">
        <v>160</v>
      </c>
      <c r="G242" s="0" t="n">
        <v>23.23</v>
      </c>
      <c r="H242" s="0" t="n">
        <v>76.81999999999999</v>
      </c>
      <c r="I242" s="0" t="n">
        <v>18.07</v>
      </c>
      <c r="J242" s="0" t="n">
        <v>59.76</v>
      </c>
      <c r="K242" s="0" t="n">
        <v>30</v>
      </c>
      <c r="T242" s="0" t="n">
        <v>3</v>
      </c>
      <c r="U242" s="0" t="n">
        <v>1</v>
      </c>
      <c r="V242" s="0" t="inlineStr">
        <is>
          <t>계단식</t>
        </is>
      </c>
      <c r="W242" s="0" t="n">
        <v>76</v>
      </c>
      <c r="X242" s="0" t="n">
        <v>5</v>
      </c>
      <c r="Y242" s="0" t="n">
        <v>5</v>
      </c>
      <c r="Z242" s="0" t="inlineStr">
        <is>
          <t>https://new.land.naver.com/complexes/11711?tab=detail&amp;rf=Y</t>
        </is>
      </c>
      <c r="AA242" s="0" t="inlineStr">
        <is>
          <t>인천시 서구 가좌동 107</t>
        </is>
      </c>
      <c r="AB242" s="0" t="inlineStr">
        <is>
          <t>인천시</t>
        </is>
      </c>
      <c r="AC242" s="0" t="inlineStr">
        <is>
          <t>서구</t>
        </is>
      </c>
      <c r="AD242" s="0" t="inlineStr">
        <is>
          <t>가좌동</t>
        </is>
      </c>
      <c r="AG242" s="0" t="inlineStr">
        <is>
          <t>인천시 서구 가정로 156</t>
        </is>
      </c>
      <c r="AH242" s="0" t="n">
        <v>0</v>
      </c>
      <c r="AI242" s="0" t="n">
        <v>145</v>
      </c>
      <c r="AJ242" s="0" t="n">
        <v>29</v>
      </c>
      <c r="AK242" s="0" t="n">
        <v>58</v>
      </c>
      <c r="AL242" s="0" t="n">
        <v>0.36</v>
      </c>
    </row>
    <row r="243">
      <c r="A243" s="0" t="inlineStr">
        <is>
          <t>[가좌동]</t>
        </is>
      </c>
      <c r="B243" s="0" t="n">
        <v>27213</v>
      </c>
      <c r="C243" s="0" t="n">
        <v>1</v>
      </c>
      <c r="D243" s="0" t="inlineStr">
        <is>
          <t>지구미가로</t>
        </is>
      </c>
      <c r="E243" s="0" t="inlineStr">
        <is>
          <t>2007.08.</t>
        </is>
      </c>
      <c r="F243" s="0" t="n">
        <v>52</v>
      </c>
      <c r="G243" s="0" t="n">
        <v>20.44</v>
      </c>
      <c r="H243" s="0" t="n">
        <v>67.58</v>
      </c>
      <c r="I243" s="0" t="n">
        <v>16.54</v>
      </c>
      <c r="J243" s="0" t="n">
        <v>54.69</v>
      </c>
      <c r="K243" s="0" t="n">
        <v>2</v>
      </c>
      <c r="T243" s="0" t="n">
        <v>3</v>
      </c>
      <c r="U243" s="0" t="n">
        <v>2</v>
      </c>
      <c r="V243" s="0" t="inlineStr">
        <is>
          <t>계단식</t>
        </is>
      </c>
      <c r="W243" s="0" t="n">
        <v>67</v>
      </c>
      <c r="X243" s="0" t="n">
        <v>13</v>
      </c>
      <c r="Y243" s="0" t="n">
        <v>13</v>
      </c>
      <c r="Z243" s="0" t="inlineStr">
        <is>
          <t>https://new.land.naver.com/complexes/27213?tab=detail&amp;rf=Y</t>
        </is>
      </c>
      <c r="AA243" s="0" t="inlineStr">
        <is>
          <t>인천시 서구 가좌동 143-62</t>
        </is>
      </c>
      <c r="AB243" s="0" t="inlineStr">
        <is>
          <t>인천시</t>
        </is>
      </c>
      <c r="AC243" s="0" t="inlineStr">
        <is>
          <t>서구</t>
        </is>
      </c>
      <c r="AD243" s="0" t="inlineStr">
        <is>
          <t>가좌동</t>
        </is>
      </c>
      <c r="AG243" s="0" t="inlineStr">
        <is>
          <t>인천시 서구 가정로98번길 25-10</t>
        </is>
      </c>
      <c r="AH243" s="0" t="n">
        <v>0</v>
      </c>
      <c r="AI243" s="0" t="n">
        <v>0</v>
      </c>
      <c r="AJ243" s="0" t="n">
        <v>0</v>
      </c>
      <c r="AK243" s="0" t="n">
        <v>54</v>
      </c>
      <c r="AL243" s="0" t="n">
        <v>1.04</v>
      </c>
    </row>
    <row r="244">
      <c r="A244" s="0" t="inlineStr">
        <is>
          <t>[가좌동]</t>
        </is>
      </c>
      <c r="B244" s="0" t="n">
        <v>27213</v>
      </c>
      <c r="C244" s="0" t="n">
        <v>2</v>
      </c>
      <c r="D244" s="0" t="inlineStr">
        <is>
          <t>지구미가로</t>
        </is>
      </c>
      <c r="E244" s="0" t="inlineStr">
        <is>
          <t>2007.08.</t>
        </is>
      </c>
      <c r="F244" s="0" t="n">
        <v>52</v>
      </c>
      <c r="G244" s="0" t="n">
        <v>23.38</v>
      </c>
      <c r="H244" s="0" t="n">
        <v>77.3</v>
      </c>
      <c r="I244" s="0" t="n">
        <v>18.92</v>
      </c>
      <c r="J244" s="0" t="n">
        <v>62.57</v>
      </c>
      <c r="K244" s="0" t="n">
        <v>4</v>
      </c>
      <c r="T244" s="0" t="n">
        <v>3</v>
      </c>
      <c r="U244" s="0" t="n">
        <v>1</v>
      </c>
      <c r="V244" s="0" t="inlineStr">
        <is>
          <t>복합식</t>
        </is>
      </c>
      <c r="W244" s="0" t="n">
        <v>77</v>
      </c>
      <c r="X244" s="0" t="n">
        <v>13</v>
      </c>
      <c r="Y244" s="0" t="n">
        <v>13</v>
      </c>
      <c r="Z244" s="0" t="inlineStr">
        <is>
          <t>https://new.land.naver.com/complexes/27213?tab=detail&amp;rf=Y</t>
        </is>
      </c>
      <c r="AA244" s="0" t="inlineStr">
        <is>
          <t>인천시 서구 가좌동 143-62</t>
        </is>
      </c>
      <c r="AB244" s="0" t="inlineStr">
        <is>
          <t>인천시</t>
        </is>
      </c>
      <c r="AC244" s="0" t="inlineStr">
        <is>
          <t>서구</t>
        </is>
      </c>
      <c r="AD244" s="0" t="inlineStr">
        <is>
          <t>가좌동</t>
        </is>
      </c>
      <c r="AG244" s="0" t="inlineStr">
        <is>
          <t>인천시 서구 가정로98번길 25-10</t>
        </is>
      </c>
      <c r="AH244" s="0" t="n">
        <v>0</v>
      </c>
      <c r="AI244" s="0" t="n">
        <v>0</v>
      </c>
      <c r="AJ244" s="0" t="n">
        <v>0</v>
      </c>
      <c r="AK244" s="0" t="n">
        <v>54</v>
      </c>
      <c r="AL244" s="0" t="n">
        <v>1.04</v>
      </c>
    </row>
    <row r="245">
      <c r="A245" s="0" t="inlineStr">
        <is>
          <t>[가좌동]</t>
        </is>
      </c>
      <c r="B245" s="0" t="n">
        <v>27213</v>
      </c>
      <c r="C245" s="0" t="n">
        <v>3</v>
      </c>
      <c r="D245" s="0" t="inlineStr">
        <is>
          <t>지구미가로</t>
        </is>
      </c>
      <c r="E245" s="0" t="inlineStr">
        <is>
          <t>2007.08.</t>
        </is>
      </c>
      <c r="F245" s="0" t="n">
        <v>52</v>
      </c>
      <c r="G245" s="0" t="n">
        <v>24.27</v>
      </c>
      <c r="H245" s="0" t="n">
        <v>80.25</v>
      </c>
      <c r="I245" s="0" t="n">
        <v>19.64</v>
      </c>
      <c r="J245" s="0" t="n">
        <v>64.95</v>
      </c>
      <c r="K245" s="0" t="n">
        <v>46</v>
      </c>
      <c r="T245" s="0" t="n">
        <v>3</v>
      </c>
      <c r="U245" s="0" t="n">
        <v>1</v>
      </c>
      <c r="V245" s="0" t="inlineStr">
        <is>
          <t>계단식</t>
        </is>
      </c>
      <c r="W245" s="0" t="n">
        <v>80</v>
      </c>
      <c r="X245" s="0" t="n">
        <v>13</v>
      </c>
      <c r="Y245" s="0" t="n">
        <v>13</v>
      </c>
      <c r="Z245" s="0" t="inlineStr">
        <is>
          <t>https://new.land.naver.com/complexes/27213?tab=detail&amp;rf=Y</t>
        </is>
      </c>
      <c r="AA245" s="0" t="inlineStr">
        <is>
          <t>인천시 서구 가좌동 143-62</t>
        </is>
      </c>
      <c r="AB245" s="0" t="inlineStr">
        <is>
          <t>인천시</t>
        </is>
      </c>
      <c r="AC245" s="0" t="inlineStr">
        <is>
          <t>서구</t>
        </is>
      </c>
      <c r="AD245" s="0" t="inlineStr">
        <is>
          <t>가좌동</t>
        </is>
      </c>
      <c r="AG245" s="0" t="inlineStr">
        <is>
          <t>인천시 서구 가정로98번길 25-10</t>
        </is>
      </c>
      <c r="AH245" s="0" t="n">
        <v>0</v>
      </c>
      <c r="AI245" s="0" t="n">
        <v>0</v>
      </c>
      <c r="AJ245" s="0" t="n">
        <v>0</v>
      </c>
      <c r="AK245" s="0" t="n">
        <v>54</v>
      </c>
      <c r="AL245" s="0" t="n">
        <v>1.04</v>
      </c>
    </row>
    <row r="246">
      <c r="A246" s="0" t="inlineStr">
        <is>
          <t>[가좌동]</t>
        </is>
      </c>
      <c r="B246" s="0" t="n">
        <v>10909</v>
      </c>
      <c r="C246" s="0" t="n">
        <v>1</v>
      </c>
      <c r="D246" s="0" t="inlineStr">
        <is>
          <t>한마음</t>
        </is>
      </c>
      <c r="E246" s="0" t="inlineStr">
        <is>
          <t>1986.02.</t>
        </is>
      </c>
      <c r="F246" s="0" t="n">
        <v>160</v>
      </c>
      <c r="G246" s="0" t="n">
        <v>18.41</v>
      </c>
      <c r="H246" s="0" t="n">
        <v>60.86</v>
      </c>
      <c r="I246" s="0" t="n">
        <v>15.02</v>
      </c>
      <c r="J246" s="0" t="n">
        <v>49.66</v>
      </c>
      <c r="K246" s="0" t="n">
        <v>160</v>
      </c>
      <c r="T246" s="0" t="n">
        <v>2</v>
      </c>
      <c r="U246" s="0" t="n">
        <v>1</v>
      </c>
      <c r="V246" s="0" t="inlineStr">
        <is>
          <t>계단식</t>
        </is>
      </c>
      <c r="W246" s="0" t="n">
        <v>60</v>
      </c>
      <c r="X246" s="0" t="n">
        <v>4</v>
      </c>
      <c r="Y246" s="0" t="n">
        <v>4</v>
      </c>
      <c r="Z246" s="0" t="inlineStr">
        <is>
          <t>https://new.land.naver.com/complexes/10909?tab=detail&amp;rf=Y</t>
        </is>
      </c>
      <c r="AA246" s="0" t="inlineStr">
        <is>
          <t>인천시 서구 가좌동 306-1</t>
        </is>
      </c>
      <c r="AB246" s="0" t="inlineStr">
        <is>
          <t>인천시</t>
        </is>
      </c>
      <c r="AC246" s="0" t="inlineStr">
        <is>
          <t>서구</t>
        </is>
      </c>
      <c r="AD246" s="0" t="inlineStr">
        <is>
          <t>가좌동</t>
        </is>
      </c>
      <c r="AG246" s="0" t="inlineStr">
        <is>
          <t>인천시 서구 장고개로 340</t>
        </is>
      </c>
      <c r="AH246" s="0" t="n">
        <v>0</v>
      </c>
      <c r="AI246" s="0" t="n">
        <v>93</v>
      </c>
      <c r="AJ246" s="0" t="n">
        <v>23</v>
      </c>
      <c r="AK246" s="0" t="n">
        <v>0</v>
      </c>
      <c r="AL246" s="0" t="n">
        <v>0</v>
      </c>
    </row>
    <row r="247">
      <c r="A247" s="0" t="inlineStr">
        <is>
          <t>[가좌동]</t>
        </is>
      </c>
      <c r="B247" s="0" t="n">
        <v>8119</v>
      </c>
      <c r="C247" s="0" t="n">
        <v>1</v>
      </c>
      <c r="D247" s="0" t="inlineStr">
        <is>
          <t>진주2단지</t>
        </is>
      </c>
      <c r="E247" s="0" t="inlineStr">
        <is>
          <t>1984.08.</t>
        </is>
      </c>
      <c r="F247" s="0" t="n">
        <v>644</v>
      </c>
      <c r="G247" s="0" t="n">
        <v>24.08</v>
      </c>
      <c r="H247" s="0" t="n">
        <v>79.63</v>
      </c>
      <c r="I247" s="0" t="n">
        <v>17.84</v>
      </c>
      <c r="J247" s="0" t="n">
        <v>58.98</v>
      </c>
      <c r="K247" s="0" t="n">
        <v>224</v>
      </c>
      <c r="T247" s="0" t="n">
        <v>3</v>
      </c>
      <c r="U247" s="0" t="n">
        <v>1</v>
      </c>
      <c r="V247" s="0" t="inlineStr">
        <is>
          <t>복도식</t>
        </is>
      </c>
      <c r="W247" s="0" t="n">
        <v>79</v>
      </c>
      <c r="X247" s="0" t="n">
        <v>14</v>
      </c>
      <c r="Y247" s="0" t="n">
        <v>14</v>
      </c>
      <c r="Z247" s="0" t="inlineStr">
        <is>
          <t>https://new.land.naver.com/complexes/8119?tab=detail&amp;rf=Y</t>
        </is>
      </c>
      <c r="AA247" s="0" t="inlineStr">
        <is>
          <t>인천시 서구 가좌동 30-2</t>
        </is>
      </c>
      <c r="AB247" s="0" t="inlineStr">
        <is>
          <t>인천시</t>
        </is>
      </c>
      <c r="AC247" s="0" t="inlineStr">
        <is>
          <t>서구</t>
        </is>
      </c>
      <c r="AD247" s="0" t="inlineStr">
        <is>
          <t>가좌동</t>
        </is>
      </c>
      <c r="AG247" s="0" t="inlineStr">
        <is>
          <t>인천시 서구 장고개로337번길 32</t>
        </is>
      </c>
      <c r="AH247" s="0" t="n">
        <v>0</v>
      </c>
      <c r="AI247" s="0" t="n">
        <v>0</v>
      </c>
      <c r="AJ247" s="0" t="n">
        <v>0</v>
      </c>
      <c r="AK247" s="0" t="n">
        <v>644</v>
      </c>
      <c r="AL247" s="0" t="n">
        <v>1</v>
      </c>
    </row>
    <row r="248">
      <c r="A248" s="0" t="inlineStr">
        <is>
          <t>[가좌동]</t>
        </is>
      </c>
      <c r="B248" s="0" t="n">
        <v>8119</v>
      </c>
      <c r="C248" s="0" t="n">
        <v>2</v>
      </c>
      <c r="D248" s="0" t="inlineStr">
        <is>
          <t>진주2단지</t>
        </is>
      </c>
      <c r="E248" s="0" t="inlineStr">
        <is>
          <t>1984.08.</t>
        </is>
      </c>
      <c r="F248" s="0" t="n">
        <v>644</v>
      </c>
      <c r="G248" s="0" t="n">
        <v>31.21</v>
      </c>
      <c r="H248" s="0" t="n">
        <v>103.19</v>
      </c>
      <c r="I248" s="0" t="n">
        <v>25.62</v>
      </c>
      <c r="J248" s="0" t="n">
        <v>84.70999999999999</v>
      </c>
      <c r="K248" s="0" t="n">
        <v>252</v>
      </c>
      <c r="T248" s="0" t="n">
        <v>3</v>
      </c>
      <c r="U248" s="0" t="n">
        <v>1</v>
      </c>
      <c r="V248" s="0" t="inlineStr">
        <is>
          <t>계단식</t>
        </is>
      </c>
      <c r="W248" s="0" t="n">
        <v>103</v>
      </c>
      <c r="X248" s="0" t="n">
        <v>14</v>
      </c>
      <c r="Y248" s="0" t="n">
        <v>14</v>
      </c>
      <c r="Z248" s="0" t="inlineStr">
        <is>
          <t>https://new.land.naver.com/complexes/8119?tab=detail&amp;rf=Y</t>
        </is>
      </c>
      <c r="AA248" s="0" t="inlineStr">
        <is>
          <t>인천시 서구 가좌동 30-2</t>
        </is>
      </c>
      <c r="AB248" s="0" t="inlineStr">
        <is>
          <t>인천시</t>
        </is>
      </c>
      <c r="AC248" s="0" t="inlineStr">
        <is>
          <t>서구</t>
        </is>
      </c>
      <c r="AD248" s="0" t="inlineStr">
        <is>
          <t>가좌동</t>
        </is>
      </c>
      <c r="AG248" s="0" t="inlineStr">
        <is>
          <t>인천시 서구 장고개로337번길 32</t>
        </is>
      </c>
      <c r="AH248" s="0" t="n">
        <v>0</v>
      </c>
      <c r="AI248" s="0" t="n">
        <v>0</v>
      </c>
      <c r="AJ248" s="0" t="n">
        <v>0</v>
      </c>
      <c r="AK248" s="0" t="n">
        <v>644</v>
      </c>
      <c r="AL248" s="0" t="n">
        <v>1</v>
      </c>
    </row>
    <row r="249">
      <c r="A249" s="0" t="inlineStr">
        <is>
          <t>[가좌동]</t>
        </is>
      </c>
      <c r="B249" s="0" t="n">
        <v>8119</v>
      </c>
      <c r="C249" s="0" t="n">
        <v>3</v>
      </c>
      <c r="D249" s="0" t="inlineStr">
        <is>
          <t>진주2단지</t>
        </is>
      </c>
      <c r="E249" s="0" t="inlineStr">
        <is>
          <t>1984.08.</t>
        </is>
      </c>
      <c r="F249" s="0" t="n">
        <v>644</v>
      </c>
      <c r="G249" s="0" t="n">
        <v>41.25</v>
      </c>
      <c r="H249" s="0" t="n">
        <v>136.37</v>
      </c>
      <c r="I249" s="0" t="n">
        <v>35.27</v>
      </c>
      <c r="J249" s="0" t="n">
        <v>116.6</v>
      </c>
      <c r="K249" s="0" t="n">
        <v>168</v>
      </c>
      <c r="T249" s="0" t="n">
        <v>4</v>
      </c>
      <c r="U249" s="0" t="n">
        <v>2</v>
      </c>
      <c r="V249" s="0" t="inlineStr">
        <is>
          <t>계단식</t>
        </is>
      </c>
      <c r="W249" s="0" t="n">
        <v>136</v>
      </c>
      <c r="X249" s="0" t="n">
        <v>14</v>
      </c>
      <c r="Y249" s="0" t="n">
        <v>14</v>
      </c>
      <c r="Z249" s="0" t="inlineStr">
        <is>
          <t>https://new.land.naver.com/complexes/8119?tab=detail&amp;rf=Y</t>
        </is>
      </c>
      <c r="AA249" s="0" t="inlineStr">
        <is>
          <t>인천시 서구 가좌동 30-2</t>
        </is>
      </c>
      <c r="AB249" s="0" t="inlineStr">
        <is>
          <t>인천시</t>
        </is>
      </c>
      <c r="AC249" s="0" t="inlineStr">
        <is>
          <t>서구</t>
        </is>
      </c>
      <c r="AD249" s="0" t="inlineStr">
        <is>
          <t>가좌동</t>
        </is>
      </c>
      <c r="AG249" s="0" t="inlineStr">
        <is>
          <t>인천시 서구 장고개로337번길 32</t>
        </is>
      </c>
      <c r="AH249" s="0" t="n">
        <v>0</v>
      </c>
      <c r="AI249" s="0" t="n">
        <v>0</v>
      </c>
      <c r="AJ249" s="0" t="n">
        <v>0</v>
      </c>
      <c r="AK249" s="0" t="n">
        <v>644</v>
      </c>
      <c r="AL249" s="0" t="n">
        <v>1</v>
      </c>
    </row>
    <row r="250">
      <c r="A250" s="0" t="inlineStr">
        <is>
          <t>[가좌동]</t>
        </is>
      </c>
      <c r="B250" s="0" t="n">
        <v>2233</v>
      </c>
      <c r="C250" s="0" t="n">
        <v>1</v>
      </c>
      <c r="D250" s="0" t="inlineStr">
        <is>
          <t>범양</t>
        </is>
      </c>
      <c r="E250" s="0" t="inlineStr">
        <is>
          <t>1990.08.</t>
        </is>
      </c>
      <c r="F250" s="0" t="n">
        <v>510</v>
      </c>
      <c r="G250" s="0" t="n">
        <v>27.88</v>
      </c>
      <c r="H250" s="0" t="n">
        <v>92.18000000000001</v>
      </c>
      <c r="I250" s="0" t="n">
        <v>23.03</v>
      </c>
      <c r="J250" s="0" t="n">
        <v>76.16</v>
      </c>
      <c r="K250" s="0" t="n">
        <v>90</v>
      </c>
      <c r="T250" s="0" t="n">
        <v>3</v>
      </c>
      <c r="U250" s="0" t="n">
        <v>1</v>
      </c>
      <c r="V250" s="0" t="inlineStr">
        <is>
          <t>계단식</t>
        </is>
      </c>
      <c r="W250" s="0" t="n">
        <v>92</v>
      </c>
      <c r="X250" s="0" t="n">
        <v>15</v>
      </c>
      <c r="Y250" s="0" t="n">
        <v>15</v>
      </c>
      <c r="Z250" s="0" t="inlineStr">
        <is>
          <t>https://new.land.naver.com/complexes/2233?tab=detail&amp;rf=Y</t>
        </is>
      </c>
      <c r="AA250" s="0" t="inlineStr">
        <is>
          <t>인천시 서구 가좌동 81-59</t>
        </is>
      </c>
      <c r="AB250" s="0" t="inlineStr">
        <is>
          <t>인천시</t>
        </is>
      </c>
      <c r="AC250" s="0" t="inlineStr">
        <is>
          <t>서구</t>
        </is>
      </c>
      <c r="AD250" s="0" t="inlineStr">
        <is>
          <t>가좌동</t>
        </is>
      </c>
      <c r="AG250" s="0" t="inlineStr">
        <is>
          <t>인천시 서구 원적로124번길 40</t>
        </is>
      </c>
      <c r="AH250" s="0" t="n">
        <v>0</v>
      </c>
      <c r="AI250" s="0" t="n">
        <v>281</v>
      </c>
      <c r="AJ250" s="0" t="n">
        <v>22</v>
      </c>
      <c r="AK250" s="0" t="n">
        <v>510</v>
      </c>
      <c r="AL250" s="0" t="n">
        <v>1</v>
      </c>
    </row>
    <row r="251">
      <c r="A251" s="0" t="inlineStr">
        <is>
          <t>[가좌동]</t>
        </is>
      </c>
      <c r="B251" s="0" t="n">
        <v>2233</v>
      </c>
      <c r="C251" s="0" t="n">
        <v>2</v>
      </c>
      <c r="D251" s="0" t="inlineStr">
        <is>
          <t>범양</t>
        </is>
      </c>
      <c r="E251" s="0" t="inlineStr">
        <is>
          <t>1990.08.</t>
        </is>
      </c>
      <c r="F251" s="0" t="n">
        <v>510</v>
      </c>
      <c r="G251" s="0" t="n">
        <v>30.35</v>
      </c>
      <c r="H251" s="0" t="n">
        <v>100.34</v>
      </c>
      <c r="I251" s="0" t="n">
        <v>25.49</v>
      </c>
      <c r="J251" s="0" t="n">
        <v>84.29000000000001</v>
      </c>
      <c r="K251" s="0" t="n">
        <v>210</v>
      </c>
      <c r="T251" s="0" t="n">
        <v>3</v>
      </c>
      <c r="U251" s="0" t="n">
        <v>2</v>
      </c>
      <c r="V251" s="0" t="inlineStr">
        <is>
          <t>계단식</t>
        </is>
      </c>
      <c r="W251" s="0" t="n">
        <v>100</v>
      </c>
      <c r="X251" s="0" t="n">
        <v>15</v>
      </c>
      <c r="Y251" s="0" t="n">
        <v>15</v>
      </c>
      <c r="Z251" s="0" t="inlineStr">
        <is>
          <t>https://new.land.naver.com/complexes/2233?tab=detail&amp;rf=Y</t>
        </is>
      </c>
      <c r="AA251" s="0" t="inlineStr">
        <is>
          <t>인천시 서구 가좌동 81-59</t>
        </is>
      </c>
      <c r="AB251" s="0" t="inlineStr">
        <is>
          <t>인천시</t>
        </is>
      </c>
      <c r="AC251" s="0" t="inlineStr">
        <is>
          <t>서구</t>
        </is>
      </c>
      <c r="AD251" s="0" t="inlineStr">
        <is>
          <t>가좌동</t>
        </is>
      </c>
      <c r="AG251" s="0" t="inlineStr">
        <is>
          <t>인천시 서구 원적로124번길 40</t>
        </is>
      </c>
      <c r="AH251" s="0" t="n">
        <v>0</v>
      </c>
      <c r="AI251" s="0" t="n">
        <v>281</v>
      </c>
      <c r="AJ251" s="0" t="n">
        <v>22</v>
      </c>
      <c r="AK251" s="0" t="n">
        <v>510</v>
      </c>
      <c r="AL251" s="0" t="n">
        <v>1</v>
      </c>
    </row>
    <row r="252">
      <c r="A252" s="0" t="inlineStr">
        <is>
          <t>[가좌동]</t>
        </is>
      </c>
      <c r="B252" s="0" t="n">
        <v>2233</v>
      </c>
      <c r="C252" s="0" t="n">
        <v>3</v>
      </c>
      <c r="D252" s="0" t="inlineStr">
        <is>
          <t>범양</t>
        </is>
      </c>
      <c r="E252" s="0" t="inlineStr">
        <is>
          <t>1990.08.</t>
        </is>
      </c>
      <c r="F252" s="0" t="n">
        <v>510</v>
      </c>
      <c r="G252" s="0" t="n">
        <v>39.37</v>
      </c>
      <c r="H252" s="0" t="n">
        <v>130.18</v>
      </c>
      <c r="I252" s="0" t="n">
        <v>33.89</v>
      </c>
      <c r="J252" s="0" t="n">
        <v>112.04</v>
      </c>
      <c r="K252" s="0" t="n">
        <v>90</v>
      </c>
      <c r="T252" s="0" t="n">
        <v>4</v>
      </c>
      <c r="U252" s="0" t="n">
        <v>2</v>
      </c>
      <c r="V252" s="0" t="inlineStr">
        <is>
          <t>계단식</t>
        </is>
      </c>
      <c r="W252" s="0" t="n">
        <v>130</v>
      </c>
      <c r="X252" s="0" t="n">
        <v>15</v>
      </c>
      <c r="Y252" s="0" t="n">
        <v>15</v>
      </c>
      <c r="Z252" s="0" t="inlineStr">
        <is>
          <t>https://new.land.naver.com/complexes/2233?tab=detail&amp;rf=Y</t>
        </is>
      </c>
      <c r="AA252" s="0" t="inlineStr">
        <is>
          <t>인천시 서구 가좌동 81-59</t>
        </is>
      </c>
      <c r="AB252" s="0" t="inlineStr">
        <is>
          <t>인천시</t>
        </is>
      </c>
      <c r="AC252" s="0" t="inlineStr">
        <is>
          <t>서구</t>
        </is>
      </c>
      <c r="AD252" s="0" t="inlineStr">
        <is>
          <t>가좌동</t>
        </is>
      </c>
      <c r="AG252" s="0" t="inlineStr">
        <is>
          <t>인천시 서구 원적로124번길 40</t>
        </is>
      </c>
      <c r="AH252" s="0" t="n">
        <v>0</v>
      </c>
      <c r="AI252" s="0" t="n">
        <v>281</v>
      </c>
      <c r="AJ252" s="0" t="n">
        <v>22</v>
      </c>
      <c r="AK252" s="0" t="n">
        <v>510</v>
      </c>
      <c r="AL252" s="0" t="n">
        <v>1</v>
      </c>
    </row>
    <row r="253">
      <c r="A253" s="0" t="inlineStr">
        <is>
          <t>[가좌동]</t>
        </is>
      </c>
      <c r="B253" s="0" t="n">
        <v>2233</v>
      </c>
      <c r="C253" s="0" t="n">
        <v>4</v>
      </c>
      <c r="D253" s="0" t="inlineStr">
        <is>
          <t>범양</t>
        </is>
      </c>
      <c r="E253" s="0" t="inlineStr">
        <is>
          <t>1990.08.</t>
        </is>
      </c>
      <c r="F253" s="0" t="n">
        <v>510</v>
      </c>
      <c r="G253" s="0" t="n">
        <v>48.38</v>
      </c>
      <c r="H253" s="0" t="n">
        <v>159.95</v>
      </c>
      <c r="I253" s="0" t="n">
        <v>42.19</v>
      </c>
      <c r="J253" s="0" t="n">
        <v>139.5</v>
      </c>
      <c r="K253" s="0" t="n">
        <v>120</v>
      </c>
      <c r="T253" s="0" t="n">
        <v>5</v>
      </c>
      <c r="U253" s="0" t="n">
        <v>2</v>
      </c>
      <c r="V253" s="0" t="inlineStr">
        <is>
          <t>계단식</t>
        </is>
      </c>
      <c r="W253" s="0" t="n">
        <v>159</v>
      </c>
      <c r="X253" s="0" t="n">
        <v>15</v>
      </c>
      <c r="Y253" s="0" t="n">
        <v>15</v>
      </c>
      <c r="Z253" s="0" t="inlineStr">
        <is>
          <t>https://new.land.naver.com/complexes/2233?tab=detail&amp;rf=Y</t>
        </is>
      </c>
      <c r="AA253" s="0" t="inlineStr">
        <is>
          <t>인천시 서구 가좌동 81-59</t>
        </is>
      </c>
      <c r="AB253" s="0" t="inlineStr">
        <is>
          <t>인천시</t>
        </is>
      </c>
      <c r="AC253" s="0" t="inlineStr">
        <is>
          <t>서구</t>
        </is>
      </c>
      <c r="AD253" s="0" t="inlineStr">
        <is>
          <t>가좌동</t>
        </is>
      </c>
      <c r="AG253" s="0" t="inlineStr">
        <is>
          <t>인천시 서구 원적로124번길 40</t>
        </is>
      </c>
      <c r="AH253" s="0" t="n">
        <v>0</v>
      </c>
      <c r="AI253" s="0" t="n">
        <v>281</v>
      </c>
      <c r="AJ253" s="0" t="n">
        <v>22</v>
      </c>
      <c r="AK253" s="0" t="n">
        <v>510</v>
      </c>
      <c r="AL253" s="0" t="n">
        <v>1</v>
      </c>
    </row>
    <row r="254">
      <c r="A254" s="0" t="inlineStr">
        <is>
          <t>[가좌동]</t>
        </is>
      </c>
      <c r="B254" s="0" t="n">
        <v>104424</v>
      </c>
      <c r="C254" s="0" t="n">
        <v>1</v>
      </c>
      <c r="D254" s="0" t="inlineStr">
        <is>
          <t>진흥(210-6)</t>
        </is>
      </c>
      <c r="E254" s="0" t="inlineStr">
        <is>
          <t>1986.10.</t>
        </is>
      </c>
      <c r="F254" s="0" t="n">
        <v>35</v>
      </c>
      <c r="G254" s="0" t="n">
        <v>16.49</v>
      </c>
      <c r="H254" s="0" t="n">
        <v>54.54</v>
      </c>
      <c r="I254" s="0" t="n">
        <v>13.23</v>
      </c>
      <c r="J254" s="0" t="n">
        <v>43.74</v>
      </c>
      <c r="K254" s="0" t="n">
        <v>5</v>
      </c>
      <c r="T254" s="0" t="n">
        <v>2</v>
      </c>
      <c r="U254" s="0" t="n">
        <v>1</v>
      </c>
      <c r="V254" s="0" t="inlineStr">
        <is>
          <t>복합식</t>
        </is>
      </c>
      <c r="W254" s="0" t="n">
        <v>54</v>
      </c>
      <c r="X254" s="0" t="n">
        <v>5</v>
      </c>
      <c r="Y254" s="0" t="n">
        <v>5</v>
      </c>
      <c r="Z254" s="0" t="inlineStr">
        <is>
          <t>https://new.land.naver.com/complexes/104424?tab=detail&amp;rf=Y</t>
        </is>
      </c>
      <c r="AA254" s="0" t="inlineStr">
        <is>
          <t>인천시 서구 가좌동 210-6</t>
        </is>
      </c>
      <c r="AB254" s="0" t="inlineStr">
        <is>
          <t>인천시</t>
        </is>
      </c>
      <c r="AC254" s="0" t="inlineStr">
        <is>
          <t>서구</t>
        </is>
      </c>
      <c r="AD254" s="0" t="inlineStr">
        <is>
          <t>가좌동</t>
        </is>
      </c>
      <c r="AG254" s="0" t="inlineStr">
        <is>
          <t>인천시 서구 원적로57번길 22</t>
        </is>
      </c>
      <c r="AH254" s="0" t="n">
        <v>0</v>
      </c>
      <c r="AI254" s="0" t="n">
        <v>0</v>
      </c>
      <c r="AJ254" s="0" t="n">
        <v>0</v>
      </c>
      <c r="AK254" s="0" t="n">
        <v>0</v>
      </c>
      <c r="AL254" s="0" t="n">
        <v>0</v>
      </c>
    </row>
    <row r="255">
      <c r="A255" s="0" t="inlineStr">
        <is>
          <t>[가좌동]</t>
        </is>
      </c>
      <c r="B255" s="0" t="n">
        <v>104424</v>
      </c>
      <c r="C255" s="0" t="n">
        <v>2</v>
      </c>
      <c r="D255" s="0" t="inlineStr">
        <is>
          <t>진흥(210-6)</t>
        </is>
      </c>
      <c r="E255" s="0" t="inlineStr">
        <is>
          <t>1986.10.</t>
        </is>
      </c>
      <c r="F255" s="0" t="n">
        <v>35</v>
      </c>
      <c r="G255" s="0" t="n">
        <v>18.02</v>
      </c>
      <c r="H255" s="0" t="n">
        <v>59.58</v>
      </c>
      <c r="I255" s="0" t="n">
        <v>16.38</v>
      </c>
      <c r="J255" s="0" t="n">
        <v>54.18</v>
      </c>
      <c r="K255" s="0" t="n">
        <v>30</v>
      </c>
      <c r="T255" s="0" t="n">
        <v>2</v>
      </c>
      <c r="U255" s="0" t="n">
        <v>1</v>
      </c>
      <c r="V255" s="0" t="inlineStr">
        <is>
          <t>복합식</t>
        </is>
      </c>
      <c r="W255" s="0" t="n">
        <v>59</v>
      </c>
      <c r="X255" s="0" t="n">
        <v>5</v>
      </c>
      <c r="Y255" s="0" t="n">
        <v>5</v>
      </c>
      <c r="Z255" s="0" t="inlineStr">
        <is>
          <t>https://new.land.naver.com/complexes/104424?tab=detail&amp;rf=Y</t>
        </is>
      </c>
      <c r="AA255" s="0" t="inlineStr">
        <is>
          <t>인천시 서구 가좌동 210-6</t>
        </is>
      </c>
      <c r="AB255" s="0" t="inlineStr">
        <is>
          <t>인천시</t>
        </is>
      </c>
      <c r="AC255" s="0" t="inlineStr">
        <is>
          <t>서구</t>
        </is>
      </c>
      <c r="AD255" s="0" t="inlineStr">
        <is>
          <t>가좌동</t>
        </is>
      </c>
      <c r="AG255" s="0" t="inlineStr">
        <is>
          <t>인천시 서구 원적로57번길 22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[가좌동]</t>
        </is>
      </c>
      <c r="B256" s="0" t="n">
        <v>133087</v>
      </c>
      <c r="C256" s="0" t="n">
        <v>1</v>
      </c>
      <c r="D256" s="0" t="inlineStr">
        <is>
          <t>가재울역트루엘에코시티</t>
        </is>
      </c>
      <c r="E256" s="0" t="inlineStr">
        <is>
          <t>2023.08.</t>
        </is>
      </c>
      <c r="F256" s="0" t="n">
        <v>1218</v>
      </c>
      <c r="G256" s="0" t="n">
        <v>20.31</v>
      </c>
      <c r="H256" s="0" t="n">
        <v>67.17</v>
      </c>
      <c r="I256" s="0" t="n">
        <v>14.94</v>
      </c>
      <c r="J256" s="0" t="n">
        <v>49.41</v>
      </c>
      <c r="K256" s="0" t="n">
        <v>273</v>
      </c>
      <c r="T256" s="0" t="n">
        <v>2</v>
      </c>
      <c r="U256" s="0" t="n">
        <v>1</v>
      </c>
      <c r="V256" s="0" t="inlineStr">
        <is>
          <t>계단식</t>
        </is>
      </c>
      <c r="W256" s="0" t="inlineStr">
        <is>
          <t>67A</t>
        </is>
      </c>
      <c r="X256" s="0" t="n">
        <v>29</v>
      </c>
      <c r="Y256" s="0" t="n">
        <v>19</v>
      </c>
      <c r="Z256" s="0" t="inlineStr">
        <is>
          <t>https://new.land.naver.com/complexes/133087?tab=detail&amp;rf=Y</t>
        </is>
      </c>
      <c r="AA256" s="0" t="inlineStr">
        <is>
          <t>인천시 서구 가좌동 344</t>
        </is>
      </c>
      <c r="AB256" s="0" t="inlineStr">
        <is>
          <t>인천시</t>
        </is>
      </c>
      <c r="AC256" s="0" t="inlineStr">
        <is>
          <t>서구</t>
        </is>
      </c>
      <c r="AD256" s="0" t="inlineStr">
        <is>
          <t>가좌동</t>
        </is>
      </c>
      <c r="AG256" s="0" t="inlineStr">
        <is>
          <t>인천시 서구</t>
        </is>
      </c>
      <c r="AH256" s="0" t="n">
        <v>40</v>
      </c>
      <c r="AI256" s="0" t="n">
        <v>0</v>
      </c>
      <c r="AJ256" s="0" t="n">
        <v>0</v>
      </c>
      <c r="AK256" s="0" t="n">
        <v>1460</v>
      </c>
      <c r="AL256" s="0" t="n">
        <v>1.2</v>
      </c>
    </row>
    <row r="257">
      <c r="A257" s="0" t="inlineStr">
        <is>
          <t>[가좌동]</t>
        </is>
      </c>
      <c r="B257" s="0" t="n">
        <v>133087</v>
      </c>
      <c r="C257" s="0" t="n">
        <v>2</v>
      </c>
      <c r="D257" s="0" t="inlineStr">
        <is>
          <t>가재울역트루엘에코시티</t>
        </is>
      </c>
      <c r="E257" s="0" t="inlineStr">
        <is>
          <t>2023.08.</t>
        </is>
      </c>
      <c r="F257" s="0" t="n">
        <v>1218</v>
      </c>
      <c r="G257" s="0" t="n">
        <v>24.35</v>
      </c>
      <c r="H257" s="0" t="n">
        <v>80.51000000000001</v>
      </c>
      <c r="I257" s="0" t="n">
        <v>18.13</v>
      </c>
      <c r="J257" s="0" t="n">
        <v>59.96</v>
      </c>
      <c r="K257" s="0" t="n">
        <v>252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80A</t>
        </is>
      </c>
      <c r="X257" s="0" t="n">
        <v>29</v>
      </c>
      <c r="Y257" s="0" t="n">
        <v>19</v>
      </c>
      <c r="Z257" s="0" t="inlineStr">
        <is>
          <t>https://new.land.naver.com/complexes/133087?tab=detail&amp;rf=Y</t>
        </is>
      </c>
      <c r="AA257" s="0" t="inlineStr">
        <is>
          <t>인천시 서구 가좌동 344</t>
        </is>
      </c>
      <c r="AB257" s="0" t="inlineStr">
        <is>
          <t>인천시</t>
        </is>
      </c>
      <c r="AC257" s="0" t="inlineStr">
        <is>
          <t>서구</t>
        </is>
      </c>
      <c r="AD257" s="0" t="inlineStr">
        <is>
          <t>가좌동</t>
        </is>
      </c>
      <c r="AG257" s="0" t="inlineStr">
        <is>
          <t>인천시 서구</t>
        </is>
      </c>
      <c r="AH257" s="0" t="n">
        <v>40</v>
      </c>
      <c r="AI257" s="0" t="n">
        <v>0</v>
      </c>
      <c r="AJ257" s="0" t="n">
        <v>0</v>
      </c>
      <c r="AK257" s="0" t="n">
        <v>1460</v>
      </c>
      <c r="AL257" s="0" t="n">
        <v>1.2</v>
      </c>
    </row>
    <row r="258">
      <c r="A258" s="0" t="inlineStr">
        <is>
          <t>[가좌동]</t>
        </is>
      </c>
      <c r="B258" s="0" t="n">
        <v>133087</v>
      </c>
      <c r="C258" s="0" t="n">
        <v>3</v>
      </c>
      <c r="D258" s="0" t="inlineStr">
        <is>
          <t>가재울역트루엘에코시티</t>
        </is>
      </c>
      <c r="E258" s="0" t="inlineStr">
        <is>
          <t>2023.08.</t>
        </is>
      </c>
      <c r="F258" s="0" t="n">
        <v>1218</v>
      </c>
      <c r="G258" s="0" t="n">
        <v>24.52</v>
      </c>
      <c r="H258" s="0" t="n">
        <v>81.09</v>
      </c>
      <c r="I258" s="0" t="n">
        <v>18.12</v>
      </c>
      <c r="J258" s="0" t="n">
        <v>59.91</v>
      </c>
      <c r="K258" s="0" t="n">
        <v>200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81B</t>
        </is>
      </c>
      <c r="X258" s="0" t="n">
        <v>29</v>
      </c>
      <c r="Y258" s="0" t="n">
        <v>19</v>
      </c>
      <c r="Z258" s="0" t="inlineStr">
        <is>
          <t>https://new.land.naver.com/complexes/133087?tab=detail&amp;rf=Y</t>
        </is>
      </c>
      <c r="AA258" s="0" t="inlineStr">
        <is>
          <t>인천시 서구 가좌동 344</t>
        </is>
      </c>
      <c r="AB258" s="0" t="inlineStr">
        <is>
          <t>인천시</t>
        </is>
      </c>
      <c r="AC258" s="0" t="inlineStr">
        <is>
          <t>서구</t>
        </is>
      </c>
      <c r="AD258" s="0" t="inlineStr">
        <is>
          <t>가좌동</t>
        </is>
      </c>
      <c r="AG258" s="0" t="inlineStr">
        <is>
          <t>인천시 서구</t>
        </is>
      </c>
      <c r="AH258" s="0" t="n">
        <v>40</v>
      </c>
      <c r="AI258" s="0" t="n">
        <v>0</v>
      </c>
      <c r="AJ258" s="0" t="n">
        <v>0</v>
      </c>
      <c r="AK258" s="0" t="n">
        <v>1460</v>
      </c>
      <c r="AL258" s="0" t="n">
        <v>1.2</v>
      </c>
    </row>
    <row r="259">
      <c r="A259" s="0" t="inlineStr">
        <is>
          <t>[가좌동]</t>
        </is>
      </c>
      <c r="B259" s="0" t="n">
        <v>133087</v>
      </c>
      <c r="C259" s="0" t="n">
        <v>4</v>
      </c>
      <c r="D259" s="0" t="inlineStr">
        <is>
          <t>가재울역트루엘에코시티</t>
        </is>
      </c>
      <c r="E259" s="0" t="inlineStr">
        <is>
          <t>2023.08.</t>
        </is>
      </c>
      <c r="F259" s="0" t="n">
        <v>1218</v>
      </c>
      <c r="G259" s="0" t="n">
        <v>28.35</v>
      </c>
      <c r="H259" s="0" t="n">
        <v>93.75</v>
      </c>
      <c r="I259" s="0" t="n">
        <v>21.17</v>
      </c>
      <c r="J259" s="0" t="n">
        <v>69.98999999999999</v>
      </c>
      <c r="K259" s="0" t="n">
        <v>215</v>
      </c>
      <c r="T259" s="0" t="n">
        <v>3</v>
      </c>
      <c r="U259" s="0" t="n">
        <v>2</v>
      </c>
      <c r="V259" s="0" t="inlineStr">
        <is>
          <t>계단식</t>
        </is>
      </c>
      <c r="W259" s="0" t="inlineStr">
        <is>
          <t>93A</t>
        </is>
      </c>
      <c r="X259" s="0" t="n">
        <v>29</v>
      </c>
      <c r="Y259" s="0" t="n">
        <v>19</v>
      </c>
      <c r="Z259" s="0" t="inlineStr">
        <is>
          <t>https://new.land.naver.com/complexes/133087?tab=detail&amp;rf=Y</t>
        </is>
      </c>
      <c r="AA259" s="0" t="inlineStr">
        <is>
          <t>인천시 서구 가좌동 344</t>
        </is>
      </c>
      <c r="AB259" s="0" t="inlineStr">
        <is>
          <t>인천시</t>
        </is>
      </c>
      <c r="AC259" s="0" t="inlineStr">
        <is>
          <t>서구</t>
        </is>
      </c>
      <c r="AD259" s="0" t="inlineStr">
        <is>
          <t>가좌동</t>
        </is>
      </c>
      <c r="AG259" s="0" t="inlineStr">
        <is>
          <t>인천시 서구</t>
        </is>
      </c>
      <c r="AH259" s="0" t="n">
        <v>40</v>
      </c>
      <c r="AI259" s="0" t="n">
        <v>0</v>
      </c>
      <c r="AJ259" s="0" t="n">
        <v>0</v>
      </c>
      <c r="AK259" s="0" t="n">
        <v>1460</v>
      </c>
      <c r="AL259" s="0" t="n">
        <v>1.2</v>
      </c>
    </row>
    <row r="260">
      <c r="A260" s="0" t="inlineStr">
        <is>
          <t>[가좌동]</t>
        </is>
      </c>
      <c r="B260" s="0" t="n">
        <v>133087</v>
      </c>
      <c r="C260" s="0" t="n">
        <v>5</v>
      </c>
      <c r="D260" s="0" t="inlineStr">
        <is>
          <t>가재울역트루엘에코시티</t>
        </is>
      </c>
      <c r="E260" s="0" t="inlineStr">
        <is>
          <t>2023.08.</t>
        </is>
      </c>
      <c r="F260" s="0" t="n">
        <v>1218</v>
      </c>
      <c r="G260" s="0" t="n">
        <v>33.99</v>
      </c>
      <c r="H260" s="0" t="n">
        <v>112.38</v>
      </c>
      <c r="I260" s="0" t="n">
        <v>25.7</v>
      </c>
      <c r="J260" s="0" t="n">
        <v>84.98</v>
      </c>
      <c r="K260" s="0" t="n">
        <v>164</v>
      </c>
      <c r="T260" s="0" t="n">
        <v>3</v>
      </c>
      <c r="U260" s="0" t="n">
        <v>2</v>
      </c>
      <c r="V260" s="0" t="inlineStr">
        <is>
          <t>계단식</t>
        </is>
      </c>
      <c r="W260" s="0" t="inlineStr">
        <is>
          <t>112A</t>
        </is>
      </c>
      <c r="X260" s="0" t="n">
        <v>29</v>
      </c>
      <c r="Y260" s="0" t="n">
        <v>19</v>
      </c>
      <c r="Z260" s="0" t="inlineStr">
        <is>
          <t>https://new.land.naver.com/complexes/133087?tab=detail&amp;rf=Y</t>
        </is>
      </c>
      <c r="AA260" s="0" t="inlineStr">
        <is>
          <t>인천시 서구 가좌동 344</t>
        </is>
      </c>
      <c r="AB260" s="0" t="inlineStr">
        <is>
          <t>인천시</t>
        </is>
      </c>
      <c r="AC260" s="0" t="inlineStr">
        <is>
          <t>서구</t>
        </is>
      </c>
      <c r="AD260" s="0" t="inlineStr">
        <is>
          <t>가좌동</t>
        </is>
      </c>
      <c r="AG260" s="0" t="inlineStr">
        <is>
          <t>인천시 서구</t>
        </is>
      </c>
      <c r="AH260" s="0" t="n">
        <v>40</v>
      </c>
      <c r="AI260" s="0" t="n">
        <v>0</v>
      </c>
      <c r="AJ260" s="0" t="n">
        <v>0</v>
      </c>
      <c r="AK260" s="0" t="n">
        <v>1460</v>
      </c>
      <c r="AL260" s="0" t="n">
        <v>1.2</v>
      </c>
    </row>
    <row r="261">
      <c r="A261" s="0" t="inlineStr">
        <is>
          <t>[가좌동]</t>
        </is>
      </c>
      <c r="B261" s="0" t="n">
        <v>133087</v>
      </c>
      <c r="C261" s="0" t="n">
        <v>6</v>
      </c>
      <c r="D261" s="0" t="inlineStr">
        <is>
          <t>가재울역트루엘에코시티</t>
        </is>
      </c>
      <c r="E261" s="0" t="inlineStr">
        <is>
          <t>2023.08.</t>
        </is>
      </c>
      <c r="F261" s="0" t="n">
        <v>1218</v>
      </c>
      <c r="G261" s="0" t="n">
        <v>34.04</v>
      </c>
      <c r="H261" s="0" t="n">
        <v>112.55</v>
      </c>
      <c r="I261" s="0" t="n">
        <v>25.67</v>
      </c>
      <c r="J261" s="0" t="n">
        <v>84.86</v>
      </c>
      <c r="K261" s="0" t="n">
        <v>114</v>
      </c>
      <c r="T261" s="0" t="n">
        <v>3</v>
      </c>
      <c r="U261" s="0" t="n">
        <v>2</v>
      </c>
      <c r="V261" s="0" t="inlineStr">
        <is>
          <t>계단식</t>
        </is>
      </c>
      <c r="W261" s="0" t="inlineStr">
        <is>
          <t>112B</t>
        </is>
      </c>
      <c r="X261" s="0" t="n">
        <v>29</v>
      </c>
      <c r="Y261" s="0" t="n">
        <v>19</v>
      </c>
      <c r="Z261" s="0" t="inlineStr">
        <is>
          <t>https://new.land.naver.com/complexes/133087?tab=detail&amp;rf=Y</t>
        </is>
      </c>
      <c r="AA261" s="0" t="inlineStr">
        <is>
          <t>인천시 서구 가좌동 344</t>
        </is>
      </c>
      <c r="AB261" s="0" t="inlineStr">
        <is>
          <t>인천시</t>
        </is>
      </c>
      <c r="AC261" s="0" t="inlineStr">
        <is>
          <t>서구</t>
        </is>
      </c>
      <c r="AD261" s="0" t="inlineStr">
        <is>
          <t>가좌동</t>
        </is>
      </c>
      <c r="AG261" s="0" t="inlineStr">
        <is>
          <t>인천시 서구</t>
        </is>
      </c>
      <c r="AH261" s="0" t="n">
        <v>40</v>
      </c>
      <c r="AI261" s="0" t="n">
        <v>0</v>
      </c>
      <c r="AJ261" s="0" t="n">
        <v>0</v>
      </c>
      <c r="AK261" s="0" t="n">
        <v>1460</v>
      </c>
      <c r="AL261" s="0" t="n">
        <v>1.2</v>
      </c>
    </row>
    <row r="262">
      <c r="A262" s="0" t="inlineStr">
        <is>
          <t>[가좌동]</t>
        </is>
      </c>
      <c r="B262" s="0" t="n">
        <v>2551</v>
      </c>
      <c r="C262" s="0" t="n">
        <v>1</v>
      </c>
      <c r="D262" s="0" t="inlineStr">
        <is>
          <t>동남</t>
        </is>
      </c>
      <c r="E262" s="0" t="inlineStr">
        <is>
          <t>1986.06.</t>
        </is>
      </c>
      <c r="F262" s="0" t="n">
        <v>160</v>
      </c>
      <c r="G262" s="0" t="n">
        <v>16.57</v>
      </c>
      <c r="H262" s="0" t="n">
        <v>54.78</v>
      </c>
      <c r="I262" s="0" t="n">
        <v>14.71</v>
      </c>
      <c r="J262" s="0" t="n">
        <v>48.66</v>
      </c>
      <c r="K262" s="0" t="n">
        <v>30</v>
      </c>
      <c r="T262" s="0" t="n">
        <v>3</v>
      </c>
      <c r="U262" s="0" t="n">
        <v>1</v>
      </c>
      <c r="V262" s="0" t="inlineStr">
        <is>
          <t>계단식</t>
        </is>
      </c>
      <c r="W262" s="0" t="inlineStr">
        <is>
          <t>54A</t>
        </is>
      </c>
      <c r="X262" s="0" t="n">
        <v>5</v>
      </c>
      <c r="Y262" s="0" t="n">
        <v>5</v>
      </c>
      <c r="Z262" s="0" t="inlineStr">
        <is>
          <t>https://new.land.naver.com/complexes/2551?tab=detail&amp;rf=Y</t>
        </is>
      </c>
      <c r="AA262" s="0" t="inlineStr">
        <is>
          <t>인천시 서구 가좌동 207</t>
        </is>
      </c>
      <c r="AB262" s="0" t="inlineStr">
        <is>
          <t>인천시</t>
        </is>
      </c>
      <c r="AC262" s="0" t="inlineStr">
        <is>
          <t>서구</t>
        </is>
      </c>
      <c r="AD262" s="0" t="inlineStr">
        <is>
          <t>가좌동</t>
        </is>
      </c>
      <c r="AG262" s="0" t="inlineStr">
        <is>
          <t>인천시 서구 건지로318번길 55</t>
        </is>
      </c>
      <c r="AH262" s="0" t="n">
        <v>0</v>
      </c>
      <c r="AI262" s="0" t="n">
        <v>145</v>
      </c>
      <c r="AJ262" s="0" t="n">
        <v>28</v>
      </c>
      <c r="AK262" s="0" t="n">
        <v>0</v>
      </c>
      <c r="AL262" s="0" t="n">
        <v>0</v>
      </c>
    </row>
    <row r="263">
      <c r="A263" s="0" t="inlineStr">
        <is>
          <t>[가좌동]</t>
        </is>
      </c>
      <c r="B263" s="0" t="n">
        <v>2551</v>
      </c>
      <c r="C263" s="0" t="n">
        <v>2</v>
      </c>
      <c r="D263" s="0" t="inlineStr">
        <is>
          <t>동남</t>
        </is>
      </c>
      <c r="E263" s="0" t="inlineStr">
        <is>
          <t>1986.06.</t>
        </is>
      </c>
      <c r="F263" s="0" t="n">
        <v>160</v>
      </c>
      <c r="G263" s="0" t="n">
        <v>16.91</v>
      </c>
      <c r="H263" s="0" t="n">
        <v>55.92</v>
      </c>
      <c r="I263" s="0" t="n">
        <v>15.02</v>
      </c>
      <c r="J263" s="0" t="n">
        <v>49.66</v>
      </c>
      <c r="K263" s="0" t="n">
        <v>5</v>
      </c>
      <c r="T263" s="0" t="n">
        <v>3</v>
      </c>
      <c r="U263" s="0" t="n">
        <v>1</v>
      </c>
      <c r="V263" s="0" t="inlineStr">
        <is>
          <t>계단식</t>
        </is>
      </c>
      <c r="W263" s="0" t="inlineStr">
        <is>
          <t>55B</t>
        </is>
      </c>
      <c r="X263" s="0" t="n">
        <v>5</v>
      </c>
      <c r="Y263" s="0" t="n">
        <v>5</v>
      </c>
      <c r="Z263" s="0" t="inlineStr">
        <is>
          <t>https://new.land.naver.com/complexes/2551?tab=detail&amp;rf=Y</t>
        </is>
      </c>
      <c r="AA263" s="0" t="inlineStr">
        <is>
          <t>인천시 서구 가좌동 207</t>
        </is>
      </c>
      <c r="AB263" s="0" t="inlineStr">
        <is>
          <t>인천시</t>
        </is>
      </c>
      <c r="AC263" s="0" t="inlineStr">
        <is>
          <t>서구</t>
        </is>
      </c>
      <c r="AD263" s="0" t="inlineStr">
        <is>
          <t>가좌동</t>
        </is>
      </c>
      <c r="AG263" s="0" t="inlineStr">
        <is>
          <t>인천시 서구 건지로318번길 55</t>
        </is>
      </c>
      <c r="AH263" s="0" t="n">
        <v>0</v>
      </c>
      <c r="AI263" s="0" t="n">
        <v>145</v>
      </c>
      <c r="AJ263" s="0" t="n">
        <v>28</v>
      </c>
      <c r="AK263" s="0" t="n">
        <v>0</v>
      </c>
      <c r="AL263" s="0" t="n">
        <v>0</v>
      </c>
    </row>
    <row r="264">
      <c r="A264" s="0" t="inlineStr">
        <is>
          <t>[가좌동]</t>
        </is>
      </c>
      <c r="B264" s="0" t="n">
        <v>2551</v>
      </c>
      <c r="C264" s="0" t="n">
        <v>3</v>
      </c>
      <c r="D264" s="0" t="inlineStr">
        <is>
          <t>동남</t>
        </is>
      </c>
      <c r="E264" s="0" t="inlineStr">
        <is>
          <t>1986.06.</t>
        </is>
      </c>
      <c r="F264" s="0" t="n">
        <v>160</v>
      </c>
      <c r="G264" s="0" t="n">
        <v>17.16</v>
      </c>
      <c r="H264" s="0" t="n">
        <v>56.75</v>
      </c>
      <c r="I264" s="0" t="n">
        <v>15.27</v>
      </c>
      <c r="J264" s="0" t="n">
        <v>50.49</v>
      </c>
      <c r="K264" s="0" t="n">
        <v>75</v>
      </c>
      <c r="T264" s="0" t="n">
        <v>3</v>
      </c>
      <c r="U264" s="0" t="n">
        <v>1</v>
      </c>
      <c r="V264" s="0" t="inlineStr">
        <is>
          <t>계단식</t>
        </is>
      </c>
      <c r="W264" s="0" t="inlineStr">
        <is>
          <t>56C</t>
        </is>
      </c>
      <c r="X264" s="0" t="n">
        <v>5</v>
      </c>
      <c r="Y264" s="0" t="n">
        <v>5</v>
      </c>
      <c r="Z264" s="0" t="inlineStr">
        <is>
          <t>https://new.land.naver.com/complexes/2551?tab=detail&amp;rf=Y</t>
        </is>
      </c>
      <c r="AA264" s="0" t="inlineStr">
        <is>
          <t>인천시 서구 가좌동 207</t>
        </is>
      </c>
      <c r="AB264" s="0" t="inlineStr">
        <is>
          <t>인천시</t>
        </is>
      </c>
      <c r="AC264" s="0" t="inlineStr">
        <is>
          <t>서구</t>
        </is>
      </c>
      <c r="AD264" s="0" t="inlineStr">
        <is>
          <t>가좌동</t>
        </is>
      </c>
      <c r="AG264" s="0" t="inlineStr">
        <is>
          <t>인천시 서구 건지로318번길 55</t>
        </is>
      </c>
      <c r="AH264" s="0" t="n">
        <v>0</v>
      </c>
      <c r="AI264" s="0" t="n">
        <v>145</v>
      </c>
      <c r="AJ264" s="0" t="n">
        <v>28</v>
      </c>
      <c r="AK264" s="0" t="n">
        <v>0</v>
      </c>
      <c r="AL264" s="0" t="n">
        <v>0</v>
      </c>
    </row>
    <row r="265">
      <c r="A265" s="0" t="inlineStr">
        <is>
          <t>[가좌동]</t>
        </is>
      </c>
      <c r="B265" s="0" t="n">
        <v>2551</v>
      </c>
      <c r="C265" s="0" t="n">
        <v>4</v>
      </c>
      <c r="D265" s="0" t="inlineStr">
        <is>
          <t>동남</t>
        </is>
      </c>
      <c r="E265" s="0" t="inlineStr">
        <is>
          <t>1986.06.</t>
        </is>
      </c>
      <c r="F265" s="0" t="n">
        <v>160</v>
      </c>
      <c r="G265" s="0" t="n">
        <v>17.43</v>
      </c>
      <c r="H265" s="0" t="n">
        <v>57.65</v>
      </c>
      <c r="I265" s="0" t="n">
        <v>15.58</v>
      </c>
      <c r="J265" s="0" t="n">
        <v>51.53</v>
      </c>
      <c r="K265" s="0" t="n">
        <v>30</v>
      </c>
      <c r="T265" s="0" t="n">
        <v>3</v>
      </c>
      <c r="U265" s="0" t="n">
        <v>1</v>
      </c>
      <c r="V265" s="0" t="inlineStr">
        <is>
          <t>계단식</t>
        </is>
      </c>
      <c r="W265" s="0" t="inlineStr">
        <is>
          <t>57F</t>
        </is>
      </c>
      <c r="X265" s="0" t="n">
        <v>5</v>
      </c>
      <c r="Y265" s="0" t="n">
        <v>5</v>
      </c>
      <c r="Z265" s="0" t="inlineStr">
        <is>
          <t>https://new.land.naver.com/complexes/2551?tab=detail&amp;rf=Y</t>
        </is>
      </c>
      <c r="AA265" s="0" t="inlineStr">
        <is>
          <t>인천시 서구 가좌동 207</t>
        </is>
      </c>
      <c r="AB265" s="0" t="inlineStr">
        <is>
          <t>인천시</t>
        </is>
      </c>
      <c r="AC265" s="0" t="inlineStr">
        <is>
          <t>서구</t>
        </is>
      </c>
      <c r="AD265" s="0" t="inlineStr">
        <is>
          <t>가좌동</t>
        </is>
      </c>
      <c r="AG265" s="0" t="inlineStr">
        <is>
          <t>인천시 서구 건지로318번길 55</t>
        </is>
      </c>
      <c r="AH265" s="0" t="n">
        <v>0</v>
      </c>
      <c r="AI265" s="0" t="n">
        <v>145</v>
      </c>
      <c r="AJ265" s="0" t="n">
        <v>28</v>
      </c>
      <c r="AK265" s="0" t="n">
        <v>0</v>
      </c>
      <c r="AL265" s="0" t="n">
        <v>0</v>
      </c>
    </row>
    <row r="266">
      <c r="A266" s="0" t="inlineStr">
        <is>
          <t>[가좌동]</t>
        </is>
      </c>
      <c r="B266" s="0" t="n">
        <v>2551</v>
      </c>
      <c r="C266" s="0" t="n">
        <v>5</v>
      </c>
      <c r="D266" s="0" t="inlineStr">
        <is>
          <t>동남</t>
        </is>
      </c>
      <c r="E266" s="0" t="inlineStr">
        <is>
          <t>1986.06.</t>
        </is>
      </c>
      <c r="F266" s="0" t="n">
        <v>160</v>
      </c>
      <c r="G266" s="0" t="n">
        <v>17.42</v>
      </c>
      <c r="H266" s="0" t="n">
        <v>57.6</v>
      </c>
      <c r="I266" s="0" t="n">
        <v>15.52</v>
      </c>
      <c r="J266" s="0" t="n">
        <v>51.32</v>
      </c>
      <c r="K266" s="0" t="n">
        <v>20</v>
      </c>
      <c r="T266" s="0" t="n">
        <v>3</v>
      </c>
      <c r="U266" s="0" t="n">
        <v>1</v>
      </c>
      <c r="V266" s="0" t="inlineStr">
        <is>
          <t>계단식</t>
        </is>
      </c>
      <c r="W266" s="0" t="inlineStr">
        <is>
          <t>57D</t>
        </is>
      </c>
      <c r="X266" s="0" t="n">
        <v>5</v>
      </c>
      <c r="Y266" s="0" t="n">
        <v>5</v>
      </c>
      <c r="Z266" s="0" t="inlineStr">
        <is>
          <t>https://new.land.naver.com/complexes/2551?tab=detail&amp;rf=Y</t>
        </is>
      </c>
      <c r="AA266" s="0" t="inlineStr">
        <is>
          <t>인천시 서구 가좌동 207</t>
        </is>
      </c>
      <c r="AB266" s="0" t="inlineStr">
        <is>
          <t>인천시</t>
        </is>
      </c>
      <c r="AC266" s="0" t="inlineStr">
        <is>
          <t>서구</t>
        </is>
      </c>
      <c r="AD266" s="0" t="inlineStr">
        <is>
          <t>가좌동</t>
        </is>
      </c>
      <c r="AG266" s="0" t="inlineStr">
        <is>
          <t>인천시 서구 건지로318번길 55</t>
        </is>
      </c>
      <c r="AH266" s="0" t="n">
        <v>0</v>
      </c>
      <c r="AI266" s="0" t="n">
        <v>145</v>
      </c>
      <c r="AJ266" s="0" t="n">
        <v>28</v>
      </c>
      <c r="AK266" s="0" t="n">
        <v>0</v>
      </c>
      <c r="AL266" s="0" t="n">
        <v>0</v>
      </c>
    </row>
    <row r="267">
      <c r="A267" s="0" t="inlineStr">
        <is>
          <t>[가좌동]</t>
        </is>
      </c>
      <c r="B267" s="0" t="n">
        <v>8120</v>
      </c>
      <c r="C267" s="0" t="n">
        <v>1</v>
      </c>
      <c r="D267" s="0" t="inlineStr">
        <is>
          <t>진주3단지</t>
        </is>
      </c>
      <c r="E267" s="0" t="inlineStr">
        <is>
          <t>1989.11.</t>
        </is>
      </c>
      <c r="F267" s="0" t="n">
        <v>798</v>
      </c>
      <c r="G267" s="0" t="n">
        <v>18.68</v>
      </c>
      <c r="H267" s="0" t="n">
        <v>61.78</v>
      </c>
      <c r="I267" s="0" t="n">
        <v>14.97</v>
      </c>
      <c r="J267" s="0" t="n">
        <v>49.5</v>
      </c>
      <c r="K267" s="0" t="n">
        <v>300</v>
      </c>
      <c r="T267" s="0" t="n">
        <v>3</v>
      </c>
      <c r="U267" s="0" t="n">
        <v>1</v>
      </c>
      <c r="V267" s="0" t="inlineStr">
        <is>
          <t>계단식</t>
        </is>
      </c>
      <c r="W267" s="0" t="n">
        <v>61</v>
      </c>
      <c r="X267" s="0" t="n">
        <v>15</v>
      </c>
      <c r="Y267" s="0" t="n">
        <v>11</v>
      </c>
      <c r="Z267" s="0" t="inlineStr">
        <is>
          <t>https://new.land.naver.com/complexes/8120?tab=detail&amp;rf=Y</t>
        </is>
      </c>
      <c r="AA267" s="0" t="inlineStr">
        <is>
          <t>인천시 서구 가좌동 30-86</t>
        </is>
      </c>
      <c r="AB267" s="0" t="inlineStr">
        <is>
          <t>인천시</t>
        </is>
      </c>
      <c r="AC267" s="0" t="inlineStr">
        <is>
          <t>서구</t>
        </is>
      </c>
      <c r="AD267" s="0" t="inlineStr">
        <is>
          <t>가좌동</t>
        </is>
      </c>
      <c r="AG267" s="0" t="inlineStr">
        <is>
          <t>인천시 서구 장고개로309번길 29</t>
        </is>
      </c>
      <c r="AH267" s="0" t="n">
        <v>0</v>
      </c>
      <c r="AI267" s="0" t="n">
        <v>248</v>
      </c>
      <c r="AJ267" s="0" t="n">
        <v>16</v>
      </c>
      <c r="AK267" s="0" t="n">
        <v>798</v>
      </c>
      <c r="AL267" s="0" t="n">
        <v>1</v>
      </c>
    </row>
    <row r="268">
      <c r="A268" s="0" t="inlineStr">
        <is>
          <t>[가좌동]</t>
        </is>
      </c>
      <c r="B268" s="0" t="n">
        <v>8120</v>
      </c>
      <c r="C268" s="0" t="n">
        <v>2</v>
      </c>
      <c r="D268" s="0" t="inlineStr">
        <is>
          <t>진주3단지</t>
        </is>
      </c>
      <c r="E268" s="0" t="inlineStr">
        <is>
          <t>1989.11.</t>
        </is>
      </c>
      <c r="F268" s="0" t="n">
        <v>798</v>
      </c>
      <c r="G268" s="0" t="n">
        <v>22.42</v>
      </c>
      <c r="H268" s="0" t="n">
        <v>74.12</v>
      </c>
      <c r="I268" s="0" t="n">
        <v>17.95</v>
      </c>
      <c r="J268" s="0" t="n">
        <v>59.36</v>
      </c>
      <c r="K268" s="0" t="n">
        <v>292</v>
      </c>
      <c r="T268" s="0" t="n">
        <v>3</v>
      </c>
      <c r="U268" s="0" t="n">
        <v>1</v>
      </c>
      <c r="V268" s="0" t="inlineStr">
        <is>
          <t>계단식</t>
        </is>
      </c>
      <c r="W268" s="0" t="n">
        <v>74</v>
      </c>
      <c r="X268" s="0" t="n">
        <v>15</v>
      </c>
      <c r="Y268" s="0" t="n">
        <v>11</v>
      </c>
      <c r="Z268" s="0" t="inlineStr">
        <is>
          <t>https://new.land.naver.com/complexes/8120?tab=detail&amp;rf=Y</t>
        </is>
      </c>
      <c r="AA268" s="0" t="inlineStr">
        <is>
          <t>인천시 서구 가좌동 30-86</t>
        </is>
      </c>
      <c r="AB268" s="0" t="inlineStr">
        <is>
          <t>인천시</t>
        </is>
      </c>
      <c r="AC268" s="0" t="inlineStr">
        <is>
          <t>서구</t>
        </is>
      </c>
      <c r="AD268" s="0" t="inlineStr">
        <is>
          <t>가좌동</t>
        </is>
      </c>
      <c r="AG268" s="0" t="inlineStr">
        <is>
          <t>인천시 서구 장고개로309번길 29</t>
        </is>
      </c>
      <c r="AH268" s="0" t="n">
        <v>0</v>
      </c>
      <c r="AI268" s="0" t="n">
        <v>248</v>
      </c>
      <c r="AJ268" s="0" t="n">
        <v>16</v>
      </c>
      <c r="AK268" s="0" t="n">
        <v>798</v>
      </c>
      <c r="AL268" s="0" t="n">
        <v>1</v>
      </c>
    </row>
    <row r="269">
      <c r="A269" s="0" t="inlineStr">
        <is>
          <t>[가좌동]</t>
        </is>
      </c>
      <c r="B269" s="0" t="n">
        <v>8120</v>
      </c>
      <c r="C269" s="0" t="n">
        <v>3</v>
      </c>
      <c r="D269" s="0" t="inlineStr">
        <is>
          <t>진주3단지</t>
        </is>
      </c>
      <c r="E269" s="0" t="inlineStr">
        <is>
          <t>1989.11.</t>
        </is>
      </c>
      <c r="F269" s="0" t="n">
        <v>798</v>
      </c>
      <c r="G269" s="0" t="n">
        <v>27.81</v>
      </c>
      <c r="H269" s="0" t="n">
        <v>91.95</v>
      </c>
      <c r="I269" s="0" t="n">
        <v>23.2</v>
      </c>
      <c r="J269" s="0" t="n">
        <v>76.7</v>
      </c>
      <c r="K269" s="0" t="n">
        <v>206</v>
      </c>
      <c r="T269" s="0" t="n">
        <v>3</v>
      </c>
      <c r="U269" s="0" t="n">
        <v>1</v>
      </c>
      <c r="V269" s="0" t="inlineStr">
        <is>
          <t>계단식</t>
        </is>
      </c>
      <c r="W269" s="0" t="n">
        <v>91</v>
      </c>
      <c r="X269" s="0" t="n">
        <v>15</v>
      </c>
      <c r="Y269" s="0" t="n">
        <v>11</v>
      </c>
      <c r="Z269" s="0" t="inlineStr">
        <is>
          <t>https://new.land.naver.com/complexes/8120?tab=detail&amp;rf=Y</t>
        </is>
      </c>
      <c r="AA269" s="0" t="inlineStr">
        <is>
          <t>인천시 서구 가좌동 30-86</t>
        </is>
      </c>
      <c r="AB269" s="0" t="inlineStr">
        <is>
          <t>인천시</t>
        </is>
      </c>
      <c r="AC269" s="0" t="inlineStr">
        <is>
          <t>서구</t>
        </is>
      </c>
      <c r="AD269" s="0" t="inlineStr">
        <is>
          <t>가좌동</t>
        </is>
      </c>
      <c r="AG269" s="0" t="inlineStr">
        <is>
          <t>인천시 서구 장고개로309번길 29</t>
        </is>
      </c>
      <c r="AH269" s="0" t="n">
        <v>0</v>
      </c>
      <c r="AI269" s="0" t="n">
        <v>248</v>
      </c>
      <c r="AJ269" s="0" t="n">
        <v>16</v>
      </c>
      <c r="AK269" s="0" t="n">
        <v>798</v>
      </c>
      <c r="AL269" s="0" t="n">
        <v>1</v>
      </c>
    </row>
    <row r="270">
      <c r="A270" s="0" t="inlineStr">
        <is>
          <t>[가좌동]</t>
        </is>
      </c>
      <c r="B270" s="0" t="n">
        <v>13170</v>
      </c>
      <c r="C270" s="0" t="n">
        <v>1</v>
      </c>
      <c r="D270" s="0" t="inlineStr">
        <is>
          <t>현광</t>
        </is>
      </c>
      <c r="E270" s="0" t="inlineStr">
        <is>
          <t>1986.06.</t>
        </is>
      </c>
      <c r="F270" s="0" t="n">
        <v>50</v>
      </c>
      <c r="G270" s="0" t="n">
        <v>18.58</v>
      </c>
      <c r="H270" s="0" t="n">
        <v>61.44</v>
      </c>
      <c r="I270" s="0" t="n">
        <v>15.08</v>
      </c>
      <c r="J270" s="0" t="n">
        <v>49.86</v>
      </c>
      <c r="K270" s="0" t="n">
        <v>50</v>
      </c>
      <c r="T270" s="0" t="n">
        <v>3</v>
      </c>
      <c r="U270" s="0" t="n">
        <v>1</v>
      </c>
      <c r="V270" s="0" t="inlineStr">
        <is>
          <t>계단식</t>
        </is>
      </c>
      <c r="W270" s="0" t="n">
        <v>61</v>
      </c>
      <c r="X270" s="0" t="n">
        <v>5</v>
      </c>
      <c r="Y270" s="0" t="n">
        <v>5</v>
      </c>
      <c r="Z270" s="0" t="inlineStr">
        <is>
          <t>https://new.land.naver.com/complexes/13170?tab=detail&amp;rf=Y</t>
        </is>
      </c>
      <c r="AA270" s="0" t="inlineStr">
        <is>
          <t>인천시 서구 가좌동 192-66</t>
        </is>
      </c>
      <c r="AB270" s="0" t="inlineStr">
        <is>
          <t>인천시</t>
        </is>
      </c>
      <c r="AC270" s="0" t="inlineStr">
        <is>
          <t>서구</t>
        </is>
      </c>
      <c r="AD270" s="0" t="inlineStr">
        <is>
          <t>가좌동</t>
        </is>
      </c>
      <c r="AG270" s="0" t="inlineStr">
        <is>
          <t>인천시 서구 건지로318번길 20</t>
        </is>
      </c>
      <c r="AH270" s="0" t="n">
        <v>0</v>
      </c>
      <c r="AI270" s="0" t="n">
        <v>0</v>
      </c>
      <c r="AJ270" s="0" t="n">
        <v>0</v>
      </c>
      <c r="AK270" s="0" t="n">
        <v>0</v>
      </c>
      <c r="AL270" s="0" t="n">
        <v>0</v>
      </c>
    </row>
    <row r="271">
      <c r="A271" s="0" t="inlineStr">
        <is>
          <t>[가좌동]</t>
        </is>
      </c>
      <c r="B271" s="0" t="n">
        <v>2234</v>
      </c>
      <c r="C271" s="0" t="n">
        <v>1</v>
      </c>
      <c r="D271" s="0" t="inlineStr">
        <is>
          <t>현대</t>
        </is>
      </c>
      <c r="E271" s="0" t="inlineStr">
        <is>
          <t>1985.06.</t>
        </is>
      </c>
      <c r="F271" s="0" t="n">
        <v>460</v>
      </c>
      <c r="G271" s="0" t="n">
        <v>31.09</v>
      </c>
      <c r="H271" s="0" t="n">
        <v>102.8</v>
      </c>
      <c r="I271" s="0" t="n">
        <v>25.7</v>
      </c>
      <c r="J271" s="0" t="n">
        <v>84.98</v>
      </c>
      <c r="K271" s="0" t="n">
        <v>460</v>
      </c>
      <c r="T271" s="0" t="n">
        <v>3</v>
      </c>
      <c r="U271" s="0" t="n">
        <v>1</v>
      </c>
      <c r="V271" s="0" t="inlineStr">
        <is>
          <t>계단식</t>
        </is>
      </c>
      <c r="W271" s="0" t="n">
        <v>102</v>
      </c>
      <c r="X271" s="0" t="n">
        <v>14</v>
      </c>
      <c r="Y271" s="0" t="n">
        <v>13</v>
      </c>
      <c r="Z271" s="0" t="inlineStr">
        <is>
          <t>https://new.land.naver.com/complexes/2234?tab=detail&amp;rf=Y</t>
        </is>
      </c>
      <c r="AA271" s="0" t="inlineStr">
        <is>
          <t>인천시 서구 가좌동 81-22</t>
        </is>
      </c>
      <c r="AB271" s="0" t="inlineStr">
        <is>
          <t>인천시</t>
        </is>
      </c>
      <c r="AC271" s="0" t="inlineStr">
        <is>
          <t>서구</t>
        </is>
      </c>
      <c r="AD271" s="0" t="inlineStr">
        <is>
          <t>가좌동</t>
        </is>
      </c>
      <c r="AG271" s="0" t="inlineStr">
        <is>
          <t>인천시 서구 원적로124번길 21</t>
        </is>
      </c>
      <c r="AH271" s="0" t="n">
        <v>0</v>
      </c>
      <c r="AI271" s="0" t="n">
        <v>197</v>
      </c>
      <c r="AJ271" s="0" t="n">
        <v>18</v>
      </c>
      <c r="AK271" s="0" t="n">
        <v>230</v>
      </c>
      <c r="AL271" s="0" t="n">
        <v>0.5</v>
      </c>
    </row>
    <row r="272">
      <c r="A272" s="0" t="inlineStr">
        <is>
          <t>[가좌동]</t>
        </is>
      </c>
      <c r="B272" s="0" t="n">
        <v>120083</v>
      </c>
      <c r="C272" s="0" t="n">
        <v>1</v>
      </c>
      <c r="D272" s="0" t="inlineStr">
        <is>
          <t>씨엠펠리스(도시형)</t>
        </is>
      </c>
      <c r="E272" s="0" t="inlineStr">
        <is>
          <t>2015.05.</t>
        </is>
      </c>
      <c r="F272" s="0" t="n">
        <v>19</v>
      </c>
      <c r="G272" s="0" t="n">
        <v>15.52</v>
      </c>
      <c r="H272" s="0" t="n">
        <v>51.33</v>
      </c>
      <c r="I272" s="0" t="n">
        <v>13.33</v>
      </c>
      <c r="J272" s="0" t="n">
        <v>44.08</v>
      </c>
      <c r="K272" s="0" t="n">
        <v>3</v>
      </c>
      <c r="T272" s="0" t="n">
        <v>2</v>
      </c>
      <c r="U272" s="0" t="n">
        <v>1</v>
      </c>
      <c r="V272" s="0" t="inlineStr">
        <is>
          <t>계단식</t>
        </is>
      </c>
      <c r="W272" s="0" t="n">
        <v>51</v>
      </c>
      <c r="X272" s="0" t="n">
        <v>5</v>
      </c>
      <c r="Y272" s="0" t="n">
        <v>4</v>
      </c>
      <c r="Z272" s="0" t="inlineStr">
        <is>
          <t>https://new.land.naver.com/complexes/120083?tab=detail&amp;rf=Y</t>
        </is>
      </c>
      <c r="AA272" s="0" t="inlineStr">
        <is>
          <t>인천시 서구 가좌동 72-21</t>
        </is>
      </c>
      <c r="AB272" s="0" t="inlineStr">
        <is>
          <t>인천시</t>
        </is>
      </c>
      <c r="AC272" s="0" t="inlineStr">
        <is>
          <t>서구</t>
        </is>
      </c>
      <c r="AD272" s="0" t="inlineStr">
        <is>
          <t>가좌동</t>
        </is>
      </c>
      <c r="AG272" s="0" t="inlineStr">
        <is>
          <t>인천시 서구 원적로105번길 15</t>
        </is>
      </c>
      <c r="AH272" s="0" t="n">
        <v>0</v>
      </c>
      <c r="AI272" s="0" t="n">
        <v>183</v>
      </c>
      <c r="AJ272" s="0" t="n">
        <v>57</v>
      </c>
      <c r="AK272" s="0" t="n">
        <v>19</v>
      </c>
      <c r="AL272" s="0" t="n">
        <v>1</v>
      </c>
    </row>
    <row r="273">
      <c r="A273" s="0" t="inlineStr">
        <is>
          <t>[가좌동]</t>
        </is>
      </c>
      <c r="B273" s="0" t="n">
        <v>120083</v>
      </c>
      <c r="C273" s="0" t="n">
        <v>2</v>
      </c>
      <c r="D273" s="0" t="inlineStr">
        <is>
          <t>씨엠펠리스(도시형)</t>
        </is>
      </c>
      <c r="E273" s="0" t="inlineStr">
        <is>
          <t>2015.05.</t>
        </is>
      </c>
      <c r="F273" s="0" t="n">
        <v>19</v>
      </c>
      <c r="G273" s="0" t="n">
        <v>16.61</v>
      </c>
      <c r="H273" s="0" t="n">
        <v>54.92</v>
      </c>
      <c r="I273" s="0" t="n">
        <v>14.26</v>
      </c>
      <c r="J273" s="0" t="n">
        <v>47.17</v>
      </c>
      <c r="K273" s="0" t="n">
        <v>1</v>
      </c>
      <c r="T273" s="0" t="n">
        <v>2</v>
      </c>
      <c r="U273" s="0" t="n">
        <v>1</v>
      </c>
      <c r="V273" s="0" t="inlineStr">
        <is>
          <t>계단식</t>
        </is>
      </c>
      <c r="W273" s="0" t="n">
        <v>54</v>
      </c>
      <c r="X273" s="0" t="n">
        <v>5</v>
      </c>
      <c r="Y273" s="0" t="n">
        <v>4</v>
      </c>
      <c r="Z273" s="0" t="inlineStr">
        <is>
          <t>https://new.land.naver.com/complexes/120083?tab=detail&amp;rf=Y</t>
        </is>
      </c>
      <c r="AA273" s="0" t="inlineStr">
        <is>
          <t>인천시 서구 가좌동 72-21</t>
        </is>
      </c>
      <c r="AB273" s="0" t="inlineStr">
        <is>
          <t>인천시</t>
        </is>
      </c>
      <c r="AC273" s="0" t="inlineStr">
        <is>
          <t>서구</t>
        </is>
      </c>
      <c r="AD273" s="0" t="inlineStr">
        <is>
          <t>가좌동</t>
        </is>
      </c>
      <c r="AG273" s="0" t="inlineStr">
        <is>
          <t>인천시 서구 원적로105번길 15</t>
        </is>
      </c>
      <c r="AH273" s="0" t="n">
        <v>0</v>
      </c>
      <c r="AI273" s="0" t="n">
        <v>183</v>
      </c>
      <c r="AJ273" s="0" t="n">
        <v>57</v>
      </c>
      <c r="AK273" s="0" t="n">
        <v>19</v>
      </c>
      <c r="AL273" s="0" t="n">
        <v>1</v>
      </c>
    </row>
    <row r="274">
      <c r="A274" s="0" t="inlineStr">
        <is>
          <t>[가좌동]</t>
        </is>
      </c>
      <c r="B274" s="0" t="n">
        <v>120083</v>
      </c>
      <c r="C274" s="0" t="n">
        <v>3</v>
      </c>
      <c r="D274" s="0" t="inlineStr">
        <is>
          <t>씨엠펠리스(도시형)</t>
        </is>
      </c>
      <c r="E274" s="0" t="inlineStr">
        <is>
          <t>2015.05.</t>
        </is>
      </c>
      <c r="F274" s="0" t="n">
        <v>19</v>
      </c>
      <c r="G274" s="0" t="n">
        <v>18.39</v>
      </c>
      <c r="H274" s="0" t="n">
        <v>60.81</v>
      </c>
      <c r="I274" s="0" t="n">
        <v>15.17</v>
      </c>
      <c r="J274" s="0" t="n">
        <v>50.15</v>
      </c>
      <c r="K274" s="0" t="n">
        <v>1</v>
      </c>
      <c r="T274" s="0" t="n">
        <v>2</v>
      </c>
      <c r="U274" s="0" t="n">
        <v>1</v>
      </c>
      <c r="V274" s="0" t="inlineStr">
        <is>
          <t>계단식</t>
        </is>
      </c>
      <c r="W274" s="0" t="n">
        <v>60</v>
      </c>
      <c r="X274" s="0" t="n">
        <v>5</v>
      </c>
      <c r="Y274" s="0" t="n">
        <v>4</v>
      </c>
      <c r="Z274" s="0" t="inlineStr">
        <is>
          <t>https://new.land.naver.com/complexes/120083?tab=detail&amp;rf=Y</t>
        </is>
      </c>
      <c r="AA274" s="0" t="inlineStr">
        <is>
          <t>인천시 서구 가좌동 72-21</t>
        </is>
      </c>
      <c r="AB274" s="0" t="inlineStr">
        <is>
          <t>인천시</t>
        </is>
      </c>
      <c r="AC274" s="0" t="inlineStr">
        <is>
          <t>서구</t>
        </is>
      </c>
      <c r="AD274" s="0" t="inlineStr">
        <is>
          <t>가좌동</t>
        </is>
      </c>
      <c r="AG274" s="0" t="inlineStr">
        <is>
          <t>인천시 서구 원적로105번길 15</t>
        </is>
      </c>
      <c r="AH274" s="0" t="n">
        <v>0</v>
      </c>
      <c r="AI274" s="0" t="n">
        <v>183</v>
      </c>
      <c r="AJ274" s="0" t="n">
        <v>57</v>
      </c>
      <c r="AK274" s="0" t="n">
        <v>19</v>
      </c>
      <c r="AL274" s="0" t="n">
        <v>1</v>
      </c>
    </row>
    <row r="275">
      <c r="A275" s="0" t="inlineStr">
        <is>
          <t>[가좌동]</t>
        </is>
      </c>
      <c r="B275" s="0" t="n">
        <v>120083</v>
      </c>
      <c r="C275" s="0" t="n">
        <v>4</v>
      </c>
      <c r="D275" s="0" t="inlineStr">
        <is>
          <t>씨엠펠리스(도시형)</t>
        </is>
      </c>
      <c r="E275" s="0" t="inlineStr">
        <is>
          <t>2015.05.</t>
        </is>
      </c>
      <c r="F275" s="0" t="n">
        <v>19</v>
      </c>
      <c r="G275" s="0" t="n">
        <v>18.73</v>
      </c>
      <c r="H275" s="0" t="n">
        <v>61.95</v>
      </c>
      <c r="I275" s="0" t="n">
        <v>15.45</v>
      </c>
      <c r="J275" s="0" t="n">
        <v>51.09</v>
      </c>
      <c r="K275" s="0" t="n">
        <v>1</v>
      </c>
      <c r="T275" s="0" t="n">
        <v>2</v>
      </c>
      <c r="U275" s="0" t="n">
        <v>1</v>
      </c>
      <c r="V275" s="0" t="inlineStr">
        <is>
          <t>계단식</t>
        </is>
      </c>
      <c r="W275" s="0" t="inlineStr">
        <is>
          <t>61C</t>
        </is>
      </c>
      <c r="X275" s="0" t="n">
        <v>5</v>
      </c>
      <c r="Y275" s="0" t="n">
        <v>4</v>
      </c>
      <c r="Z275" s="0" t="inlineStr">
        <is>
          <t>https://new.land.naver.com/complexes/120083?tab=detail&amp;rf=Y</t>
        </is>
      </c>
      <c r="AA275" s="0" t="inlineStr">
        <is>
          <t>인천시 서구 가좌동 72-21</t>
        </is>
      </c>
      <c r="AB275" s="0" t="inlineStr">
        <is>
          <t>인천시</t>
        </is>
      </c>
      <c r="AC275" s="0" t="inlineStr">
        <is>
          <t>서구</t>
        </is>
      </c>
      <c r="AD275" s="0" t="inlineStr">
        <is>
          <t>가좌동</t>
        </is>
      </c>
      <c r="AG275" s="0" t="inlineStr">
        <is>
          <t>인천시 서구 원적로105번길 15</t>
        </is>
      </c>
      <c r="AH275" s="0" t="n">
        <v>0</v>
      </c>
      <c r="AI275" s="0" t="n">
        <v>183</v>
      </c>
      <c r="AJ275" s="0" t="n">
        <v>57</v>
      </c>
      <c r="AK275" s="0" t="n">
        <v>19</v>
      </c>
      <c r="AL275" s="0" t="n">
        <v>1</v>
      </c>
    </row>
    <row r="276">
      <c r="A276" s="0" t="inlineStr">
        <is>
          <t>[가좌동]</t>
        </is>
      </c>
      <c r="B276" s="0" t="n">
        <v>120083</v>
      </c>
      <c r="C276" s="0" t="n">
        <v>5</v>
      </c>
      <c r="D276" s="0" t="inlineStr">
        <is>
          <t>씨엠펠리스(도시형)</t>
        </is>
      </c>
      <c r="E276" s="0" t="inlineStr">
        <is>
          <t>2015.05.</t>
        </is>
      </c>
      <c r="F276" s="0" t="n">
        <v>19</v>
      </c>
      <c r="G276" s="0" t="n">
        <v>19.15</v>
      </c>
      <c r="H276" s="0" t="n">
        <v>63.33</v>
      </c>
      <c r="I276" s="0" t="n">
        <v>16.45</v>
      </c>
      <c r="J276" s="0" t="n">
        <v>54.39</v>
      </c>
      <c r="K276" s="0" t="n">
        <v>3</v>
      </c>
      <c r="T276" s="0" t="n">
        <v>2</v>
      </c>
      <c r="U276" s="0" t="n">
        <v>1</v>
      </c>
      <c r="V276" s="0" t="inlineStr">
        <is>
          <t>계단식</t>
        </is>
      </c>
      <c r="W276" s="0" t="inlineStr">
        <is>
          <t>63A</t>
        </is>
      </c>
      <c r="X276" s="0" t="n">
        <v>5</v>
      </c>
      <c r="Y276" s="0" t="n">
        <v>4</v>
      </c>
      <c r="Z276" s="0" t="inlineStr">
        <is>
          <t>https://new.land.naver.com/complexes/120083?tab=detail&amp;rf=Y</t>
        </is>
      </c>
      <c r="AA276" s="0" t="inlineStr">
        <is>
          <t>인천시 서구 가좌동 72-21</t>
        </is>
      </c>
      <c r="AB276" s="0" t="inlineStr">
        <is>
          <t>인천시</t>
        </is>
      </c>
      <c r="AC276" s="0" t="inlineStr">
        <is>
          <t>서구</t>
        </is>
      </c>
      <c r="AD276" s="0" t="inlineStr">
        <is>
          <t>가좌동</t>
        </is>
      </c>
      <c r="AG276" s="0" t="inlineStr">
        <is>
          <t>인천시 서구 원적로105번길 15</t>
        </is>
      </c>
      <c r="AH276" s="0" t="n">
        <v>0</v>
      </c>
      <c r="AI276" s="0" t="n">
        <v>183</v>
      </c>
      <c r="AJ276" s="0" t="n">
        <v>57</v>
      </c>
      <c r="AK276" s="0" t="n">
        <v>19</v>
      </c>
      <c r="AL276" s="0" t="n">
        <v>1</v>
      </c>
    </row>
    <row r="277">
      <c r="A277" s="0" t="inlineStr">
        <is>
          <t>[가좌동]</t>
        </is>
      </c>
      <c r="B277" s="0" t="n">
        <v>120083</v>
      </c>
      <c r="C277" s="0" t="n">
        <v>6</v>
      </c>
      <c r="D277" s="0" t="inlineStr">
        <is>
          <t>씨엠펠리스(도시형)</t>
        </is>
      </c>
      <c r="E277" s="0" t="inlineStr">
        <is>
          <t>2015.05.</t>
        </is>
      </c>
      <c r="F277" s="0" t="n">
        <v>19</v>
      </c>
      <c r="G277" s="0" t="n">
        <v>19.21</v>
      </c>
      <c r="H277" s="0" t="n">
        <v>63.53</v>
      </c>
      <c r="I277" s="0" t="n">
        <v>16.5</v>
      </c>
      <c r="J277" s="0" t="n">
        <v>54.57</v>
      </c>
      <c r="K277" s="0" t="n">
        <v>1</v>
      </c>
      <c r="T277" s="0" t="n">
        <v>2</v>
      </c>
      <c r="U277" s="0" t="n">
        <v>1</v>
      </c>
      <c r="V277" s="0" t="inlineStr">
        <is>
          <t>계단식</t>
        </is>
      </c>
      <c r="W277" s="0" t="inlineStr">
        <is>
          <t>63B</t>
        </is>
      </c>
      <c r="X277" s="0" t="n">
        <v>5</v>
      </c>
      <c r="Y277" s="0" t="n">
        <v>4</v>
      </c>
      <c r="Z277" s="0" t="inlineStr">
        <is>
          <t>https://new.land.naver.com/complexes/120083?tab=detail&amp;rf=Y</t>
        </is>
      </c>
      <c r="AA277" s="0" t="inlineStr">
        <is>
          <t>인천시 서구 가좌동 72-21</t>
        </is>
      </c>
      <c r="AB277" s="0" t="inlineStr">
        <is>
          <t>인천시</t>
        </is>
      </c>
      <c r="AC277" s="0" t="inlineStr">
        <is>
          <t>서구</t>
        </is>
      </c>
      <c r="AD277" s="0" t="inlineStr">
        <is>
          <t>가좌동</t>
        </is>
      </c>
      <c r="AG277" s="0" t="inlineStr">
        <is>
          <t>인천시 서구 원적로105번길 15</t>
        </is>
      </c>
      <c r="AH277" s="0" t="n">
        <v>0</v>
      </c>
      <c r="AI277" s="0" t="n">
        <v>183</v>
      </c>
      <c r="AJ277" s="0" t="n">
        <v>57</v>
      </c>
      <c r="AK277" s="0" t="n">
        <v>19</v>
      </c>
      <c r="AL277" s="0" t="n">
        <v>1</v>
      </c>
    </row>
    <row r="278">
      <c r="A278" s="0" t="inlineStr">
        <is>
          <t>[가좌동]</t>
        </is>
      </c>
      <c r="B278" s="0" t="n">
        <v>120083</v>
      </c>
      <c r="C278" s="0" t="n">
        <v>7</v>
      </c>
      <c r="D278" s="0" t="inlineStr">
        <is>
          <t>씨엠펠리스(도시형)</t>
        </is>
      </c>
      <c r="E278" s="0" t="inlineStr">
        <is>
          <t>2015.05.</t>
        </is>
      </c>
      <c r="F278" s="0" t="n">
        <v>19</v>
      </c>
      <c r="G278" s="0" t="n">
        <v>19.48</v>
      </c>
      <c r="H278" s="0" t="n">
        <v>64.41</v>
      </c>
      <c r="I278" s="0" t="n">
        <v>16.06</v>
      </c>
      <c r="J278" s="0" t="n">
        <v>53.11</v>
      </c>
      <c r="K278" s="0" t="n">
        <v>1</v>
      </c>
      <c r="T278" s="0" t="n">
        <v>2</v>
      </c>
      <c r="U278" s="0" t="n">
        <v>1</v>
      </c>
      <c r="V278" s="0" t="inlineStr">
        <is>
          <t>계단식</t>
        </is>
      </c>
      <c r="W278" s="0" t="inlineStr">
        <is>
          <t>64D</t>
        </is>
      </c>
      <c r="X278" s="0" t="n">
        <v>5</v>
      </c>
      <c r="Y278" s="0" t="n">
        <v>4</v>
      </c>
      <c r="Z278" s="0" t="inlineStr">
        <is>
          <t>https://new.land.naver.com/complexes/120083?tab=detail&amp;rf=Y</t>
        </is>
      </c>
      <c r="AA278" s="0" t="inlineStr">
        <is>
          <t>인천시 서구 가좌동 72-21</t>
        </is>
      </c>
      <c r="AB278" s="0" t="inlineStr">
        <is>
          <t>인천시</t>
        </is>
      </c>
      <c r="AC278" s="0" t="inlineStr">
        <is>
          <t>서구</t>
        </is>
      </c>
      <c r="AD278" s="0" t="inlineStr">
        <is>
          <t>가좌동</t>
        </is>
      </c>
      <c r="AG278" s="0" t="inlineStr">
        <is>
          <t>인천시 서구 원적로105번길 15</t>
        </is>
      </c>
      <c r="AH278" s="0" t="n">
        <v>0</v>
      </c>
      <c r="AI278" s="0" t="n">
        <v>183</v>
      </c>
      <c r="AJ278" s="0" t="n">
        <v>57</v>
      </c>
      <c r="AK278" s="0" t="n">
        <v>19</v>
      </c>
      <c r="AL278" s="0" t="n">
        <v>1</v>
      </c>
    </row>
    <row r="279">
      <c r="A279" s="0" t="inlineStr">
        <is>
          <t>[가좌동]</t>
        </is>
      </c>
      <c r="B279" s="0" t="n">
        <v>120083</v>
      </c>
      <c r="C279" s="0" t="n">
        <v>8</v>
      </c>
      <c r="D279" s="0" t="inlineStr">
        <is>
          <t>씨엠펠리스(도시형)</t>
        </is>
      </c>
      <c r="E279" s="0" t="inlineStr">
        <is>
          <t>2015.05.</t>
        </is>
      </c>
      <c r="F279" s="0" t="n">
        <v>19</v>
      </c>
      <c r="G279" s="0" t="n">
        <v>19.89</v>
      </c>
      <c r="H279" s="0" t="n">
        <v>65.77</v>
      </c>
      <c r="I279" s="0" t="n">
        <v>17.08</v>
      </c>
      <c r="J279" s="0" t="n">
        <v>56.48</v>
      </c>
      <c r="K279" s="0" t="n">
        <v>3</v>
      </c>
      <c r="T279" s="0" t="n">
        <v>3</v>
      </c>
      <c r="U279" s="0" t="n">
        <v>1</v>
      </c>
      <c r="V279" s="0" t="inlineStr">
        <is>
          <t>계단식</t>
        </is>
      </c>
      <c r="W279" s="0" t="n">
        <v>65</v>
      </c>
      <c r="X279" s="0" t="n">
        <v>5</v>
      </c>
      <c r="Y279" s="0" t="n">
        <v>4</v>
      </c>
      <c r="Z279" s="0" t="inlineStr">
        <is>
          <t>https://new.land.naver.com/complexes/120083?tab=detail&amp;rf=Y</t>
        </is>
      </c>
      <c r="AA279" s="0" t="inlineStr">
        <is>
          <t>인천시 서구 가좌동 72-21</t>
        </is>
      </c>
      <c r="AB279" s="0" t="inlineStr">
        <is>
          <t>인천시</t>
        </is>
      </c>
      <c r="AC279" s="0" t="inlineStr">
        <is>
          <t>서구</t>
        </is>
      </c>
      <c r="AD279" s="0" t="inlineStr">
        <is>
          <t>가좌동</t>
        </is>
      </c>
      <c r="AG279" s="0" t="inlineStr">
        <is>
          <t>인천시 서구 원적로105번길 15</t>
        </is>
      </c>
      <c r="AH279" s="0" t="n">
        <v>0</v>
      </c>
      <c r="AI279" s="0" t="n">
        <v>183</v>
      </c>
      <c r="AJ279" s="0" t="n">
        <v>57</v>
      </c>
      <c r="AK279" s="0" t="n">
        <v>19</v>
      </c>
      <c r="AL279" s="0" t="n">
        <v>1</v>
      </c>
    </row>
    <row r="280">
      <c r="A280" s="0" t="inlineStr">
        <is>
          <t>[가좌동]</t>
        </is>
      </c>
      <c r="B280" s="0" t="n">
        <v>120083</v>
      </c>
      <c r="C280" s="0" t="n">
        <v>9</v>
      </c>
      <c r="D280" s="0" t="inlineStr">
        <is>
          <t>씨엠펠리스(도시형)</t>
        </is>
      </c>
      <c r="E280" s="0" t="inlineStr">
        <is>
          <t>2015.05.</t>
        </is>
      </c>
      <c r="F280" s="0" t="n">
        <v>19</v>
      </c>
      <c r="G280" s="0" t="n">
        <v>20.83</v>
      </c>
      <c r="H280" s="0" t="n">
        <v>68.87</v>
      </c>
      <c r="I280" s="0" t="n">
        <v>17.18</v>
      </c>
      <c r="J280" s="0" t="n">
        <v>56.8</v>
      </c>
      <c r="K280" s="0" t="n">
        <v>1</v>
      </c>
      <c r="T280" s="0" t="n">
        <v>3</v>
      </c>
      <c r="U280" s="0" t="n">
        <v>1</v>
      </c>
      <c r="V280" s="0" t="inlineStr">
        <is>
          <t>계단식</t>
        </is>
      </c>
      <c r="W280" s="0" t="inlineStr">
        <is>
          <t>68A</t>
        </is>
      </c>
      <c r="X280" s="0" t="n">
        <v>5</v>
      </c>
      <c r="Y280" s="0" t="n">
        <v>4</v>
      </c>
      <c r="Z280" s="0" t="inlineStr">
        <is>
          <t>https://new.land.naver.com/complexes/120083?tab=detail&amp;rf=Y</t>
        </is>
      </c>
      <c r="AA280" s="0" t="inlineStr">
        <is>
          <t>인천시 서구 가좌동 72-21</t>
        </is>
      </c>
      <c r="AB280" s="0" t="inlineStr">
        <is>
          <t>인천시</t>
        </is>
      </c>
      <c r="AC280" s="0" t="inlineStr">
        <is>
          <t>서구</t>
        </is>
      </c>
      <c r="AD280" s="0" t="inlineStr">
        <is>
          <t>가좌동</t>
        </is>
      </c>
      <c r="AG280" s="0" t="inlineStr">
        <is>
          <t>인천시 서구 원적로105번길 15</t>
        </is>
      </c>
      <c r="AH280" s="0" t="n">
        <v>0</v>
      </c>
      <c r="AI280" s="0" t="n">
        <v>183</v>
      </c>
      <c r="AJ280" s="0" t="n">
        <v>57</v>
      </c>
      <c r="AK280" s="0" t="n">
        <v>19</v>
      </c>
      <c r="AL280" s="0" t="n">
        <v>1</v>
      </c>
    </row>
    <row r="281">
      <c r="A281" s="0" t="inlineStr">
        <is>
          <t>[가좌동]</t>
        </is>
      </c>
      <c r="B281" s="0" t="n">
        <v>120083</v>
      </c>
      <c r="C281" s="0" t="n">
        <v>10</v>
      </c>
      <c r="D281" s="0" t="inlineStr">
        <is>
          <t>씨엠펠리스(도시형)</t>
        </is>
      </c>
      <c r="E281" s="0" t="inlineStr">
        <is>
          <t>2015.05.</t>
        </is>
      </c>
      <c r="F281" s="0" t="n">
        <v>19</v>
      </c>
      <c r="G281" s="0" t="n">
        <v>20.9</v>
      </c>
      <c r="H281" s="0" t="n">
        <v>69.09999999999999</v>
      </c>
      <c r="I281" s="0" t="n">
        <v>17.23</v>
      </c>
      <c r="J281" s="0" t="n">
        <v>56.99</v>
      </c>
      <c r="K281" s="0" t="n">
        <v>2</v>
      </c>
      <c r="T281" s="0" t="n">
        <v>3</v>
      </c>
      <c r="U281" s="0" t="n">
        <v>1</v>
      </c>
      <c r="V281" s="0" t="inlineStr">
        <is>
          <t>계단식</t>
        </is>
      </c>
      <c r="W281" s="0" t="inlineStr">
        <is>
          <t>69B</t>
        </is>
      </c>
      <c r="X281" s="0" t="n">
        <v>5</v>
      </c>
      <c r="Y281" s="0" t="n">
        <v>4</v>
      </c>
      <c r="Z281" s="0" t="inlineStr">
        <is>
          <t>https://new.land.naver.com/complexes/120083?tab=detail&amp;rf=Y</t>
        </is>
      </c>
      <c r="AA281" s="0" t="inlineStr">
        <is>
          <t>인천시 서구 가좌동 72-21</t>
        </is>
      </c>
      <c r="AB281" s="0" t="inlineStr">
        <is>
          <t>인천시</t>
        </is>
      </c>
      <c r="AC281" s="0" t="inlineStr">
        <is>
          <t>서구</t>
        </is>
      </c>
      <c r="AD281" s="0" t="inlineStr">
        <is>
          <t>가좌동</t>
        </is>
      </c>
      <c r="AG281" s="0" t="inlineStr">
        <is>
          <t>인천시 서구 원적로105번길 15</t>
        </is>
      </c>
      <c r="AH281" s="0" t="n">
        <v>0</v>
      </c>
      <c r="AI281" s="0" t="n">
        <v>183</v>
      </c>
      <c r="AJ281" s="0" t="n">
        <v>57</v>
      </c>
      <c r="AK281" s="0" t="n">
        <v>19</v>
      </c>
      <c r="AL281" s="0" t="n">
        <v>1</v>
      </c>
    </row>
    <row r="282">
      <c r="A282" s="0" t="inlineStr">
        <is>
          <t>[가좌동]</t>
        </is>
      </c>
      <c r="B282" s="0" t="n">
        <v>120083</v>
      </c>
      <c r="C282" s="0" t="n">
        <v>11</v>
      </c>
      <c r="D282" s="0" t="inlineStr">
        <is>
          <t>씨엠펠리스(도시형)</t>
        </is>
      </c>
      <c r="E282" s="0" t="inlineStr">
        <is>
          <t>2015.05.</t>
        </is>
      </c>
      <c r="F282" s="0" t="n">
        <v>19</v>
      </c>
      <c r="G282" s="0" t="n">
        <v>24.16</v>
      </c>
      <c r="H282" s="0" t="n">
        <v>79.88</v>
      </c>
      <c r="I282" s="0" t="n">
        <v>19.92</v>
      </c>
      <c r="J282" s="0" t="n">
        <v>65.88</v>
      </c>
      <c r="K282" s="0" t="n">
        <v>2</v>
      </c>
      <c r="T282" s="0" t="n">
        <v>3</v>
      </c>
      <c r="U282" s="0" t="n">
        <v>1</v>
      </c>
      <c r="V282" s="0" t="inlineStr">
        <is>
          <t>계단식</t>
        </is>
      </c>
      <c r="W282" s="0" t="n">
        <v>79</v>
      </c>
      <c r="X282" s="0" t="n">
        <v>5</v>
      </c>
      <c r="Y282" s="0" t="n">
        <v>4</v>
      </c>
      <c r="Z282" s="0" t="inlineStr">
        <is>
          <t>https://new.land.naver.com/complexes/120083?tab=detail&amp;rf=Y</t>
        </is>
      </c>
      <c r="AA282" s="0" t="inlineStr">
        <is>
          <t>인천시 서구 가좌동 72-21</t>
        </is>
      </c>
      <c r="AB282" s="0" t="inlineStr">
        <is>
          <t>인천시</t>
        </is>
      </c>
      <c r="AC282" s="0" t="inlineStr">
        <is>
          <t>서구</t>
        </is>
      </c>
      <c r="AD282" s="0" t="inlineStr">
        <is>
          <t>가좌동</t>
        </is>
      </c>
      <c r="AG282" s="0" t="inlineStr">
        <is>
          <t>인천시 서구 원적로105번길 15</t>
        </is>
      </c>
      <c r="AH282" s="0" t="n">
        <v>0</v>
      </c>
      <c r="AI282" s="0" t="n">
        <v>183</v>
      </c>
      <c r="AJ282" s="0" t="n">
        <v>57</v>
      </c>
      <c r="AK282" s="0" t="n">
        <v>19</v>
      </c>
      <c r="AL282" s="0" t="n">
        <v>1</v>
      </c>
    </row>
    <row r="283">
      <c r="A283" s="0" t="inlineStr">
        <is>
          <t>[가좌동]</t>
        </is>
      </c>
      <c r="B283" s="0" t="n">
        <v>108939</v>
      </c>
      <c r="C283" s="0" t="n">
        <v>1</v>
      </c>
      <c r="D283" s="0" t="inlineStr">
        <is>
          <t>가좌대미안</t>
        </is>
      </c>
      <c r="E283" s="0" t="inlineStr">
        <is>
          <t>2002.08.</t>
        </is>
      </c>
      <c r="F283" s="0" t="n">
        <v>19</v>
      </c>
      <c r="G283" s="0" t="n">
        <v>30.66</v>
      </c>
      <c r="H283" s="0" t="n">
        <v>101.38</v>
      </c>
      <c r="I283" s="0" t="n">
        <v>24.17</v>
      </c>
      <c r="J283" s="0" t="n">
        <v>79.93000000000001</v>
      </c>
      <c r="K283" s="0" t="n">
        <v>1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101</v>
      </c>
      <c r="X283" s="0" t="n">
        <v>6</v>
      </c>
      <c r="Y283" s="0" t="n">
        <v>5</v>
      </c>
      <c r="Z283" s="0" t="inlineStr">
        <is>
          <t>https://new.land.naver.com/complexes/108939?tab=detail&amp;rf=Y</t>
        </is>
      </c>
      <c r="AA283" s="0" t="inlineStr">
        <is>
          <t>인천시 서구 가좌동 236-23</t>
        </is>
      </c>
      <c r="AB283" s="0" t="inlineStr">
        <is>
          <t>인천시</t>
        </is>
      </c>
      <c r="AC283" s="0" t="inlineStr">
        <is>
          <t>서구</t>
        </is>
      </c>
      <c r="AD283" s="0" t="inlineStr">
        <is>
          <t>가좌동</t>
        </is>
      </c>
      <c r="AG283" s="0" t="inlineStr">
        <is>
          <t>인천시 서구 장고개로 265</t>
        </is>
      </c>
      <c r="AH283" s="0" t="n">
        <v>0</v>
      </c>
      <c r="AI283" s="0" t="n">
        <v>241</v>
      </c>
      <c r="AJ283" s="0" t="n">
        <v>47</v>
      </c>
      <c r="AK283" s="0" t="n">
        <v>16</v>
      </c>
      <c r="AL283" s="0" t="n">
        <v>0.84</v>
      </c>
    </row>
    <row r="284">
      <c r="A284" s="0" t="inlineStr">
        <is>
          <t>[가좌동]</t>
        </is>
      </c>
      <c r="B284" s="0" t="n">
        <v>108939</v>
      </c>
      <c r="C284" s="0" t="n">
        <v>2</v>
      </c>
      <c r="D284" s="0" t="inlineStr">
        <is>
          <t>가좌대미안</t>
        </is>
      </c>
      <c r="E284" s="0" t="inlineStr">
        <is>
          <t>2002.08.</t>
        </is>
      </c>
      <c r="F284" s="0" t="n">
        <v>19</v>
      </c>
      <c r="G284" s="0" t="n">
        <v>31.62</v>
      </c>
      <c r="H284" s="0" t="n">
        <v>104.56</v>
      </c>
      <c r="I284" s="0" t="n">
        <v>24.94</v>
      </c>
      <c r="J284" s="0" t="n">
        <v>82.45</v>
      </c>
      <c r="K284" s="0" t="n">
        <v>4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104A</t>
        </is>
      </c>
      <c r="X284" s="0" t="n">
        <v>6</v>
      </c>
      <c r="Y284" s="0" t="n">
        <v>5</v>
      </c>
      <c r="Z284" s="0" t="inlineStr">
        <is>
          <t>https://new.land.naver.com/complexes/108939?tab=detail&amp;rf=Y</t>
        </is>
      </c>
      <c r="AA284" s="0" t="inlineStr">
        <is>
          <t>인천시 서구 가좌동 236-23</t>
        </is>
      </c>
      <c r="AB284" s="0" t="inlineStr">
        <is>
          <t>인천시</t>
        </is>
      </c>
      <c r="AC284" s="0" t="inlineStr">
        <is>
          <t>서구</t>
        </is>
      </c>
      <c r="AD284" s="0" t="inlineStr">
        <is>
          <t>가좌동</t>
        </is>
      </c>
      <c r="AG284" s="0" t="inlineStr">
        <is>
          <t>인천시 서구 장고개로 265</t>
        </is>
      </c>
      <c r="AH284" s="0" t="n">
        <v>0</v>
      </c>
      <c r="AI284" s="0" t="n">
        <v>241</v>
      </c>
      <c r="AJ284" s="0" t="n">
        <v>47</v>
      </c>
      <c r="AK284" s="0" t="n">
        <v>16</v>
      </c>
      <c r="AL284" s="0" t="n">
        <v>0.84</v>
      </c>
    </row>
    <row r="285">
      <c r="A285" s="0" t="inlineStr">
        <is>
          <t>[가좌동]</t>
        </is>
      </c>
      <c r="B285" s="0" t="n">
        <v>108939</v>
      </c>
      <c r="C285" s="0" t="n">
        <v>3</v>
      </c>
      <c r="D285" s="0" t="inlineStr">
        <is>
          <t>가좌대미안</t>
        </is>
      </c>
      <c r="E285" s="0" t="inlineStr">
        <is>
          <t>2002.08.</t>
        </is>
      </c>
      <c r="F285" s="0" t="n">
        <v>19</v>
      </c>
      <c r="G285" s="0" t="n">
        <v>32.09</v>
      </c>
      <c r="H285" s="0" t="n">
        <v>106.09</v>
      </c>
      <c r="I285" s="0" t="n">
        <v>25.3</v>
      </c>
      <c r="J285" s="0" t="n">
        <v>83.65000000000001</v>
      </c>
      <c r="K285" s="0" t="n">
        <v>5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106B</t>
        </is>
      </c>
      <c r="X285" s="0" t="n">
        <v>6</v>
      </c>
      <c r="Y285" s="0" t="n">
        <v>5</v>
      </c>
      <c r="Z285" s="0" t="inlineStr">
        <is>
          <t>https://new.land.naver.com/complexes/108939?tab=detail&amp;rf=Y</t>
        </is>
      </c>
      <c r="AA285" s="0" t="inlineStr">
        <is>
          <t>인천시 서구 가좌동 236-23</t>
        </is>
      </c>
      <c r="AB285" s="0" t="inlineStr">
        <is>
          <t>인천시</t>
        </is>
      </c>
      <c r="AC285" s="0" t="inlineStr">
        <is>
          <t>서구</t>
        </is>
      </c>
      <c r="AD285" s="0" t="inlineStr">
        <is>
          <t>가좌동</t>
        </is>
      </c>
      <c r="AG285" s="0" t="inlineStr">
        <is>
          <t>인천시 서구 장고개로 265</t>
        </is>
      </c>
      <c r="AH285" s="0" t="n">
        <v>0</v>
      </c>
      <c r="AI285" s="0" t="n">
        <v>241</v>
      </c>
      <c r="AJ285" s="0" t="n">
        <v>47</v>
      </c>
      <c r="AK285" s="0" t="n">
        <v>16</v>
      </c>
      <c r="AL285" s="0" t="n">
        <v>0.84</v>
      </c>
    </row>
    <row r="286">
      <c r="A286" s="0" t="inlineStr">
        <is>
          <t>[가좌동]</t>
        </is>
      </c>
      <c r="B286" s="0" t="n">
        <v>108939</v>
      </c>
      <c r="C286" s="0" t="n">
        <v>4</v>
      </c>
      <c r="D286" s="0" t="inlineStr">
        <is>
          <t>가좌대미안</t>
        </is>
      </c>
      <c r="E286" s="0" t="inlineStr">
        <is>
          <t>2002.08.</t>
        </is>
      </c>
      <c r="F286" s="0" t="n">
        <v>19</v>
      </c>
      <c r="G286" s="0" t="n">
        <v>32.57</v>
      </c>
      <c r="H286" s="0" t="n">
        <v>107.68</v>
      </c>
      <c r="I286" s="0" t="n">
        <v>25.68</v>
      </c>
      <c r="J286" s="0" t="n">
        <v>84.91</v>
      </c>
      <c r="K286" s="0" t="n">
        <v>4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107</v>
      </c>
      <c r="X286" s="0" t="n">
        <v>6</v>
      </c>
      <c r="Y286" s="0" t="n">
        <v>5</v>
      </c>
      <c r="Z286" s="0" t="inlineStr">
        <is>
          <t>https://new.land.naver.com/complexes/108939?tab=detail&amp;rf=Y</t>
        </is>
      </c>
      <c r="AA286" s="0" t="inlineStr">
        <is>
          <t>인천시 서구 가좌동 236-23</t>
        </is>
      </c>
      <c r="AB286" s="0" t="inlineStr">
        <is>
          <t>인천시</t>
        </is>
      </c>
      <c r="AC286" s="0" t="inlineStr">
        <is>
          <t>서구</t>
        </is>
      </c>
      <c r="AD286" s="0" t="inlineStr">
        <is>
          <t>가좌동</t>
        </is>
      </c>
      <c r="AG286" s="0" t="inlineStr">
        <is>
          <t>인천시 서구 장고개로 265</t>
        </is>
      </c>
      <c r="AH286" s="0" t="n">
        <v>0</v>
      </c>
      <c r="AI286" s="0" t="n">
        <v>241</v>
      </c>
      <c r="AJ286" s="0" t="n">
        <v>47</v>
      </c>
      <c r="AK286" s="0" t="n">
        <v>16</v>
      </c>
      <c r="AL286" s="0" t="n">
        <v>0.84</v>
      </c>
    </row>
    <row r="287">
      <c r="A287" s="0" t="inlineStr">
        <is>
          <t>[가좌동]</t>
        </is>
      </c>
      <c r="B287" s="0" t="n">
        <v>108939</v>
      </c>
      <c r="C287" s="0" t="n">
        <v>5</v>
      </c>
      <c r="D287" s="0" t="inlineStr">
        <is>
          <t>가좌대미안</t>
        </is>
      </c>
      <c r="E287" s="0" t="inlineStr">
        <is>
          <t>2002.08.</t>
        </is>
      </c>
      <c r="F287" s="0" t="n">
        <v>19</v>
      </c>
      <c r="G287" s="0" t="n">
        <v>34.73</v>
      </c>
      <c r="H287" s="0" t="n">
        <v>114.81</v>
      </c>
      <c r="I287" s="0" t="n">
        <v>27.38</v>
      </c>
      <c r="J287" s="0" t="n">
        <v>90.53</v>
      </c>
      <c r="K287" s="0" t="n">
        <v>4</v>
      </c>
      <c r="T287" s="0" t="n">
        <v>3</v>
      </c>
      <c r="U287" s="0" t="n">
        <v>2</v>
      </c>
      <c r="V287" s="0" t="inlineStr">
        <is>
          <t>계단식</t>
        </is>
      </c>
      <c r="W287" s="0" t="n">
        <v>114</v>
      </c>
      <c r="X287" s="0" t="n">
        <v>6</v>
      </c>
      <c r="Y287" s="0" t="n">
        <v>5</v>
      </c>
      <c r="Z287" s="0" t="inlineStr">
        <is>
          <t>https://new.land.naver.com/complexes/108939?tab=detail&amp;rf=Y</t>
        </is>
      </c>
      <c r="AA287" s="0" t="inlineStr">
        <is>
          <t>인천시 서구 가좌동 236-23</t>
        </is>
      </c>
      <c r="AB287" s="0" t="inlineStr">
        <is>
          <t>인천시</t>
        </is>
      </c>
      <c r="AC287" s="0" t="inlineStr">
        <is>
          <t>서구</t>
        </is>
      </c>
      <c r="AD287" s="0" t="inlineStr">
        <is>
          <t>가좌동</t>
        </is>
      </c>
      <c r="AG287" s="0" t="inlineStr">
        <is>
          <t>인천시 서구 장고개로 265</t>
        </is>
      </c>
      <c r="AH287" s="0" t="n">
        <v>0</v>
      </c>
      <c r="AI287" s="0" t="n">
        <v>241</v>
      </c>
      <c r="AJ287" s="0" t="n">
        <v>47</v>
      </c>
      <c r="AK287" s="0" t="n">
        <v>16</v>
      </c>
      <c r="AL287" s="0" t="n">
        <v>0.84</v>
      </c>
    </row>
    <row r="288">
      <c r="A288" s="0" t="inlineStr">
        <is>
          <t>[가좌동]</t>
        </is>
      </c>
      <c r="B288" s="0" t="n">
        <v>108939</v>
      </c>
      <c r="C288" s="0" t="n">
        <v>6</v>
      </c>
      <c r="D288" s="0" t="inlineStr">
        <is>
          <t>가좌대미안</t>
        </is>
      </c>
      <c r="E288" s="0" t="inlineStr">
        <is>
          <t>2002.08.</t>
        </is>
      </c>
      <c r="F288" s="0" t="n">
        <v>19</v>
      </c>
      <c r="G288" s="0" t="n">
        <v>67.3</v>
      </c>
      <c r="H288" s="0" t="n">
        <v>222.51</v>
      </c>
      <c r="I288" s="0" t="n">
        <v>53.07</v>
      </c>
      <c r="J288" s="0" t="n">
        <v>175.44</v>
      </c>
      <c r="K288" s="0" t="n">
        <v>1</v>
      </c>
      <c r="T288" s="0" t="n">
        <v>4</v>
      </c>
      <c r="U288" s="0" t="n">
        <v>2</v>
      </c>
      <c r="V288" s="0" t="inlineStr">
        <is>
          <t>계단식</t>
        </is>
      </c>
      <c r="W288" s="0" t="n">
        <v>222</v>
      </c>
      <c r="X288" s="0" t="n">
        <v>6</v>
      </c>
      <c r="Y288" s="0" t="n">
        <v>5</v>
      </c>
      <c r="Z288" s="0" t="inlineStr">
        <is>
          <t>https://new.land.naver.com/complexes/108939?tab=detail&amp;rf=Y</t>
        </is>
      </c>
      <c r="AA288" s="0" t="inlineStr">
        <is>
          <t>인천시 서구 가좌동 236-23</t>
        </is>
      </c>
      <c r="AB288" s="0" t="inlineStr">
        <is>
          <t>인천시</t>
        </is>
      </c>
      <c r="AC288" s="0" t="inlineStr">
        <is>
          <t>서구</t>
        </is>
      </c>
      <c r="AD288" s="0" t="inlineStr">
        <is>
          <t>가좌동</t>
        </is>
      </c>
      <c r="AG288" s="0" t="inlineStr">
        <is>
          <t>인천시 서구 장고개로 265</t>
        </is>
      </c>
      <c r="AH288" s="0" t="n">
        <v>0</v>
      </c>
      <c r="AI288" s="0" t="n">
        <v>241</v>
      </c>
      <c r="AJ288" s="0" t="n">
        <v>47</v>
      </c>
      <c r="AK288" s="0" t="n">
        <v>16</v>
      </c>
      <c r="AL288" s="0" t="n">
        <v>0.84</v>
      </c>
    </row>
    <row r="289">
      <c r="A289" s="0" t="inlineStr">
        <is>
          <t>[가좌동]</t>
        </is>
      </c>
      <c r="B289" s="0" t="n">
        <v>11704</v>
      </c>
      <c r="C289" s="0" t="n">
        <v>1</v>
      </c>
      <c r="D289" s="0" t="inlineStr">
        <is>
          <t>신명1차</t>
        </is>
      </c>
      <c r="E289" s="0" t="inlineStr">
        <is>
          <t>1990.10.</t>
        </is>
      </c>
      <c r="F289" s="0" t="n">
        <v>192</v>
      </c>
      <c r="G289" s="0" t="n">
        <v>20.54</v>
      </c>
      <c r="H289" s="0" t="n">
        <v>67.92</v>
      </c>
      <c r="I289" s="0" t="n">
        <v>16.12</v>
      </c>
      <c r="J289" s="0" t="n">
        <v>53.31</v>
      </c>
      <c r="K289" s="0" t="n">
        <v>96</v>
      </c>
      <c r="T289" s="0" t="n">
        <v>2</v>
      </c>
      <c r="U289" s="0" t="n">
        <v>1</v>
      </c>
      <c r="V289" s="0" t="inlineStr">
        <is>
          <t>계단식</t>
        </is>
      </c>
      <c r="W289" s="0" t="n">
        <v>67</v>
      </c>
      <c r="X289" s="0" t="n">
        <v>6</v>
      </c>
      <c r="Y289" s="0" t="n">
        <v>6</v>
      </c>
      <c r="Z289" s="0" t="inlineStr">
        <is>
          <t>https://new.land.naver.com/complexes/11704?tab=detail&amp;rf=Y</t>
        </is>
      </c>
      <c r="AA289" s="0" t="inlineStr">
        <is>
          <t>인천시 서구 가좌동 148-3</t>
        </is>
      </c>
      <c r="AB289" s="0" t="inlineStr">
        <is>
          <t>인천시</t>
        </is>
      </c>
      <c r="AC289" s="0" t="inlineStr">
        <is>
          <t>서구</t>
        </is>
      </c>
      <c r="AD289" s="0" t="inlineStr">
        <is>
          <t>가좌동</t>
        </is>
      </c>
      <c r="AG289" s="0" t="inlineStr">
        <is>
          <t>인천시 서구 건지로250번길 34</t>
        </is>
      </c>
      <c r="AH289" s="0" t="n">
        <v>0</v>
      </c>
      <c r="AI289" s="0" t="n">
        <v>191</v>
      </c>
      <c r="AJ289" s="0" t="n">
        <v>33</v>
      </c>
      <c r="AK289" s="0" t="n">
        <v>0</v>
      </c>
      <c r="AL289" s="0" t="n">
        <v>0</v>
      </c>
    </row>
    <row r="290">
      <c r="A290" s="0" t="inlineStr">
        <is>
          <t>[가좌동]</t>
        </is>
      </c>
      <c r="B290" s="0" t="n">
        <v>11704</v>
      </c>
      <c r="C290" s="0" t="n">
        <v>2</v>
      </c>
      <c r="D290" s="0" t="inlineStr">
        <is>
          <t>신명1차</t>
        </is>
      </c>
      <c r="E290" s="0" t="inlineStr">
        <is>
          <t>1990.10.</t>
        </is>
      </c>
      <c r="F290" s="0" t="n">
        <v>192</v>
      </c>
      <c r="G290" s="0" t="n">
        <v>22.76</v>
      </c>
      <c r="H290" s="0" t="n">
        <v>75.26000000000001</v>
      </c>
      <c r="I290" s="0" t="n">
        <v>18.05</v>
      </c>
      <c r="J290" s="0" t="n">
        <v>59.67</v>
      </c>
      <c r="K290" s="0" t="n">
        <v>90</v>
      </c>
      <c r="T290" s="0" t="n">
        <v>3</v>
      </c>
      <c r="U290" s="0" t="n">
        <v>1</v>
      </c>
      <c r="V290" s="0" t="inlineStr">
        <is>
          <t>계단식</t>
        </is>
      </c>
      <c r="W290" s="0" t="n">
        <v>75</v>
      </c>
      <c r="X290" s="0" t="n">
        <v>6</v>
      </c>
      <c r="Y290" s="0" t="n">
        <v>6</v>
      </c>
      <c r="Z290" s="0" t="inlineStr">
        <is>
          <t>https://new.land.naver.com/complexes/11704?tab=detail&amp;rf=Y</t>
        </is>
      </c>
      <c r="AA290" s="0" t="inlineStr">
        <is>
          <t>인천시 서구 가좌동 148-3</t>
        </is>
      </c>
      <c r="AB290" s="0" t="inlineStr">
        <is>
          <t>인천시</t>
        </is>
      </c>
      <c r="AC290" s="0" t="inlineStr">
        <is>
          <t>서구</t>
        </is>
      </c>
      <c r="AD290" s="0" t="inlineStr">
        <is>
          <t>가좌동</t>
        </is>
      </c>
      <c r="AG290" s="0" t="inlineStr">
        <is>
          <t>인천시 서구 건지로250번길 34</t>
        </is>
      </c>
      <c r="AH290" s="0" t="n">
        <v>0</v>
      </c>
      <c r="AI290" s="0" t="n">
        <v>191</v>
      </c>
      <c r="AJ290" s="0" t="n">
        <v>33</v>
      </c>
      <c r="AK290" s="0" t="n">
        <v>0</v>
      </c>
      <c r="AL290" s="0" t="n">
        <v>0</v>
      </c>
    </row>
    <row r="291">
      <c r="A291" s="0" t="inlineStr">
        <is>
          <t>[가좌동]</t>
        </is>
      </c>
      <c r="B291" s="0" t="n">
        <v>11704</v>
      </c>
      <c r="C291" s="0" t="n">
        <v>3</v>
      </c>
      <c r="D291" s="0" t="inlineStr">
        <is>
          <t>신명1차</t>
        </is>
      </c>
      <c r="E291" s="0" t="inlineStr">
        <is>
          <t>1990.10.</t>
        </is>
      </c>
      <c r="F291" s="0" t="n">
        <v>192</v>
      </c>
      <c r="G291" s="0" t="n">
        <v>31.91</v>
      </c>
      <c r="H291" s="0" t="n">
        <v>105.51</v>
      </c>
      <c r="I291" s="0" t="n">
        <v>25.69</v>
      </c>
      <c r="J291" s="0" t="n">
        <v>84.93000000000001</v>
      </c>
      <c r="K291" s="0" t="n">
        <v>6</v>
      </c>
      <c r="T291" s="0" t="n">
        <v>3</v>
      </c>
      <c r="U291" s="0" t="n">
        <v>1</v>
      </c>
      <c r="V291" s="0" t="inlineStr">
        <is>
          <t>계단식</t>
        </is>
      </c>
      <c r="W291" s="0" t="n">
        <v>105</v>
      </c>
      <c r="X291" s="0" t="n">
        <v>6</v>
      </c>
      <c r="Y291" s="0" t="n">
        <v>6</v>
      </c>
      <c r="Z291" s="0" t="inlineStr">
        <is>
          <t>https://new.land.naver.com/complexes/11704?tab=detail&amp;rf=Y</t>
        </is>
      </c>
      <c r="AA291" s="0" t="inlineStr">
        <is>
          <t>인천시 서구 가좌동 148-3</t>
        </is>
      </c>
      <c r="AB291" s="0" t="inlineStr">
        <is>
          <t>인천시</t>
        </is>
      </c>
      <c r="AC291" s="0" t="inlineStr">
        <is>
          <t>서구</t>
        </is>
      </c>
      <c r="AD291" s="0" t="inlineStr">
        <is>
          <t>가좌동</t>
        </is>
      </c>
      <c r="AG291" s="0" t="inlineStr">
        <is>
          <t>인천시 서구 건지로250번길 34</t>
        </is>
      </c>
      <c r="AH291" s="0" t="n">
        <v>0</v>
      </c>
      <c r="AI291" s="0" t="n">
        <v>191</v>
      </c>
      <c r="AJ291" s="0" t="n">
        <v>33</v>
      </c>
      <c r="AK291" s="0" t="n">
        <v>0</v>
      </c>
      <c r="AL291" s="0" t="n">
        <v>0</v>
      </c>
    </row>
    <row r="292">
      <c r="A292" s="0" t="inlineStr">
        <is>
          <t>[가좌동]</t>
        </is>
      </c>
      <c r="B292" s="0" t="n">
        <v>11152</v>
      </c>
      <c r="C292" s="0" t="n">
        <v>1</v>
      </c>
      <c r="D292" s="0" t="inlineStr">
        <is>
          <t>인향(199-2)</t>
        </is>
      </c>
      <c r="E292" s="0" t="inlineStr">
        <is>
          <t>1989.05.</t>
        </is>
      </c>
      <c r="F292" s="0" t="n">
        <v>99</v>
      </c>
      <c r="G292" s="0" t="n">
        <v>15.67</v>
      </c>
      <c r="H292" s="0" t="n">
        <v>51.81</v>
      </c>
      <c r="I292" s="0" t="n">
        <v>9.890000000000001</v>
      </c>
      <c r="J292" s="0" t="n">
        <v>32.71</v>
      </c>
      <c r="K292" s="0" t="n">
        <v>24</v>
      </c>
      <c r="T292" s="0" t="n">
        <v>2</v>
      </c>
      <c r="U292" s="0" t="n">
        <v>1</v>
      </c>
      <c r="V292" s="0" t="inlineStr">
        <is>
          <t>계단식</t>
        </is>
      </c>
      <c r="W292" s="0" t="n">
        <v>51</v>
      </c>
      <c r="X292" s="0" t="n">
        <v>5</v>
      </c>
      <c r="Y292" s="0" t="n">
        <v>4</v>
      </c>
      <c r="Z292" s="0" t="inlineStr">
        <is>
          <t>https://new.land.naver.com/complexes/11152?tab=detail&amp;rf=Y</t>
        </is>
      </c>
      <c r="AA292" s="0" t="inlineStr">
        <is>
          <t>인천시 서구 가좌동 199-2</t>
        </is>
      </c>
      <c r="AB292" s="0" t="inlineStr">
        <is>
          <t>인천시</t>
        </is>
      </c>
      <c r="AC292" s="0" t="inlineStr">
        <is>
          <t>서구</t>
        </is>
      </c>
      <c r="AD292" s="0" t="inlineStr">
        <is>
          <t>가좌동</t>
        </is>
      </c>
      <c r="AG292" s="0" t="inlineStr">
        <is>
          <t>인천시 서구 건지로334번길 39</t>
        </is>
      </c>
      <c r="AH292" s="0" t="n">
        <v>0</v>
      </c>
      <c r="AI292" s="0" t="n">
        <v>0</v>
      </c>
      <c r="AJ292" s="0" t="n">
        <v>0</v>
      </c>
      <c r="AK292" s="0" t="n">
        <v>0</v>
      </c>
      <c r="AL292" s="0" t="n">
        <v>0</v>
      </c>
    </row>
    <row r="293">
      <c r="A293" s="0" t="inlineStr">
        <is>
          <t>[가좌동]</t>
        </is>
      </c>
      <c r="B293" s="0" t="n">
        <v>11152</v>
      </c>
      <c r="C293" s="0" t="n">
        <v>2</v>
      </c>
      <c r="D293" s="0" t="inlineStr">
        <is>
          <t>인향(199-2)</t>
        </is>
      </c>
      <c r="E293" s="0" t="inlineStr">
        <is>
          <t>1989.05.</t>
        </is>
      </c>
      <c r="F293" s="0" t="n">
        <v>99</v>
      </c>
      <c r="G293" s="0" t="n">
        <v>18.02</v>
      </c>
      <c r="H293" s="0" t="n">
        <v>59.6</v>
      </c>
      <c r="I293" s="0" t="n">
        <v>13.25</v>
      </c>
      <c r="J293" s="0" t="n">
        <v>43.83</v>
      </c>
      <c r="K293" s="0" t="n">
        <v>70</v>
      </c>
      <c r="T293" s="0" t="n">
        <v>3</v>
      </c>
      <c r="U293" s="0" t="n">
        <v>1</v>
      </c>
      <c r="V293" s="0" t="inlineStr">
        <is>
          <t>계단식</t>
        </is>
      </c>
      <c r="W293" s="0" t="n">
        <v>59</v>
      </c>
      <c r="X293" s="0" t="n">
        <v>5</v>
      </c>
      <c r="Y293" s="0" t="n">
        <v>4</v>
      </c>
      <c r="Z293" s="0" t="inlineStr">
        <is>
          <t>https://new.land.naver.com/complexes/11152?tab=detail&amp;rf=Y</t>
        </is>
      </c>
      <c r="AA293" s="0" t="inlineStr">
        <is>
          <t>인천시 서구 가좌동 199-2</t>
        </is>
      </c>
      <c r="AB293" s="0" t="inlineStr">
        <is>
          <t>인천시</t>
        </is>
      </c>
      <c r="AC293" s="0" t="inlineStr">
        <is>
          <t>서구</t>
        </is>
      </c>
      <c r="AD293" s="0" t="inlineStr">
        <is>
          <t>가좌동</t>
        </is>
      </c>
      <c r="AG293" s="0" t="inlineStr">
        <is>
          <t>인천시 서구 건지로334번길 39</t>
        </is>
      </c>
      <c r="AH293" s="0" t="n">
        <v>0</v>
      </c>
      <c r="AI293" s="0" t="n">
        <v>0</v>
      </c>
      <c r="AJ293" s="0" t="n">
        <v>0</v>
      </c>
      <c r="AK293" s="0" t="n">
        <v>0</v>
      </c>
      <c r="AL293" s="0" t="n">
        <v>0</v>
      </c>
    </row>
    <row r="294">
      <c r="A294" s="0" t="inlineStr">
        <is>
          <t>[가좌동]</t>
        </is>
      </c>
      <c r="B294" s="0" t="n">
        <v>11152</v>
      </c>
      <c r="C294" s="0" t="n">
        <v>3</v>
      </c>
      <c r="D294" s="0" t="inlineStr">
        <is>
          <t>인향(199-2)</t>
        </is>
      </c>
      <c r="E294" s="0" t="inlineStr">
        <is>
          <t>1989.05.</t>
        </is>
      </c>
      <c r="F294" s="0" t="n">
        <v>99</v>
      </c>
      <c r="G294" s="0" t="n">
        <v>21.36</v>
      </c>
      <c r="H294" s="0" t="n">
        <v>70.62</v>
      </c>
      <c r="I294" s="0" t="n">
        <v>14.51</v>
      </c>
      <c r="J294" s="0" t="n">
        <v>47.97</v>
      </c>
      <c r="K294" s="0" t="n">
        <v>5</v>
      </c>
      <c r="T294" s="0" t="n">
        <v>3</v>
      </c>
      <c r="U294" s="0" t="n">
        <v>1</v>
      </c>
      <c r="V294" s="0" t="inlineStr">
        <is>
          <t>계단식</t>
        </is>
      </c>
      <c r="W294" s="0" t="n">
        <v>70</v>
      </c>
      <c r="X294" s="0" t="n">
        <v>5</v>
      </c>
      <c r="Y294" s="0" t="n">
        <v>4</v>
      </c>
      <c r="Z294" s="0" t="inlineStr">
        <is>
          <t>https://new.land.naver.com/complexes/11152?tab=detail&amp;rf=Y</t>
        </is>
      </c>
      <c r="AA294" s="0" t="inlineStr">
        <is>
          <t>인천시 서구 가좌동 199-2</t>
        </is>
      </c>
      <c r="AB294" s="0" t="inlineStr">
        <is>
          <t>인천시</t>
        </is>
      </c>
      <c r="AC294" s="0" t="inlineStr">
        <is>
          <t>서구</t>
        </is>
      </c>
      <c r="AD294" s="0" t="inlineStr">
        <is>
          <t>가좌동</t>
        </is>
      </c>
      <c r="AG294" s="0" t="inlineStr">
        <is>
          <t>인천시 서구 건지로334번길 39</t>
        </is>
      </c>
      <c r="AH294" s="0" t="n">
        <v>0</v>
      </c>
      <c r="AI294" s="0" t="n">
        <v>0</v>
      </c>
      <c r="AJ294" s="0" t="n">
        <v>0</v>
      </c>
      <c r="AK294" s="0" t="n">
        <v>0</v>
      </c>
      <c r="AL294" s="0" t="n">
        <v>0</v>
      </c>
    </row>
    <row r="295">
      <c r="A295" s="0" t="inlineStr">
        <is>
          <t>[가좌동]</t>
        </is>
      </c>
      <c r="B295" s="0" t="n">
        <v>17779</v>
      </c>
      <c r="C295" s="0" t="n">
        <v>1</v>
      </c>
      <c r="D295" s="0" t="inlineStr">
        <is>
          <t>유영</t>
        </is>
      </c>
      <c r="E295" s="0" t="inlineStr">
        <is>
          <t>2004.12.</t>
        </is>
      </c>
      <c r="F295" s="0" t="n">
        <v>200</v>
      </c>
      <c r="G295" s="0" t="n">
        <v>13.17</v>
      </c>
      <c r="H295" s="0" t="n">
        <v>43.55</v>
      </c>
      <c r="I295" s="0" t="n">
        <v>10</v>
      </c>
      <c r="J295" s="0" t="n">
        <v>33.07</v>
      </c>
      <c r="K295" s="0" t="n">
        <v>20</v>
      </c>
      <c r="T295" s="0" t="n">
        <v>2</v>
      </c>
      <c r="U295" s="0" t="n">
        <v>1</v>
      </c>
      <c r="V295" s="0" t="inlineStr">
        <is>
          <t>복도식</t>
        </is>
      </c>
      <c r="W295" s="0" t="n">
        <v>43</v>
      </c>
      <c r="X295" s="0" t="n">
        <v>10</v>
      </c>
      <c r="Y295" s="0" t="n">
        <v>10</v>
      </c>
      <c r="Z295" s="0" t="inlineStr">
        <is>
          <t>https://new.land.naver.com/complexes/17779?tab=detail&amp;rf=Y</t>
        </is>
      </c>
      <c r="AA295" s="0" t="inlineStr">
        <is>
          <t>인천시 서구 가좌동 407</t>
        </is>
      </c>
      <c r="AB295" s="0" t="inlineStr">
        <is>
          <t>인천시</t>
        </is>
      </c>
      <c r="AC295" s="0" t="inlineStr">
        <is>
          <t>서구</t>
        </is>
      </c>
      <c r="AD295" s="0" t="inlineStr">
        <is>
          <t>가좌동</t>
        </is>
      </c>
      <c r="AG295" s="0" t="inlineStr">
        <is>
          <t>인천시 서구 여우재로75번길 3</t>
        </is>
      </c>
      <c r="AH295" s="0" t="n">
        <v>0</v>
      </c>
      <c r="AI295" s="0" t="n">
        <v>199</v>
      </c>
      <c r="AJ295" s="0" t="n">
        <v>21</v>
      </c>
      <c r="AK295" s="0" t="n">
        <v>150</v>
      </c>
      <c r="AL295" s="0" t="n">
        <v>0.75</v>
      </c>
    </row>
    <row r="296">
      <c r="A296" s="0" t="inlineStr">
        <is>
          <t>[가좌동]</t>
        </is>
      </c>
      <c r="B296" s="0" t="n">
        <v>17779</v>
      </c>
      <c r="C296" s="0" t="n">
        <v>2</v>
      </c>
      <c r="D296" s="0" t="inlineStr">
        <is>
          <t>유영</t>
        </is>
      </c>
      <c r="E296" s="0" t="inlineStr">
        <is>
          <t>2004.12.</t>
        </is>
      </c>
      <c r="F296" s="0" t="n">
        <v>200</v>
      </c>
      <c r="G296" s="0" t="n">
        <v>21.64</v>
      </c>
      <c r="H296" s="0" t="n">
        <v>71.56</v>
      </c>
      <c r="I296" s="0" t="n">
        <v>16.8</v>
      </c>
      <c r="J296" s="0" t="n">
        <v>55.55</v>
      </c>
      <c r="K296" s="0" t="n">
        <v>180</v>
      </c>
      <c r="T296" s="0" t="n">
        <v>3</v>
      </c>
      <c r="U296" s="0" t="n">
        <v>1</v>
      </c>
      <c r="V296" s="0" t="inlineStr">
        <is>
          <t>계단식</t>
        </is>
      </c>
      <c r="W296" s="0" t="n">
        <v>71</v>
      </c>
      <c r="X296" s="0" t="n">
        <v>10</v>
      </c>
      <c r="Y296" s="0" t="n">
        <v>10</v>
      </c>
      <c r="Z296" s="0" t="inlineStr">
        <is>
          <t>https://new.land.naver.com/complexes/17779?tab=detail&amp;rf=Y</t>
        </is>
      </c>
      <c r="AA296" s="0" t="inlineStr">
        <is>
          <t>인천시 서구 가좌동 407</t>
        </is>
      </c>
      <c r="AB296" s="0" t="inlineStr">
        <is>
          <t>인천시</t>
        </is>
      </c>
      <c r="AC296" s="0" t="inlineStr">
        <is>
          <t>서구</t>
        </is>
      </c>
      <c r="AD296" s="0" t="inlineStr">
        <is>
          <t>가좌동</t>
        </is>
      </c>
      <c r="AG296" s="0" t="inlineStr">
        <is>
          <t>인천시 서구 여우재로75번길 3</t>
        </is>
      </c>
      <c r="AH296" s="0" t="n">
        <v>0</v>
      </c>
      <c r="AI296" s="0" t="n">
        <v>199</v>
      </c>
      <c r="AJ296" s="0" t="n">
        <v>21</v>
      </c>
      <c r="AK296" s="0" t="n">
        <v>150</v>
      </c>
      <c r="AL296" s="0" t="n">
        <v>0.75</v>
      </c>
    </row>
    <row r="297">
      <c r="A297" s="0" t="inlineStr">
        <is>
          <t>[가좌동]</t>
        </is>
      </c>
      <c r="B297" s="0" t="n">
        <v>9614</v>
      </c>
      <c r="C297" s="0" t="n">
        <v>1</v>
      </c>
      <c r="D297" s="0" t="inlineStr">
        <is>
          <t>현대3차</t>
        </is>
      </c>
      <c r="E297" s="0" t="inlineStr">
        <is>
          <t>1998.11.</t>
        </is>
      </c>
      <c r="F297" s="0" t="n">
        <v>263</v>
      </c>
      <c r="G297" s="0" t="n">
        <v>25.2</v>
      </c>
      <c r="H297" s="0" t="n">
        <v>83.31</v>
      </c>
      <c r="I297" s="0" t="n">
        <v>18.09</v>
      </c>
      <c r="J297" s="0" t="n">
        <v>59.82</v>
      </c>
      <c r="K297" s="0" t="n">
        <v>63</v>
      </c>
      <c r="T297" s="0" t="n">
        <v>3</v>
      </c>
      <c r="U297" s="0" t="n">
        <v>1</v>
      </c>
      <c r="V297" s="0" t="inlineStr">
        <is>
          <t>복도식</t>
        </is>
      </c>
      <c r="W297" s="0" t="n">
        <v>83</v>
      </c>
      <c r="X297" s="0" t="n">
        <v>24</v>
      </c>
      <c r="Y297" s="0" t="n">
        <v>12</v>
      </c>
      <c r="Z297" s="0" t="inlineStr">
        <is>
          <t>https://new.land.naver.com/complexes/9614?tab=detail&amp;rf=Y</t>
        </is>
      </c>
      <c r="AA297" s="0" t="inlineStr">
        <is>
          <t>인천시 서구 가좌동 122-2</t>
        </is>
      </c>
      <c r="AB297" s="0" t="inlineStr">
        <is>
          <t>인천시</t>
        </is>
      </c>
      <c r="AC297" s="0" t="inlineStr">
        <is>
          <t>서구</t>
        </is>
      </c>
      <c r="AD297" s="0" t="inlineStr">
        <is>
          <t>가좌동</t>
        </is>
      </c>
      <c r="AG297" s="0" t="inlineStr">
        <is>
          <t>인천시 서구 원적로95번길 5</t>
        </is>
      </c>
      <c r="AH297" s="0" t="n">
        <v>0</v>
      </c>
      <c r="AI297" s="0" t="n">
        <v>0</v>
      </c>
      <c r="AJ297" s="0" t="n">
        <v>0</v>
      </c>
      <c r="AK297" s="0" t="n">
        <v>257</v>
      </c>
      <c r="AL297" s="0" t="n">
        <v>0.98</v>
      </c>
    </row>
    <row r="298">
      <c r="A298" s="0" t="inlineStr">
        <is>
          <t>[가좌동]</t>
        </is>
      </c>
      <c r="B298" s="0" t="n">
        <v>9614</v>
      </c>
      <c r="C298" s="0" t="n">
        <v>2</v>
      </c>
      <c r="D298" s="0" t="inlineStr">
        <is>
          <t>현대3차</t>
        </is>
      </c>
      <c r="E298" s="0" t="inlineStr">
        <is>
          <t>1998.11.</t>
        </is>
      </c>
      <c r="F298" s="0" t="n">
        <v>263</v>
      </c>
      <c r="G298" s="0" t="n">
        <v>25.81</v>
      </c>
      <c r="H298" s="0" t="n">
        <v>85.33</v>
      </c>
      <c r="I298" s="0" t="n">
        <v>18.13</v>
      </c>
      <c r="J298" s="0" t="n">
        <v>59.94</v>
      </c>
      <c r="K298" s="0" t="n">
        <v>68</v>
      </c>
      <c r="T298" s="0" t="n">
        <v>3</v>
      </c>
      <c r="U298" s="0" t="n">
        <v>1</v>
      </c>
      <c r="V298" s="0" t="inlineStr">
        <is>
          <t>계단식</t>
        </is>
      </c>
      <c r="W298" s="0" t="n">
        <v>85</v>
      </c>
      <c r="X298" s="0" t="n">
        <v>24</v>
      </c>
      <c r="Y298" s="0" t="n">
        <v>12</v>
      </c>
      <c r="Z298" s="0" t="inlineStr">
        <is>
          <t>https://new.land.naver.com/complexes/9614?tab=detail&amp;rf=Y</t>
        </is>
      </c>
      <c r="AA298" s="0" t="inlineStr">
        <is>
          <t>인천시 서구 가좌동 122-2</t>
        </is>
      </c>
      <c r="AB298" s="0" t="inlineStr">
        <is>
          <t>인천시</t>
        </is>
      </c>
      <c r="AC298" s="0" t="inlineStr">
        <is>
          <t>서구</t>
        </is>
      </c>
      <c r="AD298" s="0" t="inlineStr">
        <is>
          <t>가좌동</t>
        </is>
      </c>
      <c r="AG298" s="0" t="inlineStr">
        <is>
          <t>인천시 서구 원적로95번길 5</t>
        </is>
      </c>
      <c r="AH298" s="0" t="n">
        <v>0</v>
      </c>
      <c r="AI298" s="0" t="n">
        <v>0</v>
      </c>
      <c r="AJ298" s="0" t="n">
        <v>0</v>
      </c>
      <c r="AK298" s="0" t="n">
        <v>257</v>
      </c>
      <c r="AL298" s="0" t="n">
        <v>0.98</v>
      </c>
    </row>
    <row r="299">
      <c r="A299" s="0" t="inlineStr">
        <is>
          <t>[가좌동]</t>
        </is>
      </c>
      <c r="B299" s="0" t="n">
        <v>9614</v>
      </c>
      <c r="C299" s="0" t="n">
        <v>3</v>
      </c>
      <c r="D299" s="0" t="inlineStr">
        <is>
          <t>현대3차</t>
        </is>
      </c>
      <c r="E299" s="0" t="inlineStr">
        <is>
          <t>1998.11.</t>
        </is>
      </c>
      <c r="F299" s="0" t="n">
        <v>263</v>
      </c>
      <c r="G299" s="0" t="n">
        <v>33.01</v>
      </c>
      <c r="H299" s="0" t="n">
        <v>109.13</v>
      </c>
      <c r="I299" s="0" t="n">
        <v>25.65</v>
      </c>
      <c r="J299" s="0" t="n">
        <v>84.81</v>
      </c>
      <c r="K299" s="0" t="n">
        <v>132</v>
      </c>
      <c r="T299" s="0" t="n">
        <v>3</v>
      </c>
      <c r="U299" s="0" t="n">
        <v>2</v>
      </c>
      <c r="V299" s="0" t="inlineStr">
        <is>
          <t>계단식</t>
        </is>
      </c>
      <c r="W299" s="0" t="n">
        <v>109</v>
      </c>
      <c r="X299" s="0" t="n">
        <v>24</v>
      </c>
      <c r="Y299" s="0" t="n">
        <v>12</v>
      </c>
      <c r="Z299" s="0" t="inlineStr">
        <is>
          <t>https://new.land.naver.com/complexes/9614?tab=detail&amp;rf=Y</t>
        </is>
      </c>
      <c r="AA299" s="0" t="inlineStr">
        <is>
          <t>인천시 서구 가좌동 122-2</t>
        </is>
      </c>
      <c r="AB299" s="0" t="inlineStr">
        <is>
          <t>인천시</t>
        </is>
      </c>
      <c r="AC299" s="0" t="inlineStr">
        <is>
          <t>서구</t>
        </is>
      </c>
      <c r="AD299" s="0" t="inlineStr">
        <is>
          <t>가좌동</t>
        </is>
      </c>
      <c r="AG299" s="0" t="inlineStr">
        <is>
          <t>인천시 서구 원적로95번길 5</t>
        </is>
      </c>
      <c r="AH299" s="0" t="n">
        <v>0</v>
      </c>
      <c r="AI299" s="0" t="n">
        <v>0</v>
      </c>
      <c r="AJ299" s="0" t="n">
        <v>0</v>
      </c>
      <c r="AK299" s="0" t="n">
        <v>257</v>
      </c>
      <c r="AL299" s="0" t="n">
        <v>0.98</v>
      </c>
    </row>
    <row r="300">
      <c r="A300" s="0" t="inlineStr">
        <is>
          <t>[가좌동]</t>
        </is>
      </c>
      <c r="B300" s="0" t="n">
        <v>10912</v>
      </c>
      <c r="C300" s="0" t="n">
        <v>1</v>
      </c>
      <c r="D300" s="0" t="inlineStr">
        <is>
          <t>효정</t>
        </is>
      </c>
      <c r="E300" s="0" t="inlineStr">
        <is>
          <t>1988.11.</t>
        </is>
      </c>
      <c r="F300" s="0" t="n">
        <v>170</v>
      </c>
      <c r="G300" s="0" t="n">
        <v>15.64</v>
      </c>
      <c r="H300" s="0" t="n">
        <v>51.73</v>
      </c>
      <c r="I300" s="0" t="n">
        <v>12.83</v>
      </c>
      <c r="J300" s="0" t="n">
        <v>42.43</v>
      </c>
      <c r="K300" s="0" t="n">
        <v>100</v>
      </c>
      <c r="T300" s="0" t="n">
        <v>2</v>
      </c>
      <c r="U300" s="0" t="n">
        <v>1</v>
      </c>
      <c r="V300" s="0" t="inlineStr">
        <is>
          <t>계단식</t>
        </is>
      </c>
      <c r="W300" s="0" t="n">
        <v>51</v>
      </c>
      <c r="X300" s="0" t="n">
        <v>5</v>
      </c>
      <c r="Y300" s="0" t="n">
        <v>5</v>
      </c>
      <c r="Z300" s="0" t="inlineStr">
        <is>
          <t>https://new.land.naver.com/complexes/10912?tab=detail&amp;rf=Y</t>
        </is>
      </c>
      <c r="AA300" s="0" t="inlineStr">
        <is>
          <t>인천시 서구 가좌동 30-89</t>
        </is>
      </c>
      <c r="AB300" s="0" t="inlineStr">
        <is>
          <t>인천시</t>
        </is>
      </c>
      <c r="AC300" s="0" t="inlineStr">
        <is>
          <t>서구</t>
        </is>
      </c>
      <c r="AD300" s="0" t="inlineStr">
        <is>
          <t>가좌동</t>
        </is>
      </c>
      <c r="AG300" s="0" t="inlineStr">
        <is>
          <t>인천시 서구 장고개로309번길 13</t>
        </is>
      </c>
      <c r="AH300" s="0" t="n">
        <v>0</v>
      </c>
      <c r="AI300" s="0" t="n">
        <v>149</v>
      </c>
      <c r="AJ300" s="0" t="n">
        <v>29</v>
      </c>
      <c r="AK300" s="0" t="n">
        <v>0</v>
      </c>
      <c r="AL300" s="0" t="n">
        <v>0</v>
      </c>
    </row>
    <row r="301">
      <c r="A301" s="0" t="inlineStr">
        <is>
          <t>[가좌동]</t>
        </is>
      </c>
      <c r="B301" s="0" t="n">
        <v>10912</v>
      </c>
      <c r="C301" s="0" t="n">
        <v>2</v>
      </c>
      <c r="D301" s="0" t="inlineStr">
        <is>
          <t>효정</t>
        </is>
      </c>
      <c r="E301" s="0" t="inlineStr">
        <is>
          <t>1988.11.</t>
        </is>
      </c>
      <c r="F301" s="0" t="n">
        <v>170</v>
      </c>
      <c r="G301" s="0" t="n">
        <v>20.16</v>
      </c>
      <c r="H301" s="0" t="n">
        <v>66.65000000000001</v>
      </c>
      <c r="I301" s="0" t="n">
        <v>17</v>
      </c>
      <c r="J301" s="0" t="n">
        <v>56.2</v>
      </c>
      <c r="K301" s="0" t="n">
        <v>70</v>
      </c>
      <c r="T301" s="0" t="n">
        <v>3</v>
      </c>
      <c r="U301" s="0" t="n">
        <v>1</v>
      </c>
      <c r="V301" s="0" t="inlineStr">
        <is>
          <t>계단식</t>
        </is>
      </c>
      <c r="W301" s="0" t="n">
        <v>66</v>
      </c>
      <c r="X301" s="0" t="n">
        <v>5</v>
      </c>
      <c r="Y301" s="0" t="n">
        <v>5</v>
      </c>
      <c r="Z301" s="0" t="inlineStr">
        <is>
          <t>https://new.land.naver.com/complexes/10912?tab=detail&amp;rf=Y</t>
        </is>
      </c>
      <c r="AA301" s="0" t="inlineStr">
        <is>
          <t>인천시 서구 가좌동 30-89</t>
        </is>
      </c>
      <c r="AB301" s="0" t="inlineStr">
        <is>
          <t>인천시</t>
        </is>
      </c>
      <c r="AC301" s="0" t="inlineStr">
        <is>
          <t>서구</t>
        </is>
      </c>
      <c r="AD301" s="0" t="inlineStr">
        <is>
          <t>가좌동</t>
        </is>
      </c>
      <c r="AG301" s="0" t="inlineStr">
        <is>
          <t>인천시 서구 장고개로309번길 13</t>
        </is>
      </c>
      <c r="AH301" s="0" t="n">
        <v>0</v>
      </c>
      <c r="AI301" s="0" t="n">
        <v>149</v>
      </c>
      <c r="AJ301" s="0" t="n">
        <v>29</v>
      </c>
      <c r="AK301" s="0" t="n">
        <v>0</v>
      </c>
      <c r="AL301" s="0" t="n">
        <v>0</v>
      </c>
    </row>
    <row r="302">
      <c r="A302" s="0" t="inlineStr">
        <is>
          <t>[가좌동]</t>
        </is>
      </c>
      <c r="B302" s="0" t="n">
        <v>12802</v>
      </c>
      <c r="C302" s="0" t="n">
        <v>1</v>
      </c>
      <c r="D302" s="0" t="inlineStr">
        <is>
          <t>동진</t>
        </is>
      </c>
      <c r="E302" s="0" t="inlineStr">
        <is>
          <t>1989.04.</t>
        </is>
      </c>
      <c r="F302" s="0" t="n">
        <v>132</v>
      </c>
      <c r="G302" s="0" t="n">
        <v>15.43</v>
      </c>
      <c r="H302" s="0" t="n">
        <v>51.04</v>
      </c>
      <c r="I302" s="0" t="n">
        <v>11.39</v>
      </c>
      <c r="J302" s="0" t="n">
        <v>37.68</v>
      </c>
      <c r="K302" s="0" t="n">
        <v>66</v>
      </c>
      <c r="T302" s="0" t="n">
        <v>2</v>
      </c>
      <c r="U302" s="0" t="n">
        <v>1</v>
      </c>
      <c r="V302" s="0" t="inlineStr">
        <is>
          <t>계단식</t>
        </is>
      </c>
      <c r="W302" s="0" t="n">
        <v>51</v>
      </c>
      <c r="X302" s="0" t="n">
        <v>6</v>
      </c>
      <c r="Y302" s="0" t="n">
        <v>6</v>
      </c>
      <c r="Z302" s="0" t="inlineStr">
        <is>
          <t>https://new.land.naver.com/complexes/12802?tab=detail&amp;rf=Y</t>
        </is>
      </c>
      <c r="AA302" s="0" t="inlineStr">
        <is>
          <t>인천시 서구 가좌동 121-14</t>
        </is>
      </c>
      <c r="AB302" s="0" t="inlineStr">
        <is>
          <t>인천시</t>
        </is>
      </c>
      <c r="AC302" s="0" t="inlineStr">
        <is>
          <t>서구</t>
        </is>
      </c>
      <c r="AD302" s="0" t="inlineStr">
        <is>
          <t>가좌동</t>
        </is>
      </c>
      <c r="AG302" s="0" t="inlineStr">
        <is>
          <t>인천시 서구 원적로95번길 16</t>
        </is>
      </c>
      <c r="AH302" s="0" t="n">
        <v>0</v>
      </c>
      <c r="AI302" s="0" t="n">
        <v>155</v>
      </c>
      <c r="AJ302" s="0" t="n">
        <v>37</v>
      </c>
      <c r="AK302" s="0" t="n">
        <v>0</v>
      </c>
      <c r="AL302" s="0" t="n">
        <v>0</v>
      </c>
    </row>
    <row r="303">
      <c r="A303" s="0" t="inlineStr">
        <is>
          <t>[가좌동]</t>
        </is>
      </c>
      <c r="B303" s="0" t="n">
        <v>12802</v>
      </c>
      <c r="C303" s="0" t="n">
        <v>2</v>
      </c>
      <c r="D303" s="0" t="inlineStr">
        <is>
          <t>동진</t>
        </is>
      </c>
      <c r="E303" s="0" t="inlineStr">
        <is>
          <t>1989.04.</t>
        </is>
      </c>
      <c r="F303" s="0" t="n">
        <v>132</v>
      </c>
      <c r="G303" s="0" t="n">
        <v>15.56</v>
      </c>
      <c r="H303" s="0" t="n">
        <v>51.47</v>
      </c>
      <c r="I303" s="0" t="n">
        <v>12.05</v>
      </c>
      <c r="J303" s="0" t="n">
        <v>39.84</v>
      </c>
      <c r="K303" s="0" t="n">
        <v>6</v>
      </c>
      <c r="T303" s="0" t="n">
        <v>2</v>
      </c>
      <c r="U303" s="0" t="n">
        <v>1</v>
      </c>
      <c r="V303" s="0" t="inlineStr">
        <is>
          <t>계단식</t>
        </is>
      </c>
      <c r="W303" s="0" t="inlineStr">
        <is>
          <t>51A</t>
        </is>
      </c>
      <c r="X303" s="0" t="n">
        <v>6</v>
      </c>
      <c r="Y303" s="0" t="n">
        <v>6</v>
      </c>
      <c r="Z303" s="0" t="inlineStr">
        <is>
          <t>https://new.land.naver.com/complexes/12802?tab=detail&amp;rf=Y</t>
        </is>
      </c>
      <c r="AA303" s="0" t="inlineStr">
        <is>
          <t>인천시 서구 가좌동 121-14</t>
        </is>
      </c>
      <c r="AB303" s="0" t="inlineStr">
        <is>
          <t>인천시</t>
        </is>
      </c>
      <c r="AC303" s="0" t="inlineStr">
        <is>
          <t>서구</t>
        </is>
      </c>
      <c r="AD303" s="0" t="inlineStr">
        <is>
          <t>가좌동</t>
        </is>
      </c>
      <c r="AG303" s="0" t="inlineStr">
        <is>
          <t>인천시 서구 원적로95번길 16</t>
        </is>
      </c>
      <c r="AH303" s="0" t="n">
        <v>0</v>
      </c>
      <c r="AI303" s="0" t="n">
        <v>155</v>
      </c>
      <c r="AJ303" s="0" t="n">
        <v>37</v>
      </c>
      <c r="AK303" s="0" t="n">
        <v>0</v>
      </c>
      <c r="AL303" s="0" t="n">
        <v>0</v>
      </c>
    </row>
    <row r="304">
      <c r="A304" s="0" t="inlineStr">
        <is>
          <t>[가좌동]</t>
        </is>
      </c>
      <c r="B304" s="0" t="n">
        <v>12802</v>
      </c>
      <c r="C304" s="0" t="n">
        <v>3</v>
      </c>
      <c r="D304" s="0" t="inlineStr">
        <is>
          <t>동진</t>
        </is>
      </c>
      <c r="E304" s="0" t="inlineStr">
        <is>
          <t>1989.04.</t>
        </is>
      </c>
      <c r="F304" s="0" t="n">
        <v>132</v>
      </c>
      <c r="G304" s="0" t="n">
        <v>16.32</v>
      </c>
      <c r="H304" s="0" t="n">
        <v>53.98</v>
      </c>
      <c r="I304" s="0" t="n">
        <v>12.16</v>
      </c>
      <c r="J304" s="0" t="n">
        <v>40.2</v>
      </c>
      <c r="K304" s="0" t="n">
        <v>42</v>
      </c>
      <c r="T304" s="0" t="n">
        <v>2</v>
      </c>
      <c r="U304" s="0" t="n">
        <v>1</v>
      </c>
      <c r="V304" s="0" t="inlineStr">
        <is>
          <t>계단식</t>
        </is>
      </c>
      <c r="W304" s="0" t="inlineStr">
        <is>
          <t>53B</t>
        </is>
      </c>
      <c r="X304" s="0" t="n">
        <v>6</v>
      </c>
      <c r="Y304" s="0" t="n">
        <v>6</v>
      </c>
      <c r="Z304" s="0" t="inlineStr">
        <is>
          <t>https://new.land.naver.com/complexes/12802?tab=detail&amp;rf=Y</t>
        </is>
      </c>
      <c r="AA304" s="0" t="inlineStr">
        <is>
          <t>인천시 서구 가좌동 121-14</t>
        </is>
      </c>
      <c r="AB304" s="0" t="inlineStr">
        <is>
          <t>인천시</t>
        </is>
      </c>
      <c r="AC304" s="0" t="inlineStr">
        <is>
          <t>서구</t>
        </is>
      </c>
      <c r="AD304" s="0" t="inlineStr">
        <is>
          <t>가좌동</t>
        </is>
      </c>
      <c r="AG304" s="0" t="inlineStr">
        <is>
          <t>인천시 서구 원적로95번길 16</t>
        </is>
      </c>
      <c r="AH304" s="0" t="n">
        <v>0</v>
      </c>
      <c r="AI304" s="0" t="n">
        <v>155</v>
      </c>
      <c r="AJ304" s="0" t="n">
        <v>37</v>
      </c>
      <c r="AK304" s="0" t="n">
        <v>0</v>
      </c>
      <c r="AL304" s="0" t="n">
        <v>0</v>
      </c>
    </row>
    <row r="305">
      <c r="A305" s="0" t="inlineStr">
        <is>
          <t>[가좌동]</t>
        </is>
      </c>
      <c r="B305" s="0" t="n">
        <v>12802</v>
      </c>
      <c r="C305" s="0" t="n">
        <v>4</v>
      </c>
      <c r="D305" s="0" t="inlineStr">
        <is>
          <t>동진</t>
        </is>
      </c>
      <c r="E305" s="0" t="inlineStr">
        <is>
          <t>1989.04.</t>
        </is>
      </c>
      <c r="F305" s="0" t="n">
        <v>132</v>
      </c>
      <c r="G305" s="0" t="n">
        <v>16.74</v>
      </c>
      <c r="H305" s="0" t="n">
        <v>55.35</v>
      </c>
      <c r="I305" s="0" t="n">
        <v>12.82</v>
      </c>
      <c r="J305" s="0" t="n">
        <v>42.4</v>
      </c>
      <c r="K305" s="0" t="n">
        <v>6</v>
      </c>
      <c r="T305" s="0" t="n">
        <v>2</v>
      </c>
      <c r="U305" s="0" t="n">
        <v>1</v>
      </c>
      <c r="V305" s="0" t="inlineStr">
        <is>
          <t>계단식</t>
        </is>
      </c>
      <c r="W305" s="0" t="n">
        <v>55</v>
      </c>
      <c r="X305" s="0" t="n">
        <v>6</v>
      </c>
      <c r="Y305" s="0" t="n">
        <v>6</v>
      </c>
      <c r="Z305" s="0" t="inlineStr">
        <is>
          <t>https://new.land.naver.com/complexes/12802?tab=detail&amp;rf=Y</t>
        </is>
      </c>
      <c r="AA305" s="0" t="inlineStr">
        <is>
          <t>인천시 서구 가좌동 121-14</t>
        </is>
      </c>
      <c r="AB305" s="0" t="inlineStr">
        <is>
          <t>인천시</t>
        </is>
      </c>
      <c r="AC305" s="0" t="inlineStr">
        <is>
          <t>서구</t>
        </is>
      </c>
      <c r="AD305" s="0" t="inlineStr">
        <is>
          <t>가좌동</t>
        </is>
      </c>
      <c r="AG305" s="0" t="inlineStr">
        <is>
          <t>인천시 서구 원적로95번길 16</t>
        </is>
      </c>
      <c r="AH305" s="0" t="n">
        <v>0</v>
      </c>
      <c r="AI305" s="0" t="n">
        <v>155</v>
      </c>
      <c r="AJ305" s="0" t="n">
        <v>37</v>
      </c>
      <c r="AK305" s="0" t="n">
        <v>0</v>
      </c>
      <c r="AL305" s="0" t="n">
        <v>0</v>
      </c>
    </row>
    <row r="306">
      <c r="A306" s="0" t="inlineStr">
        <is>
          <t>[가좌동]</t>
        </is>
      </c>
      <c r="B306" s="0" t="n">
        <v>12802</v>
      </c>
      <c r="C306" s="0" t="n">
        <v>5</v>
      </c>
      <c r="D306" s="0" t="inlineStr">
        <is>
          <t>동진</t>
        </is>
      </c>
      <c r="E306" s="0" t="inlineStr">
        <is>
          <t>1989.04.</t>
        </is>
      </c>
      <c r="F306" s="0" t="n">
        <v>132</v>
      </c>
      <c r="G306" s="0" t="n">
        <v>18.11</v>
      </c>
      <c r="H306" s="0" t="n">
        <v>59.89</v>
      </c>
      <c r="I306" s="0" t="n">
        <v>13.87</v>
      </c>
      <c r="J306" s="0" t="n">
        <v>45.88</v>
      </c>
      <c r="K306" s="0" t="n">
        <v>6</v>
      </c>
      <c r="T306" s="0" t="n">
        <v>2</v>
      </c>
      <c r="U306" s="0" t="n">
        <v>1</v>
      </c>
      <c r="V306" s="0" t="inlineStr">
        <is>
          <t>계단식</t>
        </is>
      </c>
      <c r="W306" s="0" t="n">
        <v>59</v>
      </c>
      <c r="X306" s="0" t="n">
        <v>6</v>
      </c>
      <c r="Y306" s="0" t="n">
        <v>6</v>
      </c>
      <c r="Z306" s="0" t="inlineStr">
        <is>
          <t>https://new.land.naver.com/complexes/12802?tab=detail&amp;rf=Y</t>
        </is>
      </c>
      <c r="AA306" s="0" t="inlineStr">
        <is>
          <t>인천시 서구 가좌동 121-14</t>
        </is>
      </c>
      <c r="AB306" s="0" t="inlineStr">
        <is>
          <t>인천시</t>
        </is>
      </c>
      <c r="AC306" s="0" t="inlineStr">
        <is>
          <t>서구</t>
        </is>
      </c>
      <c r="AD306" s="0" t="inlineStr">
        <is>
          <t>가좌동</t>
        </is>
      </c>
      <c r="AG306" s="0" t="inlineStr">
        <is>
          <t>인천시 서구 원적로95번길 16</t>
        </is>
      </c>
      <c r="AH306" s="0" t="n">
        <v>0</v>
      </c>
      <c r="AI306" s="0" t="n">
        <v>155</v>
      </c>
      <c r="AJ306" s="0" t="n">
        <v>37</v>
      </c>
      <c r="AK306" s="0" t="n">
        <v>0</v>
      </c>
      <c r="AL306" s="0" t="n">
        <v>0</v>
      </c>
    </row>
    <row r="307">
      <c r="A307" s="0" t="inlineStr">
        <is>
          <t>[가좌동]</t>
        </is>
      </c>
      <c r="B307" s="0" t="n">
        <v>12802</v>
      </c>
      <c r="C307" s="0" t="n">
        <v>6</v>
      </c>
      <c r="D307" s="0" t="inlineStr">
        <is>
          <t>동진</t>
        </is>
      </c>
      <c r="E307" s="0" t="inlineStr">
        <is>
          <t>1989.04.</t>
        </is>
      </c>
      <c r="F307" s="0" t="n">
        <v>132</v>
      </c>
      <c r="G307" s="0" t="n">
        <v>19.29</v>
      </c>
      <c r="H307" s="0" t="n">
        <v>63.78</v>
      </c>
      <c r="I307" s="0" t="n">
        <v>14.7</v>
      </c>
      <c r="J307" s="0" t="n">
        <v>48.6</v>
      </c>
      <c r="K307" s="0" t="n">
        <v>6</v>
      </c>
      <c r="T307" s="0" t="n">
        <v>2</v>
      </c>
      <c r="U307" s="0" t="n">
        <v>1</v>
      </c>
      <c r="V307" s="0" t="inlineStr">
        <is>
          <t>계단식</t>
        </is>
      </c>
      <c r="W307" s="0" t="n">
        <v>63</v>
      </c>
      <c r="X307" s="0" t="n">
        <v>6</v>
      </c>
      <c r="Y307" s="0" t="n">
        <v>6</v>
      </c>
      <c r="Z307" s="0" t="inlineStr">
        <is>
          <t>https://new.land.naver.com/complexes/12802?tab=detail&amp;rf=Y</t>
        </is>
      </c>
      <c r="AA307" s="0" t="inlineStr">
        <is>
          <t>인천시 서구 가좌동 121-14</t>
        </is>
      </c>
      <c r="AB307" s="0" t="inlineStr">
        <is>
          <t>인천시</t>
        </is>
      </c>
      <c r="AC307" s="0" t="inlineStr">
        <is>
          <t>서구</t>
        </is>
      </c>
      <c r="AD307" s="0" t="inlineStr">
        <is>
          <t>가좌동</t>
        </is>
      </c>
      <c r="AG307" s="0" t="inlineStr">
        <is>
          <t>인천시 서구 원적로95번길 16</t>
        </is>
      </c>
      <c r="AH307" s="0" t="n">
        <v>0</v>
      </c>
      <c r="AI307" s="0" t="n">
        <v>155</v>
      </c>
      <c r="AJ307" s="0" t="n">
        <v>37</v>
      </c>
      <c r="AK307" s="0" t="n">
        <v>0</v>
      </c>
      <c r="AL307" s="0" t="n">
        <v>0</v>
      </c>
    </row>
    <row r="308">
      <c r="A308" s="0" t="inlineStr">
        <is>
          <t>[가좌동]</t>
        </is>
      </c>
      <c r="B308" s="0" t="n">
        <v>11705</v>
      </c>
      <c r="C308" s="0" t="n">
        <v>1</v>
      </c>
      <c r="D308" s="0" t="inlineStr">
        <is>
          <t>신명2차</t>
        </is>
      </c>
      <c r="E308" s="0" t="inlineStr">
        <is>
          <t>1990.12.</t>
        </is>
      </c>
      <c r="F308" s="0" t="n">
        <v>228</v>
      </c>
      <c r="G308" s="0" t="n">
        <v>16.25</v>
      </c>
      <c r="H308" s="0" t="n">
        <v>53.73</v>
      </c>
      <c r="I308" s="0" t="n">
        <v>12.47</v>
      </c>
      <c r="J308" s="0" t="n">
        <v>41.25</v>
      </c>
      <c r="K308" s="0" t="n">
        <v>48</v>
      </c>
      <c r="T308" s="0" t="n">
        <v>2</v>
      </c>
      <c r="U308" s="0" t="n">
        <v>1</v>
      </c>
      <c r="V308" s="0" t="inlineStr">
        <is>
          <t>계단식</t>
        </is>
      </c>
      <c r="W308" s="0" t="n">
        <v>53</v>
      </c>
      <c r="X308" s="0" t="n">
        <v>6</v>
      </c>
      <c r="Y308" s="0" t="n">
        <v>6</v>
      </c>
      <c r="Z308" s="0" t="inlineStr">
        <is>
          <t>https://new.land.naver.com/complexes/11705?tab=detail&amp;rf=Y</t>
        </is>
      </c>
      <c r="AA308" s="0" t="inlineStr">
        <is>
          <t>인천시 서구 가좌동 139-2</t>
        </is>
      </c>
      <c r="AB308" s="0" t="inlineStr">
        <is>
          <t>인천시</t>
        </is>
      </c>
      <c r="AC308" s="0" t="inlineStr">
        <is>
          <t>서구</t>
        </is>
      </c>
      <c r="AD308" s="0" t="inlineStr">
        <is>
          <t>가좌동</t>
        </is>
      </c>
      <c r="AG308" s="0" t="inlineStr">
        <is>
          <t>인천시 서구 가정로125번길 4</t>
        </is>
      </c>
      <c r="AH308" s="0" t="n">
        <v>0</v>
      </c>
      <c r="AI308" s="0" t="n">
        <v>178</v>
      </c>
      <c r="AJ308" s="0" t="n">
        <v>29</v>
      </c>
      <c r="AK308" s="0" t="n">
        <v>0</v>
      </c>
      <c r="AL308" s="0" t="n">
        <v>0</v>
      </c>
    </row>
    <row r="309">
      <c r="A309" s="0" t="inlineStr">
        <is>
          <t>[가좌동]</t>
        </is>
      </c>
      <c r="B309" s="0" t="n">
        <v>11705</v>
      </c>
      <c r="C309" s="0" t="n">
        <v>2</v>
      </c>
      <c r="D309" s="0" t="inlineStr">
        <is>
          <t>신명2차</t>
        </is>
      </c>
      <c r="E309" s="0" t="inlineStr">
        <is>
          <t>1990.12.</t>
        </is>
      </c>
      <c r="F309" s="0" t="n">
        <v>228</v>
      </c>
      <c r="G309" s="0" t="n">
        <v>19.21</v>
      </c>
      <c r="H309" s="0" t="n">
        <v>63.51</v>
      </c>
      <c r="I309" s="0" t="n">
        <v>14.94</v>
      </c>
      <c r="J309" s="0" t="n">
        <v>49.41</v>
      </c>
      <c r="K309" s="0" t="n">
        <v>36</v>
      </c>
      <c r="T309" s="0" t="n">
        <v>3</v>
      </c>
      <c r="U309" s="0" t="n">
        <v>1</v>
      </c>
      <c r="V309" s="0" t="inlineStr">
        <is>
          <t>계단식</t>
        </is>
      </c>
      <c r="W309" s="0" t="n">
        <v>63</v>
      </c>
      <c r="X309" s="0" t="n">
        <v>6</v>
      </c>
      <c r="Y309" s="0" t="n">
        <v>6</v>
      </c>
      <c r="Z309" s="0" t="inlineStr">
        <is>
          <t>https://new.land.naver.com/complexes/11705?tab=detail&amp;rf=Y</t>
        </is>
      </c>
      <c r="AA309" s="0" t="inlineStr">
        <is>
          <t>인천시 서구 가좌동 139-2</t>
        </is>
      </c>
      <c r="AB309" s="0" t="inlineStr">
        <is>
          <t>인천시</t>
        </is>
      </c>
      <c r="AC309" s="0" t="inlineStr">
        <is>
          <t>서구</t>
        </is>
      </c>
      <c r="AD309" s="0" t="inlineStr">
        <is>
          <t>가좌동</t>
        </is>
      </c>
      <c r="AG309" s="0" t="inlineStr">
        <is>
          <t>인천시 서구 가정로125번길 4</t>
        </is>
      </c>
      <c r="AH309" s="0" t="n">
        <v>0</v>
      </c>
      <c r="AI309" s="0" t="n">
        <v>178</v>
      </c>
      <c r="AJ309" s="0" t="n">
        <v>29</v>
      </c>
      <c r="AK309" s="0" t="n">
        <v>0</v>
      </c>
      <c r="AL309" s="0" t="n">
        <v>0</v>
      </c>
    </row>
    <row r="310">
      <c r="A310" s="0" t="inlineStr">
        <is>
          <t>[가좌동]</t>
        </is>
      </c>
      <c r="B310" s="0" t="n">
        <v>11705</v>
      </c>
      <c r="C310" s="0" t="n">
        <v>3</v>
      </c>
      <c r="D310" s="0" t="inlineStr">
        <is>
          <t>신명2차</t>
        </is>
      </c>
      <c r="E310" s="0" t="inlineStr">
        <is>
          <t>1990.12.</t>
        </is>
      </c>
      <c r="F310" s="0" t="n">
        <v>228</v>
      </c>
      <c r="G310" s="0" t="n">
        <v>22.13</v>
      </c>
      <c r="H310" s="0" t="n">
        <v>73.19</v>
      </c>
      <c r="I310" s="0" t="n">
        <v>17.5</v>
      </c>
      <c r="J310" s="0" t="n">
        <v>57.87</v>
      </c>
      <c r="K310" s="0" t="n">
        <v>24</v>
      </c>
      <c r="T310" s="0" t="n">
        <v>3</v>
      </c>
      <c r="U310" s="0" t="n">
        <v>1</v>
      </c>
      <c r="V310" s="0" t="inlineStr">
        <is>
          <t>계단식</t>
        </is>
      </c>
      <c r="W310" s="0" t="n">
        <v>73</v>
      </c>
      <c r="X310" s="0" t="n">
        <v>6</v>
      </c>
      <c r="Y310" s="0" t="n">
        <v>6</v>
      </c>
      <c r="Z310" s="0" t="inlineStr">
        <is>
          <t>https://new.land.naver.com/complexes/11705?tab=detail&amp;rf=Y</t>
        </is>
      </c>
      <c r="AA310" s="0" t="inlineStr">
        <is>
          <t>인천시 서구 가좌동 139-2</t>
        </is>
      </c>
      <c r="AB310" s="0" t="inlineStr">
        <is>
          <t>인천시</t>
        </is>
      </c>
      <c r="AC310" s="0" t="inlineStr">
        <is>
          <t>서구</t>
        </is>
      </c>
      <c r="AD310" s="0" t="inlineStr">
        <is>
          <t>가좌동</t>
        </is>
      </c>
      <c r="AG310" s="0" t="inlineStr">
        <is>
          <t>인천시 서구 가정로125번길 4</t>
        </is>
      </c>
      <c r="AH310" s="0" t="n">
        <v>0</v>
      </c>
      <c r="AI310" s="0" t="n">
        <v>178</v>
      </c>
      <c r="AJ310" s="0" t="n">
        <v>29</v>
      </c>
      <c r="AK310" s="0" t="n">
        <v>0</v>
      </c>
      <c r="AL310" s="0" t="n">
        <v>0</v>
      </c>
    </row>
    <row r="311">
      <c r="A311" s="0" t="inlineStr">
        <is>
          <t>[가좌동]</t>
        </is>
      </c>
      <c r="B311" s="0" t="n">
        <v>11705</v>
      </c>
      <c r="C311" s="0" t="n">
        <v>4</v>
      </c>
      <c r="D311" s="0" t="inlineStr">
        <is>
          <t>신명2차</t>
        </is>
      </c>
      <c r="E311" s="0" t="inlineStr">
        <is>
          <t>1990.12.</t>
        </is>
      </c>
      <c r="F311" s="0" t="n">
        <v>228</v>
      </c>
      <c r="G311" s="0" t="n">
        <v>22.78</v>
      </c>
      <c r="H311" s="0" t="n">
        <v>75.31999999999999</v>
      </c>
      <c r="I311" s="0" t="n">
        <v>18.1</v>
      </c>
      <c r="J311" s="0" t="n">
        <v>59.85</v>
      </c>
      <c r="K311" s="0" t="n">
        <v>120</v>
      </c>
      <c r="T311" s="0" t="n">
        <v>3</v>
      </c>
      <c r="U311" s="0" t="n">
        <v>1</v>
      </c>
      <c r="V311" s="0" t="inlineStr">
        <is>
          <t>계단식</t>
        </is>
      </c>
      <c r="W311" s="0" t="n">
        <v>75</v>
      </c>
      <c r="X311" s="0" t="n">
        <v>6</v>
      </c>
      <c r="Y311" s="0" t="n">
        <v>6</v>
      </c>
      <c r="Z311" s="0" t="inlineStr">
        <is>
          <t>https://new.land.naver.com/complexes/11705?tab=detail&amp;rf=Y</t>
        </is>
      </c>
      <c r="AA311" s="0" t="inlineStr">
        <is>
          <t>인천시 서구 가좌동 139-2</t>
        </is>
      </c>
      <c r="AB311" s="0" t="inlineStr">
        <is>
          <t>인천시</t>
        </is>
      </c>
      <c r="AC311" s="0" t="inlineStr">
        <is>
          <t>서구</t>
        </is>
      </c>
      <c r="AD311" s="0" t="inlineStr">
        <is>
          <t>가좌동</t>
        </is>
      </c>
      <c r="AG311" s="0" t="inlineStr">
        <is>
          <t>인천시 서구 가정로125번길 4</t>
        </is>
      </c>
      <c r="AH311" s="0" t="n">
        <v>0</v>
      </c>
      <c r="AI311" s="0" t="n">
        <v>178</v>
      </c>
      <c r="AJ311" s="0" t="n">
        <v>29</v>
      </c>
      <c r="AK311" s="0" t="n">
        <v>0</v>
      </c>
      <c r="AL311" s="0" t="n">
        <v>0</v>
      </c>
    </row>
    <row r="312">
      <c r="A312" s="0" t="inlineStr">
        <is>
          <t>[가좌동]</t>
        </is>
      </c>
      <c r="B312" s="0" t="n">
        <v>2554</v>
      </c>
      <c r="C312" s="0" t="n">
        <v>1</v>
      </c>
      <c r="D312" s="0" t="inlineStr">
        <is>
          <t>태화</t>
        </is>
      </c>
      <c r="E312" s="0" t="inlineStr">
        <is>
          <t>1986.05.</t>
        </is>
      </c>
      <c r="F312" s="0" t="n">
        <v>235</v>
      </c>
      <c r="G312" s="0" t="n">
        <v>20.49</v>
      </c>
      <c r="H312" s="0" t="n">
        <v>67.75</v>
      </c>
      <c r="I312" s="0" t="n">
        <v>14.12</v>
      </c>
      <c r="J312" s="0" t="n">
        <v>46.71</v>
      </c>
      <c r="K312" s="0" t="n">
        <v>15</v>
      </c>
      <c r="T312" s="0" t="n">
        <v>2</v>
      </c>
      <c r="U312" s="0" t="n">
        <v>1</v>
      </c>
      <c r="V312" s="0" t="inlineStr">
        <is>
          <t>계단식</t>
        </is>
      </c>
      <c r="W312" s="0" t="n">
        <v>67</v>
      </c>
      <c r="X312" s="0" t="n">
        <v>5</v>
      </c>
      <c r="Y312" s="0" t="n">
        <v>5</v>
      </c>
      <c r="Z312" s="0" t="inlineStr">
        <is>
          <t>https://new.land.naver.com/complexes/2554?tab=detail&amp;rf=Y</t>
        </is>
      </c>
      <c r="AA312" s="0" t="inlineStr">
        <is>
          <t>인천시 서구 가좌동 122</t>
        </is>
      </c>
      <c r="AB312" s="0" t="inlineStr">
        <is>
          <t>인천시</t>
        </is>
      </c>
      <c r="AC312" s="0" t="inlineStr">
        <is>
          <t>서구</t>
        </is>
      </c>
      <c r="AD312" s="0" t="inlineStr">
        <is>
          <t>가좌동</t>
        </is>
      </c>
      <c r="AG312" s="0" t="inlineStr">
        <is>
          <t>인천시 서구 원적로95번길 6</t>
        </is>
      </c>
      <c r="AH312" s="0" t="n">
        <v>0</v>
      </c>
      <c r="AI312" s="0" t="n">
        <v>125</v>
      </c>
      <c r="AJ312" s="0" t="n">
        <v>27</v>
      </c>
      <c r="AK312" s="0" t="n">
        <v>0</v>
      </c>
      <c r="AL312" s="0" t="n">
        <v>0</v>
      </c>
    </row>
    <row r="313">
      <c r="A313" s="0" t="inlineStr">
        <is>
          <t>[가좌동]</t>
        </is>
      </c>
      <c r="B313" s="0" t="n">
        <v>2554</v>
      </c>
      <c r="C313" s="0" t="n">
        <v>2</v>
      </c>
      <c r="D313" s="0" t="inlineStr">
        <is>
          <t>태화</t>
        </is>
      </c>
      <c r="E313" s="0" t="inlineStr">
        <is>
          <t>1986.05.</t>
        </is>
      </c>
      <c r="F313" s="0" t="n">
        <v>235</v>
      </c>
      <c r="G313" s="0" t="n">
        <v>20.85</v>
      </c>
      <c r="H313" s="0" t="n">
        <v>68.93000000000001</v>
      </c>
      <c r="I313" s="0" t="n">
        <v>15.76</v>
      </c>
      <c r="J313" s="0" t="n">
        <v>52.11</v>
      </c>
      <c r="K313" s="0" t="n">
        <v>50</v>
      </c>
      <c r="T313" s="0" t="n">
        <v>3</v>
      </c>
      <c r="U313" s="0" t="n">
        <v>1</v>
      </c>
      <c r="V313" s="0" t="inlineStr">
        <is>
          <t>계단식</t>
        </is>
      </c>
      <c r="W313" s="0" t="n">
        <v>68</v>
      </c>
      <c r="X313" s="0" t="n">
        <v>5</v>
      </c>
      <c r="Y313" s="0" t="n">
        <v>5</v>
      </c>
      <c r="Z313" s="0" t="inlineStr">
        <is>
          <t>https://new.land.naver.com/complexes/2554?tab=detail&amp;rf=Y</t>
        </is>
      </c>
      <c r="AA313" s="0" t="inlineStr">
        <is>
          <t>인천시 서구 가좌동 122</t>
        </is>
      </c>
      <c r="AB313" s="0" t="inlineStr">
        <is>
          <t>인천시</t>
        </is>
      </c>
      <c r="AC313" s="0" t="inlineStr">
        <is>
          <t>서구</t>
        </is>
      </c>
      <c r="AD313" s="0" t="inlineStr">
        <is>
          <t>가좌동</t>
        </is>
      </c>
      <c r="AG313" s="0" t="inlineStr">
        <is>
          <t>인천시 서구 원적로95번길 6</t>
        </is>
      </c>
      <c r="AH313" s="0" t="n">
        <v>0</v>
      </c>
      <c r="AI313" s="0" t="n">
        <v>125</v>
      </c>
      <c r="AJ313" s="0" t="n">
        <v>27</v>
      </c>
      <c r="AK313" s="0" t="n">
        <v>0</v>
      </c>
      <c r="AL313" s="0" t="n">
        <v>0</v>
      </c>
    </row>
    <row r="314">
      <c r="A314" s="0" t="inlineStr">
        <is>
          <t>[가좌동]</t>
        </is>
      </c>
      <c r="B314" s="0" t="n">
        <v>2554</v>
      </c>
      <c r="C314" s="0" t="n">
        <v>3</v>
      </c>
      <c r="D314" s="0" t="inlineStr">
        <is>
          <t>태화</t>
        </is>
      </c>
      <c r="E314" s="0" t="inlineStr">
        <is>
          <t>1986.05.</t>
        </is>
      </c>
      <c r="F314" s="0" t="n">
        <v>235</v>
      </c>
      <c r="G314" s="0" t="n">
        <v>21.94</v>
      </c>
      <c r="H314" s="0" t="n">
        <v>72.55</v>
      </c>
      <c r="I314" s="0" t="n">
        <v>16.66</v>
      </c>
      <c r="J314" s="0" t="n">
        <v>55.08</v>
      </c>
      <c r="K314" s="0" t="n">
        <v>130</v>
      </c>
      <c r="T314" s="0" t="n">
        <v>3</v>
      </c>
      <c r="U314" s="0" t="n">
        <v>1</v>
      </c>
      <c r="V314" s="0" t="inlineStr">
        <is>
          <t>계단식</t>
        </is>
      </c>
      <c r="W314" s="0" t="inlineStr">
        <is>
          <t>72A</t>
        </is>
      </c>
      <c r="X314" s="0" t="n">
        <v>5</v>
      </c>
      <c r="Y314" s="0" t="n">
        <v>5</v>
      </c>
      <c r="Z314" s="0" t="inlineStr">
        <is>
          <t>https://new.land.naver.com/complexes/2554?tab=detail&amp;rf=Y</t>
        </is>
      </c>
      <c r="AA314" s="0" t="inlineStr">
        <is>
          <t>인천시 서구 가좌동 122</t>
        </is>
      </c>
      <c r="AB314" s="0" t="inlineStr">
        <is>
          <t>인천시</t>
        </is>
      </c>
      <c r="AC314" s="0" t="inlineStr">
        <is>
          <t>서구</t>
        </is>
      </c>
      <c r="AD314" s="0" t="inlineStr">
        <is>
          <t>가좌동</t>
        </is>
      </c>
      <c r="AG314" s="0" t="inlineStr">
        <is>
          <t>인천시 서구 원적로95번길 6</t>
        </is>
      </c>
      <c r="AH314" s="0" t="n">
        <v>0</v>
      </c>
      <c r="AI314" s="0" t="n">
        <v>125</v>
      </c>
      <c r="AJ314" s="0" t="n">
        <v>27</v>
      </c>
      <c r="AK314" s="0" t="n">
        <v>0</v>
      </c>
      <c r="AL314" s="0" t="n">
        <v>0</v>
      </c>
    </row>
    <row r="315">
      <c r="A315" s="0" t="inlineStr">
        <is>
          <t>[가좌동]</t>
        </is>
      </c>
      <c r="B315" s="0" t="n">
        <v>2554</v>
      </c>
      <c r="C315" s="0" t="n">
        <v>4</v>
      </c>
      <c r="D315" s="0" t="inlineStr">
        <is>
          <t>태화</t>
        </is>
      </c>
      <c r="E315" s="0" t="inlineStr">
        <is>
          <t>1986.05.</t>
        </is>
      </c>
      <c r="F315" s="0" t="n">
        <v>235</v>
      </c>
      <c r="G315" s="0" t="n">
        <v>22.01</v>
      </c>
      <c r="H315" s="0" t="n">
        <v>72.79000000000001</v>
      </c>
      <c r="I315" s="0" t="n">
        <v>16.77</v>
      </c>
      <c r="J315" s="0" t="n">
        <v>55.44</v>
      </c>
      <c r="K315" s="0" t="n">
        <v>40</v>
      </c>
      <c r="T315" s="0" t="n">
        <v>3</v>
      </c>
      <c r="U315" s="0" t="n">
        <v>1</v>
      </c>
      <c r="V315" s="0" t="inlineStr">
        <is>
          <t>계단식</t>
        </is>
      </c>
      <c r="W315" s="0" t="inlineStr">
        <is>
          <t>72B</t>
        </is>
      </c>
      <c r="X315" s="0" t="n">
        <v>5</v>
      </c>
      <c r="Y315" s="0" t="n">
        <v>5</v>
      </c>
      <c r="Z315" s="0" t="inlineStr">
        <is>
          <t>https://new.land.naver.com/complexes/2554?tab=detail&amp;rf=Y</t>
        </is>
      </c>
      <c r="AA315" s="0" t="inlineStr">
        <is>
          <t>인천시 서구 가좌동 122</t>
        </is>
      </c>
      <c r="AB315" s="0" t="inlineStr">
        <is>
          <t>인천시</t>
        </is>
      </c>
      <c r="AC315" s="0" t="inlineStr">
        <is>
          <t>서구</t>
        </is>
      </c>
      <c r="AD315" s="0" t="inlineStr">
        <is>
          <t>가좌동</t>
        </is>
      </c>
      <c r="AG315" s="0" t="inlineStr">
        <is>
          <t>인천시 서구 원적로95번길 6</t>
        </is>
      </c>
      <c r="AH315" s="0" t="n">
        <v>0</v>
      </c>
      <c r="AI315" s="0" t="n">
        <v>125</v>
      </c>
      <c r="AJ315" s="0" t="n">
        <v>27</v>
      </c>
      <c r="AK315" s="0" t="n">
        <v>0</v>
      </c>
      <c r="AL315" s="0" t="n">
        <v>0</v>
      </c>
    </row>
    <row r="316">
      <c r="A316" s="0" t="inlineStr">
        <is>
          <t>[가좌동]</t>
        </is>
      </c>
      <c r="B316" s="0" t="n">
        <v>11782</v>
      </c>
      <c r="C316" s="0" t="n">
        <v>1</v>
      </c>
      <c r="D316" s="0" t="inlineStr">
        <is>
          <t>인향(193-1)</t>
        </is>
      </c>
      <c r="E316" s="0" t="inlineStr">
        <is>
          <t>1990.06.</t>
        </is>
      </c>
      <c r="F316" s="0" t="n">
        <v>132</v>
      </c>
      <c r="G316" s="0" t="n">
        <v>22.45</v>
      </c>
      <c r="H316" s="0" t="n">
        <v>74.23999999999999</v>
      </c>
      <c r="I316" s="0" t="n">
        <v>17.54</v>
      </c>
      <c r="J316" s="0" t="n">
        <v>57.99</v>
      </c>
      <c r="K316" s="0" t="n">
        <v>54</v>
      </c>
      <c r="T316" s="0" t="n">
        <v>3</v>
      </c>
      <c r="U316" s="0" t="n">
        <v>1</v>
      </c>
      <c r="V316" s="0" t="inlineStr">
        <is>
          <t>계단식</t>
        </is>
      </c>
      <c r="W316" s="0" t="n">
        <v>74</v>
      </c>
      <c r="X316" s="0" t="n">
        <v>6</v>
      </c>
      <c r="Y316" s="0" t="n">
        <v>6</v>
      </c>
      <c r="Z316" s="0" t="inlineStr">
        <is>
          <t>https://new.land.naver.com/complexes/11782?tab=detail&amp;rf=Y</t>
        </is>
      </c>
      <c r="AA316" s="0" t="inlineStr">
        <is>
          <t>인천시 서구 가좌동 193-1</t>
        </is>
      </c>
      <c r="AB316" s="0" t="inlineStr">
        <is>
          <t>인천시</t>
        </is>
      </c>
      <c r="AC316" s="0" t="inlineStr">
        <is>
          <t>서구</t>
        </is>
      </c>
      <c r="AD316" s="0" t="inlineStr">
        <is>
          <t>가좌동</t>
        </is>
      </c>
      <c r="AG316" s="0" t="inlineStr">
        <is>
          <t>인천시 서구 건지로334번길 26</t>
        </is>
      </c>
      <c r="AH316" s="0" t="n">
        <v>0</v>
      </c>
      <c r="AI316" s="0" t="n">
        <v>208</v>
      </c>
      <c r="AJ316" s="0" t="n">
        <v>36</v>
      </c>
      <c r="AK316" s="0" t="n">
        <v>0</v>
      </c>
      <c r="AL316" s="0" t="n">
        <v>0</v>
      </c>
    </row>
    <row r="317">
      <c r="A317" s="0" t="inlineStr">
        <is>
          <t>[가좌동]</t>
        </is>
      </c>
      <c r="B317" s="0" t="n">
        <v>11782</v>
      </c>
      <c r="C317" s="0" t="n">
        <v>2</v>
      </c>
      <c r="D317" s="0" t="inlineStr">
        <is>
          <t>인향(193-1)</t>
        </is>
      </c>
      <c r="E317" s="0" t="inlineStr">
        <is>
          <t>1990.06.</t>
        </is>
      </c>
      <c r="F317" s="0" t="n">
        <v>132</v>
      </c>
      <c r="G317" s="0" t="n">
        <v>23.91</v>
      </c>
      <c r="H317" s="0" t="n">
        <v>79.05</v>
      </c>
      <c r="I317" s="0" t="n">
        <v>18.77</v>
      </c>
      <c r="J317" s="0" t="n">
        <v>62.07</v>
      </c>
      <c r="K317" s="0" t="n">
        <v>24</v>
      </c>
      <c r="T317" s="0" t="n">
        <v>3</v>
      </c>
      <c r="U317" s="0" t="n">
        <v>1</v>
      </c>
      <c r="V317" s="0" t="inlineStr">
        <is>
          <t>계단식</t>
        </is>
      </c>
      <c r="W317" s="0" t="n">
        <v>79</v>
      </c>
      <c r="X317" s="0" t="n">
        <v>6</v>
      </c>
      <c r="Y317" s="0" t="n">
        <v>6</v>
      </c>
      <c r="Z317" s="0" t="inlineStr">
        <is>
          <t>https://new.land.naver.com/complexes/11782?tab=detail&amp;rf=Y</t>
        </is>
      </c>
      <c r="AA317" s="0" t="inlineStr">
        <is>
          <t>인천시 서구 가좌동 193-1</t>
        </is>
      </c>
      <c r="AB317" s="0" t="inlineStr">
        <is>
          <t>인천시</t>
        </is>
      </c>
      <c r="AC317" s="0" t="inlineStr">
        <is>
          <t>서구</t>
        </is>
      </c>
      <c r="AD317" s="0" t="inlineStr">
        <is>
          <t>가좌동</t>
        </is>
      </c>
      <c r="AG317" s="0" t="inlineStr">
        <is>
          <t>인천시 서구 건지로334번길 26</t>
        </is>
      </c>
      <c r="AH317" s="0" t="n">
        <v>0</v>
      </c>
      <c r="AI317" s="0" t="n">
        <v>208</v>
      </c>
      <c r="AJ317" s="0" t="n">
        <v>36</v>
      </c>
      <c r="AK317" s="0" t="n">
        <v>0</v>
      </c>
      <c r="AL317" s="0" t="n">
        <v>0</v>
      </c>
    </row>
    <row r="318">
      <c r="A318" s="0" t="inlineStr">
        <is>
          <t>[가좌동]</t>
        </is>
      </c>
      <c r="B318" s="0" t="n">
        <v>11782</v>
      </c>
      <c r="C318" s="0" t="n">
        <v>3</v>
      </c>
      <c r="D318" s="0" t="inlineStr">
        <is>
          <t>인향(193-1)</t>
        </is>
      </c>
      <c r="E318" s="0" t="inlineStr">
        <is>
          <t>1990.06.</t>
        </is>
      </c>
      <c r="F318" s="0" t="n">
        <v>132</v>
      </c>
      <c r="G318" s="0" t="n">
        <v>27.74</v>
      </c>
      <c r="H318" s="0" t="n">
        <v>91.72</v>
      </c>
      <c r="I318" s="0" t="n">
        <v>22.02</v>
      </c>
      <c r="J318" s="0" t="n">
        <v>72.81</v>
      </c>
      <c r="K318" s="0" t="n">
        <v>36</v>
      </c>
      <c r="T318" s="0" t="n">
        <v>3</v>
      </c>
      <c r="U318" s="0" t="n">
        <v>1</v>
      </c>
      <c r="V318" s="0" t="inlineStr">
        <is>
          <t>계단식</t>
        </is>
      </c>
      <c r="W318" s="0" t="inlineStr">
        <is>
          <t>91B</t>
        </is>
      </c>
      <c r="X318" s="0" t="n">
        <v>6</v>
      </c>
      <c r="Y318" s="0" t="n">
        <v>6</v>
      </c>
      <c r="Z318" s="0" t="inlineStr">
        <is>
          <t>https://new.land.naver.com/complexes/11782?tab=detail&amp;rf=Y</t>
        </is>
      </c>
      <c r="AA318" s="0" t="inlineStr">
        <is>
          <t>인천시 서구 가좌동 193-1</t>
        </is>
      </c>
      <c r="AB318" s="0" t="inlineStr">
        <is>
          <t>인천시</t>
        </is>
      </c>
      <c r="AC318" s="0" t="inlineStr">
        <is>
          <t>서구</t>
        </is>
      </c>
      <c r="AD318" s="0" t="inlineStr">
        <is>
          <t>가좌동</t>
        </is>
      </c>
      <c r="AG318" s="0" t="inlineStr">
        <is>
          <t>인천시 서구 건지로334번길 26</t>
        </is>
      </c>
      <c r="AH318" s="0" t="n">
        <v>0</v>
      </c>
      <c r="AI318" s="0" t="n">
        <v>208</v>
      </c>
      <c r="AJ318" s="0" t="n">
        <v>36</v>
      </c>
      <c r="AK318" s="0" t="n">
        <v>0</v>
      </c>
      <c r="AL318" s="0" t="n">
        <v>0</v>
      </c>
    </row>
    <row r="319">
      <c r="A319" s="0" t="inlineStr">
        <is>
          <t>[가좌동]</t>
        </is>
      </c>
      <c r="B319" s="0" t="n">
        <v>11782</v>
      </c>
      <c r="C319" s="0" t="n">
        <v>4</v>
      </c>
      <c r="D319" s="0" t="inlineStr">
        <is>
          <t>인향(193-1)</t>
        </is>
      </c>
      <c r="E319" s="0" t="inlineStr">
        <is>
          <t>1990.06.</t>
        </is>
      </c>
      <c r="F319" s="0" t="n">
        <v>132</v>
      </c>
      <c r="G319" s="0" t="n">
        <v>27.57</v>
      </c>
      <c r="H319" s="0" t="n">
        <v>91.15000000000001</v>
      </c>
      <c r="I319" s="0" t="n">
        <v>21.87</v>
      </c>
      <c r="J319" s="0" t="n">
        <v>72.33</v>
      </c>
      <c r="K319" s="0" t="n">
        <v>6</v>
      </c>
      <c r="T319" s="0" t="n">
        <v>3</v>
      </c>
      <c r="U319" s="0" t="n">
        <v>1</v>
      </c>
      <c r="V319" s="0" t="inlineStr">
        <is>
          <t>계단식</t>
        </is>
      </c>
      <c r="W319" s="0" t="inlineStr">
        <is>
          <t>91A</t>
        </is>
      </c>
      <c r="X319" s="0" t="n">
        <v>6</v>
      </c>
      <c r="Y319" s="0" t="n">
        <v>6</v>
      </c>
      <c r="Z319" s="0" t="inlineStr">
        <is>
          <t>https://new.land.naver.com/complexes/11782?tab=detail&amp;rf=Y</t>
        </is>
      </c>
      <c r="AA319" s="0" t="inlineStr">
        <is>
          <t>인천시 서구 가좌동 193-1</t>
        </is>
      </c>
      <c r="AB319" s="0" t="inlineStr">
        <is>
          <t>인천시</t>
        </is>
      </c>
      <c r="AC319" s="0" t="inlineStr">
        <is>
          <t>서구</t>
        </is>
      </c>
      <c r="AD319" s="0" t="inlineStr">
        <is>
          <t>가좌동</t>
        </is>
      </c>
      <c r="AG319" s="0" t="inlineStr">
        <is>
          <t>인천시 서구 건지로334번길 26</t>
        </is>
      </c>
      <c r="AH319" s="0" t="n">
        <v>0</v>
      </c>
      <c r="AI319" s="0" t="n">
        <v>208</v>
      </c>
      <c r="AJ319" s="0" t="n">
        <v>36</v>
      </c>
      <c r="AK319" s="0" t="n">
        <v>0</v>
      </c>
      <c r="AL319" s="0" t="n">
        <v>0</v>
      </c>
    </row>
    <row r="320">
      <c r="A320" s="0" t="inlineStr">
        <is>
          <t>[가좌동]</t>
        </is>
      </c>
      <c r="B320" s="0" t="n">
        <v>11782</v>
      </c>
      <c r="C320" s="0" t="n">
        <v>5</v>
      </c>
      <c r="D320" s="0" t="inlineStr">
        <is>
          <t>인향(193-1)</t>
        </is>
      </c>
      <c r="E320" s="0" t="inlineStr">
        <is>
          <t>1990.06.</t>
        </is>
      </c>
      <c r="F320" s="0" t="n">
        <v>132</v>
      </c>
      <c r="G320" s="0" t="n">
        <v>29.97</v>
      </c>
      <c r="H320" s="0" t="n">
        <v>99.09</v>
      </c>
      <c r="I320" s="0" t="n">
        <v>23.91</v>
      </c>
      <c r="J320" s="0" t="n">
        <v>79.05</v>
      </c>
      <c r="K320" s="0" t="n">
        <v>12</v>
      </c>
      <c r="T320" s="0" t="n">
        <v>3</v>
      </c>
      <c r="U320" s="0" t="n">
        <v>1</v>
      </c>
      <c r="V320" s="0" t="inlineStr">
        <is>
          <t>계단식</t>
        </is>
      </c>
      <c r="W320" s="0" t="n">
        <v>99</v>
      </c>
      <c r="X320" s="0" t="n">
        <v>6</v>
      </c>
      <c r="Y320" s="0" t="n">
        <v>6</v>
      </c>
      <c r="Z320" s="0" t="inlineStr">
        <is>
          <t>https://new.land.naver.com/complexes/11782?tab=detail&amp;rf=Y</t>
        </is>
      </c>
      <c r="AA320" s="0" t="inlineStr">
        <is>
          <t>인천시 서구 가좌동 193-1</t>
        </is>
      </c>
      <c r="AB320" s="0" t="inlineStr">
        <is>
          <t>인천시</t>
        </is>
      </c>
      <c r="AC320" s="0" t="inlineStr">
        <is>
          <t>서구</t>
        </is>
      </c>
      <c r="AD320" s="0" t="inlineStr">
        <is>
          <t>가좌동</t>
        </is>
      </c>
      <c r="AG320" s="0" t="inlineStr">
        <is>
          <t>인천시 서구 건지로334번길 26</t>
        </is>
      </c>
      <c r="AH320" s="0" t="n">
        <v>0</v>
      </c>
      <c r="AI320" s="0" t="n">
        <v>208</v>
      </c>
      <c r="AJ320" s="0" t="n">
        <v>36</v>
      </c>
      <c r="AK320" s="0" t="n">
        <v>0</v>
      </c>
      <c r="AL320" s="0" t="n">
        <v>0</v>
      </c>
    </row>
    <row r="321">
      <c r="A321" s="0" t="inlineStr">
        <is>
          <t>[가좌동]</t>
        </is>
      </c>
      <c r="B321" s="0" t="n">
        <v>10229</v>
      </c>
      <c r="C321" s="0" t="n">
        <v>1</v>
      </c>
      <c r="D321" s="0" t="inlineStr">
        <is>
          <t>상아</t>
        </is>
      </c>
      <c r="E321" s="0" t="inlineStr">
        <is>
          <t>1985.09.</t>
        </is>
      </c>
      <c r="F321" s="0" t="n">
        <v>150</v>
      </c>
      <c r="G321" s="0" t="n">
        <v>15.35</v>
      </c>
      <c r="H321" s="0" t="n">
        <v>50.76</v>
      </c>
      <c r="I321" s="0" t="n">
        <v>12.08</v>
      </c>
      <c r="J321" s="0" t="n">
        <v>39.96</v>
      </c>
      <c r="K321" s="0" t="n">
        <v>10</v>
      </c>
      <c r="T321" s="0" t="n">
        <v>2</v>
      </c>
      <c r="U321" s="0" t="n">
        <v>1</v>
      </c>
      <c r="V321" s="0" t="inlineStr">
        <is>
          <t>계단식</t>
        </is>
      </c>
      <c r="W321" s="0" t="n">
        <v>50</v>
      </c>
      <c r="X321" s="0" t="n">
        <v>5</v>
      </c>
      <c r="Y321" s="0" t="n">
        <v>5</v>
      </c>
      <c r="Z321" s="0" t="inlineStr">
        <is>
          <t>https://new.land.naver.com/complexes/10229?tab=detail&amp;rf=Y</t>
        </is>
      </c>
      <c r="AA321" s="0" t="inlineStr">
        <is>
          <t>인천시 서구 가좌동 260-1</t>
        </is>
      </c>
      <c r="AB321" s="0" t="inlineStr">
        <is>
          <t>인천시</t>
        </is>
      </c>
      <c r="AC321" s="0" t="inlineStr">
        <is>
          <t>서구</t>
        </is>
      </c>
      <c r="AD321" s="0" t="inlineStr">
        <is>
          <t>가좌동</t>
        </is>
      </c>
      <c r="AG321" s="0" t="inlineStr">
        <is>
          <t>인천시 서구 원적로37번길 9</t>
        </is>
      </c>
      <c r="AH321" s="0" t="n">
        <v>0</v>
      </c>
      <c r="AI321" s="0" t="n">
        <v>137</v>
      </c>
      <c r="AJ321" s="0" t="n">
        <v>28</v>
      </c>
      <c r="AK321" s="0" t="n">
        <v>0</v>
      </c>
      <c r="AL321" s="0" t="n">
        <v>0</v>
      </c>
    </row>
    <row r="322">
      <c r="A322" s="0" t="inlineStr">
        <is>
          <t>[가좌동]</t>
        </is>
      </c>
      <c r="B322" s="0" t="n">
        <v>10229</v>
      </c>
      <c r="C322" s="0" t="n">
        <v>2</v>
      </c>
      <c r="D322" s="0" t="inlineStr">
        <is>
          <t>상아</t>
        </is>
      </c>
      <c r="E322" s="0" t="inlineStr">
        <is>
          <t>1985.09.</t>
        </is>
      </c>
      <c r="F322" s="0" t="n">
        <v>150</v>
      </c>
      <c r="G322" s="0" t="n">
        <v>17.26</v>
      </c>
      <c r="H322" s="0" t="n">
        <v>57.06</v>
      </c>
      <c r="I322" s="0" t="n">
        <v>15.62</v>
      </c>
      <c r="J322" s="0" t="n">
        <v>51.66</v>
      </c>
      <c r="K322" s="0" t="n">
        <v>5</v>
      </c>
      <c r="T322" s="0" t="n">
        <v>2</v>
      </c>
      <c r="U322" s="0" t="n">
        <v>1</v>
      </c>
      <c r="V322" s="0" t="inlineStr">
        <is>
          <t>계단식</t>
        </is>
      </c>
      <c r="W322" s="0" t="n">
        <v>57</v>
      </c>
      <c r="X322" s="0" t="n">
        <v>5</v>
      </c>
      <c r="Y322" s="0" t="n">
        <v>5</v>
      </c>
      <c r="Z322" s="0" t="inlineStr">
        <is>
          <t>https://new.land.naver.com/complexes/10229?tab=detail&amp;rf=Y</t>
        </is>
      </c>
      <c r="AA322" s="0" t="inlineStr">
        <is>
          <t>인천시 서구 가좌동 260-1</t>
        </is>
      </c>
      <c r="AB322" s="0" t="inlineStr">
        <is>
          <t>인천시</t>
        </is>
      </c>
      <c r="AC322" s="0" t="inlineStr">
        <is>
          <t>서구</t>
        </is>
      </c>
      <c r="AD322" s="0" t="inlineStr">
        <is>
          <t>가좌동</t>
        </is>
      </c>
      <c r="AG322" s="0" t="inlineStr">
        <is>
          <t>인천시 서구 원적로37번길 9</t>
        </is>
      </c>
      <c r="AH322" s="0" t="n">
        <v>0</v>
      </c>
      <c r="AI322" s="0" t="n">
        <v>137</v>
      </c>
      <c r="AJ322" s="0" t="n">
        <v>28</v>
      </c>
      <c r="AK322" s="0" t="n">
        <v>0</v>
      </c>
      <c r="AL322" s="0" t="n">
        <v>0</v>
      </c>
    </row>
    <row r="323">
      <c r="A323" s="0" t="inlineStr">
        <is>
          <t>[가좌동]</t>
        </is>
      </c>
      <c r="B323" s="0" t="n">
        <v>10229</v>
      </c>
      <c r="C323" s="0" t="n">
        <v>3</v>
      </c>
      <c r="D323" s="0" t="inlineStr">
        <is>
          <t>상아</t>
        </is>
      </c>
      <c r="E323" s="0" t="inlineStr">
        <is>
          <t>1985.09.</t>
        </is>
      </c>
      <c r="F323" s="0" t="n">
        <v>150</v>
      </c>
      <c r="G323" s="0" t="n">
        <v>18.18</v>
      </c>
      <c r="H323" s="0" t="n">
        <v>60.12</v>
      </c>
      <c r="I323" s="0" t="n">
        <v>16.55</v>
      </c>
      <c r="J323" s="0" t="n">
        <v>54.72</v>
      </c>
      <c r="K323" s="0" t="n">
        <v>5</v>
      </c>
      <c r="T323" s="0" t="n">
        <v>2</v>
      </c>
      <c r="U323" s="0" t="n">
        <v>1</v>
      </c>
      <c r="V323" s="0" t="inlineStr">
        <is>
          <t>계단식</t>
        </is>
      </c>
      <c r="W323" s="0" t="n">
        <v>60</v>
      </c>
      <c r="X323" s="0" t="n">
        <v>5</v>
      </c>
      <c r="Y323" s="0" t="n">
        <v>5</v>
      </c>
      <c r="Z323" s="0" t="inlineStr">
        <is>
          <t>https://new.land.naver.com/complexes/10229?tab=detail&amp;rf=Y</t>
        </is>
      </c>
      <c r="AA323" s="0" t="inlineStr">
        <is>
          <t>인천시 서구 가좌동 260-1</t>
        </is>
      </c>
      <c r="AB323" s="0" t="inlineStr">
        <is>
          <t>인천시</t>
        </is>
      </c>
      <c r="AC323" s="0" t="inlineStr">
        <is>
          <t>서구</t>
        </is>
      </c>
      <c r="AD323" s="0" t="inlineStr">
        <is>
          <t>가좌동</t>
        </is>
      </c>
      <c r="AG323" s="0" t="inlineStr">
        <is>
          <t>인천시 서구 원적로37번길 9</t>
        </is>
      </c>
      <c r="AH323" s="0" t="n">
        <v>0</v>
      </c>
      <c r="AI323" s="0" t="n">
        <v>137</v>
      </c>
      <c r="AJ323" s="0" t="n">
        <v>28</v>
      </c>
      <c r="AK323" s="0" t="n">
        <v>0</v>
      </c>
      <c r="AL323" s="0" t="n">
        <v>0</v>
      </c>
    </row>
    <row r="324">
      <c r="A324" s="0" t="inlineStr">
        <is>
          <t>[가좌동]</t>
        </is>
      </c>
      <c r="B324" s="0" t="n">
        <v>10229</v>
      </c>
      <c r="C324" s="0" t="n">
        <v>4</v>
      </c>
      <c r="D324" s="0" t="inlineStr">
        <is>
          <t>상아</t>
        </is>
      </c>
      <c r="E324" s="0" t="inlineStr">
        <is>
          <t>1985.09.</t>
        </is>
      </c>
      <c r="F324" s="0" t="n">
        <v>150</v>
      </c>
      <c r="G324" s="0" t="n">
        <v>19.27</v>
      </c>
      <c r="H324" s="0" t="n">
        <v>63.72</v>
      </c>
      <c r="I324" s="0" t="n">
        <v>17.64</v>
      </c>
      <c r="J324" s="0" t="n">
        <v>58.32</v>
      </c>
      <c r="K324" s="0" t="n">
        <v>55</v>
      </c>
      <c r="T324" s="0" t="n">
        <v>3</v>
      </c>
      <c r="U324" s="0" t="n">
        <v>1</v>
      </c>
      <c r="V324" s="0" t="inlineStr">
        <is>
          <t>계단식</t>
        </is>
      </c>
      <c r="W324" s="0" t="inlineStr">
        <is>
          <t>63B</t>
        </is>
      </c>
      <c r="X324" s="0" t="n">
        <v>5</v>
      </c>
      <c r="Y324" s="0" t="n">
        <v>5</v>
      </c>
      <c r="Z324" s="0" t="inlineStr">
        <is>
          <t>https://new.land.naver.com/complexes/10229?tab=detail&amp;rf=Y</t>
        </is>
      </c>
      <c r="AA324" s="0" t="inlineStr">
        <is>
          <t>인천시 서구 가좌동 260-1</t>
        </is>
      </c>
      <c r="AB324" s="0" t="inlineStr">
        <is>
          <t>인천시</t>
        </is>
      </c>
      <c r="AC324" s="0" t="inlineStr">
        <is>
          <t>서구</t>
        </is>
      </c>
      <c r="AD324" s="0" t="inlineStr">
        <is>
          <t>가좌동</t>
        </is>
      </c>
      <c r="AG324" s="0" t="inlineStr">
        <is>
          <t>인천시 서구 원적로37번길 9</t>
        </is>
      </c>
      <c r="AH324" s="0" t="n">
        <v>0</v>
      </c>
      <c r="AI324" s="0" t="n">
        <v>137</v>
      </c>
      <c r="AJ324" s="0" t="n">
        <v>28</v>
      </c>
      <c r="AK324" s="0" t="n">
        <v>0</v>
      </c>
      <c r="AL324" s="0" t="n">
        <v>0</v>
      </c>
    </row>
    <row r="325">
      <c r="A325" s="0" t="inlineStr">
        <is>
          <t>[가좌동]</t>
        </is>
      </c>
      <c r="B325" s="0" t="n">
        <v>10229</v>
      </c>
      <c r="C325" s="0" t="n">
        <v>5</v>
      </c>
      <c r="D325" s="0" t="inlineStr">
        <is>
          <t>상아</t>
        </is>
      </c>
      <c r="E325" s="0" t="inlineStr">
        <is>
          <t>1985.09.</t>
        </is>
      </c>
      <c r="F325" s="0" t="n">
        <v>150</v>
      </c>
      <c r="G325" s="0" t="n">
        <v>19.05</v>
      </c>
      <c r="H325" s="0" t="n">
        <v>63</v>
      </c>
      <c r="I325" s="0" t="n">
        <v>17.42</v>
      </c>
      <c r="J325" s="0" t="n">
        <v>57.6</v>
      </c>
      <c r="K325" s="0" t="n">
        <v>5</v>
      </c>
      <c r="T325" s="0" t="n">
        <v>2</v>
      </c>
      <c r="U325" s="0" t="n">
        <v>1</v>
      </c>
      <c r="V325" s="0" t="inlineStr">
        <is>
          <t>계단식</t>
        </is>
      </c>
      <c r="W325" s="0" t="inlineStr">
        <is>
          <t>63A</t>
        </is>
      </c>
      <c r="X325" s="0" t="n">
        <v>5</v>
      </c>
      <c r="Y325" s="0" t="n">
        <v>5</v>
      </c>
      <c r="Z325" s="0" t="inlineStr">
        <is>
          <t>https://new.land.naver.com/complexes/10229?tab=detail&amp;rf=Y</t>
        </is>
      </c>
      <c r="AA325" s="0" t="inlineStr">
        <is>
          <t>인천시 서구 가좌동 260-1</t>
        </is>
      </c>
      <c r="AB325" s="0" t="inlineStr">
        <is>
          <t>인천시</t>
        </is>
      </c>
      <c r="AC325" s="0" t="inlineStr">
        <is>
          <t>서구</t>
        </is>
      </c>
      <c r="AD325" s="0" t="inlineStr">
        <is>
          <t>가좌동</t>
        </is>
      </c>
      <c r="AG325" s="0" t="inlineStr">
        <is>
          <t>인천시 서구 원적로37번길 9</t>
        </is>
      </c>
      <c r="AH325" s="0" t="n">
        <v>0</v>
      </c>
      <c r="AI325" s="0" t="n">
        <v>137</v>
      </c>
      <c r="AJ325" s="0" t="n">
        <v>28</v>
      </c>
      <c r="AK325" s="0" t="n">
        <v>0</v>
      </c>
      <c r="AL325" s="0" t="n">
        <v>0</v>
      </c>
    </row>
    <row r="326">
      <c r="A326" s="0" t="inlineStr">
        <is>
          <t>[가좌동]</t>
        </is>
      </c>
      <c r="B326" s="0" t="n">
        <v>10229</v>
      </c>
      <c r="C326" s="0" t="n">
        <v>6</v>
      </c>
      <c r="D326" s="0" t="inlineStr">
        <is>
          <t>상아</t>
        </is>
      </c>
      <c r="E326" s="0" t="inlineStr">
        <is>
          <t>1985.09.</t>
        </is>
      </c>
      <c r="F326" s="0" t="n">
        <v>150</v>
      </c>
      <c r="G326" s="0" t="n">
        <v>19.81</v>
      </c>
      <c r="H326" s="0" t="n">
        <v>65.52</v>
      </c>
      <c r="I326" s="0" t="n">
        <v>18.18</v>
      </c>
      <c r="J326" s="0" t="n">
        <v>60.12</v>
      </c>
      <c r="K326" s="0" t="n">
        <v>65</v>
      </c>
      <c r="T326" s="0" t="n">
        <v>3</v>
      </c>
      <c r="U326" s="0" t="n">
        <v>1</v>
      </c>
      <c r="V326" s="0" t="inlineStr">
        <is>
          <t>계단식</t>
        </is>
      </c>
      <c r="W326" s="0" t="inlineStr">
        <is>
          <t>65A</t>
        </is>
      </c>
      <c r="X326" s="0" t="n">
        <v>5</v>
      </c>
      <c r="Y326" s="0" t="n">
        <v>5</v>
      </c>
      <c r="Z326" s="0" t="inlineStr">
        <is>
          <t>https://new.land.naver.com/complexes/10229?tab=detail&amp;rf=Y</t>
        </is>
      </c>
      <c r="AA326" s="0" t="inlineStr">
        <is>
          <t>인천시 서구 가좌동 260-1</t>
        </is>
      </c>
      <c r="AB326" s="0" t="inlineStr">
        <is>
          <t>인천시</t>
        </is>
      </c>
      <c r="AC326" s="0" t="inlineStr">
        <is>
          <t>서구</t>
        </is>
      </c>
      <c r="AD326" s="0" t="inlineStr">
        <is>
          <t>가좌동</t>
        </is>
      </c>
      <c r="AG326" s="0" t="inlineStr">
        <is>
          <t>인천시 서구 원적로37번길 9</t>
        </is>
      </c>
      <c r="AH326" s="0" t="n">
        <v>0</v>
      </c>
      <c r="AI326" s="0" t="n">
        <v>137</v>
      </c>
      <c r="AJ326" s="0" t="n">
        <v>28</v>
      </c>
      <c r="AK326" s="0" t="n">
        <v>0</v>
      </c>
      <c r="AL326" s="0" t="n">
        <v>0</v>
      </c>
    </row>
    <row r="327">
      <c r="A327" s="0" t="inlineStr">
        <is>
          <t>[가좌동]</t>
        </is>
      </c>
      <c r="B327" s="0" t="n">
        <v>10229</v>
      </c>
      <c r="C327" s="0" t="n">
        <v>7</v>
      </c>
      <c r="D327" s="0" t="inlineStr">
        <is>
          <t>상아</t>
        </is>
      </c>
      <c r="E327" s="0" t="inlineStr">
        <is>
          <t>1985.09.</t>
        </is>
      </c>
      <c r="F327" s="0" t="n">
        <v>150</v>
      </c>
      <c r="G327" s="0" t="n">
        <v>20.03</v>
      </c>
      <c r="H327" s="0" t="n">
        <v>66.23999999999999</v>
      </c>
      <c r="I327" s="0" t="n">
        <v>18.4</v>
      </c>
      <c r="J327" s="0" t="n">
        <v>60.84</v>
      </c>
      <c r="K327" s="0" t="n">
        <v>5</v>
      </c>
      <c r="T327" s="0" t="n">
        <v>3</v>
      </c>
      <c r="U327" s="0" t="n">
        <v>1</v>
      </c>
      <c r="V327" s="0" t="inlineStr">
        <is>
          <t>계단식</t>
        </is>
      </c>
      <c r="W327" s="0" t="inlineStr">
        <is>
          <t>66B</t>
        </is>
      </c>
      <c r="X327" s="0" t="n">
        <v>5</v>
      </c>
      <c r="Y327" s="0" t="n">
        <v>5</v>
      </c>
      <c r="Z327" s="0" t="inlineStr">
        <is>
          <t>https://new.land.naver.com/complexes/10229?tab=detail&amp;rf=Y</t>
        </is>
      </c>
      <c r="AA327" s="0" t="inlineStr">
        <is>
          <t>인천시 서구 가좌동 260-1</t>
        </is>
      </c>
      <c r="AB327" s="0" t="inlineStr">
        <is>
          <t>인천시</t>
        </is>
      </c>
      <c r="AC327" s="0" t="inlineStr">
        <is>
          <t>서구</t>
        </is>
      </c>
      <c r="AD327" s="0" t="inlineStr">
        <is>
          <t>가좌동</t>
        </is>
      </c>
      <c r="AG327" s="0" t="inlineStr">
        <is>
          <t>인천시 서구 원적로37번길 9</t>
        </is>
      </c>
      <c r="AH327" s="0" t="n">
        <v>0</v>
      </c>
      <c r="AI327" s="0" t="n">
        <v>137</v>
      </c>
      <c r="AJ327" s="0" t="n">
        <v>28</v>
      </c>
      <c r="AK327" s="0" t="n">
        <v>0</v>
      </c>
      <c r="AL327" s="0" t="n">
        <v>0</v>
      </c>
    </row>
    <row r="328">
      <c r="A328" s="0" t="inlineStr">
        <is>
          <t>[가좌동]</t>
        </is>
      </c>
      <c r="B328" s="0" t="n">
        <v>2548</v>
      </c>
      <c r="C328" s="0" t="n">
        <v>1</v>
      </c>
      <c r="D328" s="0" t="inlineStr">
        <is>
          <t>신현대</t>
        </is>
      </c>
      <c r="E328" s="0" t="inlineStr">
        <is>
          <t>1995.04.</t>
        </is>
      </c>
      <c r="F328" s="0" t="n">
        <v>343</v>
      </c>
      <c r="G328" s="0" t="n">
        <v>24.35</v>
      </c>
      <c r="H328" s="0" t="n">
        <v>80.51000000000001</v>
      </c>
      <c r="I328" s="0" t="n">
        <v>18.09</v>
      </c>
      <c r="J328" s="0" t="n">
        <v>59.82</v>
      </c>
      <c r="K328" s="0" t="n">
        <v>164</v>
      </c>
      <c r="T328" s="0" t="n">
        <v>3</v>
      </c>
      <c r="U328" s="0" t="n">
        <v>1</v>
      </c>
      <c r="V328" s="0" t="inlineStr">
        <is>
          <t>계단식</t>
        </is>
      </c>
      <c r="W328" s="0" t="n">
        <v>80</v>
      </c>
      <c r="X328" s="0" t="n">
        <v>24</v>
      </c>
      <c r="Y328" s="0" t="n">
        <v>18</v>
      </c>
      <c r="Z328" s="0" t="inlineStr">
        <is>
          <t>https://new.land.naver.com/complexes/2548?tab=detail&amp;rf=Y</t>
        </is>
      </c>
      <c r="AA328" s="0" t="inlineStr">
        <is>
          <t>인천시 서구 가좌동 217</t>
        </is>
      </c>
      <c r="AB328" s="0" t="inlineStr">
        <is>
          <t>인천시</t>
        </is>
      </c>
      <c r="AC328" s="0" t="inlineStr">
        <is>
          <t>서구</t>
        </is>
      </c>
      <c r="AD328" s="0" t="inlineStr">
        <is>
          <t>가좌동</t>
        </is>
      </c>
      <c r="AG328" s="0" t="inlineStr">
        <is>
          <t>인천시 서구 원적로47번길 35</t>
        </is>
      </c>
      <c r="AH328" s="0" t="n">
        <v>0</v>
      </c>
      <c r="AI328" s="0" t="n">
        <v>249</v>
      </c>
      <c r="AJ328" s="0" t="n">
        <v>17</v>
      </c>
      <c r="AK328" s="0" t="n">
        <v>331</v>
      </c>
      <c r="AL328" s="0" t="n">
        <v>0.97</v>
      </c>
    </row>
    <row r="329">
      <c r="A329" s="0" t="inlineStr">
        <is>
          <t>[가좌동]</t>
        </is>
      </c>
      <c r="B329" s="0" t="n">
        <v>2548</v>
      </c>
      <c r="C329" s="0" t="n">
        <v>2</v>
      </c>
      <c r="D329" s="0" t="inlineStr">
        <is>
          <t>신현대</t>
        </is>
      </c>
      <c r="E329" s="0" t="inlineStr">
        <is>
          <t>1995.04.</t>
        </is>
      </c>
      <c r="F329" s="0" t="n">
        <v>343</v>
      </c>
      <c r="G329" s="0" t="n">
        <v>32.71</v>
      </c>
      <c r="H329" s="0" t="n">
        <v>108.16</v>
      </c>
      <c r="I329" s="0" t="n">
        <v>25.7</v>
      </c>
      <c r="J329" s="0" t="n">
        <v>84.95999999999999</v>
      </c>
      <c r="K329" s="0" t="n">
        <v>179</v>
      </c>
      <c r="T329" s="0" t="n">
        <v>3</v>
      </c>
      <c r="U329" s="0" t="n">
        <v>2</v>
      </c>
      <c r="V329" s="0" t="inlineStr">
        <is>
          <t>계단식</t>
        </is>
      </c>
      <c r="W329" s="0" t="n">
        <v>108</v>
      </c>
      <c r="X329" s="0" t="n">
        <v>24</v>
      </c>
      <c r="Y329" s="0" t="n">
        <v>18</v>
      </c>
      <c r="Z329" s="0" t="inlineStr">
        <is>
          <t>https://new.land.naver.com/complexes/2548?tab=detail&amp;rf=Y</t>
        </is>
      </c>
      <c r="AA329" s="0" t="inlineStr">
        <is>
          <t>인천시 서구 가좌동 217</t>
        </is>
      </c>
      <c r="AB329" s="0" t="inlineStr">
        <is>
          <t>인천시</t>
        </is>
      </c>
      <c r="AC329" s="0" t="inlineStr">
        <is>
          <t>서구</t>
        </is>
      </c>
      <c r="AD329" s="0" t="inlineStr">
        <is>
          <t>가좌동</t>
        </is>
      </c>
      <c r="AG329" s="0" t="inlineStr">
        <is>
          <t>인천시 서구 원적로47번길 35</t>
        </is>
      </c>
      <c r="AH329" s="0" t="n">
        <v>0</v>
      </c>
      <c r="AI329" s="0" t="n">
        <v>249</v>
      </c>
      <c r="AJ329" s="0" t="n">
        <v>17</v>
      </c>
      <c r="AK329" s="0" t="n">
        <v>331</v>
      </c>
      <c r="AL329" s="0" t="n">
        <v>0.97</v>
      </c>
    </row>
    <row r="330">
      <c r="A330" s="0" t="inlineStr">
        <is>
          <t>[가좌동]</t>
        </is>
      </c>
      <c r="B330" s="0" t="n">
        <v>13156</v>
      </c>
      <c r="C330" s="0" t="n">
        <v>1</v>
      </c>
      <c r="D330" s="0" t="inlineStr">
        <is>
          <t>정아</t>
        </is>
      </c>
      <c r="E330" s="0" t="inlineStr">
        <is>
          <t>1984.09.</t>
        </is>
      </c>
      <c r="F330" s="0" t="n">
        <v>30</v>
      </c>
      <c r="G330" s="0" t="n">
        <v>23.14</v>
      </c>
      <c r="H330" s="0" t="n">
        <v>76.5</v>
      </c>
      <c r="I330" s="0" t="n">
        <v>19.19</v>
      </c>
      <c r="J330" s="0" t="n">
        <v>63.45</v>
      </c>
      <c r="K330" s="0" t="n">
        <v>30</v>
      </c>
      <c r="T330" s="0" t="n">
        <v>3</v>
      </c>
      <c r="U330" s="0" t="n">
        <v>2</v>
      </c>
      <c r="V330" s="0" t="inlineStr">
        <is>
          <t>계단식</t>
        </is>
      </c>
      <c r="W330" s="0" t="n">
        <v>76</v>
      </c>
      <c r="X330" s="0" t="n">
        <v>5</v>
      </c>
      <c r="Y330" s="0" t="n">
        <v>5</v>
      </c>
      <c r="Z330" s="0" t="inlineStr">
        <is>
          <t>https://new.land.naver.com/complexes/13156?tab=detail&amp;rf=Y</t>
        </is>
      </c>
      <c r="AA330" s="0" t="inlineStr">
        <is>
          <t>인천시 서구 가좌동 215</t>
        </is>
      </c>
      <c r="AB330" s="0" t="inlineStr">
        <is>
          <t>인천시</t>
        </is>
      </c>
      <c r="AC330" s="0" t="inlineStr">
        <is>
          <t>서구</t>
        </is>
      </c>
      <c r="AD330" s="0" t="inlineStr">
        <is>
          <t>가좌동</t>
        </is>
      </c>
      <c r="AG330" s="0" t="inlineStr">
        <is>
          <t>인천시 서구 원적로57번길 27</t>
        </is>
      </c>
      <c r="AH330" s="0" t="n">
        <v>0</v>
      </c>
      <c r="AI330" s="0" t="n">
        <v>0</v>
      </c>
      <c r="AJ330" s="0" t="n">
        <v>0</v>
      </c>
      <c r="AK330" s="0" t="n">
        <v>0</v>
      </c>
      <c r="AL330" s="0" t="n">
        <v>0</v>
      </c>
    </row>
    <row r="331">
      <c r="A331" s="0" t="inlineStr">
        <is>
          <t>[검암동]</t>
        </is>
      </c>
      <c r="B331" s="0" t="n">
        <v>9015</v>
      </c>
      <c r="C331" s="0" t="n">
        <v>1</v>
      </c>
      <c r="D331" s="0" t="inlineStr">
        <is>
          <t>신명스카이뷰</t>
        </is>
      </c>
      <c r="E331" s="0" t="inlineStr">
        <is>
          <t>2003.07.</t>
        </is>
      </c>
      <c r="F331" s="0" t="n">
        <v>268</v>
      </c>
      <c r="G331" s="0" t="n">
        <v>24.02</v>
      </c>
      <c r="H331" s="0" t="n">
        <v>79.41</v>
      </c>
      <c r="I331" s="0" t="n">
        <v>18.11</v>
      </c>
      <c r="J331" s="0" t="n">
        <v>59.88</v>
      </c>
      <c r="K331" s="0" t="n">
        <v>30</v>
      </c>
      <c r="T331" s="0" t="n">
        <v>3</v>
      </c>
      <c r="U331" s="0" t="n">
        <v>2</v>
      </c>
      <c r="V331" s="0" t="inlineStr">
        <is>
          <t>계단식</t>
        </is>
      </c>
      <c r="W331" s="0" t="n">
        <v>79</v>
      </c>
      <c r="X331" s="0" t="n">
        <v>15</v>
      </c>
      <c r="Y331" s="0" t="n">
        <v>14</v>
      </c>
      <c r="Z331" s="0" t="inlineStr">
        <is>
          <t>https://new.land.naver.com/complexes/9015?tab=detail&amp;rf=Y</t>
        </is>
      </c>
      <c r="AA331" s="0" t="inlineStr">
        <is>
          <t>인천시 서구 검암동 629-1</t>
        </is>
      </c>
      <c r="AB331" s="0" t="inlineStr">
        <is>
          <t>인천시</t>
        </is>
      </c>
      <c r="AC331" s="0" t="inlineStr">
        <is>
          <t>서구</t>
        </is>
      </c>
      <c r="AD331" s="0" t="inlineStr">
        <is>
          <t>검암동</t>
        </is>
      </c>
      <c r="AG331" s="0" t="inlineStr">
        <is>
          <t>인천시 서구 승학로 447</t>
        </is>
      </c>
      <c r="AH331" s="0" t="n">
        <v>0</v>
      </c>
      <c r="AI331" s="0" t="n">
        <v>243</v>
      </c>
      <c r="AJ331" s="0" t="n">
        <v>19</v>
      </c>
      <c r="AK331" s="0" t="n">
        <v>269</v>
      </c>
      <c r="AL331" s="0" t="n">
        <v>1</v>
      </c>
    </row>
    <row r="332">
      <c r="A332" s="0" t="inlineStr">
        <is>
          <t>[검암동]</t>
        </is>
      </c>
      <c r="B332" s="0" t="n">
        <v>9015</v>
      </c>
      <c r="C332" s="0" t="n">
        <v>2</v>
      </c>
      <c r="D332" s="0" t="inlineStr">
        <is>
          <t>신명스카이뷰</t>
        </is>
      </c>
      <c r="E332" s="0" t="inlineStr">
        <is>
          <t>2003.07.</t>
        </is>
      </c>
      <c r="F332" s="0" t="n">
        <v>268</v>
      </c>
      <c r="G332" s="0" t="n">
        <v>33.04</v>
      </c>
      <c r="H332" s="0" t="n">
        <v>109.25</v>
      </c>
      <c r="I332" s="0" t="n">
        <v>25.7</v>
      </c>
      <c r="J332" s="0" t="n">
        <v>84.95999999999999</v>
      </c>
      <c r="K332" s="0" t="n">
        <v>238</v>
      </c>
      <c r="T332" s="0" t="n">
        <v>3</v>
      </c>
      <c r="U332" s="0" t="n">
        <v>2</v>
      </c>
      <c r="V332" s="0" t="inlineStr">
        <is>
          <t>계단식</t>
        </is>
      </c>
      <c r="W332" s="0" t="n">
        <v>109</v>
      </c>
      <c r="X332" s="0" t="n">
        <v>15</v>
      </c>
      <c r="Y332" s="0" t="n">
        <v>14</v>
      </c>
      <c r="Z332" s="0" t="inlineStr">
        <is>
          <t>https://new.land.naver.com/complexes/9015?tab=detail&amp;rf=Y</t>
        </is>
      </c>
      <c r="AA332" s="0" t="inlineStr">
        <is>
          <t>인천시 서구 검암동 629-1</t>
        </is>
      </c>
      <c r="AB332" s="0" t="inlineStr">
        <is>
          <t>인천시</t>
        </is>
      </c>
      <c r="AC332" s="0" t="inlineStr">
        <is>
          <t>서구</t>
        </is>
      </c>
      <c r="AD332" s="0" t="inlineStr">
        <is>
          <t>검암동</t>
        </is>
      </c>
      <c r="AG332" s="0" t="inlineStr">
        <is>
          <t>인천시 서구 승학로 447</t>
        </is>
      </c>
      <c r="AH332" s="0" t="n">
        <v>0</v>
      </c>
      <c r="AI332" s="0" t="n">
        <v>243</v>
      </c>
      <c r="AJ332" s="0" t="n">
        <v>19</v>
      </c>
      <c r="AK332" s="0" t="n">
        <v>269</v>
      </c>
      <c r="AL332" s="0" t="n">
        <v>1</v>
      </c>
    </row>
    <row r="333">
      <c r="A333" s="0" t="inlineStr">
        <is>
          <t>[검암동]</t>
        </is>
      </c>
      <c r="B333" s="0" t="n">
        <v>11274</v>
      </c>
      <c r="C333" s="0" t="n">
        <v>1</v>
      </c>
      <c r="D333" s="0" t="inlineStr">
        <is>
          <t>삼보해피하임1차</t>
        </is>
      </c>
      <c r="E333" s="0" t="inlineStr">
        <is>
          <t>2003.08.</t>
        </is>
      </c>
      <c r="F333" s="0" t="n">
        <v>252</v>
      </c>
      <c r="G333" s="0" t="n">
        <v>28.01</v>
      </c>
      <c r="H333" s="0" t="n">
        <v>92.59999999999999</v>
      </c>
      <c r="I333" s="0" t="n">
        <v>21.66</v>
      </c>
      <c r="J333" s="0" t="n">
        <v>71.62</v>
      </c>
      <c r="K333" s="0" t="n">
        <v>60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92B</t>
        </is>
      </c>
      <c r="X333" s="0" t="n">
        <v>16</v>
      </c>
      <c r="Y333" s="0" t="n">
        <v>15</v>
      </c>
      <c r="Z333" s="0" t="inlineStr">
        <is>
          <t>https://new.land.naver.com/complexes/11274?tab=detail&amp;rf=Y</t>
        </is>
      </c>
      <c r="AA333" s="0" t="inlineStr">
        <is>
          <t>인천시 서구 검암동 628</t>
        </is>
      </c>
      <c r="AB333" s="0" t="inlineStr">
        <is>
          <t>인천시</t>
        </is>
      </c>
      <c r="AC333" s="0" t="inlineStr">
        <is>
          <t>서구</t>
        </is>
      </c>
      <c r="AD333" s="0" t="inlineStr">
        <is>
          <t>검암동</t>
        </is>
      </c>
      <c r="AG333" s="0" t="inlineStr">
        <is>
          <t>인천시 서구 승학로 457</t>
        </is>
      </c>
      <c r="AH333" s="0" t="n">
        <v>0</v>
      </c>
      <c r="AI333" s="0" t="n">
        <v>221</v>
      </c>
      <c r="AJ333" s="0" t="n">
        <v>19</v>
      </c>
      <c r="AK333" s="0" t="n">
        <v>252</v>
      </c>
      <c r="AL333" s="0" t="n">
        <v>1</v>
      </c>
    </row>
    <row r="334">
      <c r="A334" s="0" t="inlineStr">
        <is>
          <t>[검암동]</t>
        </is>
      </c>
      <c r="B334" s="0" t="n">
        <v>11274</v>
      </c>
      <c r="C334" s="0" t="n">
        <v>2</v>
      </c>
      <c r="D334" s="0" t="inlineStr">
        <is>
          <t>삼보해피하임1차</t>
        </is>
      </c>
      <c r="E334" s="0" t="inlineStr">
        <is>
          <t>2003.08.</t>
        </is>
      </c>
      <c r="F334" s="0" t="n">
        <v>252</v>
      </c>
      <c r="G334" s="0" t="n">
        <v>28.41</v>
      </c>
      <c r="H334" s="0" t="n">
        <v>93.94</v>
      </c>
      <c r="I334" s="0" t="n">
        <v>21.66</v>
      </c>
      <c r="J334" s="0" t="n">
        <v>71.62</v>
      </c>
      <c r="K334" s="0" t="n">
        <v>64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93A</t>
        </is>
      </c>
      <c r="X334" s="0" t="n">
        <v>16</v>
      </c>
      <c r="Y334" s="0" t="n">
        <v>15</v>
      </c>
      <c r="Z334" s="0" t="inlineStr">
        <is>
          <t>https://new.land.naver.com/complexes/11274?tab=detail&amp;rf=Y</t>
        </is>
      </c>
      <c r="AA334" s="0" t="inlineStr">
        <is>
          <t>인천시 서구 검암동 628</t>
        </is>
      </c>
      <c r="AB334" s="0" t="inlineStr">
        <is>
          <t>인천시</t>
        </is>
      </c>
      <c r="AC334" s="0" t="inlineStr">
        <is>
          <t>서구</t>
        </is>
      </c>
      <c r="AD334" s="0" t="inlineStr">
        <is>
          <t>검암동</t>
        </is>
      </c>
      <c r="AG334" s="0" t="inlineStr">
        <is>
          <t>인천시 서구 승학로 457</t>
        </is>
      </c>
      <c r="AH334" s="0" t="n">
        <v>0</v>
      </c>
      <c r="AI334" s="0" t="n">
        <v>221</v>
      </c>
      <c r="AJ334" s="0" t="n">
        <v>19</v>
      </c>
      <c r="AK334" s="0" t="n">
        <v>252</v>
      </c>
      <c r="AL334" s="0" t="n">
        <v>1</v>
      </c>
    </row>
    <row r="335">
      <c r="A335" s="0" t="inlineStr">
        <is>
          <t>[검암동]</t>
        </is>
      </c>
      <c r="B335" s="0" t="n">
        <v>11274</v>
      </c>
      <c r="C335" s="0" t="n">
        <v>3</v>
      </c>
      <c r="D335" s="0" t="inlineStr">
        <is>
          <t>삼보해피하임1차</t>
        </is>
      </c>
      <c r="E335" s="0" t="inlineStr">
        <is>
          <t>2003.08.</t>
        </is>
      </c>
      <c r="F335" s="0" t="n">
        <v>252</v>
      </c>
      <c r="G335" s="0" t="n">
        <v>32.86</v>
      </c>
      <c r="H335" s="0" t="n">
        <v>108.63</v>
      </c>
      <c r="I335" s="0" t="n">
        <v>25.65</v>
      </c>
      <c r="J335" s="0" t="n">
        <v>84.81</v>
      </c>
      <c r="K335" s="0" t="n">
        <v>128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108</v>
      </c>
      <c r="X335" s="0" t="n">
        <v>16</v>
      </c>
      <c r="Y335" s="0" t="n">
        <v>15</v>
      </c>
      <c r="Z335" s="0" t="inlineStr">
        <is>
          <t>https://new.land.naver.com/complexes/11274?tab=detail&amp;rf=Y</t>
        </is>
      </c>
      <c r="AA335" s="0" t="inlineStr">
        <is>
          <t>인천시 서구 검암동 628</t>
        </is>
      </c>
      <c r="AB335" s="0" t="inlineStr">
        <is>
          <t>인천시</t>
        </is>
      </c>
      <c r="AC335" s="0" t="inlineStr">
        <is>
          <t>서구</t>
        </is>
      </c>
      <c r="AD335" s="0" t="inlineStr">
        <is>
          <t>검암동</t>
        </is>
      </c>
      <c r="AG335" s="0" t="inlineStr">
        <is>
          <t>인천시 서구 승학로 457</t>
        </is>
      </c>
      <c r="AH335" s="0" t="n">
        <v>0</v>
      </c>
      <c r="AI335" s="0" t="n">
        <v>221</v>
      </c>
      <c r="AJ335" s="0" t="n">
        <v>19</v>
      </c>
      <c r="AK335" s="0" t="n">
        <v>252</v>
      </c>
      <c r="AL335" s="0" t="n">
        <v>1</v>
      </c>
    </row>
    <row r="336">
      <c r="A336" s="0" t="inlineStr">
        <is>
          <t>[검암동]</t>
        </is>
      </c>
      <c r="B336" s="0" t="n">
        <v>9537</v>
      </c>
      <c r="C336" s="0" t="n">
        <v>1</v>
      </c>
      <c r="D336" s="0" t="inlineStr">
        <is>
          <t>검암신명스카이뷰3차</t>
        </is>
      </c>
      <c r="E336" s="0" t="inlineStr">
        <is>
          <t>2004.05.</t>
        </is>
      </c>
      <c r="F336" s="0" t="n">
        <v>282</v>
      </c>
      <c r="G336" s="0" t="n">
        <v>24.28</v>
      </c>
      <c r="H336" s="0" t="n">
        <v>80.27</v>
      </c>
      <c r="I336" s="0" t="n">
        <v>18.11</v>
      </c>
      <c r="J336" s="0" t="n">
        <v>59.88</v>
      </c>
      <c r="K336" s="0" t="n">
        <v>62</v>
      </c>
      <c r="T336" s="0" t="n">
        <v>3</v>
      </c>
      <c r="U336" s="0" t="n">
        <v>2</v>
      </c>
      <c r="V336" s="0" t="inlineStr">
        <is>
          <t>계단식</t>
        </is>
      </c>
      <c r="W336" s="0" t="n">
        <v>80</v>
      </c>
      <c r="X336" s="0" t="n">
        <v>17</v>
      </c>
      <c r="Y336" s="0" t="n">
        <v>13</v>
      </c>
      <c r="Z336" s="0" t="inlineStr">
        <is>
          <t>https://new.land.naver.com/complexes/9537?tab=detail&amp;rf=Y</t>
        </is>
      </c>
      <c r="AA336" s="0" t="inlineStr">
        <is>
          <t>인천시 서구 검암동 605-1</t>
        </is>
      </c>
      <c r="AB336" s="0" t="inlineStr">
        <is>
          <t>인천시</t>
        </is>
      </c>
      <c r="AC336" s="0" t="inlineStr">
        <is>
          <t>서구</t>
        </is>
      </c>
      <c r="AD336" s="0" t="inlineStr">
        <is>
          <t>검암동</t>
        </is>
      </c>
      <c r="AG336" s="0" t="inlineStr">
        <is>
          <t>인천시 서구 승학로471번길 7</t>
        </is>
      </c>
      <c r="AH336" s="0" t="n">
        <v>0</v>
      </c>
      <c r="AI336" s="0" t="n">
        <v>238</v>
      </c>
      <c r="AJ336" s="0" t="n">
        <v>19</v>
      </c>
      <c r="AK336" s="0" t="n">
        <v>286</v>
      </c>
      <c r="AL336" s="0" t="n">
        <v>1.01</v>
      </c>
    </row>
    <row r="337">
      <c r="A337" s="0" t="inlineStr">
        <is>
          <t>[검암동]</t>
        </is>
      </c>
      <c r="B337" s="0" t="n">
        <v>9537</v>
      </c>
      <c r="C337" s="0" t="n">
        <v>2</v>
      </c>
      <c r="D337" s="0" t="inlineStr">
        <is>
          <t>검암신명스카이뷰3차</t>
        </is>
      </c>
      <c r="E337" s="0" t="inlineStr">
        <is>
          <t>2004.05.</t>
        </is>
      </c>
      <c r="F337" s="0" t="n">
        <v>282</v>
      </c>
      <c r="G337" s="0" t="n">
        <v>33.17</v>
      </c>
      <c r="H337" s="0" t="n">
        <v>109.67</v>
      </c>
      <c r="I337" s="0" t="n">
        <v>25.7</v>
      </c>
      <c r="J337" s="0" t="n">
        <v>84.95999999999999</v>
      </c>
      <c r="K337" s="0" t="n">
        <v>220</v>
      </c>
      <c r="T337" s="0" t="n">
        <v>3</v>
      </c>
      <c r="U337" s="0" t="n">
        <v>2</v>
      </c>
      <c r="V337" s="0" t="inlineStr">
        <is>
          <t>계단식</t>
        </is>
      </c>
      <c r="W337" s="0" t="n">
        <v>109</v>
      </c>
      <c r="X337" s="0" t="n">
        <v>17</v>
      </c>
      <c r="Y337" s="0" t="n">
        <v>13</v>
      </c>
      <c r="Z337" s="0" t="inlineStr">
        <is>
          <t>https://new.land.naver.com/complexes/9537?tab=detail&amp;rf=Y</t>
        </is>
      </c>
      <c r="AA337" s="0" t="inlineStr">
        <is>
          <t>인천시 서구 검암동 605-1</t>
        </is>
      </c>
      <c r="AB337" s="0" t="inlineStr">
        <is>
          <t>인천시</t>
        </is>
      </c>
      <c r="AC337" s="0" t="inlineStr">
        <is>
          <t>서구</t>
        </is>
      </c>
      <c r="AD337" s="0" t="inlineStr">
        <is>
          <t>검암동</t>
        </is>
      </c>
      <c r="AG337" s="0" t="inlineStr">
        <is>
          <t>인천시 서구 승학로471번길 7</t>
        </is>
      </c>
      <c r="AH337" s="0" t="n">
        <v>0</v>
      </c>
      <c r="AI337" s="0" t="n">
        <v>238</v>
      </c>
      <c r="AJ337" s="0" t="n">
        <v>19</v>
      </c>
      <c r="AK337" s="0" t="n">
        <v>286</v>
      </c>
      <c r="AL337" s="0" t="n">
        <v>1.01</v>
      </c>
    </row>
    <row r="338">
      <c r="A338" s="0" t="inlineStr">
        <is>
          <t>[검암동]</t>
        </is>
      </c>
      <c r="B338" s="0" t="n">
        <v>137126</v>
      </c>
      <c r="C338" s="0" t="n">
        <v>1</v>
      </c>
      <c r="D338" s="0" t="inlineStr">
        <is>
          <t>주신빌(도시형)</t>
        </is>
      </c>
      <c r="E338" s="0" t="inlineStr">
        <is>
          <t>2019.10.</t>
        </is>
      </c>
      <c r="F338" s="0" t="n">
        <v>20</v>
      </c>
      <c r="G338" s="0" t="n">
        <v>19.28</v>
      </c>
      <c r="H338" s="0" t="n">
        <v>63.76</v>
      </c>
      <c r="I338" s="0" t="n">
        <v>16.75</v>
      </c>
      <c r="J338" s="0" t="n">
        <v>55.4</v>
      </c>
      <c r="K338" s="0" t="n">
        <v>4</v>
      </c>
      <c r="T338" s="0" t="n">
        <v>3</v>
      </c>
      <c r="U338" s="0" t="n">
        <v>2</v>
      </c>
      <c r="V338" s="0" t="inlineStr">
        <is>
          <t>계단식</t>
        </is>
      </c>
      <c r="W338" s="0" t="n">
        <v>63</v>
      </c>
      <c r="X338" s="0" t="n">
        <v>5</v>
      </c>
      <c r="Y338" s="0" t="n">
        <v>5</v>
      </c>
      <c r="Z338" s="0" t="inlineStr">
        <is>
          <t>https://new.land.naver.com/complexes/137126?tab=detail&amp;rf=Y</t>
        </is>
      </c>
      <c r="AA338" s="0" t="inlineStr">
        <is>
          <t>인천시 서구 검암동 665-2</t>
        </is>
      </c>
      <c r="AB338" s="0" t="inlineStr">
        <is>
          <t>인천시</t>
        </is>
      </c>
      <c r="AC338" s="0" t="inlineStr">
        <is>
          <t>서구</t>
        </is>
      </c>
      <c r="AD338" s="0" t="inlineStr">
        <is>
          <t>검암동</t>
        </is>
      </c>
      <c r="AG338" s="0" t="inlineStr">
        <is>
          <t>인천시 서구 서곶로 445</t>
        </is>
      </c>
      <c r="AH338" s="0" t="n">
        <v>0</v>
      </c>
      <c r="AI338" s="0" t="n">
        <v>249</v>
      </c>
      <c r="AJ338" s="0" t="n">
        <v>59</v>
      </c>
      <c r="AK338" s="0" t="n">
        <v>20</v>
      </c>
      <c r="AL338" s="0" t="n">
        <v>1</v>
      </c>
    </row>
    <row r="339">
      <c r="A339" s="0" t="inlineStr">
        <is>
          <t>[검암동]</t>
        </is>
      </c>
      <c r="B339" s="0" t="n">
        <v>137126</v>
      </c>
      <c r="C339" s="0" t="n">
        <v>2</v>
      </c>
      <c r="D339" s="0" t="inlineStr">
        <is>
          <t>주신빌(도시형)</t>
        </is>
      </c>
      <c r="E339" s="0" t="inlineStr">
        <is>
          <t>2019.10.</t>
        </is>
      </c>
      <c r="F339" s="0" t="n">
        <v>20</v>
      </c>
      <c r="G339" s="0" t="n">
        <v>19.5</v>
      </c>
      <c r="H339" s="0" t="n">
        <v>64.48</v>
      </c>
      <c r="I339" s="0" t="n">
        <v>16.11</v>
      </c>
      <c r="J339" s="0" t="n">
        <v>53.26</v>
      </c>
      <c r="K339" s="0" t="n">
        <v>4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64A</t>
        </is>
      </c>
      <c r="X339" s="0" t="n">
        <v>5</v>
      </c>
      <c r="Y339" s="0" t="n">
        <v>5</v>
      </c>
      <c r="Z339" s="0" t="inlineStr">
        <is>
          <t>https://new.land.naver.com/complexes/137126?tab=detail&amp;rf=Y</t>
        </is>
      </c>
      <c r="AA339" s="0" t="inlineStr">
        <is>
          <t>인천시 서구 검암동 665-2</t>
        </is>
      </c>
      <c r="AB339" s="0" t="inlineStr">
        <is>
          <t>인천시</t>
        </is>
      </c>
      <c r="AC339" s="0" t="inlineStr">
        <is>
          <t>서구</t>
        </is>
      </c>
      <c r="AD339" s="0" t="inlineStr">
        <is>
          <t>검암동</t>
        </is>
      </c>
      <c r="AG339" s="0" t="inlineStr">
        <is>
          <t>인천시 서구 서곶로 445</t>
        </is>
      </c>
      <c r="AH339" s="0" t="n">
        <v>0</v>
      </c>
      <c r="AI339" s="0" t="n">
        <v>249</v>
      </c>
      <c r="AJ339" s="0" t="n">
        <v>59</v>
      </c>
      <c r="AK339" s="0" t="n">
        <v>20</v>
      </c>
      <c r="AL339" s="0" t="n">
        <v>1</v>
      </c>
    </row>
    <row r="340">
      <c r="A340" s="0" t="inlineStr">
        <is>
          <t>[검암동]</t>
        </is>
      </c>
      <c r="B340" s="0" t="n">
        <v>137126</v>
      </c>
      <c r="C340" s="0" t="n">
        <v>3</v>
      </c>
      <c r="D340" s="0" t="inlineStr">
        <is>
          <t>주신빌(도시형)</t>
        </is>
      </c>
      <c r="E340" s="0" t="inlineStr">
        <is>
          <t>2019.10.</t>
        </is>
      </c>
      <c r="F340" s="0" t="n">
        <v>20</v>
      </c>
      <c r="G340" s="0" t="n">
        <v>20.07</v>
      </c>
      <c r="H340" s="0" t="n">
        <v>66.36</v>
      </c>
      <c r="I340" s="0" t="n">
        <v>16.66</v>
      </c>
      <c r="J340" s="0" t="n">
        <v>55.1</v>
      </c>
      <c r="K340" s="0" t="n">
        <v>4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66B</t>
        </is>
      </c>
      <c r="X340" s="0" t="n">
        <v>5</v>
      </c>
      <c r="Y340" s="0" t="n">
        <v>5</v>
      </c>
      <c r="Z340" s="0" t="inlineStr">
        <is>
          <t>https://new.land.naver.com/complexes/137126?tab=detail&amp;rf=Y</t>
        </is>
      </c>
      <c r="AA340" s="0" t="inlineStr">
        <is>
          <t>인천시 서구 검암동 665-2</t>
        </is>
      </c>
      <c r="AB340" s="0" t="inlineStr">
        <is>
          <t>인천시</t>
        </is>
      </c>
      <c r="AC340" s="0" t="inlineStr">
        <is>
          <t>서구</t>
        </is>
      </c>
      <c r="AD340" s="0" t="inlineStr">
        <is>
          <t>검암동</t>
        </is>
      </c>
      <c r="AG340" s="0" t="inlineStr">
        <is>
          <t>인천시 서구 서곶로 445</t>
        </is>
      </c>
      <c r="AH340" s="0" t="n">
        <v>0</v>
      </c>
      <c r="AI340" s="0" t="n">
        <v>249</v>
      </c>
      <c r="AJ340" s="0" t="n">
        <v>59</v>
      </c>
      <c r="AK340" s="0" t="n">
        <v>20</v>
      </c>
      <c r="AL340" s="0" t="n">
        <v>1</v>
      </c>
    </row>
    <row r="341">
      <c r="A341" s="0" t="inlineStr">
        <is>
          <t>[검암동]</t>
        </is>
      </c>
      <c r="B341" s="0" t="n">
        <v>137126</v>
      </c>
      <c r="C341" s="0" t="n">
        <v>4</v>
      </c>
      <c r="D341" s="0" t="inlineStr">
        <is>
          <t>주신빌(도시형)</t>
        </is>
      </c>
      <c r="E341" s="0" t="inlineStr">
        <is>
          <t>2019.10.</t>
        </is>
      </c>
      <c r="F341" s="0" t="n">
        <v>20</v>
      </c>
      <c r="G341" s="0" t="n">
        <v>20.47</v>
      </c>
      <c r="H341" s="0" t="n">
        <v>67.7</v>
      </c>
      <c r="I341" s="0" t="n">
        <v>16.99</v>
      </c>
      <c r="J341" s="0" t="n">
        <v>56.19</v>
      </c>
      <c r="K341" s="0" t="n">
        <v>4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67C</t>
        </is>
      </c>
      <c r="X341" s="0" t="n">
        <v>5</v>
      </c>
      <c r="Y341" s="0" t="n">
        <v>5</v>
      </c>
      <c r="Z341" s="0" t="inlineStr">
        <is>
          <t>https://new.land.naver.com/complexes/137126?tab=detail&amp;rf=Y</t>
        </is>
      </c>
      <c r="AA341" s="0" t="inlineStr">
        <is>
          <t>인천시 서구 검암동 665-2</t>
        </is>
      </c>
      <c r="AB341" s="0" t="inlineStr">
        <is>
          <t>인천시</t>
        </is>
      </c>
      <c r="AC341" s="0" t="inlineStr">
        <is>
          <t>서구</t>
        </is>
      </c>
      <c r="AD341" s="0" t="inlineStr">
        <is>
          <t>검암동</t>
        </is>
      </c>
      <c r="AG341" s="0" t="inlineStr">
        <is>
          <t>인천시 서구 서곶로 445</t>
        </is>
      </c>
      <c r="AH341" s="0" t="n">
        <v>0</v>
      </c>
      <c r="AI341" s="0" t="n">
        <v>249</v>
      </c>
      <c r="AJ341" s="0" t="n">
        <v>59</v>
      </c>
      <c r="AK341" s="0" t="n">
        <v>20</v>
      </c>
      <c r="AL341" s="0" t="n">
        <v>1</v>
      </c>
    </row>
    <row r="342">
      <c r="A342" s="0" t="inlineStr">
        <is>
          <t>[검암동]</t>
        </is>
      </c>
      <c r="B342" s="0" t="n">
        <v>137126</v>
      </c>
      <c r="C342" s="0" t="n">
        <v>5</v>
      </c>
      <c r="D342" s="0" t="inlineStr">
        <is>
          <t>주신빌(도시형)</t>
        </is>
      </c>
      <c r="E342" s="0" t="inlineStr">
        <is>
          <t>2019.10.</t>
        </is>
      </c>
      <c r="F342" s="0" t="n">
        <v>20</v>
      </c>
      <c r="G342" s="0" t="n">
        <v>20.68</v>
      </c>
      <c r="H342" s="0" t="n">
        <v>68.38</v>
      </c>
      <c r="I342" s="0" t="n">
        <v>17.19</v>
      </c>
      <c r="J342" s="0" t="n">
        <v>56.83</v>
      </c>
      <c r="K342" s="0" t="n">
        <v>4</v>
      </c>
      <c r="T342" s="0" t="n">
        <v>3</v>
      </c>
      <c r="U342" s="0" t="n">
        <v>2</v>
      </c>
      <c r="V342" s="0" t="inlineStr">
        <is>
          <t>계단식</t>
        </is>
      </c>
      <c r="W342" s="0" t="n">
        <v>68</v>
      </c>
      <c r="X342" s="0" t="n">
        <v>5</v>
      </c>
      <c r="Y342" s="0" t="n">
        <v>5</v>
      </c>
      <c r="Z342" s="0" t="inlineStr">
        <is>
          <t>https://new.land.naver.com/complexes/137126?tab=detail&amp;rf=Y</t>
        </is>
      </c>
      <c r="AA342" s="0" t="inlineStr">
        <is>
          <t>인천시 서구 검암동 665-2</t>
        </is>
      </c>
      <c r="AB342" s="0" t="inlineStr">
        <is>
          <t>인천시</t>
        </is>
      </c>
      <c r="AC342" s="0" t="inlineStr">
        <is>
          <t>서구</t>
        </is>
      </c>
      <c r="AD342" s="0" t="inlineStr">
        <is>
          <t>검암동</t>
        </is>
      </c>
      <c r="AG342" s="0" t="inlineStr">
        <is>
          <t>인천시 서구 서곶로 445</t>
        </is>
      </c>
      <c r="AH342" s="0" t="n">
        <v>0</v>
      </c>
      <c r="AI342" s="0" t="n">
        <v>249</v>
      </c>
      <c r="AJ342" s="0" t="n">
        <v>59</v>
      </c>
      <c r="AK342" s="0" t="n">
        <v>20</v>
      </c>
      <c r="AL342" s="0" t="n">
        <v>1</v>
      </c>
    </row>
    <row r="343">
      <c r="A343" s="0" t="inlineStr">
        <is>
          <t>[검암동]</t>
        </is>
      </c>
      <c r="B343" s="0" t="n">
        <v>9112</v>
      </c>
      <c r="C343" s="0" t="n">
        <v>1</v>
      </c>
      <c r="D343" s="0" t="inlineStr">
        <is>
          <t>검암신명스카이뷰2차</t>
        </is>
      </c>
      <c r="E343" s="0" t="inlineStr">
        <is>
          <t>2003.10.</t>
        </is>
      </c>
      <c r="F343" s="0" t="n">
        <v>325</v>
      </c>
      <c r="G343" s="0" t="n">
        <v>33.11</v>
      </c>
      <c r="H343" s="0" t="n">
        <v>109.46</v>
      </c>
      <c r="I343" s="0" t="n">
        <v>25.7</v>
      </c>
      <c r="J343" s="0" t="n">
        <v>84.95999999999999</v>
      </c>
      <c r="K343" s="0" t="n">
        <v>325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109</v>
      </c>
      <c r="X343" s="0" t="n">
        <v>19</v>
      </c>
      <c r="Y343" s="0" t="n">
        <v>12</v>
      </c>
      <c r="Z343" s="0" t="inlineStr">
        <is>
          <t>https://new.land.naver.com/complexes/9112?tab=detail&amp;rf=Y</t>
        </is>
      </c>
      <c r="AA343" s="0" t="inlineStr">
        <is>
          <t>인천시 서구 검암동 535-1</t>
        </is>
      </c>
      <c r="AB343" s="0" t="inlineStr">
        <is>
          <t>인천시</t>
        </is>
      </c>
      <c r="AC343" s="0" t="inlineStr">
        <is>
          <t>서구</t>
        </is>
      </c>
      <c r="AD343" s="0" t="inlineStr">
        <is>
          <t>검암동</t>
        </is>
      </c>
      <c r="AG343" s="0" t="inlineStr">
        <is>
          <t>인천시 서구 검암로10번길 54</t>
        </is>
      </c>
      <c r="AH343" s="0" t="n">
        <v>0</v>
      </c>
      <c r="AI343" s="0" t="n">
        <v>230</v>
      </c>
      <c r="AJ343" s="0" t="n">
        <v>18</v>
      </c>
      <c r="AK343" s="0" t="n">
        <v>327</v>
      </c>
      <c r="AL343" s="0" t="n">
        <v>1.01</v>
      </c>
    </row>
    <row r="344">
      <c r="A344" s="0" t="inlineStr">
        <is>
          <t>[검암동]</t>
        </is>
      </c>
      <c r="B344" s="0" t="n">
        <v>8470</v>
      </c>
      <c r="C344" s="0" t="n">
        <v>1</v>
      </c>
      <c r="D344" s="0" t="inlineStr">
        <is>
          <t>서해그랑블</t>
        </is>
      </c>
      <c r="E344" s="0" t="inlineStr">
        <is>
          <t>2003.09.</t>
        </is>
      </c>
      <c r="F344" s="0" t="n">
        <v>950</v>
      </c>
      <c r="G344" s="0" t="n">
        <v>27.32</v>
      </c>
      <c r="H344" s="0" t="n">
        <v>90.34</v>
      </c>
      <c r="I344" s="0" t="n">
        <v>21.07</v>
      </c>
      <c r="J344" s="0" t="n">
        <v>69.66</v>
      </c>
      <c r="K344" s="0" t="n">
        <v>488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90</v>
      </c>
      <c r="X344" s="0" t="n">
        <v>19</v>
      </c>
      <c r="Y344" s="0" t="n">
        <v>15</v>
      </c>
      <c r="Z344" s="0" t="inlineStr">
        <is>
          <t>https://new.land.naver.com/complexes/8470?tab=detail&amp;rf=Y</t>
        </is>
      </c>
      <c r="AA344" s="0" t="inlineStr">
        <is>
          <t>인천시 서구 검암동 595-3</t>
        </is>
      </c>
      <c r="AB344" s="0" t="inlineStr">
        <is>
          <t>인천시</t>
        </is>
      </c>
      <c r="AC344" s="0" t="inlineStr">
        <is>
          <t>서구</t>
        </is>
      </c>
      <c r="AD344" s="0" t="inlineStr">
        <is>
          <t>검암동</t>
        </is>
      </c>
      <c r="AG344" s="0" t="inlineStr">
        <is>
          <t>인천시 서구 승학로495번길 7</t>
        </is>
      </c>
      <c r="AH344" s="0" t="n">
        <v>0</v>
      </c>
      <c r="AI344" s="0" t="n">
        <v>196</v>
      </c>
      <c r="AJ344" s="0" t="n">
        <v>14</v>
      </c>
      <c r="AK344" s="0" t="n">
        <v>967</v>
      </c>
      <c r="AL344" s="0" t="n">
        <v>1.02</v>
      </c>
    </row>
    <row r="345">
      <c r="A345" s="0" t="inlineStr">
        <is>
          <t>[검암동]</t>
        </is>
      </c>
      <c r="B345" s="0" t="n">
        <v>8470</v>
      </c>
      <c r="C345" s="0" t="n">
        <v>2</v>
      </c>
      <c r="D345" s="0" t="inlineStr">
        <is>
          <t>서해그랑블</t>
        </is>
      </c>
      <c r="E345" s="0" t="inlineStr">
        <is>
          <t>2003.09.</t>
        </is>
      </c>
      <c r="F345" s="0" t="n">
        <v>950</v>
      </c>
      <c r="G345" s="0" t="n">
        <v>32.34</v>
      </c>
      <c r="H345" s="0" t="n">
        <v>106.92</v>
      </c>
      <c r="I345" s="0" t="n">
        <v>25.7</v>
      </c>
      <c r="J345" s="0" t="n">
        <v>84.95999999999999</v>
      </c>
      <c r="K345" s="0" t="n">
        <v>462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106</v>
      </c>
      <c r="X345" s="0" t="n">
        <v>19</v>
      </c>
      <c r="Y345" s="0" t="n">
        <v>15</v>
      </c>
      <c r="Z345" s="0" t="inlineStr">
        <is>
          <t>https://new.land.naver.com/complexes/8470?tab=detail&amp;rf=Y</t>
        </is>
      </c>
      <c r="AA345" s="0" t="inlineStr">
        <is>
          <t>인천시 서구 검암동 595-3</t>
        </is>
      </c>
      <c r="AB345" s="0" t="inlineStr">
        <is>
          <t>인천시</t>
        </is>
      </c>
      <c r="AC345" s="0" t="inlineStr">
        <is>
          <t>서구</t>
        </is>
      </c>
      <c r="AD345" s="0" t="inlineStr">
        <is>
          <t>검암동</t>
        </is>
      </c>
      <c r="AG345" s="0" t="inlineStr">
        <is>
          <t>인천시 서구 승학로495번길 7</t>
        </is>
      </c>
      <c r="AH345" s="0" t="n">
        <v>0</v>
      </c>
      <c r="AI345" s="0" t="n">
        <v>196</v>
      </c>
      <c r="AJ345" s="0" t="n">
        <v>14</v>
      </c>
      <c r="AK345" s="0" t="n">
        <v>967</v>
      </c>
      <c r="AL345" s="0" t="n">
        <v>1.02</v>
      </c>
    </row>
    <row r="346">
      <c r="A346" s="0" t="inlineStr">
        <is>
          <t>[검암동]</t>
        </is>
      </c>
      <c r="B346" s="0" t="n">
        <v>9770</v>
      </c>
      <c r="C346" s="0" t="n">
        <v>1</v>
      </c>
      <c r="D346" s="0" t="inlineStr">
        <is>
          <t>풍림아이원2차</t>
        </is>
      </c>
      <c r="E346" s="0" t="inlineStr">
        <is>
          <t>2004.05.</t>
        </is>
      </c>
      <c r="F346" s="0" t="n">
        <v>718</v>
      </c>
      <c r="G346" s="0" t="n">
        <v>24.65</v>
      </c>
      <c r="H346" s="0" t="n">
        <v>81.51000000000001</v>
      </c>
      <c r="I346" s="0" t="n">
        <v>18.13</v>
      </c>
      <c r="J346" s="0" t="n">
        <v>59.94</v>
      </c>
      <c r="K346" s="0" t="n">
        <v>128</v>
      </c>
      <c r="T346" s="0" t="n">
        <v>3</v>
      </c>
      <c r="U346" s="0" t="n">
        <v>2</v>
      </c>
      <c r="V346" s="0" t="inlineStr">
        <is>
          <t>계단식</t>
        </is>
      </c>
      <c r="W346" s="0" t="n">
        <v>81</v>
      </c>
      <c r="X346" s="0" t="n">
        <v>19</v>
      </c>
      <c r="Y346" s="0" t="n">
        <v>7</v>
      </c>
      <c r="Z346" s="0" t="inlineStr">
        <is>
          <t>https://new.land.naver.com/complexes/9770?tab=detail&amp;rf=Y</t>
        </is>
      </c>
      <c r="AA346" s="0" t="inlineStr">
        <is>
          <t>인천시 서구 검암동 501-1</t>
        </is>
      </c>
      <c r="AB346" s="0" t="inlineStr">
        <is>
          <t>인천시</t>
        </is>
      </c>
      <c r="AC346" s="0" t="inlineStr">
        <is>
          <t>서구</t>
        </is>
      </c>
      <c r="AD346" s="0" t="inlineStr">
        <is>
          <t>검암동</t>
        </is>
      </c>
      <c r="AG346" s="0" t="inlineStr">
        <is>
          <t>인천시 서구 검암로 53</t>
        </is>
      </c>
      <c r="AH346" s="0" t="n">
        <v>0</v>
      </c>
      <c r="AI346" s="0" t="n">
        <v>232</v>
      </c>
      <c r="AJ346" s="0" t="n">
        <v>18</v>
      </c>
      <c r="AK346" s="0" t="n">
        <v>723</v>
      </c>
      <c r="AL346" s="0" t="n">
        <v>1.01</v>
      </c>
    </row>
    <row r="347">
      <c r="A347" s="0" t="inlineStr">
        <is>
          <t>[검암동]</t>
        </is>
      </c>
      <c r="B347" s="0" t="n">
        <v>9770</v>
      </c>
      <c r="C347" s="0" t="n">
        <v>2</v>
      </c>
      <c r="D347" s="0" t="inlineStr">
        <is>
          <t>풍림아이원2차</t>
        </is>
      </c>
      <c r="E347" s="0" t="inlineStr">
        <is>
          <t>2004.05.</t>
        </is>
      </c>
      <c r="F347" s="0" t="n">
        <v>718</v>
      </c>
      <c r="G347" s="0" t="n">
        <v>30.47</v>
      </c>
      <c r="H347" s="0" t="n">
        <v>100.74</v>
      </c>
      <c r="I347" s="0" t="n">
        <v>22.72</v>
      </c>
      <c r="J347" s="0" t="n">
        <v>75.12</v>
      </c>
      <c r="K347" s="0" t="n">
        <v>219</v>
      </c>
      <c r="T347" s="0" t="n">
        <v>3</v>
      </c>
      <c r="U347" s="0" t="n">
        <v>2</v>
      </c>
      <c r="V347" s="0" t="inlineStr">
        <is>
          <t>계단식</t>
        </is>
      </c>
      <c r="W347" s="0" t="n">
        <v>100</v>
      </c>
      <c r="X347" s="0" t="n">
        <v>19</v>
      </c>
      <c r="Y347" s="0" t="n">
        <v>7</v>
      </c>
      <c r="Z347" s="0" t="inlineStr">
        <is>
          <t>https://new.land.naver.com/complexes/9770?tab=detail&amp;rf=Y</t>
        </is>
      </c>
      <c r="AA347" s="0" t="inlineStr">
        <is>
          <t>인천시 서구 검암동 501-1</t>
        </is>
      </c>
      <c r="AB347" s="0" t="inlineStr">
        <is>
          <t>인천시</t>
        </is>
      </c>
      <c r="AC347" s="0" t="inlineStr">
        <is>
          <t>서구</t>
        </is>
      </c>
      <c r="AD347" s="0" t="inlineStr">
        <is>
          <t>검암동</t>
        </is>
      </c>
      <c r="AG347" s="0" t="inlineStr">
        <is>
          <t>인천시 서구 검암로 53</t>
        </is>
      </c>
      <c r="AH347" s="0" t="n">
        <v>0</v>
      </c>
      <c r="AI347" s="0" t="n">
        <v>232</v>
      </c>
      <c r="AJ347" s="0" t="n">
        <v>18</v>
      </c>
      <c r="AK347" s="0" t="n">
        <v>723</v>
      </c>
      <c r="AL347" s="0" t="n">
        <v>1.01</v>
      </c>
    </row>
    <row r="348">
      <c r="A348" s="0" t="inlineStr">
        <is>
          <t>[검암동]</t>
        </is>
      </c>
      <c r="B348" s="0" t="n">
        <v>9770</v>
      </c>
      <c r="C348" s="0" t="n">
        <v>3</v>
      </c>
      <c r="D348" s="0" t="inlineStr">
        <is>
          <t>풍림아이원2차</t>
        </is>
      </c>
      <c r="E348" s="0" t="inlineStr">
        <is>
          <t>2004.05.</t>
        </is>
      </c>
      <c r="F348" s="0" t="n">
        <v>718</v>
      </c>
      <c r="G348" s="0" t="n">
        <v>33.13</v>
      </c>
      <c r="H348" s="0" t="n">
        <v>109.54</v>
      </c>
      <c r="I348" s="0" t="n">
        <v>25.69</v>
      </c>
      <c r="J348" s="0" t="n">
        <v>84.93000000000001</v>
      </c>
      <c r="K348" s="0" t="n">
        <v>371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109</v>
      </c>
      <c r="X348" s="0" t="n">
        <v>19</v>
      </c>
      <c r="Y348" s="0" t="n">
        <v>7</v>
      </c>
      <c r="Z348" s="0" t="inlineStr">
        <is>
          <t>https://new.land.naver.com/complexes/9770?tab=detail&amp;rf=Y</t>
        </is>
      </c>
      <c r="AA348" s="0" t="inlineStr">
        <is>
          <t>인천시 서구 검암동 501-1</t>
        </is>
      </c>
      <c r="AB348" s="0" t="inlineStr">
        <is>
          <t>인천시</t>
        </is>
      </c>
      <c r="AC348" s="0" t="inlineStr">
        <is>
          <t>서구</t>
        </is>
      </c>
      <c r="AD348" s="0" t="inlineStr">
        <is>
          <t>검암동</t>
        </is>
      </c>
      <c r="AG348" s="0" t="inlineStr">
        <is>
          <t>인천시 서구 검암로 53</t>
        </is>
      </c>
      <c r="AH348" s="0" t="n">
        <v>0</v>
      </c>
      <c r="AI348" s="0" t="n">
        <v>232</v>
      </c>
      <c r="AJ348" s="0" t="n">
        <v>18</v>
      </c>
      <c r="AK348" s="0" t="n">
        <v>723</v>
      </c>
      <c r="AL348" s="0" t="n">
        <v>1.01</v>
      </c>
    </row>
    <row r="349">
      <c r="A349" s="0" t="inlineStr">
        <is>
          <t>[검암동]</t>
        </is>
      </c>
      <c r="B349" s="0" t="n">
        <v>11275</v>
      </c>
      <c r="C349" s="0" t="n">
        <v>1</v>
      </c>
      <c r="D349" s="0" t="inlineStr">
        <is>
          <t>삼보해피하임2차</t>
        </is>
      </c>
      <c r="E349" s="0" t="inlineStr">
        <is>
          <t>2003.08.</t>
        </is>
      </c>
      <c r="F349" s="0" t="n">
        <v>288</v>
      </c>
      <c r="G349" s="0" t="n">
        <v>28.35</v>
      </c>
      <c r="H349" s="0" t="n">
        <v>93.73999999999999</v>
      </c>
      <c r="I349" s="0" t="n">
        <v>21.66</v>
      </c>
      <c r="J349" s="0" t="n">
        <v>71.62</v>
      </c>
      <c r="K349" s="0" t="n">
        <v>110</v>
      </c>
      <c r="T349" s="0" t="n">
        <v>3</v>
      </c>
      <c r="U349" s="0" t="n">
        <v>2</v>
      </c>
      <c r="V349" s="0" t="inlineStr">
        <is>
          <t>계단식</t>
        </is>
      </c>
      <c r="W349" s="0" t="n">
        <v>93</v>
      </c>
      <c r="X349" s="0" t="n">
        <v>19</v>
      </c>
      <c r="Y349" s="0" t="n">
        <v>17</v>
      </c>
      <c r="Z349" s="0" t="inlineStr">
        <is>
          <t>https://new.land.naver.com/complexes/11275?tab=detail&amp;rf=Y</t>
        </is>
      </c>
      <c r="AA349" s="0" t="inlineStr">
        <is>
          <t>인천시 서구 검암동 512-1</t>
        </is>
      </c>
      <c r="AB349" s="0" t="inlineStr">
        <is>
          <t>인천시</t>
        </is>
      </c>
      <c r="AC349" s="0" t="inlineStr">
        <is>
          <t>서구</t>
        </is>
      </c>
      <c r="AD349" s="0" t="inlineStr">
        <is>
          <t>검암동</t>
        </is>
      </c>
      <c r="AG349" s="0" t="inlineStr">
        <is>
          <t>인천시 서구 검암로20번길 52</t>
        </is>
      </c>
      <c r="AH349" s="0" t="n">
        <v>0</v>
      </c>
      <c r="AI349" s="0" t="n">
        <v>218</v>
      </c>
      <c r="AJ349" s="0" t="n">
        <v>15</v>
      </c>
      <c r="AK349" s="0" t="n">
        <v>292</v>
      </c>
      <c r="AL349" s="0" t="n">
        <v>1.01</v>
      </c>
    </row>
    <row r="350">
      <c r="A350" s="0" t="inlineStr">
        <is>
          <t>[검암동]</t>
        </is>
      </c>
      <c r="B350" s="0" t="n">
        <v>11275</v>
      </c>
      <c r="C350" s="0" t="n">
        <v>2</v>
      </c>
      <c r="D350" s="0" t="inlineStr">
        <is>
          <t>삼보해피하임2차</t>
        </is>
      </c>
      <c r="E350" s="0" t="inlineStr">
        <is>
          <t>2003.08.</t>
        </is>
      </c>
      <c r="F350" s="0" t="n">
        <v>288</v>
      </c>
      <c r="G350" s="0" t="n">
        <v>32.85</v>
      </c>
      <c r="H350" s="0" t="n">
        <v>108.6</v>
      </c>
      <c r="I350" s="0" t="n">
        <v>25.65</v>
      </c>
      <c r="J350" s="0" t="n">
        <v>84.81</v>
      </c>
      <c r="K350" s="0" t="n">
        <v>106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108B</t>
        </is>
      </c>
      <c r="X350" s="0" t="n">
        <v>19</v>
      </c>
      <c r="Y350" s="0" t="n">
        <v>17</v>
      </c>
      <c r="Z350" s="0" t="inlineStr">
        <is>
          <t>https://new.land.naver.com/complexes/11275?tab=detail&amp;rf=Y</t>
        </is>
      </c>
      <c r="AA350" s="0" t="inlineStr">
        <is>
          <t>인천시 서구 검암동 512-1</t>
        </is>
      </c>
      <c r="AB350" s="0" t="inlineStr">
        <is>
          <t>인천시</t>
        </is>
      </c>
      <c r="AC350" s="0" t="inlineStr">
        <is>
          <t>서구</t>
        </is>
      </c>
      <c r="AD350" s="0" t="inlineStr">
        <is>
          <t>검암동</t>
        </is>
      </c>
      <c r="AG350" s="0" t="inlineStr">
        <is>
          <t>인천시 서구 검암로20번길 52</t>
        </is>
      </c>
      <c r="AH350" s="0" t="n">
        <v>0</v>
      </c>
      <c r="AI350" s="0" t="n">
        <v>218</v>
      </c>
      <c r="AJ350" s="0" t="n">
        <v>15</v>
      </c>
      <c r="AK350" s="0" t="n">
        <v>292</v>
      </c>
      <c r="AL350" s="0" t="n">
        <v>1.01</v>
      </c>
    </row>
    <row r="351">
      <c r="A351" s="0" t="inlineStr">
        <is>
          <t>[검암동]</t>
        </is>
      </c>
      <c r="B351" s="0" t="n">
        <v>11275</v>
      </c>
      <c r="C351" s="0" t="n">
        <v>3</v>
      </c>
      <c r="D351" s="0" t="inlineStr">
        <is>
          <t>삼보해피하임2차</t>
        </is>
      </c>
      <c r="E351" s="0" t="inlineStr">
        <is>
          <t>2003.08.</t>
        </is>
      </c>
      <c r="F351" s="0" t="n">
        <v>288</v>
      </c>
      <c r="G351" s="0" t="n">
        <v>32.8</v>
      </c>
      <c r="H351" s="0" t="n">
        <v>108.44</v>
      </c>
      <c r="I351" s="0" t="n">
        <v>25.65</v>
      </c>
      <c r="J351" s="0" t="n">
        <v>84.81</v>
      </c>
      <c r="K351" s="0" t="n">
        <v>72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108A</t>
        </is>
      </c>
      <c r="X351" s="0" t="n">
        <v>19</v>
      </c>
      <c r="Y351" s="0" t="n">
        <v>17</v>
      </c>
      <c r="Z351" s="0" t="inlineStr">
        <is>
          <t>https://new.land.naver.com/complexes/11275?tab=detail&amp;rf=Y</t>
        </is>
      </c>
      <c r="AA351" s="0" t="inlineStr">
        <is>
          <t>인천시 서구 검암동 512-1</t>
        </is>
      </c>
      <c r="AB351" s="0" t="inlineStr">
        <is>
          <t>인천시</t>
        </is>
      </c>
      <c r="AC351" s="0" t="inlineStr">
        <is>
          <t>서구</t>
        </is>
      </c>
      <c r="AD351" s="0" t="inlineStr">
        <is>
          <t>검암동</t>
        </is>
      </c>
      <c r="AG351" s="0" t="inlineStr">
        <is>
          <t>인천시 서구 검암로20번길 52</t>
        </is>
      </c>
      <c r="AH351" s="0" t="n">
        <v>0</v>
      </c>
      <c r="AI351" s="0" t="n">
        <v>218</v>
      </c>
      <c r="AJ351" s="0" t="n">
        <v>15</v>
      </c>
      <c r="AK351" s="0" t="n">
        <v>292</v>
      </c>
      <c r="AL351" s="0" t="n">
        <v>1.01</v>
      </c>
    </row>
    <row r="352">
      <c r="A352" s="0" t="inlineStr">
        <is>
          <t>[검암동]</t>
        </is>
      </c>
      <c r="B352" s="0" t="n">
        <v>17505</v>
      </c>
      <c r="C352" s="0" t="n">
        <v>1</v>
      </c>
      <c r="D352" s="0" t="inlineStr">
        <is>
          <t>검암마젤란21</t>
        </is>
      </c>
      <c r="E352" s="0" t="inlineStr">
        <is>
          <t>2006.06.</t>
        </is>
      </c>
      <c r="F352" s="0" t="n">
        <v>176</v>
      </c>
      <c r="G352" s="0" t="n">
        <v>33</v>
      </c>
      <c r="H352" s="0" t="n">
        <v>109.12</v>
      </c>
      <c r="I352" s="0" t="n">
        <v>25.58</v>
      </c>
      <c r="J352" s="0" t="n">
        <v>84.58</v>
      </c>
      <c r="K352" s="0" t="n">
        <v>138</v>
      </c>
      <c r="T352" s="0" t="n">
        <v>3</v>
      </c>
      <c r="U352" s="0" t="n">
        <v>2</v>
      </c>
      <c r="V352" s="0" t="inlineStr">
        <is>
          <t>계단식</t>
        </is>
      </c>
      <c r="W352" s="0" t="n">
        <v>109</v>
      </c>
      <c r="X352" s="0" t="n">
        <v>19</v>
      </c>
      <c r="Y352" s="0" t="n">
        <v>9</v>
      </c>
      <c r="Z352" s="0" t="inlineStr">
        <is>
          <t>https://new.land.naver.com/complexes/17505?tab=detail&amp;rf=Y</t>
        </is>
      </c>
      <c r="AA352" s="0" t="inlineStr">
        <is>
          <t>인천시 서구 검암동 595-5</t>
        </is>
      </c>
      <c r="AB352" s="0" t="inlineStr">
        <is>
          <t>인천시</t>
        </is>
      </c>
      <c r="AC352" s="0" t="inlineStr">
        <is>
          <t>서구</t>
        </is>
      </c>
      <c r="AD352" s="0" t="inlineStr">
        <is>
          <t>검암동</t>
        </is>
      </c>
      <c r="AG352" s="0" t="inlineStr">
        <is>
          <t>인천시 서구 도요지로189번길 104</t>
        </is>
      </c>
      <c r="AH352" s="0" t="n">
        <v>0</v>
      </c>
      <c r="AI352" s="0" t="n">
        <v>236</v>
      </c>
      <c r="AJ352" s="0" t="n">
        <v>19</v>
      </c>
      <c r="AK352" s="0" t="n">
        <v>206</v>
      </c>
      <c r="AL352" s="0" t="n">
        <v>1.17</v>
      </c>
    </row>
    <row r="353">
      <c r="A353" s="0" t="inlineStr">
        <is>
          <t>[검암동]</t>
        </is>
      </c>
      <c r="B353" s="0" t="n">
        <v>17505</v>
      </c>
      <c r="C353" s="0" t="n">
        <v>2</v>
      </c>
      <c r="D353" s="0" t="inlineStr">
        <is>
          <t>검암마젤란21</t>
        </is>
      </c>
      <c r="E353" s="0" t="inlineStr">
        <is>
          <t>2006.06.</t>
        </is>
      </c>
      <c r="F353" s="0" t="n">
        <v>176</v>
      </c>
      <c r="G353" s="0" t="n">
        <v>46.48</v>
      </c>
      <c r="H353" s="0" t="n">
        <v>153.66</v>
      </c>
      <c r="I353" s="0" t="n">
        <v>36.11</v>
      </c>
      <c r="J353" s="0" t="n">
        <v>119.38</v>
      </c>
      <c r="K353" s="0" t="n">
        <v>38</v>
      </c>
      <c r="T353" s="0" t="n">
        <v>4</v>
      </c>
      <c r="U353" s="0" t="n">
        <v>2</v>
      </c>
      <c r="V353" s="0" t="inlineStr">
        <is>
          <t>계단식</t>
        </is>
      </c>
      <c r="W353" s="0" t="n">
        <v>153</v>
      </c>
      <c r="X353" s="0" t="n">
        <v>19</v>
      </c>
      <c r="Y353" s="0" t="n">
        <v>9</v>
      </c>
      <c r="Z353" s="0" t="inlineStr">
        <is>
          <t>https://new.land.naver.com/complexes/17505?tab=detail&amp;rf=Y</t>
        </is>
      </c>
      <c r="AA353" s="0" t="inlineStr">
        <is>
          <t>인천시 서구 검암동 595-5</t>
        </is>
      </c>
      <c r="AB353" s="0" t="inlineStr">
        <is>
          <t>인천시</t>
        </is>
      </c>
      <c r="AC353" s="0" t="inlineStr">
        <is>
          <t>서구</t>
        </is>
      </c>
      <c r="AD353" s="0" t="inlineStr">
        <is>
          <t>검암동</t>
        </is>
      </c>
      <c r="AG353" s="0" t="inlineStr">
        <is>
          <t>인천시 서구 도요지로189번길 104</t>
        </is>
      </c>
      <c r="AH353" s="0" t="n">
        <v>0</v>
      </c>
      <c r="AI353" s="0" t="n">
        <v>236</v>
      </c>
      <c r="AJ353" s="0" t="n">
        <v>19</v>
      </c>
      <c r="AK353" s="0" t="n">
        <v>206</v>
      </c>
      <c r="AL353" s="0" t="n">
        <v>1.17</v>
      </c>
    </row>
    <row r="354">
      <c r="A354" s="0" t="inlineStr">
        <is>
          <t>[검암동]</t>
        </is>
      </c>
      <c r="B354" s="0" t="n">
        <v>9973</v>
      </c>
      <c r="C354" s="0" t="n">
        <v>1</v>
      </c>
      <c r="D354" s="0" t="inlineStr">
        <is>
          <t>풍림아이원3차</t>
        </is>
      </c>
      <c r="E354" s="0" t="inlineStr">
        <is>
          <t>2004.07.</t>
        </is>
      </c>
      <c r="F354" s="0" t="n">
        <v>341</v>
      </c>
      <c r="G354" s="0" t="n">
        <v>24.89</v>
      </c>
      <c r="H354" s="0" t="n">
        <v>82.31</v>
      </c>
      <c r="I354" s="0" t="n">
        <v>18.08</v>
      </c>
      <c r="J354" s="0" t="n">
        <v>59.8</v>
      </c>
      <c r="K354" s="0" t="n">
        <v>154</v>
      </c>
      <c r="T354" s="0" t="n">
        <v>3</v>
      </c>
      <c r="U354" s="0" t="n">
        <v>2</v>
      </c>
      <c r="V354" s="0" t="inlineStr">
        <is>
          <t>계단식</t>
        </is>
      </c>
      <c r="W354" s="0" t="n">
        <v>82</v>
      </c>
      <c r="X354" s="0" t="n">
        <v>18</v>
      </c>
      <c r="Y354" s="0" t="n">
        <v>8</v>
      </c>
      <c r="Z354" s="0" t="inlineStr">
        <is>
          <t>https://new.land.naver.com/complexes/9973?tab=detail&amp;rf=Y</t>
        </is>
      </c>
      <c r="AA354" s="0" t="inlineStr">
        <is>
          <t>인천시 서구 검암동 512-2</t>
        </is>
      </c>
      <c r="AB354" s="0" t="inlineStr">
        <is>
          <t>인천시</t>
        </is>
      </c>
      <c r="AC354" s="0" t="inlineStr">
        <is>
          <t>서구</t>
        </is>
      </c>
      <c r="AD354" s="0" t="inlineStr">
        <is>
          <t>검암동</t>
        </is>
      </c>
      <c r="AG354" s="0" t="inlineStr">
        <is>
          <t>인천시 서구 검암로10번길 39</t>
        </is>
      </c>
      <c r="AH354" s="0" t="n">
        <v>0</v>
      </c>
      <c r="AI354" s="0" t="n">
        <v>211</v>
      </c>
      <c r="AJ354" s="0" t="n">
        <v>19</v>
      </c>
      <c r="AK354" s="0" t="n">
        <v>346</v>
      </c>
      <c r="AL354" s="0" t="n">
        <v>1.01</v>
      </c>
    </row>
    <row r="355">
      <c r="A355" s="0" t="inlineStr">
        <is>
          <t>[검암동]</t>
        </is>
      </c>
      <c r="B355" s="0" t="n">
        <v>9973</v>
      </c>
      <c r="C355" s="0" t="n">
        <v>2</v>
      </c>
      <c r="D355" s="0" t="inlineStr">
        <is>
          <t>풍림아이원3차</t>
        </is>
      </c>
      <c r="E355" s="0" t="inlineStr">
        <is>
          <t>2004.07.</t>
        </is>
      </c>
      <c r="F355" s="0" t="n">
        <v>341</v>
      </c>
      <c r="G355" s="0" t="n">
        <v>33.68</v>
      </c>
      <c r="H355" s="0" t="n">
        <v>111.34</v>
      </c>
      <c r="I355" s="0" t="n">
        <v>25.69</v>
      </c>
      <c r="J355" s="0" t="n">
        <v>84.93000000000001</v>
      </c>
      <c r="K355" s="0" t="n">
        <v>187</v>
      </c>
      <c r="T355" s="0" t="n">
        <v>3</v>
      </c>
      <c r="U355" s="0" t="n">
        <v>2</v>
      </c>
      <c r="V355" s="0" t="inlineStr">
        <is>
          <t>계단식</t>
        </is>
      </c>
      <c r="W355" s="0" t="n">
        <v>111</v>
      </c>
      <c r="X355" s="0" t="n">
        <v>18</v>
      </c>
      <c r="Y355" s="0" t="n">
        <v>8</v>
      </c>
      <c r="Z355" s="0" t="inlineStr">
        <is>
          <t>https://new.land.naver.com/complexes/9973?tab=detail&amp;rf=Y</t>
        </is>
      </c>
      <c r="AA355" s="0" t="inlineStr">
        <is>
          <t>인천시 서구 검암동 512-2</t>
        </is>
      </c>
      <c r="AB355" s="0" t="inlineStr">
        <is>
          <t>인천시</t>
        </is>
      </c>
      <c r="AC355" s="0" t="inlineStr">
        <is>
          <t>서구</t>
        </is>
      </c>
      <c r="AD355" s="0" t="inlineStr">
        <is>
          <t>검암동</t>
        </is>
      </c>
      <c r="AG355" s="0" t="inlineStr">
        <is>
          <t>인천시 서구 검암로10번길 39</t>
        </is>
      </c>
      <c r="AH355" s="0" t="n">
        <v>0</v>
      </c>
      <c r="AI355" s="0" t="n">
        <v>211</v>
      </c>
      <c r="AJ355" s="0" t="n">
        <v>19</v>
      </c>
      <c r="AK355" s="0" t="n">
        <v>346</v>
      </c>
      <c r="AL355" s="0" t="n">
        <v>1.01</v>
      </c>
    </row>
    <row r="356">
      <c r="A356" s="0" t="inlineStr">
        <is>
          <t>[검암동]</t>
        </is>
      </c>
      <c r="B356" s="0" t="n">
        <v>9242</v>
      </c>
      <c r="C356" s="0" t="n">
        <v>1</v>
      </c>
      <c r="D356" s="0" t="inlineStr">
        <is>
          <t>풍림아이원1차</t>
        </is>
      </c>
      <c r="E356" s="0" t="inlineStr">
        <is>
          <t>2003.09.</t>
        </is>
      </c>
      <c r="F356" s="0" t="n">
        <v>280</v>
      </c>
      <c r="G356" s="0" t="n">
        <v>28.02</v>
      </c>
      <c r="H356" s="0" t="n">
        <v>92.65000000000001</v>
      </c>
      <c r="I356" s="0" t="n">
        <v>21.66</v>
      </c>
      <c r="J356" s="0" t="n">
        <v>71.62</v>
      </c>
      <c r="K356" s="0" t="n">
        <v>30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92B</t>
        </is>
      </c>
      <c r="X356" s="0" t="n">
        <v>19</v>
      </c>
      <c r="Y356" s="0" t="n">
        <v>15</v>
      </c>
      <c r="Z356" s="0" t="inlineStr">
        <is>
          <t>https://new.land.naver.com/complexes/9242?tab=detail&amp;rf=Y</t>
        </is>
      </c>
      <c r="AA356" s="0" t="inlineStr">
        <is>
          <t>인천시 서구 검암동 511</t>
        </is>
      </c>
      <c r="AB356" s="0" t="inlineStr">
        <is>
          <t>인천시</t>
        </is>
      </c>
      <c r="AC356" s="0" t="inlineStr">
        <is>
          <t>서구</t>
        </is>
      </c>
      <c r="AD356" s="0" t="inlineStr">
        <is>
          <t>검암동</t>
        </is>
      </c>
      <c r="AG356" s="0" t="inlineStr">
        <is>
          <t>인천시 서구 검암로20번길 47</t>
        </is>
      </c>
      <c r="AH356" s="0" t="n">
        <v>0</v>
      </c>
      <c r="AI356" s="0" t="n">
        <v>233</v>
      </c>
      <c r="AJ356" s="0" t="n">
        <v>15</v>
      </c>
      <c r="AK356" s="0" t="n">
        <v>312</v>
      </c>
      <c r="AL356" s="0" t="n">
        <v>1.11</v>
      </c>
    </row>
    <row r="357">
      <c r="A357" s="0" t="inlineStr">
        <is>
          <t>[검암동]</t>
        </is>
      </c>
      <c r="B357" s="0" t="n">
        <v>9242</v>
      </c>
      <c r="C357" s="0" t="n">
        <v>2</v>
      </c>
      <c r="D357" s="0" t="inlineStr">
        <is>
          <t>풍림아이원1차</t>
        </is>
      </c>
      <c r="E357" s="0" t="inlineStr">
        <is>
          <t>2003.09.</t>
        </is>
      </c>
      <c r="F357" s="0" t="n">
        <v>280</v>
      </c>
      <c r="G357" s="0" t="n">
        <v>28.4</v>
      </c>
      <c r="H357" s="0" t="n">
        <v>93.90000000000001</v>
      </c>
      <c r="I357" s="0" t="n">
        <v>21.66</v>
      </c>
      <c r="J357" s="0" t="n">
        <v>71.62</v>
      </c>
      <c r="K357" s="0" t="n">
        <v>108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93A</t>
        </is>
      </c>
      <c r="X357" s="0" t="n">
        <v>19</v>
      </c>
      <c r="Y357" s="0" t="n">
        <v>15</v>
      </c>
      <c r="Z357" s="0" t="inlineStr">
        <is>
          <t>https://new.land.naver.com/complexes/9242?tab=detail&amp;rf=Y</t>
        </is>
      </c>
      <c r="AA357" s="0" t="inlineStr">
        <is>
          <t>인천시 서구 검암동 511</t>
        </is>
      </c>
      <c r="AB357" s="0" t="inlineStr">
        <is>
          <t>인천시</t>
        </is>
      </c>
      <c r="AC357" s="0" t="inlineStr">
        <is>
          <t>서구</t>
        </is>
      </c>
      <c r="AD357" s="0" t="inlineStr">
        <is>
          <t>검암동</t>
        </is>
      </c>
      <c r="AG357" s="0" t="inlineStr">
        <is>
          <t>인천시 서구 검암로20번길 47</t>
        </is>
      </c>
      <c r="AH357" s="0" t="n">
        <v>0</v>
      </c>
      <c r="AI357" s="0" t="n">
        <v>233</v>
      </c>
      <c r="AJ357" s="0" t="n">
        <v>15</v>
      </c>
      <c r="AK357" s="0" t="n">
        <v>312</v>
      </c>
      <c r="AL357" s="0" t="n">
        <v>1.11</v>
      </c>
    </row>
    <row r="358">
      <c r="A358" s="0" t="inlineStr">
        <is>
          <t>[검암동]</t>
        </is>
      </c>
      <c r="B358" s="0" t="n">
        <v>9242</v>
      </c>
      <c r="C358" s="0" t="n">
        <v>3</v>
      </c>
      <c r="D358" s="0" t="inlineStr">
        <is>
          <t>풍림아이원1차</t>
        </is>
      </c>
      <c r="E358" s="0" t="inlineStr">
        <is>
          <t>2003.09.</t>
        </is>
      </c>
      <c r="F358" s="0" t="n">
        <v>280</v>
      </c>
      <c r="G358" s="0" t="n">
        <v>32.77</v>
      </c>
      <c r="H358" s="0" t="n">
        <v>108.36</v>
      </c>
      <c r="I358" s="0" t="n">
        <v>25.61</v>
      </c>
      <c r="J358" s="0" t="n">
        <v>84.68000000000001</v>
      </c>
      <c r="K358" s="0" t="n">
        <v>72</v>
      </c>
      <c r="T358" s="0" t="n">
        <v>3</v>
      </c>
      <c r="U358" s="0" t="n">
        <v>2</v>
      </c>
      <c r="V358" s="0" t="inlineStr">
        <is>
          <t>계단식</t>
        </is>
      </c>
      <c r="W358" s="0" t="n">
        <v>108</v>
      </c>
      <c r="X358" s="0" t="n">
        <v>19</v>
      </c>
      <c r="Y358" s="0" t="n">
        <v>15</v>
      </c>
      <c r="Z358" s="0" t="inlineStr">
        <is>
          <t>https://new.land.naver.com/complexes/9242?tab=detail&amp;rf=Y</t>
        </is>
      </c>
      <c r="AA358" s="0" t="inlineStr">
        <is>
          <t>인천시 서구 검암동 511</t>
        </is>
      </c>
      <c r="AB358" s="0" t="inlineStr">
        <is>
          <t>인천시</t>
        </is>
      </c>
      <c r="AC358" s="0" t="inlineStr">
        <is>
          <t>서구</t>
        </is>
      </c>
      <c r="AD358" s="0" t="inlineStr">
        <is>
          <t>검암동</t>
        </is>
      </c>
      <c r="AG358" s="0" t="inlineStr">
        <is>
          <t>인천시 서구 검암로20번길 47</t>
        </is>
      </c>
      <c r="AH358" s="0" t="n">
        <v>0</v>
      </c>
      <c r="AI358" s="0" t="n">
        <v>233</v>
      </c>
      <c r="AJ358" s="0" t="n">
        <v>15</v>
      </c>
      <c r="AK358" s="0" t="n">
        <v>312</v>
      </c>
      <c r="AL358" s="0" t="n">
        <v>1.11</v>
      </c>
    </row>
    <row r="359">
      <c r="A359" s="0" t="inlineStr">
        <is>
          <t>[검암동]</t>
        </is>
      </c>
      <c r="B359" s="0" t="n">
        <v>9242</v>
      </c>
      <c r="C359" s="0" t="n">
        <v>4</v>
      </c>
      <c r="D359" s="0" t="inlineStr">
        <is>
          <t>풍림아이원1차</t>
        </is>
      </c>
      <c r="E359" s="0" t="inlineStr">
        <is>
          <t>2003.09.</t>
        </is>
      </c>
      <c r="F359" s="0" t="n">
        <v>280</v>
      </c>
      <c r="G359" s="0" t="n">
        <v>42.03</v>
      </c>
      <c r="H359" s="0" t="n">
        <v>138.95</v>
      </c>
      <c r="I359" s="0" t="n">
        <v>34.83</v>
      </c>
      <c r="J359" s="0" t="n">
        <v>115.17</v>
      </c>
      <c r="K359" s="0" t="n">
        <v>70</v>
      </c>
      <c r="T359" s="0" t="n">
        <v>4</v>
      </c>
      <c r="U359" s="0" t="n">
        <v>2</v>
      </c>
      <c r="V359" s="0" t="inlineStr">
        <is>
          <t>계단식</t>
        </is>
      </c>
      <c r="W359" s="0" t="n">
        <v>138</v>
      </c>
      <c r="X359" s="0" t="n">
        <v>19</v>
      </c>
      <c r="Y359" s="0" t="n">
        <v>15</v>
      </c>
      <c r="Z359" s="0" t="inlineStr">
        <is>
          <t>https://new.land.naver.com/complexes/9242?tab=detail&amp;rf=Y</t>
        </is>
      </c>
      <c r="AA359" s="0" t="inlineStr">
        <is>
          <t>인천시 서구 검암동 511</t>
        </is>
      </c>
      <c r="AB359" s="0" t="inlineStr">
        <is>
          <t>인천시</t>
        </is>
      </c>
      <c r="AC359" s="0" t="inlineStr">
        <is>
          <t>서구</t>
        </is>
      </c>
      <c r="AD359" s="0" t="inlineStr">
        <is>
          <t>검암동</t>
        </is>
      </c>
      <c r="AG359" s="0" t="inlineStr">
        <is>
          <t>인천시 서구 검암로20번길 47</t>
        </is>
      </c>
      <c r="AH359" s="0" t="n">
        <v>0</v>
      </c>
      <c r="AI359" s="0" t="n">
        <v>233</v>
      </c>
      <c r="AJ359" s="0" t="n">
        <v>15</v>
      </c>
      <c r="AK359" s="0" t="n">
        <v>312</v>
      </c>
      <c r="AL359" s="0" t="n">
        <v>1.11</v>
      </c>
    </row>
    <row r="360">
      <c r="A360" s="0" t="inlineStr">
        <is>
          <t>[검암동]</t>
        </is>
      </c>
      <c r="B360" s="0" t="n">
        <v>142796</v>
      </c>
      <c r="C360" s="0" t="n">
        <v>1</v>
      </c>
      <c r="D360" s="0" t="inlineStr">
        <is>
          <t>S클래스(도시형)</t>
        </is>
      </c>
      <c r="E360" s="0" t="inlineStr">
        <is>
          <t>2012.10.</t>
        </is>
      </c>
      <c r="F360" s="0" t="n">
        <v>28</v>
      </c>
      <c r="G360" s="0" t="n">
        <v>11.52</v>
      </c>
      <c r="H360" s="0" t="n">
        <v>38.1</v>
      </c>
      <c r="I360" s="0" t="n">
        <v>10.39</v>
      </c>
      <c r="J360" s="0" t="n">
        <v>34.37</v>
      </c>
      <c r="K360" s="0" t="n">
        <v>3</v>
      </c>
      <c r="T360" s="0" t="n">
        <v>1</v>
      </c>
      <c r="U360" s="0" t="n">
        <v>1</v>
      </c>
      <c r="V360" s="0" t="inlineStr">
        <is>
          <t>계단식</t>
        </is>
      </c>
      <c r="W360" s="0" t="inlineStr">
        <is>
          <t>38A</t>
        </is>
      </c>
      <c r="X360" s="0" t="n">
        <v>5</v>
      </c>
      <c r="Y360" s="0" t="n">
        <v>5</v>
      </c>
      <c r="Z360" s="0" t="inlineStr">
        <is>
          <t>https://new.land.naver.com/complexes/142796?tab=detail&amp;rf=Y</t>
        </is>
      </c>
      <c r="AA360" s="0" t="inlineStr">
        <is>
          <t>인천시 서구 검암동 644-1</t>
        </is>
      </c>
      <c r="AB360" s="0" t="inlineStr">
        <is>
          <t>인천시</t>
        </is>
      </c>
      <c r="AC360" s="0" t="inlineStr">
        <is>
          <t>서구</t>
        </is>
      </c>
      <c r="AD360" s="0" t="inlineStr">
        <is>
          <t>검암동</t>
        </is>
      </c>
      <c r="AG360" s="0" t="inlineStr">
        <is>
          <t>인천시 서구 도요지로189번길 30</t>
        </is>
      </c>
      <c r="AH360" s="0" t="n">
        <v>0</v>
      </c>
      <c r="AI360" s="0" t="n">
        <v>191</v>
      </c>
      <c r="AJ360" s="0" t="n">
        <v>59</v>
      </c>
      <c r="AK360" s="0" t="n">
        <v>28</v>
      </c>
      <c r="AL360" s="0" t="n">
        <v>1</v>
      </c>
    </row>
    <row r="361">
      <c r="A361" s="0" t="inlineStr">
        <is>
          <t>[검암동]</t>
        </is>
      </c>
      <c r="B361" s="0" t="n">
        <v>142796</v>
      </c>
      <c r="C361" s="0" t="n">
        <v>2</v>
      </c>
      <c r="D361" s="0" t="inlineStr">
        <is>
          <t>S클래스(도시형)</t>
        </is>
      </c>
      <c r="E361" s="0" t="inlineStr">
        <is>
          <t>2012.10.</t>
        </is>
      </c>
      <c r="F361" s="0" t="n">
        <v>28</v>
      </c>
      <c r="G361" s="0" t="n">
        <v>11.75</v>
      </c>
      <c r="H361" s="0" t="n">
        <v>38.87</v>
      </c>
      <c r="I361" s="0" t="n">
        <v>10.6</v>
      </c>
      <c r="J361" s="0" t="n">
        <v>35.07</v>
      </c>
      <c r="K361" s="0" t="n">
        <v>3</v>
      </c>
      <c r="T361" s="0" t="n">
        <v>1</v>
      </c>
      <c r="U361" s="0" t="n">
        <v>1</v>
      </c>
      <c r="V361" s="0" t="inlineStr">
        <is>
          <t>계단식</t>
        </is>
      </c>
      <c r="W361" s="0" t="inlineStr">
        <is>
          <t>38B</t>
        </is>
      </c>
      <c r="X361" s="0" t="n">
        <v>5</v>
      </c>
      <c r="Y361" s="0" t="n">
        <v>5</v>
      </c>
      <c r="Z361" s="0" t="inlineStr">
        <is>
          <t>https://new.land.naver.com/complexes/142796?tab=detail&amp;rf=Y</t>
        </is>
      </c>
      <c r="AA361" s="0" t="inlineStr">
        <is>
          <t>인천시 서구 검암동 644-1</t>
        </is>
      </c>
      <c r="AB361" s="0" t="inlineStr">
        <is>
          <t>인천시</t>
        </is>
      </c>
      <c r="AC361" s="0" t="inlineStr">
        <is>
          <t>서구</t>
        </is>
      </c>
      <c r="AD361" s="0" t="inlineStr">
        <is>
          <t>검암동</t>
        </is>
      </c>
      <c r="AG361" s="0" t="inlineStr">
        <is>
          <t>인천시 서구 도요지로189번길 30</t>
        </is>
      </c>
      <c r="AH361" s="0" t="n">
        <v>0</v>
      </c>
      <c r="AI361" s="0" t="n">
        <v>191</v>
      </c>
      <c r="AJ361" s="0" t="n">
        <v>59</v>
      </c>
      <c r="AK361" s="0" t="n">
        <v>28</v>
      </c>
      <c r="AL361" s="0" t="n">
        <v>1</v>
      </c>
    </row>
    <row r="362">
      <c r="A362" s="0" t="inlineStr">
        <is>
          <t>[검암동]</t>
        </is>
      </c>
      <c r="B362" s="0" t="n">
        <v>142796</v>
      </c>
      <c r="C362" s="0" t="n">
        <v>3</v>
      </c>
      <c r="D362" s="0" t="inlineStr">
        <is>
          <t>S클래스(도시형)</t>
        </is>
      </c>
      <c r="E362" s="0" t="inlineStr">
        <is>
          <t>2012.10.</t>
        </is>
      </c>
      <c r="F362" s="0" t="n">
        <v>28</v>
      </c>
      <c r="G362" s="0" t="n">
        <v>12.68</v>
      </c>
      <c r="H362" s="0" t="n">
        <v>41.93</v>
      </c>
      <c r="I362" s="0" t="n">
        <v>11.44</v>
      </c>
      <c r="J362" s="0" t="n">
        <v>37.83</v>
      </c>
      <c r="K362" s="0" t="n">
        <v>4</v>
      </c>
      <c r="T362" s="0" t="n">
        <v>1</v>
      </c>
      <c r="U362" s="0" t="n">
        <v>1</v>
      </c>
      <c r="V362" s="0" t="inlineStr">
        <is>
          <t>계단식</t>
        </is>
      </c>
      <c r="W362" s="0" t="inlineStr">
        <is>
          <t>41A</t>
        </is>
      </c>
      <c r="X362" s="0" t="n">
        <v>5</v>
      </c>
      <c r="Y362" s="0" t="n">
        <v>5</v>
      </c>
      <c r="Z362" s="0" t="inlineStr">
        <is>
          <t>https://new.land.naver.com/complexes/142796?tab=detail&amp;rf=Y</t>
        </is>
      </c>
      <c r="AA362" s="0" t="inlineStr">
        <is>
          <t>인천시 서구 검암동 644-1</t>
        </is>
      </c>
      <c r="AB362" s="0" t="inlineStr">
        <is>
          <t>인천시</t>
        </is>
      </c>
      <c r="AC362" s="0" t="inlineStr">
        <is>
          <t>서구</t>
        </is>
      </c>
      <c r="AD362" s="0" t="inlineStr">
        <is>
          <t>검암동</t>
        </is>
      </c>
      <c r="AG362" s="0" t="inlineStr">
        <is>
          <t>인천시 서구 도요지로189번길 30</t>
        </is>
      </c>
      <c r="AH362" s="0" t="n">
        <v>0</v>
      </c>
      <c r="AI362" s="0" t="n">
        <v>191</v>
      </c>
      <c r="AJ362" s="0" t="n">
        <v>59</v>
      </c>
      <c r="AK362" s="0" t="n">
        <v>28</v>
      </c>
      <c r="AL362" s="0" t="n">
        <v>1</v>
      </c>
    </row>
    <row r="363">
      <c r="A363" s="0" t="inlineStr">
        <is>
          <t>[검암동]</t>
        </is>
      </c>
      <c r="B363" s="0" t="n">
        <v>142796</v>
      </c>
      <c r="C363" s="0" t="n">
        <v>4</v>
      </c>
      <c r="D363" s="0" t="inlineStr">
        <is>
          <t>S클래스(도시형)</t>
        </is>
      </c>
      <c r="E363" s="0" t="inlineStr">
        <is>
          <t>2012.10.</t>
        </is>
      </c>
      <c r="F363" s="0" t="n">
        <v>28</v>
      </c>
      <c r="G363" s="0" t="n">
        <v>12.76</v>
      </c>
      <c r="H363" s="0" t="n">
        <v>42.2</v>
      </c>
      <c r="I363" s="0" t="n">
        <v>11.51</v>
      </c>
      <c r="J363" s="0" t="n">
        <v>38.06</v>
      </c>
      <c r="K363" s="0" t="n">
        <v>2</v>
      </c>
      <c r="T363" s="0" t="n">
        <v>1</v>
      </c>
      <c r="U363" s="0" t="n">
        <v>1</v>
      </c>
      <c r="V363" s="0" t="inlineStr">
        <is>
          <t>계단식</t>
        </is>
      </c>
      <c r="W363" s="0" t="inlineStr">
        <is>
          <t>42B</t>
        </is>
      </c>
      <c r="X363" s="0" t="n">
        <v>5</v>
      </c>
      <c r="Y363" s="0" t="n">
        <v>5</v>
      </c>
      <c r="Z363" s="0" t="inlineStr">
        <is>
          <t>https://new.land.naver.com/complexes/142796?tab=detail&amp;rf=Y</t>
        </is>
      </c>
      <c r="AA363" s="0" t="inlineStr">
        <is>
          <t>인천시 서구 검암동 644-1</t>
        </is>
      </c>
      <c r="AB363" s="0" t="inlineStr">
        <is>
          <t>인천시</t>
        </is>
      </c>
      <c r="AC363" s="0" t="inlineStr">
        <is>
          <t>서구</t>
        </is>
      </c>
      <c r="AD363" s="0" t="inlineStr">
        <is>
          <t>검암동</t>
        </is>
      </c>
      <c r="AG363" s="0" t="inlineStr">
        <is>
          <t>인천시 서구 도요지로189번길 30</t>
        </is>
      </c>
      <c r="AH363" s="0" t="n">
        <v>0</v>
      </c>
      <c r="AI363" s="0" t="n">
        <v>191</v>
      </c>
      <c r="AJ363" s="0" t="n">
        <v>59</v>
      </c>
      <c r="AK363" s="0" t="n">
        <v>28</v>
      </c>
      <c r="AL363" s="0" t="n">
        <v>1</v>
      </c>
    </row>
    <row r="364">
      <c r="A364" s="0" t="inlineStr">
        <is>
          <t>[검암동]</t>
        </is>
      </c>
      <c r="B364" s="0" t="n">
        <v>142796</v>
      </c>
      <c r="C364" s="0" t="n">
        <v>5</v>
      </c>
      <c r="D364" s="0" t="inlineStr">
        <is>
          <t>S클래스(도시형)</t>
        </is>
      </c>
      <c r="E364" s="0" t="inlineStr">
        <is>
          <t>2012.10.</t>
        </is>
      </c>
      <c r="F364" s="0" t="n">
        <v>28</v>
      </c>
      <c r="G364" s="0" t="n">
        <v>13.14</v>
      </c>
      <c r="H364" s="0" t="n">
        <v>43.44</v>
      </c>
      <c r="I364" s="0" t="n">
        <v>11.85</v>
      </c>
      <c r="J364" s="0" t="n">
        <v>39.19</v>
      </c>
      <c r="K364" s="0" t="n">
        <v>3</v>
      </c>
      <c r="T364" s="0" t="n">
        <v>1</v>
      </c>
      <c r="U364" s="0" t="n">
        <v>1</v>
      </c>
      <c r="V364" s="0" t="inlineStr">
        <is>
          <t>계단식</t>
        </is>
      </c>
      <c r="W364" s="0" t="inlineStr">
        <is>
          <t>43C</t>
        </is>
      </c>
      <c r="X364" s="0" t="n">
        <v>5</v>
      </c>
      <c r="Y364" s="0" t="n">
        <v>5</v>
      </c>
      <c r="Z364" s="0" t="inlineStr">
        <is>
          <t>https://new.land.naver.com/complexes/142796?tab=detail&amp;rf=Y</t>
        </is>
      </c>
      <c r="AA364" s="0" t="inlineStr">
        <is>
          <t>인천시 서구 검암동 644-1</t>
        </is>
      </c>
      <c r="AB364" s="0" t="inlineStr">
        <is>
          <t>인천시</t>
        </is>
      </c>
      <c r="AC364" s="0" t="inlineStr">
        <is>
          <t>서구</t>
        </is>
      </c>
      <c r="AD364" s="0" t="inlineStr">
        <is>
          <t>검암동</t>
        </is>
      </c>
      <c r="AG364" s="0" t="inlineStr">
        <is>
          <t>인천시 서구 도요지로189번길 30</t>
        </is>
      </c>
      <c r="AH364" s="0" t="n">
        <v>0</v>
      </c>
      <c r="AI364" s="0" t="n">
        <v>191</v>
      </c>
      <c r="AJ364" s="0" t="n">
        <v>59</v>
      </c>
      <c r="AK364" s="0" t="n">
        <v>28</v>
      </c>
      <c r="AL364" s="0" t="n">
        <v>1</v>
      </c>
    </row>
    <row r="365">
      <c r="A365" s="0" t="inlineStr">
        <is>
          <t>[검암동]</t>
        </is>
      </c>
      <c r="B365" s="0" t="n">
        <v>142796</v>
      </c>
      <c r="C365" s="0" t="n">
        <v>6</v>
      </c>
      <c r="D365" s="0" t="inlineStr">
        <is>
          <t>S클래스(도시형)</t>
        </is>
      </c>
      <c r="E365" s="0" t="inlineStr">
        <is>
          <t>2012.10.</t>
        </is>
      </c>
      <c r="F365" s="0" t="n">
        <v>28</v>
      </c>
      <c r="G365" s="0" t="n">
        <v>13.91</v>
      </c>
      <c r="H365" s="0" t="n">
        <v>45.99</v>
      </c>
      <c r="I365" s="0" t="n">
        <v>12.55</v>
      </c>
      <c r="J365" s="0" t="n">
        <v>41.49</v>
      </c>
      <c r="K365" s="0" t="n">
        <v>1</v>
      </c>
      <c r="T365" s="0" t="n">
        <v>1</v>
      </c>
      <c r="U365" s="0" t="n">
        <v>1</v>
      </c>
      <c r="V365" s="0" t="inlineStr">
        <is>
          <t>계단식</t>
        </is>
      </c>
      <c r="W365" s="0" t="n">
        <v>45</v>
      </c>
      <c r="X365" s="0" t="n">
        <v>5</v>
      </c>
      <c r="Y365" s="0" t="n">
        <v>5</v>
      </c>
      <c r="Z365" s="0" t="inlineStr">
        <is>
          <t>https://new.land.naver.com/complexes/142796?tab=detail&amp;rf=Y</t>
        </is>
      </c>
      <c r="AA365" s="0" t="inlineStr">
        <is>
          <t>인천시 서구 검암동 644-1</t>
        </is>
      </c>
      <c r="AB365" s="0" t="inlineStr">
        <is>
          <t>인천시</t>
        </is>
      </c>
      <c r="AC365" s="0" t="inlineStr">
        <is>
          <t>서구</t>
        </is>
      </c>
      <c r="AD365" s="0" t="inlineStr">
        <is>
          <t>검암동</t>
        </is>
      </c>
      <c r="AG365" s="0" t="inlineStr">
        <is>
          <t>인천시 서구 도요지로189번길 30</t>
        </is>
      </c>
      <c r="AH365" s="0" t="n">
        <v>0</v>
      </c>
      <c r="AI365" s="0" t="n">
        <v>191</v>
      </c>
      <c r="AJ365" s="0" t="n">
        <v>59</v>
      </c>
      <c r="AK365" s="0" t="n">
        <v>28</v>
      </c>
      <c r="AL365" s="0" t="n">
        <v>1</v>
      </c>
    </row>
    <row r="366">
      <c r="A366" s="0" t="inlineStr">
        <is>
          <t>[검암동]</t>
        </is>
      </c>
      <c r="B366" s="0" t="n">
        <v>142796</v>
      </c>
      <c r="C366" s="0" t="n">
        <v>7</v>
      </c>
      <c r="D366" s="0" t="inlineStr">
        <is>
          <t>S클래스(도시형)</t>
        </is>
      </c>
      <c r="E366" s="0" t="inlineStr">
        <is>
          <t>2012.10.</t>
        </is>
      </c>
      <c r="F366" s="0" t="n">
        <v>28</v>
      </c>
      <c r="G366" s="0" t="n">
        <v>14.87</v>
      </c>
      <c r="H366" s="0" t="n">
        <v>49.16</v>
      </c>
      <c r="I366" s="0" t="n">
        <v>13.35</v>
      </c>
      <c r="J366" s="0" t="n">
        <v>44.16</v>
      </c>
      <c r="K366" s="0" t="n">
        <v>4</v>
      </c>
      <c r="T366" s="0" t="n">
        <v>2</v>
      </c>
      <c r="U366" s="0" t="n">
        <v>1</v>
      </c>
      <c r="V366" s="0" t="inlineStr">
        <is>
          <t>계단식</t>
        </is>
      </c>
      <c r="W366" s="0" t="inlineStr">
        <is>
          <t>49A</t>
        </is>
      </c>
      <c r="X366" s="0" t="n">
        <v>5</v>
      </c>
      <c r="Y366" s="0" t="n">
        <v>5</v>
      </c>
      <c r="Z366" s="0" t="inlineStr">
        <is>
          <t>https://new.land.naver.com/complexes/142796?tab=detail&amp;rf=Y</t>
        </is>
      </c>
      <c r="AA366" s="0" t="inlineStr">
        <is>
          <t>인천시 서구 검암동 644-1</t>
        </is>
      </c>
      <c r="AB366" s="0" t="inlineStr">
        <is>
          <t>인천시</t>
        </is>
      </c>
      <c r="AC366" s="0" t="inlineStr">
        <is>
          <t>서구</t>
        </is>
      </c>
      <c r="AD366" s="0" t="inlineStr">
        <is>
          <t>검암동</t>
        </is>
      </c>
      <c r="AG366" s="0" t="inlineStr">
        <is>
          <t>인천시 서구 도요지로189번길 30</t>
        </is>
      </c>
      <c r="AH366" s="0" t="n">
        <v>0</v>
      </c>
      <c r="AI366" s="0" t="n">
        <v>191</v>
      </c>
      <c r="AJ366" s="0" t="n">
        <v>59</v>
      </c>
      <c r="AK366" s="0" t="n">
        <v>28</v>
      </c>
      <c r="AL366" s="0" t="n">
        <v>1</v>
      </c>
    </row>
    <row r="367">
      <c r="A367" s="0" t="inlineStr">
        <is>
          <t>[검암동]</t>
        </is>
      </c>
      <c r="B367" s="0" t="n">
        <v>142796</v>
      </c>
      <c r="C367" s="0" t="n">
        <v>8</v>
      </c>
      <c r="D367" s="0" t="inlineStr">
        <is>
          <t>S클래스(도시형)</t>
        </is>
      </c>
      <c r="E367" s="0" t="inlineStr">
        <is>
          <t>2012.10.</t>
        </is>
      </c>
      <c r="F367" s="0" t="n">
        <v>28</v>
      </c>
      <c r="G367" s="0" t="n">
        <v>15.29</v>
      </c>
      <c r="H367" s="0" t="n">
        <v>50.56</v>
      </c>
      <c r="I367" s="0" t="n">
        <v>13.73</v>
      </c>
      <c r="J367" s="0" t="n">
        <v>45.42</v>
      </c>
      <c r="K367" s="0" t="n">
        <v>4</v>
      </c>
      <c r="T367" s="0" t="n">
        <v>2</v>
      </c>
      <c r="U367" s="0" t="n">
        <v>1</v>
      </c>
      <c r="V367" s="0" t="inlineStr">
        <is>
          <t>계단식</t>
        </is>
      </c>
      <c r="W367" s="0" t="inlineStr">
        <is>
          <t>50B</t>
        </is>
      </c>
      <c r="X367" s="0" t="n">
        <v>5</v>
      </c>
      <c r="Y367" s="0" t="n">
        <v>5</v>
      </c>
      <c r="Z367" s="0" t="inlineStr">
        <is>
          <t>https://new.land.naver.com/complexes/142796?tab=detail&amp;rf=Y</t>
        </is>
      </c>
      <c r="AA367" s="0" t="inlineStr">
        <is>
          <t>인천시 서구 검암동 644-1</t>
        </is>
      </c>
      <c r="AB367" s="0" t="inlineStr">
        <is>
          <t>인천시</t>
        </is>
      </c>
      <c r="AC367" s="0" t="inlineStr">
        <is>
          <t>서구</t>
        </is>
      </c>
      <c r="AD367" s="0" t="inlineStr">
        <is>
          <t>검암동</t>
        </is>
      </c>
      <c r="AG367" s="0" t="inlineStr">
        <is>
          <t>인천시 서구 도요지로189번길 30</t>
        </is>
      </c>
      <c r="AH367" s="0" t="n">
        <v>0</v>
      </c>
      <c r="AI367" s="0" t="n">
        <v>191</v>
      </c>
      <c r="AJ367" s="0" t="n">
        <v>59</v>
      </c>
      <c r="AK367" s="0" t="n">
        <v>28</v>
      </c>
      <c r="AL367" s="0" t="n">
        <v>1</v>
      </c>
    </row>
    <row r="368">
      <c r="A368" s="0" t="inlineStr">
        <is>
          <t>[검암동]</t>
        </is>
      </c>
      <c r="B368" s="0" t="n">
        <v>142796</v>
      </c>
      <c r="C368" s="0" t="n">
        <v>9</v>
      </c>
      <c r="D368" s="0" t="inlineStr">
        <is>
          <t>S클래스(도시형)</t>
        </is>
      </c>
      <c r="E368" s="0" t="inlineStr">
        <is>
          <t>2012.10.</t>
        </is>
      </c>
      <c r="F368" s="0" t="n">
        <v>28</v>
      </c>
      <c r="G368" s="0" t="n">
        <v>18.58</v>
      </c>
      <c r="H368" s="0" t="n">
        <v>61.43</v>
      </c>
      <c r="I368" s="0" t="n">
        <v>16.69</v>
      </c>
      <c r="J368" s="0" t="n">
        <v>55.18</v>
      </c>
      <c r="K368" s="0" t="n">
        <v>1</v>
      </c>
      <c r="T368" s="0" t="n">
        <v>2</v>
      </c>
      <c r="U368" s="0" t="n">
        <v>1</v>
      </c>
      <c r="V368" s="0" t="inlineStr">
        <is>
          <t>계단식</t>
        </is>
      </c>
      <c r="W368" s="0" t="n">
        <v>61</v>
      </c>
      <c r="X368" s="0" t="n">
        <v>5</v>
      </c>
      <c r="Y368" s="0" t="n">
        <v>5</v>
      </c>
      <c r="Z368" s="0" t="inlineStr">
        <is>
          <t>https://new.land.naver.com/complexes/142796?tab=detail&amp;rf=Y</t>
        </is>
      </c>
      <c r="AA368" s="0" t="inlineStr">
        <is>
          <t>인천시 서구 검암동 644-1</t>
        </is>
      </c>
      <c r="AB368" s="0" t="inlineStr">
        <is>
          <t>인천시</t>
        </is>
      </c>
      <c r="AC368" s="0" t="inlineStr">
        <is>
          <t>서구</t>
        </is>
      </c>
      <c r="AD368" s="0" t="inlineStr">
        <is>
          <t>검암동</t>
        </is>
      </c>
      <c r="AG368" s="0" t="inlineStr">
        <is>
          <t>인천시 서구 도요지로189번길 30</t>
        </is>
      </c>
      <c r="AH368" s="0" t="n">
        <v>0</v>
      </c>
      <c r="AI368" s="0" t="n">
        <v>191</v>
      </c>
      <c r="AJ368" s="0" t="n">
        <v>59</v>
      </c>
      <c r="AK368" s="0" t="n">
        <v>28</v>
      </c>
      <c r="AL368" s="0" t="n">
        <v>1</v>
      </c>
    </row>
    <row r="369">
      <c r="A369" s="0" t="inlineStr">
        <is>
          <t>[검암동]</t>
        </is>
      </c>
      <c r="B369" s="0" t="n">
        <v>142796</v>
      </c>
      <c r="C369" s="0" t="n">
        <v>10</v>
      </c>
      <c r="D369" s="0" t="inlineStr">
        <is>
          <t>S클래스(도시형)</t>
        </is>
      </c>
      <c r="E369" s="0" t="inlineStr">
        <is>
          <t>2012.10.</t>
        </is>
      </c>
      <c r="F369" s="0" t="n">
        <v>28</v>
      </c>
      <c r="G369" s="0" t="n">
        <v>19.97</v>
      </c>
      <c r="H369" s="0" t="n">
        <v>66.03</v>
      </c>
      <c r="I369" s="0" t="n">
        <v>17.94</v>
      </c>
      <c r="J369" s="0" t="n">
        <v>59.32</v>
      </c>
      <c r="K369" s="0" t="n">
        <v>3</v>
      </c>
      <c r="T369" s="0" t="n">
        <v>2</v>
      </c>
      <c r="U369" s="0" t="n">
        <v>1</v>
      </c>
      <c r="V369" s="0" t="inlineStr">
        <is>
          <t>계단식</t>
        </is>
      </c>
      <c r="W369" s="0" t="n">
        <v>66</v>
      </c>
      <c r="X369" s="0" t="n">
        <v>5</v>
      </c>
      <c r="Y369" s="0" t="n">
        <v>5</v>
      </c>
      <c r="Z369" s="0" t="inlineStr">
        <is>
          <t>https://new.land.naver.com/complexes/142796?tab=detail&amp;rf=Y</t>
        </is>
      </c>
      <c r="AA369" s="0" t="inlineStr">
        <is>
          <t>인천시 서구 검암동 644-1</t>
        </is>
      </c>
      <c r="AB369" s="0" t="inlineStr">
        <is>
          <t>인천시</t>
        </is>
      </c>
      <c r="AC369" s="0" t="inlineStr">
        <is>
          <t>서구</t>
        </is>
      </c>
      <c r="AD369" s="0" t="inlineStr">
        <is>
          <t>검암동</t>
        </is>
      </c>
      <c r="AG369" s="0" t="inlineStr">
        <is>
          <t>인천시 서구 도요지로189번길 30</t>
        </is>
      </c>
      <c r="AH369" s="0" t="n">
        <v>0</v>
      </c>
      <c r="AI369" s="0" t="n">
        <v>191</v>
      </c>
      <c r="AJ369" s="0" t="n">
        <v>59</v>
      </c>
      <c r="AK369" s="0" t="n">
        <v>28</v>
      </c>
      <c r="AL369" s="0" t="n">
        <v>1</v>
      </c>
    </row>
    <row r="370">
      <c r="A370" s="0" t="inlineStr">
        <is>
          <t>[검암동]</t>
        </is>
      </c>
      <c r="B370" s="0" t="n">
        <v>11247</v>
      </c>
      <c r="C370" s="0" t="n">
        <v>1</v>
      </c>
      <c r="D370" s="0" t="inlineStr">
        <is>
          <t>검암신명스카이뷰골드4차</t>
        </is>
      </c>
      <c r="E370" s="0" t="inlineStr">
        <is>
          <t>2004.08.</t>
        </is>
      </c>
      <c r="F370" s="0" t="n">
        <v>311</v>
      </c>
      <c r="G370" s="0" t="n">
        <v>33.81</v>
      </c>
      <c r="H370" s="0" t="n">
        <v>111.78</v>
      </c>
      <c r="I370" s="0" t="n">
        <v>25.58</v>
      </c>
      <c r="J370" s="0" t="n">
        <v>84.58</v>
      </c>
      <c r="K370" s="0" t="n">
        <v>311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111</v>
      </c>
      <c r="X370" s="0" t="n">
        <v>15</v>
      </c>
      <c r="Y370" s="0" t="n">
        <v>9</v>
      </c>
      <c r="Z370" s="0" t="inlineStr">
        <is>
          <t>https://new.land.naver.com/complexes/11247?tab=detail&amp;rf=Y</t>
        </is>
      </c>
      <c r="AA370" s="0" t="inlineStr">
        <is>
          <t>인천시 서구 검암동 535-2</t>
        </is>
      </c>
      <c r="AB370" s="0" t="inlineStr">
        <is>
          <t>인천시</t>
        </is>
      </c>
      <c r="AC370" s="0" t="inlineStr">
        <is>
          <t>서구</t>
        </is>
      </c>
      <c r="AD370" s="0" t="inlineStr">
        <is>
          <t>검암동</t>
        </is>
      </c>
      <c r="AG370" s="0" t="inlineStr">
        <is>
          <t>인천시 서구 검암로10번길 36</t>
        </is>
      </c>
      <c r="AH370" s="0" t="n">
        <v>0</v>
      </c>
      <c r="AI370" s="0" t="n">
        <v>230</v>
      </c>
      <c r="AJ370" s="0" t="n">
        <v>19</v>
      </c>
      <c r="AK370" s="0" t="n">
        <v>311</v>
      </c>
      <c r="AL370" s="0" t="n">
        <v>1</v>
      </c>
    </row>
    <row r="371">
      <c r="A371" s="0" t="inlineStr">
        <is>
          <t>[경서동]</t>
        </is>
      </c>
      <c r="B371" s="0" t="n">
        <v>128532</v>
      </c>
      <c r="C371" s="0" t="n">
        <v>1</v>
      </c>
      <c r="D371" s="0" t="inlineStr">
        <is>
          <t>북청라하우스토리</t>
        </is>
      </c>
      <c r="E371" s="0" t="inlineStr">
        <is>
          <t>2022.02.</t>
        </is>
      </c>
      <c r="F371" s="0" t="n">
        <v>430</v>
      </c>
      <c r="G371" s="0" t="n">
        <v>23.96</v>
      </c>
      <c r="H371" s="0" t="n">
        <v>79.20999999999999</v>
      </c>
      <c r="I371" s="0" t="n">
        <v>18.1</v>
      </c>
      <c r="J371" s="0" t="n">
        <v>59.86</v>
      </c>
      <c r="K371" s="0" t="n">
        <v>174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79A-1</t>
        </is>
      </c>
      <c r="X371" s="0" t="n">
        <v>20</v>
      </c>
      <c r="Y371" s="0" t="n">
        <v>20</v>
      </c>
      <c r="Z371" s="0" t="inlineStr">
        <is>
          <t>https://new.land.naver.com/complexes/128532?tab=detail&amp;rf=Y</t>
        </is>
      </c>
      <c r="AA371" s="0" t="inlineStr">
        <is>
          <t>인천시 서구 경서동 경서2구역 도시개발구역 1블럭 1,2,3로트</t>
        </is>
      </c>
      <c r="AB371" s="0" t="inlineStr">
        <is>
          <t>인천시</t>
        </is>
      </c>
      <c r="AC371" s="0" t="inlineStr">
        <is>
          <t>서구</t>
        </is>
      </c>
      <c r="AD371" s="0" t="inlineStr">
        <is>
          <t>경서동</t>
        </is>
      </c>
      <c r="AG371" s="0" t="inlineStr">
        <is>
          <t>인천시 서구 경서로31번길 15</t>
        </is>
      </c>
      <c r="AH371" s="0" t="n">
        <v>0</v>
      </c>
      <c r="AI371" s="0" t="n">
        <v>208</v>
      </c>
      <c r="AJ371" s="0" t="n">
        <v>21</v>
      </c>
      <c r="AK371" s="0" t="n">
        <v>460</v>
      </c>
      <c r="AL371" s="0" t="n">
        <v>1.07</v>
      </c>
    </row>
    <row r="372">
      <c r="A372" s="0" t="inlineStr">
        <is>
          <t>[경서동]</t>
        </is>
      </c>
      <c r="B372" s="0" t="n">
        <v>128532</v>
      </c>
      <c r="C372" s="0" t="n">
        <v>2</v>
      </c>
      <c r="D372" s="0" t="inlineStr">
        <is>
          <t>북청라하우스토리</t>
        </is>
      </c>
      <c r="E372" s="0" t="inlineStr">
        <is>
          <t>2022.02.</t>
        </is>
      </c>
      <c r="F372" s="0" t="n">
        <v>430</v>
      </c>
      <c r="G372" s="0" t="n">
        <v>23.99</v>
      </c>
      <c r="H372" s="0" t="n">
        <v>79.33</v>
      </c>
      <c r="I372" s="0" t="n">
        <v>18.14</v>
      </c>
      <c r="J372" s="0" t="n">
        <v>59.97</v>
      </c>
      <c r="K372" s="0" t="n">
        <v>163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79A</t>
        </is>
      </c>
      <c r="X372" s="0" t="n">
        <v>20</v>
      </c>
      <c r="Y372" s="0" t="n">
        <v>20</v>
      </c>
      <c r="Z372" s="0" t="inlineStr">
        <is>
          <t>https://new.land.naver.com/complexes/128532?tab=detail&amp;rf=Y</t>
        </is>
      </c>
      <c r="AA372" s="0" t="inlineStr">
        <is>
          <t>인천시 서구 경서동 경서2구역 도시개발구역 1블럭 1,2,3로트</t>
        </is>
      </c>
      <c r="AB372" s="0" t="inlineStr">
        <is>
          <t>인천시</t>
        </is>
      </c>
      <c r="AC372" s="0" t="inlineStr">
        <is>
          <t>서구</t>
        </is>
      </c>
      <c r="AD372" s="0" t="inlineStr">
        <is>
          <t>경서동</t>
        </is>
      </c>
      <c r="AG372" s="0" t="inlineStr">
        <is>
          <t>인천시 서구 경서로31번길 15</t>
        </is>
      </c>
      <c r="AH372" s="0" t="n">
        <v>0</v>
      </c>
      <c r="AI372" s="0" t="n">
        <v>208</v>
      </c>
      <c r="AJ372" s="0" t="n">
        <v>21</v>
      </c>
      <c r="AK372" s="0" t="n">
        <v>460</v>
      </c>
      <c r="AL372" s="0" t="n">
        <v>1.07</v>
      </c>
    </row>
    <row r="373">
      <c r="A373" s="0" t="inlineStr">
        <is>
          <t>[경서동]</t>
        </is>
      </c>
      <c r="B373" s="0" t="n">
        <v>128532</v>
      </c>
      <c r="C373" s="0" t="n">
        <v>3</v>
      </c>
      <c r="D373" s="0" t="inlineStr">
        <is>
          <t>북청라하우스토리</t>
        </is>
      </c>
      <c r="E373" s="0" t="inlineStr">
        <is>
          <t>2022.02.</t>
        </is>
      </c>
      <c r="F373" s="0" t="n">
        <v>430</v>
      </c>
      <c r="G373" s="0" t="n">
        <v>24.01</v>
      </c>
      <c r="H373" s="0" t="n">
        <v>79.39</v>
      </c>
      <c r="I373" s="0" t="n">
        <v>18.14</v>
      </c>
      <c r="J373" s="0" t="n">
        <v>59.98</v>
      </c>
      <c r="K373" s="0" t="n">
        <v>68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79B</t>
        </is>
      </c>
      <c r="X373" s="0" t="n">
        <v>20</v>
      </c>
      <c r="Y373" s="0" t="n">
        <v>20</v>
      </c>
      <c r="Z373" s="0" t="inlineStr">
        <is>
          <t>https://new.land.naver.com/complexes/128532?tab=detail&amp;rf=Y</t>
        </is>
      </c>
      <c r="AA373" s="0" t="inlineStr">
        <is>
          <t>인천시 서구 경서동 경서2구역 도시개발구역 1블럭 1,2,3로트</t>
        </is>
      </c>
      <c r="AB373" s="0" t="inlineStr">
        <is>
          <t>인천시</t>
        </is>
      </c>
      <c r="AC373" s="0" t="inlineStr">
        <is>
          <t>서구</t>
        </is>
      </c>
      <c r="AD373" s="0" t="inlineStr">
        <is>
          <t>경서동</t>
        </is>
      </c>
      <c r="AG373" s="0" t="inlineStr">
        <is>
          <t>인천시 서구 경서로31번길 15</t>
        </is>
      </c>
      <c r="AH373" s="0" t="n">
        <v>0</v>
      </c>
      <c r="AI373" s="0" t="n">
        <v>208</v>
      </c>
      <c r="AJ373" s="0" t="n">
        <v>21</v>
      </c>
      <c r="AK373" s="0" t="n">
        <v>460</v>
      </c>
      <c r="AL373" s="0" t="n">
        <v>1.07</v>
      </c>
    </row>
    <row r="374">
      <c r="A374" s="0" t="inlineStr">
        <is>
          <t>[경서동]</t>
        </is>
      </c>
      <c r="B374" s="0" t="n">
        <v>128532</v>
      </c>
      <c r="C374" s="0" t="n">
        <v>4</v>
      </c>
      <c r="D374" s="0" t="inlineStr">
        <is>
          <t>북청라하우스토리</t>
        </is>
      </c>
      <c r="E374" s="0" t="inlineStr">
        <is>
          <t>2022.02.</t>
        </is>
      </c>
      <c r="F374" s="0" t="n">
        <v>430</v>
      </c>
      <c r="G374" s="0" t="n">
        <v>24.17</v>
      </c>
      <c r="H374" s="0" t="n">
        <v>79.91</v>
      </c>
      <c r="I374" s="0" t="n">
        <v>18.12</v>
      </c>
      <c r="J374" s="0" t="n">
        <v>59.93</v>
      </c>
      <c r="K374" s="0" t="n">
        <v>14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79C</t>
        </is>
      </c>
      <c r="X374" s="0" t="n">
        <v>20</v>
      </c>
      <c r="Y374" s="0" t="n">
        <v>20</v>
      </c>
      <c r="Z374" s="0" t="inlineStr">
        <is>
          <t>https://new.land.naver.com/complexes/128532?tab=detail&amp;rf=Y</t>
        </is>
      </c>
      <c r="AA374" s="0" t="inlineStr">
        <is>
          <t>인천시 서구 경서동 경서2구역 도시개발구역 1블럭 1,2,3로트</t>
        </is>
      </c>
      <c r="AB374" s="0" t="inlineStr">
        <is>
          <t>인천시</t>
        </is>
      </c>
      <c r="AC374" s="0" t="inlineStr">
        <is>
          <t>서구</t>
        </is>
      </c>
      <c r="AD374" s="0" t="inlineStr">
        <is>
          <t>경서동</t>
        </is>
      </c>
      <c r="AG374" s="0" t="inlineStr">
        <is>
          <t>인천시 서구 경서로31번길 15</t>
        </is>
      </c>
      <c r="AH374" s="0" t="n">
        <v>0</v>
      </c>
      <c r="AI374" s="0" t="n">
        <v>208</v>
      </c>
      <c r="AJ374" s="0" t="n">
        <v>21</v>
      </c>
      <c r="AK374" s="0" t="n">
        <v>460</v>
      </c>
      <c r="AL374" s="0" t="n">
        <v>1.07</v>
      </c>
    </row>
    <row r="375">
      <c r="A375" s="0" t="inlineStr">
        <is>
          <t>[경서동]</t>
        </is>
      </c>
      <c r="B375" s="0" t="n">
        <v>128532</v>
      </c>
      <c r="C375" s="0" t="n">
        <v>5</v>
      </c>
      <c r="D375" s="0" t="inlineStr">
        <is>
          <t>북청라하우스토리</t>
        </is>
      </c>
      <c r="E375" s="0" t="inlineStr">
        <is>
          <t>2022.02.</t>
        </is>
      </c>
      <c r="F375" s="0" t="n">
        <v>430</v>
      </c>
      <c r="G375" s="0" t="n">
        <v>24.76</v>
      </c>
      <c r="H375" s="0" t="n">
        <v>81.88</v>
      </c>
      <c r="I375" s="0" t="n">
        <v>18.11</v>
      </c>
      <c r="J375" s="0" t="n">
        <v>59.88</v>
      </c>
      <c r="K375" s="0" t="n">
        <v>3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81D</t>
        </is>
      </c>
      <c r="X375" s="0" t="n">
        <v>20</v>
      </c>
      <c r="Y375" s="0" t="n">
        <v>20</v>
      </c>
      <c r="Z375" s="0" t="inlineStr">
        <is>
          <t>https://new.land.naver.com/complexes/128532?tab=detail&amp;rf=Y</t>
        </is>
      </c>
      <c r="AA375" s="0" t="inlineStr">
        <is>
          <t>인천시 서구 경서동 경서2구역 도시개발구역 1블럭 1,2,3로트</t>
        </is>
      </c>
      <c r="AB375" s="0" t="inlineStr">
        <is>
          <t>인천시</t>
        </is>
      </c>
      <c r="AC375" s="0" t="inlineStr">
        <is>
          <t>서구</t>
        </is>
      </c>
      <c r="AD375" s="0" t="inlineStr">
        <is>
          <t>경서동</t>
        </is>
      </c>
      <c r="AG375" s="0" t="inlineStr">
        <is>
          <t>인천시 서구 경서로31번길 15</t>
        </is>
      </c>
      <c r="AH375" s="0" t="n">
        <v>0</v>
      </c>
      <c r="AI375" s="0" t="n">
        <v>208</v>
      </c>
      <c r="AJ375" s="0" t="n">
        <v>21</v>
      </c>
      <c r="AK375" s="0" t="n">
        <v>460</v>
      </c>
      <c r="AL375" s="0" t="n">
        <v>1.07</v>
      </c>
    </row>
    <row r="376">
      <c r="A376" s="0" t="inlineStr">
        <is>
          <t>[경서동]</t>
        </is>
      </c>
      <c r="B376" s="0" t="n">
        <v>128532</v>
      </c>
      <c r="C376" s="0" t="n">
        <v>6</v>
      </c>
      <c r="D376" s="0" t="inlineStr">
        <is>
          <t>북청라하우스토리</t>
        </is>
      </c>
      <c r="E376" s="0" t="inlineStr">
        <is>
          <t>2022.02.</t>
        </is>
      </c>
      <c r="F376" s="0" t="n">
        <v>430</v>
      </c>
      <c r="G376" s="0" t="n">
        <v>24.54</v>
      </c>
      <c r="H376" s="0" t="n">
        <v>81.14</v>
      </c>
      <c r="I376" s="0" t="n">
        <v>18.13</v>
      </c>
      <c r="J376" s="0" t="n">
        <v>59.94</v>
      </c>
      <c r="K376" s="0" t="n">
        <v>2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81E</t>
        </is>
      </c>
      <c r="X376" s="0" t="n">
        <v>20</v>
      </c>
      <c r="Y376" s="0" t="n">
        <v>20</v>
      </c>
      <c r="Z376" s="0" t="inlineStr">
        <is>
          <t>https://new.land.naver.com/complexes/128532?tab=detail&amp;rf=Y</t>
        </is>
      </c>
      <c r="AA376" s="0" t="inlineStr">
        <is>
          <t>인천시 서구 경서동 경서2구역 도시개발구역 1블럭 1,2,3로트</t>
        </is>
      </c>
      <c r="AB376" s="0" t="inlineStr">
        <is>
          <t>인천시</t>
        </is>
      </c>
      <c r="AC376" s="0" t="inlineStr">
        <is>
          <t>서구</t>
        </is>
      </c>
      <c r="AD376" s="0" t="inlineStr">
        <is>
          <t>경서동</t>
        </is>
      </c>
      <c r="AG376" s="0" t="inlineStr">
        <is>
          <t>인천시 서구 경서로31번길 15</t>
        </is>
      </c>
      <c r="AH376" s="0" t="n">
        <v>0</v>
      </c>
      <c r="AI376" s="0" t="n">
        <v>208</v>
      </c>
      <c r="AJ376" s="0" t="n">
        <v>21</v>
      </c>
      <c r="AK376" s="0" t="n">
        <v>460</v>
      </c>
      <c r="AL376" s="0" t="n">
        <v>1.07</v>
      </c>
    </row>
    <row r="377">
      <c r="A377" s="0" t="inlineStr">
        <is>
          <t>[경서동]</t>
        </is>
      </c>
      <c r="B377" s="0" t="n">
        <v>128532</v>
      </c>
      <c r="C377" s="0" t="n">
        <v>7</v>
      </c>
      <c r="D377" s="0" t="inlineStr">
        <is>
          <t>북청라하우스토리</t>
        </is>
      </c>
      <c r="E377" s="0" t="inlineStr">
        <is>
          <t>2022.02.</t>
        </is>
      </c>
      <c r="F377" s="0" t="n">
        <v>430</v>
      </c>
      <c r="G377" s="0" t="n">
        <v>24.81</v>
      </c>
      <c r="H377" s="0" t="n">
        <v>82.02</v>
      </c>
      <c r="I377" s="0" t="n">
        <v>18.12</v>
      </c>
      <c r="J377" s="0" t="n">
        <v>59.93</v>
      </c>
      <c r="K377" s="0" t="n">
        <v>6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82D-1</t>
        </is>
      </c>
      <c r="X377" s="0" t="n">
        <v>20</v>
      </c>
      <c r="Y377" s="0" t="n">
        <v>20</v>
      </c>
      <c r="Z377" s="0" t="inlineStr">
        <is>
          <t>https://new.land.naver.com/complexes/128532?tab=detail&amp;rf=Y</t>
        </is>
      </c>
      <c r="AA377" s="0" t="inlineStr">
        <is>
          <t>인천시 서구 경서동 경서2구역 도시개발구역 1블럭 1,2,3로트</t>
        </is>
      </c>
      <c r="AB377" s="0" t="inlineStr">
        <is>
          <t>인천시</t>
        </is>
      </c>
      <c r="AC377" s="0" t="inlineStr">
        <is>
          <t>서구</t>
        </is>
      </c>
      <c r="AD377" s="0" t="inlineStr">
        <is>
          <t>경서동</t>
        </is>
      </c>
      <c r="AG377" s="0" t="inlineStr">
        <is>
          <t>인천시 서구 경서로31번길 15</t>
        </is>
      </c>
      <c r="AH377" s="0" t="n">
        <v>0</v>
      </c>
      <c r="AI377" s="0" t="n">
        <v>208</v>
      </c>
      <c r="AJ377" s="0" t="n">
        <v>21</v>
      </c>
      <c r="AK377" s="0" t="n">
        <v>460</v>
      </c>
      <c r="AL377" s="0" t="n">
        <v>1.07</v>
      </c>
    </row>
    <row r="378">
      <c r="A378" s="0" t="inlineStr">
        <is>
          <t>[경서동]</t>
        </is>
      </c>
      <c r="B378" s="0" t="n">
        <v>110792</v>
      </c>
      <c r="C378" s="0" t="n">
        <v>1</v>
      </c>
      <c r="D378" s="0" t="inlineStr">
        <is>
          <t>인천경서아시아드대광로제비앙</t>
        </is>
      </c>
      <c r="E378" s="0" t="inlineStr">
        <is>
          <t>2017.12.</t>
        </is>
      </c>
      <c r="F378" s="0" t="n">
        <v>720</v>
      </c>
      <c r="G378" s="0" t="n">
        <v>33.22</v>
      </c>
      <c r="H378" s="0" t="n">
        <v>109.82</v>
      </c>
      <c r="I378" s="0" t="n">
        <v>25.43</v>
      </c>
      <c r="J378" s="0" t="n">
        <v>84.06999999999999</v>
      </c>
      <c r="K378" s="0" t="n">
        <v>587</v>
      </c>
      <c r="T378" s="0" t="n">
        <v>3</v>
      </c>
      <c r="U378" s="0" t="n">
        <v>2</v>
      </c>
      <c r="V378" s="0" t="inlineStr">
        <is>
          <t>계단식</t>
        </is>
      </c>
      <c r="W378" s="0" t="n">
        <v>109</v>
      </c>
      <c r="X378" s="0" t="n">
        <v>15</v>
      </c>
      <c r="Y378" s="0" t="n">
        <v>14</v>
      </c>
      <c r="Z378" s="0" t="inlineStr">
        <is>
          <t>https://new.land.naver.com/complexes/110792?tab=detail&amp;rf=Y</t>
        </is>
      </c>
      <c r="AA378" s="0" t="inlineStr">
        <is>
          <t>인천시 서구 경서동 994</t>
        </is>
      </c>
      <c r="AB378" s="0" t="inlineStr">
        <is>
          <t>인천시</t>
        </is>
      </c>
      <c r="AC378" s="0" t="inlineStr">
        <is>
          <t>서구</t>
        </is>
      </c>
      <c r="AD378" s="0" t="inlineStr">
        <is>
          <t>경서동</t>
        </is>
      </c>
      <c r="AG378" s="0" t="inlineStr">
        <is>
          <t>인천시 서구 모월곶로 41</t>
        </is>
      </c>
      <c r="AH378" s="0" t="n">
        <v>0</v>
      </c>
      <c r="AI378" s="0" t="n">
        <v>159</v>
      </c>
      <c r="AJ378" s="0" t="n">
        <v>16</v>
      </c>
      <c r="AK378" s="0" t="n">
        <v>1065</v>
      </c>
      <c r="AL378" s="0" t="n">
        <v>1.48</v>
      </c>
    </row>
    <row r="379">
      <c r="A379" s="0" t="inlineStr">
        <is>
          <t>[경서동]</t>
        </is>
      </c>
      <c r="B379" s="0" t="n">
        <v>110792</v>
      </c>
      <c r="C379" s="0" t="n">
        <v>2</v>
      </c>
      <c r="D379" s="0" t="inlineStr">
        <is>
          <t>인천경서아시아드대광로제비앙</t>
        </is>
      </c>
      <c r="E379" s="0" t="inlineStr">
        <is>
          <t>2017.12.</t>
        </is>
      </c>
      <c r="F379" s="0" t="n">
        <v>720</v>
      </c>
      <c r="G379" s="0" t="n">
        <v>34.91</v>
      </c>
      <c r="H379" s="0" t="n">
        <v>115.43</v>
      </c>
      <c r="I379" s="0" t="n">
        <v>26.72</v>
      </c>
      <c r="J379" s="0" t="n">
        <v>88.36</v>
      </c>
      <c r="K379" s="0" t="n">
        <v>87</v>
      </c>
      <c r="T379" s="0" t="n">
        <v>3</v>
      </c>
      <c r="U379" s="0" t="n">
        <v>2</v>
      </c>
      <c r="V379" s="0" t="inlineStr">
        <is>
          <t>계단식</t>
        </is>
      </c>
      <c r="W379" s="0" t="n">
        <v>115</v>
      </c>
      <c r="X379" s="0" t="n">
        <v>15</v>
      </c>
      <c r="Y379" s="0" t="n">
        <v>14</v>
      </c>
      <c r="Z379" s="0" t="inlineStr">
        <is>
          <t>https://new.land.naver.com/complexes/110792?tab=detail&amp;rf=Y</t>
        </is>
      </c>
      <c r="AA379" s="0" t="inlineStr">
        <is>
          <t>인천시 서구 경서동 994</t>
        </is>
      </c>
      <c r="AB379" s="0" t="inlineStr">
        <is>
          <t>인천시</t>
        </is>
      </c>
      <c r="AC379" s="0" t="inlineStr">
        <is>
          <t>서구</t>
        </is>
      </c>
      <c r="AD379" s="0" t="inlineStr">
        <is>
          <t>경서동</t>
        </is>
      </c>
      <c r="AG379" s="0" t="inlineStr">
        <is>
          <t>인천시 서구 모월곶로 41</t>
        </is>
      </c>
      <c r="AH379" s="0" t="n">
        <v>0</v>
      </c>
      <c r="AI379" s="0" t="n">
        <v>159</v>
      </c>
      <c r="AJ379" s="0" t="n">
        <v>16</v>
      </c>
      <c r="AK379" s="0" t="n">
        <v>1065</v>
      </c>
      <c r="AL379" s="0" t="n">
        <v>1.48</v>
      </c>
    </row>
    <row r="380">
      <c r="A380" s="0" t="inlineStr">
        <is>
          <t>[경서동]</t>
        </is>
      </c>
      <c r="B380" s="0" t="n">
        <v>110792</v>
      </c>
      <c r="C380" s="0" t="n">
        <v>3</v>
      </c>
      <c r="D380" s="0" t="inlineStr">
        <is>
          <t>인천경서아시아드대광로제비앙</t>
        </is>
      </c>
      <c r="E380" s="0" t="inlineStr">
        <is>
          <t>2017.12.</t>
        </is>
      </c>
      <c r="F380" s="0" t="n">
        <v>720</v>
      </c>
      <c r="G380" s="0" t="n">
        <v>51.79</v>
      </c>
      <c r="H380" s="0" t="n">
        <v>171.21</v>
      </c>
      <c r="I380" s="0" t="n">
        <v>38.8</v>
      </c>
      <c r="J380" s="0" t="n">
        <v>128.29</v>
      </c>
      <c r="K380" s="0" t="n">
        <v>46</v>
      </c>
      <c r="T380" s="0" t="n">
        <v>4</v>
      </c>
      <c r="U380" s="0" t="n">
        <v>3</v>
      </c>
      <c r="V380" s="0" t="inlineStr">
        <is>
          <t>계단식</t>
        </is>
      </c>
      <c r="W380" s="0" t="n">
        <v>171</v>
      </c>
      <c r="X380" s="0" t="n">
        <v>15</v>
      </c>
      <c r="Y380" s="0" t="n">
        <v>14</v>
      </c>
      <c r="Z380" s="0" t="inlineStr">
        <is>
          <t>https://new.land.naver.com/complexes/110792?tab=detail&amp;rf=Y</t>
        </is>
      </c>
      <c r="AA380" s="0" t="inlineStr">
        <is>
          <t>인천시 서구 경서동 994</t>
        </is>
      </c>
      <c r="AB380" s="0" t="inlineStr">
        <is>
          <t>인천시</t>
        </is>
      </c>
      <c r="AC380" s="0" t="inlineStr">
        <is>
          <t>서구</t>
        </is>
      </c>
      <c r="AD380" s="0" t="inlineStr">
        <is>
          <t>경서동</t>
        </is>
      </c>
      <c r="AG380" s="0" t="inlineStr">
        <is>
          <t>인천시 서구 모월곶로 41</t>
        </is>
      </c>
      <c r="AH380" s="0" t="n">
        <v>0</v>
      </c>
      <c r="AI380" s="0" t="n">
        <v>159</v>
      </c>
      <c r="AJ380" s="0" t="n">
        <v>16</v>
      </c>
      <c r="AK380" s="0" t="n">
        <v>1065</v>
      </c>
      <c r="AL380" s="0" t="n">
        <v>1.48</v>
      </c>
    </row>
    <row r="381">
      <c r="A381" s="0" t="inlineStr">
        <is>
          <t>[경서동]</t>
        </is>
      </c>
      <c r="B381" s="0" t="n">
        <v>17790</v>
      </c>
      <c r="C381" s="0" t="n">
        <v>1</v>
      </c>
      <c r="D381" s="0" t="inlineStr">
        <is>
          <t>우정에쉐르</t>
        </is>
      </c>
      <c r="E381" s="0" t="inlineStr">
        <is>
          <t>2006.05.</t>
        </is>
      </c>
      <c r="F381" s="0" t="n">
        <v>292</v>
      </c>
      <c r="G381" s="0" t="n">
        <v>24.12</v>
      </c>
      <c r="H381" s="0" t="n">
        <v>79.75</v>
      </c>
      <c r="I381" s="0" t="n">
        <v>18.02</v>
      </c>
      <c r="J381" s="0" t="n">
        <v>59.6</v>
      </c>
      <c r="K381" s="0" t="n">
        <v>72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79</v>
      </c>
      <c r="X381" s="0" t="n">
        <v>19</v>
      </c>
      <c r="Y381" s="0" t="n">
        <v>16</v>
      </c>
      <c r="Z381" s="0" t="inlineStr">
        <is>
          <t>https://new.land.naver.com/complexes/17790?tab=detail&amp;rf=Y</t>
        </is>
      </c>
      <c r="AA381" s="0" t="inlineStr">
        <is>
          <t>인천시 서구 경서동 719-3</t>
        </is>
      </c>
      <c r="AB381" s="0" t="inlineStr">
        <is>
          <t>인천시</t>
        </is>
      </c>
      <c r="AC381" s="0" t="inlineStr">
        <is>
          <t>서구</t>
        </is>
      </c>
      <c r="AD381" s="0" t="inlineStr">
        <is>
          <t>경서동</t>
        </is>
      </c>
      <c r="AG381" s="0" t="inlineStr">
        <is>
          <t>인천시 서구 경서로 99</t>
        </is>
      </c>
      <c r="AH381" s="0" t="n">
        <v>0</v>
      </c>
      <c r="AI381" s="0" t="n">
        <v>204</v>
      </c>
      <c r="AJ381" s="0" t="n">
        <v>15</v>
      </c>
      <c r="AK381" s="0" t="n">
        <v>294</v>
      </c>
      <c r="AL381" s="0" t="n">
        <v>1.01</v>
      </c>
    </row>
    <row r="382">
      <c r="A382" s="0" t="inlineStr">
        <is>
          <t>[경서동]</t>
        </is>
      </c>
      <c r="B382" s="0" t="n">
        <v>17790</v>
      </c>
      <c r="C382" s="0" t="n">
        <v>2</v>
      </c>
      <c r="D382" s="0" t="inlineStr">
        <is>
          <t>우정에쉐르</t>
        </is>
      </c>
      <c r="E382" s="0" t="inlineStr">
        <is>
          <t>2006.05.</t>
        </is>
      </c>
      <c r="F382" s="0" t="n">
        <v>292</v>
      </c>
      <c r="G382" s="0" t="n">
        <v>33.36</v>
      </c>
      <c r="H382" s="0" t="n">
        <v>110.29</v>
      </c>
      <c r="I382" s="0" t="n">
        <v>25.6</v>
      </c>
      <c r="J382" s="0" t="n">
        <v>84.66</v>
      </c>
      <c r="K382" s="0" t="n">
        <v>220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110</v>
      </c>
      <c r="X382" s="0" t="n">
        <v>19</v>
      </c>
      <c r="Y382" s="0" t="n">
        <v>16</v>
      </c>
      <c r="Z382" s="0" t="inlineStr">
        <is>
          <t>https://new.land.naver.com/complexes/17790?tab=detail&amp;rf=Y</t>
        </is>
      </c>
      <c r="AA382" s="0" t="inlineStr">
        <is>
          <t>인천시 서구 경서동 719-3</t>
        </is>
      </c>
      <c r="AB382" s="0" t="inlineStr">
        <is>
          <t>인천시</t>
        </is>
      </c>
      <c r="AC382" s="0" t="inlineStr">
        <is>
          <t>서구</t>
        </is>
      </c>
      <c r="AD382" s="0" t="inlineStr">
        <is>
          <t>경서동</t>
        </is>
      </c>
      <c r="AG382" s="0" t="inlineStr">
        <is>
          <t>인천시 서구 경서로 99</t>
        </is>
      </c>
      <c r="AH382" s="0" t="n">
        <v>0</v>
      </c>
      <c r="AI382" s="0" t="n">
        <v>204</v>
      </c>
      <c r="AJ382" s="0" t="n">
        <v>15</v>
      </c>
      <c r="AK382" s="0" t="n">
        <v>294</v>
      </c>
      <c r="AL382" s="0" t="n">
        <v>1.01</v>
      </c>
    </row>
    <row r="383">
      <c r="A383" s="0" t="inlineStr">
        <is>
          <t>[경서동]</t>
        </is>
      </c>
      <c r="B383" s="0" t="n">
        <v>22337</v>
      </c>
      <c r="C383" s="0" t="n">
        <v>1</v>
      </c>
      <c r="D383" s="0" t="inlineStr">
        <is>
          <t>가이아샹베르2차</t>
        </is>
      </c>
      <c r="E383" s="0" t="inlineStr">
        <is>
          <t>2005.03.</t>
        </is>
      </c>
      <c r="F383" s="0" t="n">
        <v>560</v>
      </c>
      <c r="G383" s="0" t="n">
        <v>24.08</v>
      </c>
      <c r="H383" s="0" t="n">
        <v>79.63</v>
      </c>
      <c r="I383" s="0" t="n">
        <v>18.01</v>
      </c>
      <c r="J383" s="0" t="n">
        <v>59.56</v>
      </c>
      <c r="K383" s="0" t="n">
        <v>128</v>
      </c>
      <c r="T383" s="0" t="n">
        <v>3</v>
      </c>
      <c r="U383" s="0" t="n">
        <v>2</v>
      </c>
      <c r="V383" s="0" t="inlineStr">
        <is>
          <t>계단식</t>
        </is>
      </c>
      <c r="W383" s="0" t="n">
        <v>79</v>
      </c>
      <c r="X383" s="0" t="n">
        <v>18</v>
      </c>
      <c r="Y383" s="0" t="n">
        <v>16</v>
      </c>
      <c r="Z383" s="0" t="inlineStr">
        <is>
          <t>https://new.land.naver.com/complexes/22337?tab=detail&amp;rf=Y</t>
        </is>
      </c>
      <c r="AA383" s="0" t="inlineStr">
        <is>
          <t>인천시 서구 경서동 727-1</t>
        </is>
      </c>
      <c r="AB383" s="0" t="inlineStr">
        <is>
          <t>인천시</t>
        </is>
      </c>
      <c r="AC383" s="0" t="inlineStr">
        <is>
          <t>서구</t>
        </is>
      </c>
      <c r="AD383" s="0" t="inlineStr">
        <is>
          <t>경서동</t>
        </is>
      </c>
      <c r="AG383" s="0" t="inlineStr">
        <is>
          <t>인천시 서구 경서로31번길 47</t>
        </is>
      </c>
      <c r="AH383" s="0" t="n">
        <v>0</v>
      </c>
      <c r="AI383" s="0" t="n">
        <v>209</v>
      </c>
      <c r="AJ383" s="0" t="n">
        <v>17</v>
      </c>
      <c r="AK383" s="0" t="n">
        <v>589</v>
      </c>
      <c r="AL383" s="0" t="n">
        <v>1.05</v>
      </c>
    </row>
    <row r="384">
      <c r="A384" s="0" t="inlineStr">
        <is>
          <t>[경서동]</t>
        </is>
      </c>
      <c r="B384" s="0" t="n">
        <v>22337</v>
      </c>
      <c r="C384" s="0" t="n">
        <v>2</v>
      </c>
      <c r="D384" s="0" t="inlineStr">
        <is>
          <t>가이아샹베르2차</t>
        </is>
      </c>
      <c r="E384" s="0" t="inlineStr">
        <is>
          <t>2005.03.</t>
        </is>
      </c>
      <c r="F384" s="0" t="n">
        <v>560</v>
      </c>
      <c r="G384" s="0" t="n">
        <v>33.11</v>
      </c>
      <c r="H384" s="0" t="n">
        <v>109.48</v>
      </c>
      <c r="I384" s="0" t="n">
        <v>25.57</v>
      </c>
      <c r="J384" s="0" t="n">
        <v>84.54000000000001</v>
      </c>
      <c r="K384" s="0" t="n">
        <v>432</v>
      </c>
      <c r="T384" s="0" t="n">
        <v>3</v>
      </c>
      <c r="U384" s="0" t="n">
        <v>2</v>
      </c>
      <c r="V384" s="0" t="inlineStr">
        <is>
          <t>계단식</t>
        </is>
      </c>
      <c r="W384" s="0" t="n">
        <v>109</v>
      </c>
      <c r="X384" s="0" t="n">
        <v>18</v>
      </c>
      <c r="Y384" s="0" t="n">
        <v>16</v>
      </c>
      <c r="Z384" s="0" t="inlineStr">
        <is>
          <t>https://new.land.naver.com/complexes/22337?tab=detail&amp;rf=Y</t>
        </is>
      </c>
      <c r="AA384" s="0" t="inlineStr">
        <is>
          <t>인천시 서구 경서동 727-1</t>
        </is>
      </c>
      <c r="AB384" s="0" t="inlineStr">
        <is>
          <t>인천시</t>
        </is>
      </c>
      <c r="AC384" s="0" t="inlineStr">
        <is>
          <t>서구</t>
        </is>
      </c>
      <c r="AD384" s="0" t="inlineStr">
        <is>
          <t>경서동</t>
        </is>
      </c>
      <c r="AG384" s="0" t="inlineStr">
        <is>
          <t>인천시 서구 경서로31번길 47</t>
        </is>
      </c>
      <c r="AH384" s="0" t="n">
        <v>0</v>
      </c>
      <c r="AI384" s="0" t="n">
        <v>209</v>
      </c>
      <c r="AJ384" s="0" t="n">
        <v>17</v>
      </c>
      <c r="AK384" s="0" t="n">
        <v>589</v>
      </c>
      <c r="AL384" s="0" t="n">
        <v>1.05</v>
      </c>
    </row>
    <row r="385">
      <c r="A385" s="0" t="inlineStr">
        <is>
          <t>[경서동]</t>
        </is>
      </c>
      <c r="B385" s="0" t="n">
        <v>135206</v>
      </c>
      <c r="C385" s="0" t="n">
        <v>1</v>
      </c>
      <c r="D385" s="0" t="inlineStr">
        <is>
          <t>덕성하이빌(도시형)</t>
        </is>
      </c>
      <c r="E385" s="0" t="inlineStr">
        <is>
          <t>2015.10.</t>
        </is>
      </c>
      <c r="F385" s="0" t="n">
        <v>18</v>
      </c>
      <c r="G385" s="0" t="n">
        <v>12.58</v>
      </c>
      <c r="H385" s="0" t="n">
        <v>41.59</v>
      </c>
      <c r="I385" s="0" t="n">
        <v>11.48</v>
      </c>
      <c r="J385" s="0" t="n">
        <v>37.98</v>
      </c>
      <c r="K385" s="0" t="n">
        <v>1</v>
      </c>
      <c r="T385" s="0" t="n">
        <v>1</v>
      </c>
      <c r="U385" s="0" t="n">
        <v>1</v>
      </c>
      <c r="V385" s="0" t="inlineStr">
        <is>
          <t>계단식</t>
        </is>
      </c>
      <c r="W385" s="0" t="n">
        <v>41</v>
      </c>
      <c r="X385" s="0" t="n">
        <v>4</v>
      </c>
      <c r="Y385" s="0" t="n">
        <v>4</v>
      </c>
      <c r="Z385" s="0" t="inlineStr">
        <is>
          <t>https://new.land.naver.com/complexes/135206?tab=detail&amp;rf=Y</t>
        </is>
      </c>
      <c r="AA385" s="0" t="inlineStr">
        <is>
          <t>인천시 서구 경서동 752-6</t>
        </is>
      </c>
      <c r="AB385" s="0" t="inlineStr">
        <is>
          <t>인천시</t>
        </is>
      </c>
      <c r="AC385" s="0" t="inlineStr">
        <is>
          <t>서구</t>
        </is>
      </c>
      <c r="AD385" s="0" t="inlineStr">
        <is>
          <t>경서동</t>
        </is>
      </c>
      <c r="AG385" s="0" t="inlineStr">
        <is>
          <t>인천시 서구 경서로35번길 7-1</t>
        </is>
      </c>
      <c r="AH385" s="0" t="n">
        <v>0</v>
      </c>
      <c r="AI385" s="0" t="n">
        <v>159</v>
      </c>
      <c r="AJ385" s="0" t="n">
        <v>59</v>
      </c>
      <c r="AK385" s="0" t="n">
        <v>18</v>
      </c>
      <c r="AL385" s="0" t="n">
        <v>1</v>
      </c>
    </row>
    <row r="386">
      <c r="A386" s="0" t="inlineStr">
        <is>
          <t>[경서동]</t>
        </is>
      </c>
      <c r="B386" s="0" t="n">
        <v>135206</v>
      </c>
      <c r="C386" s="0" t="n">
        <v>2</v>
      </c>
      <c r="D386" s="0" t="inlineStr">
        <is>
          <t>덕성하이빌(도시형)</t>
        </is>
      </c>
      <c r="E386" s="0" t="inlineStr">
        <is>
          <t>2015.10.</t>
        </is>
      </c>
      <c r="F386" s="0" t="n">
        <v>18</v>
      </c>
      <c r="G386" s="0" t="n">
        <v>14.82</v>
      </c>
      <c r="H386" s="0" t="n">
        <v>49</v>
      </c>
      <c r="I386" s="0" t="n">
        <v>13.54</v>
      </c>
      <c r="J386" s="0" t="n">
        <v>44.77</v>
      </c>
      <c r="K386" s="0" t="n">
        <v>6</v>
      </c>
      <c r="T386" s="0" t="n">
        <v>1</v>
      </c>
      <c r="U386" s="0" t="n">
        <v>1</v>
      </c>
      <c r="V386" s="0" t="inlineStr">
        <is>
          <t>계단식</t>
        </is>
      </c>
      <c r="W386" s="0" t="inlineStr">
        <is>
          <t>49A</t>
        </is>
      </c>
      <c r="X386" s="0" t="n">
        <v>4</v>
      </c>
      <c r="Y386" s="0" t="n">
        <v>4</v>
      </c>
      <c r="Z386" s="0" t="inlineStr">
        <is>
          <t>https://new.land.naver.com/complexes/135206?tab=detail&amp;rf=Y</t>
        </is>
      </c>
      <c r="AA386" s="0" t="inlineStr">
        <is>
          <t>인천시 서구 경서동 752-6</t>
        </is>
      </c>
      <c r="AB386" s="0" t="inlineStr">
        <is>
          <t>인천시</t>
        </is>
      </c>
      <c r="AC386" s="0" t="inlineStr">
        <is>
          <t>서구</t>
        </is>
      </c>
      <c r="AD386" s="0" t="inlineStr">
        <is>
          <t>경서동</t>
        </is>
      </c>
      <c r="AG386" s="0" t="inlineStr">
        <is>
          <t>인천시 서구 경서로35번길 7-1</t>
        </is>
      </c>
      <c r="AH386" s="0" t="n">
        <v>0</v>
      </c>
      <c r="AI386" s="0" t="n">
        <v>159</v>
      </c>
      <c r="AJ386" s="0" t="n">
        <v>59</v>
      </c>
      <c r="AK386" s="0" t="n">
        <v>18</v>
      </c>
      <c r="AL386" s="0" t="n">
        <v>1</v>
      </c>
    </row>
    <row r="387">
      <c r="A387" s="0" t="inlineStr">
        <is>
          <t>[경서동]</t>
        </is>
      </c>
      <c r="B387" s="0" t="n">
        <v>135206</v>
      </c>
      <c r="C387" s="0" t="n">
        <v>3</v>
      </c>
      <c r="D387" s="0" t="inlineStr">
        <is>
          <t>덕성하이빌(도시형)</t>
        </is>
      </c>
      <c r="E387" s="0" t="inlineStr">
        <is>
          <t>2015.10.</t>
        </is>
      </c>
      <c r="F387" s="0" t="n">
        <v>18</v>
      </c>
      <c r="G387" s="0" t="n">
        <v>15.4</v>
      </c>
      <c r="H387" s="0" t="n">
        <v>50.92</v>
      </c>
      <c r="I387" s="0" t="n">
        <v>14.07</v>
      </c>
      <c r="J387" s="0" t="n">
        <v>46.53</v>
      </c>
      <c r="K387" s="0" t="n">
        <v>5</v>
      </c>
      <c r="T387" s="0" t="n">
        <v>2</v>
      </c>
      <c r="U387" s="0" t="n">
        <v>1</v>
      </c>
      <c r="V387" s="0" t="inlineStr">
        <is>
          <t>계단식</t>
        </is>
      </c>
      <c r="W387" s="0" t="inlineStr">
        <is>
          <t>50B</t>
        </is>
      </c>
      <c r="X387" s="0" t="n">
        <v>4</v>
      </c>
      <c r="Y387" s="0" t="n">
        <v>4</v>
      </c>
      <c r="Z387" s="0" t="inlineStr">
        <is>
          <t>https://new.land.naver.com/complexes/135206?tab=detail&amp;rf=Y</t>
        </is>
      </c>
      <c r="AA387" s="0" t="inlineStr">
        <is>
          <t>인천시 서구 경서동 752-6</t>
        </is>
      </c>
      <c r="AB387" s="0" t="inlineStr">
        <is>
          <t>인천시</t>
        </is>
      </c>
      <c r="AC387" s="0" t="inlineStr">
        <is>
          <t>서구</t>
        </is>
      </c>
      <c r="AD387" s="0" t="inlineStr">
        <is>
          <t>경서동</t>
        </is>
      </c>
      <c r="AG387" s="0" t="inlineStr">
        <is>
          <t>인천시 서구 경서로35번길 7-1</t>
        </is>
      </c>
      <c r="AH387" s="0" t="n">
        <v>0</v>
      </c>
      <c r="AI387" s="0" t="n">
        <v>159</v>
      </c>
      <c r="AJ387" s="0" t="n">
        <v>59</v>
      </c>
      <c r="AK387" s="0" t="n">
        <v>18</v>
      </c>
      <c r="AL387" s="0" t="n">
        <v>1</v>
      </c>
    </row>
    <row r="388">
      <c r="A388" s="0" t="inlineStr">
        <is>
          <t>[경서동]</t>
        </is>
      </c>
      <c r="B388" s="0" t="n">
        <v>135206</v>
      </c>
      <c r="C388" s="0" t="n">
        <v>4</v>
      </c>
      <c r="D388" s="0" t="inlineStr">
        <is>
          <t>덕성하이빌(도시형)</t>
        </is>
      </c>
      <c r="E388" s="0" t="inlineStr">
        <is>
          <t>2015.10.</t>
        </is>
      </c>
      <c r="F388" s="0" t="n">
        <v>18</v>
      </c>
      <c r="G388" s="0" t="n">
        <v>17.79</v>
      </c>
      <c r="H388" s="0" t="n">
        <v>58.83</v>
      </c>
      <c r="I388" s="0" t="n">
        <v>15.56</v>
      </c>
      <c r="J388" s="0" t="n">
        <v>51.45</v>
      </c>
      <c r="K388" s="0" t="n">
        <v>6</v>
      </c>
      <c r="T388" s="0" t="n">
        <v>2</v>
      </c>
      <c r="U388" s="0" t="n">
        <v>1</v>
      </c>
      <c r="V388" s="0" t="inlineStr">
        <is>
          <t>계단식</t>
        </is>
      </c>
      <c r="W388" s="0" t="n">
        <v>58</v>
      </c>
      <c r="X388" s="0" t="n">
        <v>4</v>
      </c>
      <c r="Y388" s="0" t="n">
        <v>4</v>
      </c>
      <c r="Z388" s="0" t="inlineStr">
        <is>
          <t>https://new.land.naver.com/complexes/135206?tab=detail&amp;rf=Y</t>
        </is>
      </c>
      <c r="AA388" s="0" t="inlineStr">
        <is>
          <t>인천시 서구 경서동 752-6</t>
        </is>
      </c>
      <c r="AB388" s="0" t="inlineStr">
        <is>
          <t>인천시</t>
        </is>
      </c>
      <c r="AC388" s="0" t="inlineStr">
        <is>
          <t>서구</t>
        </is>
      </c>
      <c r="AD388" s="0" t="inlineStr">
        <is>
          <t>경서동</t>
        </is>
      </c>
      <c r="AG388" s="0" t="inlineStr">
        <is>
          <t>인천시 서구 경서로35번길 7-1</t>
        </is>
      </c>
      <c r="AH388" s="0" t="n">
        <v>0</v>
      </c>
      <c r="AI388" s="0" t="n">
        <v>159</v>
      </c>
      <c r="AJ388" s="0" t="n">
        <v>59</v>
      </c>
      <c r="AK388" s="0" t="n">
        <v>18</v>
      </c>
      <c r="AL388" s="0" t="n">
        <v>1</v>
      </c>
    </row>
    <row r="389">
      <c r="A389" s="0" t="inlineStr">
        <is>
          <t>[경서동]</t>
        </is>
      </c>
      <c r="B389" s="0" t="n">
        <v>10140</v>
      </c>
      <c r="C389" s="0" t="n">
        <v>1</v>
      </c>
      <c r="D389" s="0" t="inlineStr">
        <is>
          <t>태평샹베르1차</t>
        </is>
      </c>
      <c r="E389" s="0" t="inlineStr">
        <is>
          <t>2005.02.</t>
        </is>
      </c>
      <c r="F389" s="0" t="n">
        <v>572</v>
      </c>
      <c r="G389" s="0" t="n">
        <v>24.01</v>
      </c>
      <c r="H389" s="0" t="n">
        <v>79.40000000000001</v>
      </c>
      <c r="I389" s="0" t="n">
        <v>18.01</v>
      </c>
      <c r="J389" s="0" t="n">
        <v>59.56</v>
      </c>
      <c r="K389" s="0" t="n">
        <v>132</v>
      </c>
      <c r="T389" s="0" t="n">
        <v>3</v>
      </c>
      <c r="U389" s="0" t="n">
        <v>2</v>
      </c>
      <c r="V389" s="0" t="inlineStr">
        <is>
          <t>계단식</t>
        </is>
      </c>
      <c r="W389" s="0" t="n">
        <v>79</v>
      </c>
      <c r="X389" s="0" t="n">
        <v>19</v>
      </c>
      <c r="Y389" s="0" t="n">
        <v>16</v>
      </c>
      <c r="Z389" s="0" t="inlineStr">
        <is>
          <t>https://new.land.naver.com/complexes/10140?tab=detail&amp;rf=Y</t>
        </is>
      </c>
      <c r="AA389" s="0" t="inlineStr">
        <is>
          <t>인천시 서구 경서동 722-1</t>
        </is>
      </c>
      <c r="AB389" s="0" t="inlineStr">
        <is>
          <t>인천시</t>
        </is>
      </c>
      <c r="AC389" s="0" t="inlineStr">
        <is>
          <t>서구</t>
        </is>
      </c>
      <c r="AD389" s="0" t="inlineStr">
        <is>
          <t>경서동</t>
        </is>
      </c>
      <c r="AG389" s="0" t="inlineStr">
        <is>
          <t>인천시 서구 도요지로 15</t>
        </is>
      </c>
      <c r="AH389" s="0" t="n">
        <v>0</v>
      </c>
      <c r="AI389" s="0" t="n">
        <v>211</v>
      </c>
      <c r="AJ389" s="0" t="n">
        <v>17</v>
      </c>
      <c r="AK389" s="0" t="n">
        <v>592</v>
      </c>
      <c r="AL389" s="0" t="n">
        <v>1.03</v>
      </c>
    </row>
    <row r="390">
      <c r="A390" s="0" t="inlineStr">
        <is>
          <t>[경서동]</t>
        </is>
      </c>
      <c r="B390" s="0" t="n">
        <v>10140</v>
      </c>
      <c r="C390" s="0" t="n">
        <v>2</v>
      </c>
      <c r="D390" s="0" t="inlineStr">
        <is>
          <t>태평샹베르1차</t>
        </is>
      </c>
      <c r="E390" s="0" t="inlineStr">
        <is>
          <t>2005.02.</t>
        </is>
      </c>
      <c r="F390" s="0" t="n">
        <v>572</v>
      </c>
      <c r="G390" s="0" t="n">
        <v>33</v>
      </c>
      <c r="H390" s="0" t="n">
        <v>109.1</v>
      </c>
      <c r="I390" s="0" t="n">
        <v>25.57</v>
      </c>
      <c r="J390" s="0" t="n">
        <v>84.54000000000001</v>
      </c>
      <c r="K390" s="0" t="n">
        <v>376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109</v>
      </c>
      <c r="X390" s="0" t="n">
        <v>19</v>
      </c>
      <c r="Y390" s="0" t="n">
        <v>16</v>
      </c>
      <c r="Z390" s="0" t="inlineStr">
        <is>
          <t>https://new.land.naver.com/complexes/10140?tab=detail&amp;rf=Y</t>
        </is>
      </c>
      <c r="AA390" s="0" t="inlineStr">
        <is>
          <t>인천시 서구 경서동 722-1</t>
        </is>
      </c>
      <c r="AB390" s="0" t="inlineStr">
        <is>
          <t>인천시</t>
        </is>
      </c>
      <c r="AC390" s="0" t="inlineStr">
        <is>
          <t>서구</t>
        </is>
      </c>
      <c r="AD390" s="0" t="inlineStr">
        <is>
          <t>경서동</t>
        </is>
      </c>
      <c r="AG390" s="0" t="inlineStr">
        <is>
          <t>인천시 서구 도요지로 15</t>
        </is>
      </c>
      <c r="AH390" s="0" t="n">
        <v>0</v>
      </c>
      <c r="AI390" s="0" t="n">
        <v>211</v>
      </c>
      <c r="AJ390" s="0" t="n">
        <v>17</v>
      </c>
      <c r="AK390" s="0" t="n">
        <v>592</v>
      </c>
      <c r="AL390" s="0" t="n">
        <v>1.03</v>
      </c>
    </row>
    <row r="391">
      <c r="A391" s="0" t="inlineStr">
        <is>
          <t>[경서동]</t>
        </is>
      </c>
      <c r="B391" s="0" t="n">
        <v>10140</v>
      </c>
      <c r="C391" s="0" t="n">
        <v>3</v>
      </c>
      <c r="D391" s="0" t="inlineStr">
        <is>
          <t>태평샹베르1차</t>
        </is>
      </c>
      <c r="E391" s="0" t="inlineStr">
        <is>
          <t>2005.02.</t>
        </is>
      </c>
      <c r="F391" s="0" t="n">
        <v>572</v>
      </c>
      <c r="G391" s="0" t="n">
        <v>42.22</v>
      </c>
      <c r="H391" s="0" t="n">
        <v>139.59</v>
      </c>
      <c r="I391" s="0" t="n">
        <v>34.73</v>
      </c>
      <c r="J391" s="0" t="n">
        <v>114.82</v>
      </c>
      <c r="K391" s="0" t="n">
        <v>64</v>
      </c>
      <c r="T391" s="0" t="n">
        <v>4</v>
      </c>
      <c r="U391" s="0" t="n">
        <v>2</v>
      </c>
      <c r="V391" s="0" t="inlineStr">
        <is>
          <t>계단식</t>
        </is>
      </c>
      <c r="W391" s="0" t="n">
        <v>139</v>
      </c>
      <c r="X391" s="0" t="n">
        <v>19</v>
      </c>
      <c r="Y391" s="0" t="n">
        <v>16</v>
      </c>
      <c r="Z391" s="0" t="inlineStr">
        <is>
          <t>https://new.land.naver.com/complexes/10140?tab=detail&amp;rf=Y</t>
        </is>
      </c>
      <c r="AA391" s="0" t="inlineStr">
        <is>
          <t>인천시 서구 경서동 722-1</t>
        </is>
      </c>
      <c r="AB391" s="0" t="inlineStr">
        <is>
          <t>인천시</t>
        </is>
      </c>
      <c r="AC391" s="0" t="inlineStr">
        <is>
          <t>서구</t>
        </is>
      </c>
      <c r="AD391" s="0" t="inlineStr">
        <is>
          <t>경서동</t>
        </is>
      </c>
      <c r="AG391" s="0" t="inlineStr">
        <is>
          <t>인천시 서구 도요지로 15</t>
        </is>
      </c>
      <c r="AH391" s="0" t="n">
        <v>0</v>
      </c>
      <c r="AI391" s="0" t="n">
        <v>211</v>
      </c>
      <c r="AJ391" s="0" t="n">
        <v>17</v>
      </c>
      <c r="AK391" s="0" t="n">
        <v>592</v>
      </c>
      <c r="AL391" s="0" t="n">
        <v>1.03</v>
      </c>
    </row>
    <row r="392">
      <c r="A392" s="0" t="inlineStr">
        <is>
          <t>[공촌동]</t>
        </is>
      </c>
      <c r="B392" s="0" t="n">
        <v>8329</v>
      </c>
      <c r="C392" s="0" t="n">
        <v>1</v>
      </c>
      <c r="D392" s="0" t="inlineStr">
        <is>
          <t>경남</t>
        </is>
      </c>
      <c r="E392" s="0" t="inlineStr">
        <is>
          <t>1998.11.</t>
        </is>
      </c>
      <c r="F392" s="0" t="n">
        <v>232</v>
      </c>
      <c r="G392" s="0" t="n">
        <v>24.6</v>
      </c>
      <c r="H392" s="0" t="n">
        <v>81.34</v>
      </c>
      <c r="I392" s="0" t="n">
        <v>18.13</v>
      </c>
      <c r="J392" s="0" t="n">
        <v>59.96</v>
      </c>
      <c r="K392" s="0" t="n">
        <v>72</v>
      </c>
      <c r="T392" s="0" t="n">
        <v>3</v>
      </c>
      <c r="U392" s="0" t="n">
        <v>1</v>
      </c>
      <c r="V392" s="0" t="inlineStr">
        <is>
          <t>계단식</t>
        </is>
      </c>
      <c r="W392" s="0" t="n">
        <v>81</v>
      </c>
      <c r="X392" s="0" t="n">
        <v>18</v>
      </c>
      <c r="Y392" s="0" t="n">
        <v>6</v>
      </c>
      <c r="Z392" s="0" t="inlineStr">
        <is>
          <t>https://new.land.naver.com/complexes/8329?tab=detail&amp;rf=Y</t>
        </is>
      </c>
      <c r="AA392" s="0" t="inlineStr">
        <is>
          <t>인천시 서구 공촌동 314</t>
        </is>
      </c>
      <c r="AB392" s="0" t="inlineStr">
        <is>
          <t>인천시</t>
        </is>
      </c>
      <c r="AC392" s="0" t="inlineStr">
        <is>
          <t>서구</t>
        </is>
      </c>
      <c r="AD392" s="0" t="inlineStr">
        <is>
          <t>공촌동</t>
        </is>
      </c>
      <c r="AG392" s="0" t="inlineStr">
        <is>
          <t>인천시 서구 경명대로694번길 10</t>
        </is>
      </c>
      <c r="AH392" s="0" t="n">
        <v>0</v>
      </c>
      <c r="AI392" s="0" t="n">
        <v>213</v>
      </c>
      <c r="AJ392" s="0" t="n">
        <v>23</v>
      </c>
      <c r="AK392" s="0" t="n">
        <v>239</v>
      </c>
      <c r="AL392" s="0" t="n">
        <v>1.03</v>
      </c>
    </row>
    <row r="393">
      <c r="A393" s="0" t="inlineStr">
        <is>
          <t>[공촌동]</t>
        </is>
      </c>
      <c r="B393" s="0" t="n">
        <v>8329</v>
      </c>
      <c r="C393" s="0" t="n">
        <v>2</v>
      </c>
      <c r="D393" s="0" t="inlineStr">
        <is>
          <t>경남</t>
        </is>
      </c>
      <c r="E393" s="0" t="inlineStr">
        <is>
          <t>1998.11.</t>
        </is>
      </c>
      <c r="F393" s="0" t="n">
        <v>232</v>
      </c>
      <c r="G393" s="0" t="n">
        <v>31.73</v>
      </c>
      <c r="H393" s="0" t="n">
        <v>104.9</v>
      </c>
      <c r="I393" s="0" t="n">
        <v>25.67</v>
      </c>
      <c r="J393" s="0" t="n">
        <v>84.89</v>
      </c>
      <c r="K393" s="0" t="n">
        <v>79</v>
      </c>
      <c r="T393" s="0" t="n">
        <v>3</v>
      </c>
      <c r="U393" s="0" t="n">
        <v>2</v>
      </c>
      <c r="V393" s="0" t="inlineStr">
        <is>
          <t>계단식</t>
        </is>
      </c>
      <c r="W393" s="0" t="n">
        <v>104</v>
      </c>
      <c r="X393" s="0" t="n">
        <v>18</v>
      </c>
      <c r="Y393" s="0" t="n">
        <v>6</v>
      </c>
      <c r="Z393" s="0" t="inlineStr">
        <is>
          <t>https://new.land.naver.com/complexes/8329?tab=detail&amp;rf=Y</t>
        </is>
      </c>
      <c r="AA393" s="0" t="inlineStr">
        <is>
          <t>인천시 서구 공촌동 314</t>
        </is>
      </c>
      <c r="AB393" s="0" t="inlineStr">
        <is>
          <t>인천시</t>
        </is>
      </c>
      <c r="AC393" s="0" t="inlineStr">
        <is>
          <t>서구</t>
        </is>
      </c>
      <c r="AD393" s="0" t="inlineStr">
        <is>
          <t>공촌동</t>
        </is>
      </c>
      <c r="AG393" s="0" t="inlineStr">
        <is>
          <t>인천시 서구 경명대로694번길 10</t>
        </is>
      </c>
      <c r="AH393" s="0" t="n">
        <v>0</v>
      </c>
      <c r="AI393" s="0" t="n">
        <v>213</v>
      </c>
      <c r="AJ393" s="0" t="n">
        <v>23</v>
      </c>
      <c r="AK393" s="0" t="n">
        <v>239</v>
      </c>
      <c r="AL393" s="0" t="n">
        <v>1.03</v>
      </c>
    </row>
    <row r="394">
      <c r="A394" s="0" t="inlineStr">
        <is>
          <t>[공촌동]</t>
        </is>
      </c>
      <c r="B394" s="0" t="n">
        <v>8329</v>
      </c>
      <c r="C394" s="0" t="n">
        <v>3</v>
      </c>
      <c r="D394" s="0" t="inlineStr">
        <is>
          <t>경남</t>
        </is>
      </c>
      <c r="E394" s="0" t="inlineStr">
        <is>
          <t>1998.11.</t>
        </is>
      </c>
      <c r="F394" s="0" t="n">
        <v>232</v>
      </c>
      <c r="G394" s="0" t="n">
        <v>33.17</v>
      </c>
      <c r="H394" s="0" t="n">
        <v>109.67</v>
      </c>
      <c r="I394" s="0" t="n">
        <v>25.67</v>
      </c>
      <c r="J394" s="0" t="n">
        <v>84.89</v>
      </c>
      <c r="K394" s="0" t="n">
        <v>81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109</v>
      </c>
      <c r="X394" s="0" t="n">
        <v>18</v>
      </c>
      <c r="Y394" s="0" t="n">
        <v>6</v>
      </c>
      <c r="Z394" s="0" t="inlineStr">
        <is>
          <t>https://new.land.naver.com/complexes/8329?tab=detail&amp;rf=Y</t>
        </is>
      </c>
      <c r="AA394" s="0" t="inlineStr">
        <is>
          <t>인천시 서구 공촌동 314</t>
        </is>
      </c>
      <c r="AB394" s="0" t="inlineStr">
        <is>
          <t>인천시</t>
        </is>
      </c>
      <c r="AC394" s="0" t="inlineStr">
        <is>
          <t>서구</t>
        </is>
      </c>
      <c r="AD394" s="0" t="inlineStr">
        <is>
          <t>공촌동</t>
        </is>
      </c>
      <c r="AG394" s="0" t="inlineStr">
        <is>
          <t>인천시 서구 경명대로694번길 10</t>
        </is>
      </c>
      <c r="AH394" s="0" t="n">
        <v>0</v>
      </c>
      <c r="AI394" s="0" t="n">
        <v>213</v>
      </c>
      <c r="AJ394" s="0" t="n">
        <v>23</v>
      </c>
      <c r="AK394" s="0" t="n">
        <v>239</v>
      </c>
      <c r="AL394" s="0" t="n">
        <v>1.03</v>
      </c>
    </row>
    <row r="395">
      <c r="A395" s="0" t="inlineStr">
        <is>
          <t>[공촌동]</t>
        </is>
      </c>
      <c r="B395" s="0" t="n">
        <v>120293</v>
      </c>
      <c r="C395" s="0" t="n">
        <v>1</v>
      </c>
      <c r="D395" s="0" t="inlineStr">
        <is>
          <t>미우해드리움</t>
        </is>
      </c>
      <c r="E395" s="0" t="inlineStr">
        <is>
          <t>2018.01.</t>
        </is>
      </c>
      <c r="F395" s="0" t="n">
        <v>110</v>
      </c>
      <c r="G395" s="0" t="n">
        <v>14.74</v>
      </c>
      <c r="H395" s="0" t="n">
        <v>48.76</v>
      </c>
      <c r="I395" s="0" t="n">
        <v>10.49</v>
      </c>
      <c r="J395" s="0" t="n">
        <v>34.7</v>
      </c>
      <c r="K395" s="0" t="n">
        <v>1</v>
      </c>
      <c r="T395" s="0" t="n">
        <v>2</v>
      </c>
      <c r="U395" s="0" t="n">
        <v>1</v>
      </c>
      <c r="V395" s="0" t="inlineStr">
        <is>
          <t>계단식</t>
        </is>
      </c>
      <c r="W395" s="0" t="inlineStr">
        <is>
          <t>48A</t>
        </is>
      </c>
      <c r="X395" s="0" t="n">
        <v>20</v>
      </c>
      <c r="Y395" s="0" t="n">
        <v>12</v>
      </c>
      <c r="Z395" s="0" t="inlineStr">
        <is>
          <t>https://new.land.naver.com/complexes/120293?tab=detail&amp;rf=Y</t>
        </is>
      </c>
      <c r="AA395" s="0" t="inlineStr">
        <is>
          <t>인천시 서구 공촌동 309-2</t>
        </is>
      </c>
      <c r="AB395" s="0" t="inlineStr">
        <is>
          <t>인천시</t>
        </is>
      </c>
      <c r="AC395" s="0" t="inlineStr">
        <is>
          <t>서구</t>
        </is>
      </c>
      <c r="AD395" s="0" t="inlineStr">
        <is>
          <t>공촌동</t>
        </is>
      </c>
      <c r="AG395" s="0" t="inlineStr">
        <is>
          <t>인천시 서구 경명대로 672</t>
        </is>
      </c>
      <c r="AH395" s="0" t="n">
        <v>0</v>
      </c>
      <c r="AI395" s="0" t="n">
        <v>399</v>
      </c>
      <c r="AJ395" s="0" t="n">
        <v>41</v>
      </c>
      <c r="AK395" s="0" t="n">
        <v>103</v>
      </c>
      <c r="AL395" s="0" t="n">
        <v>0.9399999999999999</v>
      </c>
    </row>
    <row r="396">
      <c r="A396" s="0" t="inlineStr">
        <is>
          <t>[공촌동]</t>
        </is>
      </c>
      <c r="B396" s="0" t="n">
        <v>120293</v>
      </c>
      <c r="C396" s="0" t="n">
        <v>2</v>
      </c>
      <c r="D396" s="0" t="inlineStr">
        <is>
          <t>미우해드리움</t>
        </is>
      </c>
      <c r="E396" s="0" t="inlineStr">
        <is>
          <t>2018.01.</t>
        </is>
      </c>
      <c r="F396" s="0" t="n">
        <v>110</v>
      </c>
      <c r="G396" s="0" t="n">
        <v>15.16</v>
      </c>
      <c r="H396" s="0" t="n">
        <v>50.14</v>
      </c>
      <c r="I396" s="0" t="n">
        <v>10.84</v>
      </c>
      <c r="J396" s="0" t="n">
        <v>35.85</v>
      </c>
      <c r="K396" s="0" t="n">
        <v>15</v>
      </c>
      <c r="T396" s="0" t="n">
        <v>2</v>
      </c>
      <c r="U396" s="0" t="n">
        <v>1</v>
      </c>
      <c r="V396" s="0" t="inlineStr">
        <is>
          <t>계단식</t>
        </is>
      </c>
      <c r="W396" s="0" t="inlineStr">
        <is>
          <t>50B</t>
        </is>
      </c>
      <c r="X396" s="0" t="n">
        <v>20</v>
      </c>
      <c r="Y396" s="0" t="n">
        <v>12</v>
      </c>
      <c r="Z396" s="0" t="inlineStr">
        <is>
          <t>https://new.land.naver.com/complexes/120293?tab=detail&amp;rf=Y</t>
        </is>
      </c>
      <c r="AA396" s="0" t="inlineStr">
        <is>
          <t>인천시 서구 공촌동 309-2</t>
        </is>
      </c>
      <c r="AB396" s="0" t="inlineStr">
        <is>
          <t>인천시</t>
        </is>
      </c>
      <c r="AC396" s="0" t="inlineStr">
        <is>
          <t>서구</t>
        </is>
      </c>
      <c r="AD396" s="0" t="inlineStr">
        <is>
          <t>공촌동</t>
        </is>
      </c>
      <c r="AG396" s="0" t="inlineStr">
        <is>
          <t>인천시 서구 경명대로 672</t>
        </is>
      </c>
      <c r="AH396" s="0" t="n">
        <v>0</v>
      </c>
      <c r="AI396" s="0" t="n">
        <v>399</v>
      </c>
      <c r="AJ396" s="0" t="n">
        <v>41</v>
      </c>
      <c r="AK396" s="0" t="n">
        <v>103</v>
      </c>
      <c r="AL396" s="0" t="n">
        <v>0.9399999999999999</v>
      </c>
    </row>
    <row r="397">
      <c r="A397" s="0" t="inlineStr">
        <is>
          <t>[공촌동]</t>
        </is>
      </c>
      <c r="B397" s="0" t="n">
        <v>120293</v>
      </c>
      <c r="C397" s="0" t="n">
        <v>3</v>
      </c>
      <c r="D397" s="0" t="inlineStr">
        <is>
          <t>미우해드리움</t>
        </is>
      </c>
      <c r="E397" s="0" t="inlineStr">
        <is>
          <t>2018.01.</t>
        </is>
      </c>
      <c r="F397" s="0" t="n">
        <v>110</v>
      </c>
      <c r="G397" s="0" t="n">
        <v>16.49</v>
      </c>
      <c r="H397" s="0" t="n">
        <v>54.53</v>
      </c>
      <c r="I397" s="0" t="n">
        <v>11.84</v>
      </c>
      <c r="J397" s="0" t="n">
        <v>39.15</v>
      </c>
      <c r="K397" s="0" t="n">
        <v>10</v>
      </c>
      <c r="T397" s="0" t="n">
        <v>2</v>
      </c>
      <c r="U397" s="0" t="n">
        <v>1</v>
      </c>
      <c r="V397" s="0" t="inlineStr">
        <is>
          <t>계단식</t>
        </is>
      </c>
      <c r="W397" s="0" t="n">
        <v>54</v>
      </c>
      <c r="X397" s="0" t="n">
        <v>20</v>
      </c>
      <c r="Y397" s="0" t="n">
        <v>12</v>
      </c>
      <c r="Z397" s="0" t="inlineStr">
        <is>
          <t>https://new.land.naver.com/complexes/120293?tab=detail&amp;rf=Y</t>
        </is>
      </c>
      <c r="AA397" s="0" t="inlineStr">
        <is>
          <t>인천시 서구 공촌동 309-2</t>
        </is>
      </c>
      <c r="AB397" s="0" t="inlineStr">
        <is>
          <t>인천시</t>
        </is>
      </c>
      <c r="AC397" s="0" t="inlineStr">
        <is>
          <t>서구</t>
        </is>
      </c>
      <c r="AD397" s="0" t="inlineStr">
        <is>
          <t>공촌동</t>
        </is>
      </c>
      <c r="AG397" s="0" t="inlineStr">
        <is>
          <t>인천시 서구 경명대로 672</t>
        </is>
      </c>
      <c r="AH397" s="0" t="n">
        <v>0</v>
      </c>
      <c r="AI397" s="0" t="n">
        <v>399</v>
      </c>
      <c r="AJ397" s="0" t="n">
        <v>41</v>
      </c>
      <c r="AK397" s="0" t="n">
        <v>103</v>
      </c>
      <c r="AL397" s="0" t="n">
        <v>0.9399999999999999</v>
      </c>
    </row>
    <row r="398">
      <c r="A398" s="0" t="inlineStr">
        <is>
          <t>[공촌동]</t>
        </is>
      </c>
      <c r="B398" s="0" t="n">
        <v>120293</v>
      </c>
      <c r="C398" s="0" t="n">
        <v>4</v>
      </c>
      <c r="D398" s="0" t="inlineStr">
        <is>
          <t>미우해드리움</t>
        </is>
      </c>
      <c r="E398" s="0" t="inlineStr">
        <is>
          <t>2018.01.</t>
        </is>
      </c>
      <c r="F398" s="0" t="n">
        <v>110</v>
      </c>
      <c r="G398" s="0" t="n">
        <v>19.29</v>
      </c>
      <c r="H398" s="0" t="n">
        <v>63.79</v>
      </c>
      <c r="I398" s="0" t="n">
        <v>13.74</v>
      </c>
      <c r="J398" s="0" t="n">
        <v>45.43</v>
      </c>
      <c r="K398" s="0" t="n">
        <v>1</v>
      </c>
      <c r="T398" s="0" t="n">
        <v>2</v>
      </c>
      <c r="U398" s="0" t="n">
        <v>1</v>
      </c>
      <c r="V398" s="0" t="inlineStr">
        <is>
          <t>계단식</t>
        </is>
      </c>
      <c r="W398" s="0" t="n">
        <v>63</v>
      </c>
      <c r="X398" s="0" t="n">
        <v>20</v>
      </c>
      <c r="Y398" s="0" t="n">
        <v>12</v>
      </c>
      <c r="Z398" s="0" t="inlineStr">
        <is>
          <t>https://new.land.naver.com/complexes/120293?tab=detail&amp;rf=Y</t>
        </is>
      </c>
      <c r="AA398" s="0" t="inlineStr">
        <is>
          <t>인천시 서구 공촌동 309-2</t>
        </is>
      </c>
      <c r="AB398" s="0" t="inlineStr">
        <is>
          <t>인천시</t>
        </is>
      </c>
      <c r="AC398" s="0" t="inlineStr">
        <is>
          <t>서구</t>
        </is>
      </c>
      <c r="AD398" s="0" t="inlineStr">
        <is>
          <t>공촌동</t>
        </is>
      </c>
      <c r="AG398" s="0" t="inlineStr">
        <is>
          <t>인천시 서구 경명대로 672</t>
        </is>
      </c>
      <c r="AH398" s="0" t="n">
        <v>0</v>
      </c>
      <c r="AI398" s="0" t="n">
        <v>399</v>
      </c>
      <c r="AJ398" s="0" t="n">
        <v>41</v>
      </c>
      <c r="AK398" s="0" t="n">
        <v>103</v>
      </c>
      <c r="AL398" s="0" t="n">
        <v>0.9399999999999999</v>
      </c>
    </row>
    <row r="399">
      <c r="A399" s="0" t="inlineStr">
        <is>
          <t>[공촌동]</t>
        </is>
      </c>
      <c r="B399" s="0" t="n">
        <v>120293</v>
      </c>
      <c r="C399" s="0" t="n">
        <v>5</v>
      </c>
      <c r="D399" s="0" t="inlineStr">
        <is>
          <t>미우해드리움</t>
        </is>
      </c>
      <c r="E399" s="0" t="inlineStr">
        <is>
          <t>2018.01.</t>
        </is>
      </c>
      <c r="F399" s="0" t="n">
        <v>110</v>
      </c>
      <c r="G399" s="0" t="n">
        <v>19.76</v>
      </c>
      <c r="H399" s="0" t="n">
        <v>65.34999999999999</v>
      </c>
      <c r="I399" s="0" t="n">
        <v>14.18</v>
      </c>
      <c r="J399" s="0" t="n">
        <v>46.89</v>
      </c>
      <c r="K399" s="0" t="n">
        <v>5</v>
      </c>
      <c r="T399" s="0" t="n">
        <v>3</v>
      </c>
      <c r="U399" s="0" t="n">
        <v>1</v>
      </c>
      <c r="V399" s="0" t="inlineStr">
        <is>
          <t>계단식</t>
        </is>
      </c>
      <c r="W399" s="0" t="n">
        <v>65</v>
      </c>
      <c r="X399" s="0" t="n">
        <v>20</v>
      </c>
      <c r="Y399" s="0" t="n">
        <v>12</v>
      </c>
      <c r="Z399" s="0" t="inlineStr">
        <is>
          <t>https://new.land.naver.com/complexes/120293?tab=detail&amp;rf=Y</t>
        </is>
      </c>
      <c r="AA399" s="0" t="inlineStr">
        <is>
          <t>인천시 서구 공촌동 309-2</t>
        </is>
      </c>
      <c r="AB399" s="0" t="inlineStr">
        <is>
          <t>인천시</t>
        </is>
      </c>
      <c r="AC399" s="0" t="inlineStr">
        <is>
          <t>서구</t>
        </is>
      </c>
      <c r="AD399" s="0" t="inlineStr">
        <is>
          <t>공촌동</t>
        </is>
      </c>
      <c r="AG399" s="0" t="inlineStr">
        <is>
          <t>인천시 서구 경명대로 672</t>
        </is>
      </c>
      <c r="AH399" s="0" t="n">
        <v>0</v>
      </c>
      <c r="AI399" s="0" t="n">
        <v>399</v>
      </c>
      <c r="AJ399" s="0" t="n">
        <v>41</v>
      </c>
      <c r="AK399" s="0" t="n">
        <v>103</v>
      </c>
      <c r="AL399" s="0" t="n">
        <v>0.9399999999999999</v>
      </c>
    </row>
    <row r="400">
      <c r="A400" s="0" t="inlineStr">
        <is>
          <t>[공촌동]</t>
        </is>
      </c>
      <c r="B400" s="0" t="n">
        <v>120293</v>
      </c>
      <c r="C400" s="0" t="n">
        <v>6</v>
      </c>
      <c r="D400" s="0" t="inlineStr">
        <is>
          <t>미우해드리움</t>
        </is>
      </c>
      <c r="E400" s="0" t="inlineStr">
        <is>
          <t>2018.01.</t>
        </is>
      </c>
      <c r="F400" s="0" t="n">
        <v>110</v>
      </c>
      <c r="G400" s="0" t="n">
        <v>21.16</v>
      </c>
      <c r="H400" s="0" t="n">
        <v>69.97</v>
      </c>
      <c r="I400" s="0" t="n">
        <v>15.35</v>
      </c>
      <c r="J400" s="0" t="n">
        <v>50.76</v>
      </c>
      <c r="K400" s="0" t="n">
        <v>16</v>
      </c>
      <c r="T400" s="0" t="n">
        <v>3</v>
      </c>
      <c r="U400" s="0" t="n">
        <v>1</v>
      </c>
      <c r="V400" s="0" t="inlineStr">
        <is>
          <t>계단식</t>
        </is>
      </c>
      <c r="W400" s="0" t="n">
        <v>69</v>
      </c>
      <c r="X400" s="0" t="n">
        <v>20</v>
      </c>
      <c r="Y400" s="0" t="n">
        <v>12</v>
      </c>
      <c r="Z400" s="0" t="inlineStr">
        <is>
          <t>https://new.land.naver.com/complexes/120293?tab=detail&amp;rf=Y</t>
        </is>
      </c>
      <c r="AA400" s="0" t="inlineStr">
        <is>
          <t>인천시 서구 공촌동 309-2</t>
        </is>
      </c>
      <c r="AB400" s="0" t="inlineStr">
        <is>
          <t>인천시</t>
        </is>
      </c>
      <c r="AC400" s="0" t="inlineStr">
        <is>
          <t>서구</t>
        </is>
      </c>
      <c r="AD400" s="0" t="inlineStr">
        <is>
          <t>공촌동</t>
        </is>
      </c>
      <c r="AG400" s="0" t="inlineStr">
        <is>
          <t>인천시 서구 경명대로 672</t>
        </is>
      </c>
      <c r="AH400" s="0" t="n">
        <v>0</v>
      </c>
      <c r="AI400" s="0" t="n">
        <v>399</v>
      </c>
      <c r="AJ400" s="0" t="n">
        <v>41</v>
      </c>
      <c r="AK400" s="0" t="n">
        <v>103</v>
      </c>
      <c r="AL400" s="0" t="n">
        <v>0.9399999999999999</v>
      </c>
    </row>
    <row r="401">
      <c r="A401" s="0" t="inlineStr">
        <is>
          <t>[공촌동]</t>
        </is>
      </c>
      <c r="B401" s="0" t="n">
        <v>120293</v>
      </c>
      <c r="C401" s="0" t="n">
        <v>7</v>
      </c>
      <c r="D401" s="0" t="inlineStr">
        <is>
          <t>미우해드리움</t>
        </is>
      </c>
      <c r="E401" s="0" t="inlineStr">
        <is>
          <t>2018.01.</t>
        </is>
      </c>
      <c r="F401" s="0" t="n">
        <v>110</v>
      </c>
      <c r="G401" s="0" t="n">
        <v>22.17</v>
      </c>
      <c r="H401" s="0" t="n">
        <v>73.29000000000001</v>
      </c>
      <c r="I401" s="0" t="n">
        <v>15.83</v>
      </c>
      <c r="J401" s="0" t="n">
        <v>52.36</v>
      </c>
      <c r="K401" s="0" t="n">
        <v>1</v>
      </c>
      <c r="T401" s="0" t="n">
        <v>3</v>
      </c>
      <c r="U401" s="0" t="n">
        <v>1</v>
      </c>
      <c r="V401" s="0" t="inlineStr">
        <is>
          <t>계단식</t>
        </is>
      </c>
      <c r="W401" s="0" t="n">
        <v>73</v>
      </c>
      <c r="X401" s="0" t="n">
        <v>20</v>
      </c>
      <c r="Y401" s="0" t="n">
        <v>12</v>
      </c>
      <c r="Z401" s="0" t="inlineStr">
        <is>
          <t>https://new.land.naver.com/complexes/120293?tab=detail&amp;rf=Y</t>
        </is>
      </c>
      <c r="AA401" s="0" t="inlineStr">
        <is>
          <t>인천시 서구 공촌동 309-2</t>
        </is>
      </c>
      <c r="AB401" s="0" t="inlineStr">
        <is>
          <t>인천시</t>
        </is>
      </c>
      <c r="AC401" s="0" t="inlineStr">
        <is>
          <t>서구</t>
        </is>
      </c>
      <c r="AD401" s="0" t="inlineStr">
        <is>
          <t>공촌동</t>
        </is>
      </c>
      <c r="AG401" s="0" t="inlineStr">
        <is>
          <t>인천시 서구 경명대로 672</t>
        </is>
      </c>
      <c r="AH401" s="0" t="n">
        <v>0</v>
      </c>
      <c r="AI401" s="0" t="n">
        <v>399</v>
      </c>
      <c r="AJ401" s="0" t="n">
        <v>41</v>
      </c>
      <c r="AK401" s="0" t="n">
        <v>103</v>
      </c>
      <c r="AL401" s="0" t="n">
        <v>0.9399999999999999</v>
      </c>
    </row>
    <row r="402">
      <c r="A402" s="0" t="inlineStr">
        <is>
          <t>[공촌동]</t>
        </is>
      </c>
      <c r="B402" s="0" t="n">
        <v>120293</v>
      </c>
      <c r="C402" s="0" t="n">
        <v>8</v>
      </c>
      <c r="D402" s="0" t="inlineStr">
        <is>
          <t>미우해드리움</t>
        </is>
      </c>
      <c r="E402" s="0" t="inlineStr">
        <is>
          <t>2018.01.</t>
        </is>
      </c>
      <c r="F402" s="0" t="n">
        <v>110</v>
      </c>
      <c r="G402" s="0" t="n">
        <v>24.33</v>
      </c>
      <c r="H402" s="0" t="n">
        <v>80.45</v>
      </c>
      <c r="I402" s="0" t="n">
        <v>17.82</v>
      </c>
      <c r="J402" s="0" t="n">
        <v>58.92</v>
      </c>
      <c r="K402" s="0" t="n">
        <v>2</v>
      </c>
      <c r="T402" s="0" t="n">
        <v>3</v>
      </c>
      <c r="U402" s="0" t="n">
        <v>1</v>
      </c>
      <c r="V402" s="0" t="inlineStr">
        <is>
          <t>계단식</t>
        </is>
      </c>
      <c r="W402" s="0" t="n">
        <v>80</v>
      </c>
      <c r="X402" s="0" t="n">
        <v>20</v>
      </c>
      <c r="Y402" s="0" t="n">
        <v>12</v>
      </c>
      <c r="Z402" s="0" t="inlineStr">
        <is>
          <t>https://new.land.naver.com/complexes/120293?tab=detail&amp;rf=Y</t>
        </is>
      </c>
      <c r="AA402" s="0" t="inlineStr">
        <is>
          <t>인천시 서구 공촌동 309-2</t>
        </is>
      </c>
      <c r="AB402" s="0" t="inlineStr">
        <is>
          <t>인천시</t>
        </is>
      </c>
      <c r="AC402" s="0" t="inlineStr">
        <is>
          <t>서구</t>
        </is>
      </c>
      <c r="AD402" s="0" t="inlineStr">
        <is>
          <t>공촌동</t>
        </is>
      </c>
      <c r="AG402" s="0" t="inlineStr">
        <is>
          <t>인천시 서구 경명대로 672</t>
        </is>
      </c>
      <c r="AH402" s="0" t="n">
        <v>0</v>
      </c>
      <c r="AI402" s="0" t="n">
        <v>399</v>
      </c>
      <c r="AJ402" s="0" t="n">
        <v>41</v>
      </c>
      <c r="AK402" s="0" t="n">
        <v>103</v>
      </c>
      <c r="AL402" s="0" t="n">
        <v>0.9399999999999999</v>
      </c>
    </row>
    <row r="403">
      <c r="A403" s="0" t="inlineStr">
        <is>
          <t>[공촌동]</t>
        </is>
      </c>
      <c r="B403" s="0" t="n">
        <v>120293</v>
      </c>
      <c r="C403" s="0" t="n">
        <v>9</v>
      </c>
      <c r="D403" s="0" t="inlineStr">
        <is>
          <t>미우해드리움</t>
        </is>
      </c>
      <c r="E403" s="0" t="inlineStr">
        <is>
          <t>2018.01.</t>
        </is>
      </c>
      <c r="F403" s="0" t="n">
        <v>110</v>
      </c>
      <c r="G403" s="0" t="n">
        <v>24.62</v>
      </c>
      <c r="H403" s="0" t="n">
        <v>81.42</v>
      </c>
      <c r="I403" s="0" t="n">
        <v>17.91</v>
      </c>
      <c r="J403" s="0" t="n">
        <v>59.21</v>
      </c>
      <c r="K403" s="0" t="n">
        <v>18</v>
      </c>
      <c r="T403" s="0" t="n">
        <v>3</v>
      </c>
      <c r="U403" s="0" t="n">
        <v>2</v>
      </c>
      <c r="V403" s="0" t="inlineStr">
        <is>
          <t>계단식</t>
        </is>
      </c>
      <c r="W403" s="0" t="n">
        <v>81</v>
      </c>
      <c r="X403" s="0" t="n">
        <v>20</v>
      </c>
      <c r="Y403" s="0" t="n">
        <v>12</v>
      </c>
      <c r="Z403" s="0" t="inlineStr">
        <is>
          <t>https://new.land.naver.com/complexes/120293?tab=detail&amp;rf=Y</t>
        </is>
      </c>
      <c r="AA403" s="0" t="inlineStr">
        <is>
          <t>인천시 서구 공촌동 309-2</t>
        </is>
      </c>
      <c r="AB403" s="0" t="inlineStr">
        <is>
          <t>인천시</t>
        </is>
      </c>
      <c r="AC403" s="0" t="inlineStr">
        <is>
          <t>서구</t>
        </is>
      </c>
      <c r="AD403" s="0" t="inlineStr">
        <is>
          <t>공촌동</t>
        </is>
      </c>
      <c r="AG403" s="0" t="inlineStr">
        <is>
          <t>인천시 서구 경명대로 672</t>
        </is>
      </c>
      <c r="AH403" s="0" t="n">
        <v>0</v>
      </c>
      <c r="AI403" s="0" t="n">
        <v>399</v>
      </c>
      <c r="AJ403" s="0" t="n">
        <v>41</v>
      </c>
      <c r="AK403" s="0" t="n">
        <v>103</v>
      </c>
      <c r="AL403" s="0" t="n">
        <v>0.9399999999999999</v>
      </c>
    </row>
    <row r="404">
      <c r="A404" s="0" t="inlineStr">
        <is>
          <t>[공촌동]</t>
        </is>
      </c>
      <c r="B404" s="0" t="n">
        <v>120293</v>
      </c>
      <c r="C404" s="0" t="n">
        <v>10</v>
      </c>
      <c r="D404" s="0" t="inlineStr">
        <is>
          <t>미우해드리움</t>
        </is>
      </c>
      <c r="E404" s="0" t="inlineStr">
        <is>
          <t>2018.01.</t>
        </is>
      </c>
      <c r="F404" s="0" t="n">
        <v>110</v>
      </c>
      <c r="G404" s="0" t="n">
        <v>26.29</v>
      </c>
      <c r="H404" s="0" t="n">
        <v>86.94</v>
      </c>
      <c r="I404" s="0" t="n">
        <v>19.1</v>
      </c>
      <c r="J404" s="0" t="n">
        <v>63.16</v>
      </c>
      <c r="K404" s="0" t="n">
        <v>10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86A</t>
        </is>
      </c>
      <c r="X404" s="0" t="n">
        <v>20</v>
      </c>
      <c r="Y404" s="0" t="n">
        <v>12</v>
      </c>
      <c r="Z404" s="0" t="inlineStr">
        <is>
          <t>https://new.land.naver.com/complexes/120293?tab=detail&amp;rf=Y</t>
        </is>
      </c>
      <c r="AA404" s="0" t="inlineStr">
        <is>
          <t>인천시 서구 공촌동 309-2</t>
        </is>
      </c>
      <c r="AB404" s="0" t="inlineStr">
        <is>
          <t>인천시</t>
        </is>
      </c>
      <c r="AC404" s="0" t="inlineStr">
        <is>
          <t>서구</t>
        </is>
      </c>
      <c r="AD404" s="0" t="inlineStr">
        <is>
          <t>공촌동</t>
        </is>
      </c>
      <c r="AG404" s="0" t="inlineStr">
        <is>
          <t>인천시 서구 경명대로 672</t>
        </is>
      </c>
      <c r="AH404" s="0" t="n">
        <v>0</v>
      </c>
      <c r="AI404" s="0" t="n">
        <v>399</v>
      </c>
      <c r="AJ404" s="0" t="n">
        <v>41</v>
      </c>
      <c r="AK404" s="0" t="n">
        <v>103</v>
      </c>
      <c r="AL404" s="0" t="n">
        <v>0.9399999999999999</v>
      </c>
    </row>
    <row r="405">
      <c r="A405" s="0" t="inlineStr">
        <is>
          <t>[공촌동]</t>
        </is>
      </c>
      <c r="B405" s="0" t="n">
        <v>120293</v>
      </c>
      <c r="C405" s="0" t="n">
        <v>11</v>
      </c>
      <c r="D405" s="0" t="inlineStr">
        <is>
          <t>미우해드리움</t>
        </is>
      </c>
      <c r="E405" s="0" t="inlineStr">
        <is>
          <t>2018.01.</t>
        </is>
      </c>
      <c r="F405" s="0" t="n">
        <v>110</v>
      </c>
      <c r="G405" s="0" t="n">
        <v>26.45</v>
      </c>
      <c r="H405" s="0" t="n">
        <v>87.45</v>
      </c>
      <c r="I405" s="0" t="n">
        <v>19.49</v>
      </c>
      <c r="J405" s="0" t="n">
        <v>64.45</v>
      </c>
      <c r="K405" s="0" t="n">
        <v>20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87B</t>
        </is>
      </c>
      <c r="X405" s="0" t="n">
        <v>20</v>
      </c>
      <c r="Y405" s="0" t="n">
        <v>12</v>
      </c>
      <c r="Z405" s="0" t="inlineStr">
        <is>
          <t>https://new.land.naver.com/complexes/120293?tab=detail&amp;rf=Y</t>
        </is>
      </c>
      <c r="AA405" s="0" t="inlineStr">
        <is>
          <t>인천시 서구 공촌동 309-2</t>
        </is>
      </c>
      <c r="AB405" s="0" t="inlineStr">
        <is>
          <t>인천시</t>
        </is>
      </c>
      <c r="AC405" s="0" t="inlineStr">
        <is>
          <t>서구</t>
        </is>
      </c>
      <c r="AD405" s="0" t="inlineStr">
        <is>
          <t>공촌동</t>
        </is>
      </c>
      <c r="AG405" s="0" t="inlineStr">
        <is>
          <t>인천시 서구 경명대로 672</t>
        </is>
      </c>
      <c r="AH405" s="0" t="n">
        <v>0</v>
      </c>
      <c r="AI405" s="0" t="n">
        <v>399</v>
      </c>
      <c r="AJ405" s="0" t="n">
        <v>41</v>
      </c>
      <c r="AK405" s="0" t="n">
        <v>103</v>
      </c>
      <c r="AL405" s="0" t="n">
        <v>0.9399999999999999</v>
      </c>
    </row>
    <row r="406">
      <c r="A406" s="0" t="inlineStr">
        <is>
          <t>[공촌동]</t>
        </is>
      </c>
      <c r="B406" s="0" t="n">
        <v>120293</v>
      </c>
      <c r="C406" s="0" t="n">
        <v>12</v>
      </c>
      <c r="D406" s="0" t="inlineStr">
        <is>
          <t>미우해드리움</t>
        </is>
      </c>
      <c r="E406" s="0" t="inlineStr">
        <is>
          <t>2018.01.</t>
        </is>
      </c>
      <c r="F406" s="0" t="n">
        <v>110</v>
      </c>
      <c r="G406" s="0" t="n">
        <v>26.56</v>
      </c>
      <c r="H406" s="0" t="n">
        <v>87.81999999999999</v>
      </c>
      <c r="I406" s="0" t="n">
        <v>19.38</v>
      </c>
      <c r="J406" s="0" t="n">
        <v>64.08</v>
      </c>
      <c r="K406" s="0" t="n">
        <v>10</v>
      </c>
      <c r="T406" s="0" t="n">
        <v>3</v>
      </c>
      <c r="U406" s="0" t="n">
        <v>2</v>
      </c>
      <c r="V406" s="0" t="inlineStr">
        <is>
          <t>계단식</t>
        </is>
      </c>
      <c r="W406" s="0" t="n">
        <v>87</v>
      </c>
      <c r="X406" s="0" t="n">
        <v>20</v>
      </c>
      <c r="Y406" s="0" t="n">
        <v>12</v>
      </c>
      <c r="Z406" s="0" t="inlineStr">
        <is>
          <t>https://new.land.naver.com/complexes/120293?tab=detail&amp;rf=Y</t>
        </is>
      </c>
      <c r="AA406" s="0" t="inlineStr">
        <is>
          <t>인천시 서구 공촌동 309-2</t>
        </is>
      </c>
      <c r="AB406" s="0" t="inlineStr">
        <is>
          <t>인천시</t>
        </is>
      </c>
      <c r="AC406" s="0" t="inlineStr">
        <is>
          <t>서구</t>
        </is>
      </c>
      <c r="AD406" s="0" t="inlineStr">
        <is>
          <t>공촌동</t>
        </is>
      </c>
      <c r="AG406" s="0" t="inlineStr">
        <is>
          <t>인천시 서구 경명대로 672</t>
        </is>
      </c>
      <c r="AH406" s="0" t="n">
        <v>0</v>
      </c>
      <c r="AI406" s="0" t="n">
        <v>399</v>
      </c>
      <c r="AJ406" s="0" t="n">
        <v>41</v>
      </c>
      <c r="AK406" s="0" t="n">
        <v>103</v>
      </c>
      <c r="AL406" s="0" t="n">
        <v>0.9399999999999999</v>
      </c>
    </row>
    <row r="407">
      <c r="A407" s="0" t="inlineStr">
        <is>
          <t>[공촌동]</t>
        </is>
      </c>
      <c r="B407" s="0" t="n">
        <v>120293</v>
      </c>
      <c r="C407" s="0" t="n">
        <v>13</v>
      </c>
      <c r="D407" s="0" t="inlineStr">
        <is>
          <t>미우해드리움</t>
        </is>
      </c>
      <c r="E407" s="0" t="inlineStr">
        <is>
          <t>2018.01.</t>
        </is>
      </c>
      <c r="F407" s="0" t="n">
        <v>110</v>
      </c>
      <c r="G407" s="0" t="n">
        <v>30.18</v>
      </c>
      <c r="H407" s="0" t="n">
        <v>99.78</v>
      </c>
      <c r="I407" s="0" t="n">
        <v>21.87</v>
      </c>
      <c r="J407" s="0" t="n">
        <v>72.33</v>
      </c>
      <c r="K407" s="0" t="n">
        <v>1</v>
      </c>
      <c r="T407" s="0" t="n">
        <v>3</v>
      </c>
      <c r="U407" s="0" t="n">
        <v>2</v>
      </c>
      <c r="V407" s="0" t="inlineStr">
        <is>
          <t>계단식</t>
        </is>
      </c>
      <c r="W407" s="0" t="n">
        <v>99</v>
      </c>
      <c r="X407" s="0" t="n">
        <v>20</v>
      </c>
      <c r="Y407" s="0" t="n">
        <v>12</v>
      </c>
      <c r="Z407" s="0" t="inlineStr">
        <is>
          <t>https://new.land.naver.com/complexes/120293?tab=detail&amp;rf=Y</t>
        </is>
      </c>
      <c r="AA407" s="0" t="inlineStr">
        <is>
          <t>인천시 서구 공촌동 309-2</t>
        </is>
      </c>
      <c r="AB407" s="0" t="inlineStr">
        <is>
          <t>인천시</t>
        </is>
      </c>
      <c r="AC407" s="0" t="inlineStr">
        <is>
          <t>서구</t>
        </is>
      </c>
      <c r="AD407" s="0" t="inlineStr">
        <is>
          <t>공촌동</t>
        </is>
      </c>
      <c r="AG407" s="0" t="inlineStr">
        <is>
          <t>인천시 서구 경명대로 672</t>
        </is>
      </c>
      <c r="AH407" s="0" t="n">
        <v>0</v>
      </c>
      <c r="AI407" s="0" t="n">
        <v>399</v>
      </c>
      <c r="AJ407" s="0" t="n">
        <v>41</v>
      </c>
      <c r="AK407" s="0" t="n">
        <v>103</v>
      </c>
      <c r="AL407" s="0" t="n">
        <v>0.9399999999999999</v>
      </c>
    </row>
    <row r="408">
      <c r="A408" s="0" t="inlineStr">
        <is>
          <t>[공촌동]</t>
        </is>
      </c>
      <c r="B408" s="0" t="n">
        <v>12095</v>
      </c>
      <c r="C408" s="0" t="n">
        <v>1</v>
      </c>
      <c r="D408" s="0" t="inlineStr">
        <is>
          <t>오륜</t>
        </is>
      </c>
      <c r="E408" s="0" t="inlineStr">
        <is>
          <t>2003.03.</t>
        </is>
      </c>
      <c r="F408" s="0" t="n">
        <v>35</v>
      </c>
      <c r="G408" s="0" t="n">
        <v>28.34</v>
      </c>
      <c r="H408" s="0" t="n">
        <v>93.70999999999999</v>
      </c>
      <c r="I408" s="0" t="n">
        <v>24.86</v>
      </c>
      <c r="J408" s="0" t="n">
        <v>82.19</v>
      </c>
      <c r="K408" s="0" t="n">
        <v>19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93B</t>
        </is>
      </c>
      <c r="X408" s="0" t="n">
        <v>11</v>
      </c>
      <c r="Y408" s="0" t="n">
        <v>8</v>
      </c>
      <c r="Z408" s="0" t="inlineStr">
        <is>
          <t>https://new.land.naver.com/complexes/12095?tab=detail&amp;rf=Y</t>
        </is>
      </c>
      <c r="AA408" s="0" t="inlineStr">
        <is>
          <t>인천시 서구 공촌동 51-68</t>
        </is>
      </c>
      <c r="AB408" s="0" t="inlineStr">
        <is>
          <t>인천시</t>
        </is>
      </c>
      <c r="AC408" s="0" t="inlineStr">
        <is>
          <t>서구</t>
        </is>
      </c>
      <c r="AD408" s="0" t="inlineStr">
        <is>
          <t>공촌동</t>
        </is>
      </c>
      <c r="AG408" s="0" t="inlineStr">
        <is>
          <t>인천시 서구 서곶로 452</t>
        </is>
      </c>
      <c r="AH408" s="0" t="n">
        <v>0</v>
      </c>
      <c r="AI408" s="0" t="n">
        <v>0</v>
      </c>
      <c r="AJ408" s="0" t="n">
        <v>0</v>
      </c>
      <c r="AK408" s="0" t="n">
        <v>27</v>
      </c>
      <c r="AL408" s="0" t="n">
        <v>0.77</v>
      </c>
    </row>
    <row r="409">
      <c r="A409" s="0" t="inlineStr">
        <is>
          <t>[공촌동]</t>
        </is>
      </c>
      <c r="B409" s="0" t="n">
        <v>12095</v>
      </c>
      <c r="C409" s="0" t="n">
        <v>2</v>
      </c>
      <c r="D409" s="0" t="inlineStr">
        <is>
          <t>오륜</t>
        </is>
      </c>
      <c r="E409" s="0" t="inlineStr">
        <is>
          <t>2003.03.</t>
        </is>
      </c>
      <c r="F409" s="0" t="n">
        <v>35</v>
      </c>
      <c r="G409" s="0" t="n">
        <v>28.15</v>
      </c>
      <c r="H409" s="0" t="n">
        <v>93.09</v>
      </c>
      <c r="I409" s="0" t="n">
        <v>24.22</v>
      </c>
      <c r="J409" s="0" t="n">
        <v>80.06999999999999</v>
      </c>
      <c r="K409" s="0" t="n">
        <v>16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93A</t>
        </is>
      </c>
      <c r="X409" s="0" t="n">
        <v>11</v>
      </c>
      <c r="Y409" s="0" t="n">
        <v>8</v>
      </c>
      <c r="Z409" s="0" t="inlineStr">
        <is>
          <t>https://new.land.naver.com/complexes/12095?tab=detail&amp;rf=Y</t>
        </is>
      </c>
      <c r="AA409" s="0" t="inlineStr">
        <is>
          <t>인천시 서구 공촌동 51-68</t>
        </is>
      </c>
      <c r="AB409" s="0" t="inlineStr">
        <is>
          <t>인천시</t>
        </is>
      </c>
      <c r="AC409" s="0" t="inlineStr">
        <is>
          <t>서구</t>
        </is>
      </c>
      <c r="AD409" s="0" t="inlineStr">
        <is>
          <t>공촌동</t>
        </is>
      </c>
      <c r="AG409" s="0" t="inlineStr">
        <is>
          <t>인천시 서구 서곶로 452</t>
        </is>
      </c>
      <c r="AH409" s="0" t="n">
        <v>0</v>
      </c>
      <c r="AI409" s="0" t="n">
        <v>0</v>
      </c>
      <c r="AJ409" s="0" t="n">
        <v>0</v>
      </c>
      <c r="AK409" s="0" t="n">
        <v>27</v>
      </c>
      <c r="AL409" s="0" t="n">
        <v>0.77</v>
      </c>
    </row>
    <row r="410">
      <c r="A410" s="0" t="inlineStr">
        <is>
          <t>[공촌동]</t>
        </is>
      </c>
      <c r="B410" s="0" t="n">
        <v>8330</v>
      </c>
      <c r="C410" s="0" t="n">
        <v>1</v>
      </c>
      <c r="D410" s="0" t="inlineStr">
        <is>
          <t>광명</t>
        </is>
      </c>
      <c r="E410" s="0" t="inlineStr">
        <is>
          <t>1998.10.</t>
        </is>
      </c>
      <c r="F410" s="0" t="n">
        <v>299</v>
      </c>
      <c r="G410" s="0" t="n">
        <v>24.9</v>
      </c>
      <c r="H410" s="0" t="n">
        <v>82.31999999999999</v>
      </c>
      <c r="I410" s="0" t="n">
        <v>17.98</v>
      </c>
      <c r="J410" s="0" t="n">
        <v>59.46</v>
      </c>
      <c r="K410" s="0" t="n">
        <v>65</v>
      </c>
      <c r="T410" s="0" t="n">
        <v>3</v>
      </c>
      <c r="U410" s="0" t="n">
        <v>1</v>
      </c>
      <c r="V410" s="0" t="inlineStr">
        <is>
          <t>계단식</t>
        </is>
      </c>
      <c r="W410" s="0" t="n">
        <v>82</v>
      </c>
      <c r="X410" s="0" t="n">
        <v>20</v>
      </c>
      <c r="Y410" s="0" t="n">
        <v>8</v>
      </c>
      <c r="Z410" s="0" t="inlineStr">
        <is>
          <t>https://new.land.naver.com/complexes/8330?tab=detail&amp;rf=Y</t>
        </is>
      </c>
      <c r="AA410" s="0" t="inlineStr">
        <is>
          <t>인천시 서구 공촌동 318-1</t>
        </is>
      </c>
      <c r="AB410" s="0" t="inlineStr">
        <is>
          <t>인천시</t>
        </is>
      </c>
      <c r="AC410" s="0" t="inlineStr">
        <is>
          <t>서구</t>
        </is>
      </c>
      <c r="AD410" s="0" t="inlineStr">
        <is>
          <t>공촌동</t>
        </is>
      </c>
      <c r="AG410" s="0" t="inlineStr">
        <is>
          <t>인천시 서구 심곡로 170</t>
        </is>
      </c>
      <c r="AH410" s="0" t="n">
        <v>0</v>
      </c>
      <c r="AI410" s="0" t="n">
        <v>270</v>
      </c>
      <c r="AJ410" s="0" t="n">
        <v>26</v>
      </c>
      <c r="AK410" s="0" t="n">
        <v>323</v>
      </c>
      <c r="AL410" s="0" t="n">
        <v>1.08</v>
      </c>
    </row>
    <row r="411">
      <c r="A411" s="0" t="inlineStr">
        <is>
          <t>[공촌동]</t>
        </is>
      </c>
      <c r="B411" s="0" t="n">
        <v>8330</v>
      </c>
      <c r="C411" s="0" t="n">
        <v>2</v>
      </c>
      <c r="D411" s="0" t="inlineStr">
        <is>
          <t>광명</t>
        </is>
      </c>
      <c r="E411" s="0" t="inlineStr">
        <is>
          <t>1998.10.</t>
        </is>
      </c>
      <c r="F411" s="0" t="n">
        <v>299</v>
      </c>
      <c r="G411" s="0" t="n">
        <v>32.61</v>
      </c>
      <c r="H411" s="0" t="n">
        <v>107.82</v>
      </c>
      <c r="I411" s="0" t="n">
        <v>25.56</v>
      </c>
      <c r="J411" s="0" t="n">
        <v>84.51000000000001</v>
      </c>
      <c r="K411" s="0" t="n">
        <v>212</v>
      </c>
      <c r="T411" s="0" t="n">
        <v>3</v>
      </c>
      <c r="U411" s="0" t="n">
        <v>2</v>
      </c>
      <c r="V411" s="0" t="inlineStr">
        <is>
          <t>계단식</t>
        </is>
      </c>
      <c r="W411" s="0" t="n">
        <v>107</v>
      </c>
      <c r="X411" s="0" t="n">
        <v>20</v>
      </c>
      <c r="Y411" s="0" t="n">
        <v>8</v>
      </c>
      <c r="Z411" s="0" t="inlineStr">
        <is>
          <t>https://new.land.naver.com/complexes/8330?tab=detail&amp;rf=Y</t>
        </is>
      </c>
      <c r="AA411" s="0" t="inlineStr">
        <is>
          <t>인천시 서구 공촌동 318-1</t>
        </is>
      </c>
      <c r="AB411" s="0" t="inlineStr">
        <is>
          <t>인천시</t>
        </is>
      </c>
      <c r="AC411" s="0" t="inlineStr">
        <is>
          <t>서구</t>
        </is>
      </c>
      <c r="AD411" s="0" t="inlineStr">
        <is>
          <t>공촌동</t>
        </is>
      </c>
      <c r="AG411" s="0" t="inlineStr">
        <is>
          <t>인천시 서구 심곡로 170</t>
        </is>
      </c>
      <c r="AH411" s="0" t="n">
        <v>0</v>
      </c>
      <c r="AI411" s="0" t="n">
        <v>270</v>
      </c>
      <c r="AJ411" s="0" t="n">
        <v>26</v>
      </c>
      <c r="AK411" s="0" t="n">
        <v>323</v>
      </c>
      <c r="AL411" s="0" t="n">
        <v>1.08</v>
      </c>
    </row>
    <row r="412">
      <c r="A412" s="0" t="inlineStr">
        <is>
          <t>[공촌동]</t>
        </is>
      </c>
      <c r="B412" s="0" t="n">
        <v>8330</v>
      </c>
      <c r="C412" s="0" t="n">
        <v>3</v>
      </c>
      <c r="D412" s="0" t="inlineStr">
        <is>
          <t>광명</t>
        </is>
      </c>
      <c r="E412" s="0" t="inlineStr">
        <is>
          <t>1998.10.</t>
        </is>
      </c>
      <c r="F412" s="0" t="n">
        <v>299</v>
      </c>
      <c r="G412" s="0" t="n">
        <v>50.14</v>
      </c>
      <c r="H412" s="0" t="n">
        <v>165.78</v>
      </c>
      <c r="I412" s="0" t="n">
        <v>40.78</v>
      </c>
      <c r="J412" s="0" t="n">
        <v>134.82</v>
      </c>
      <c r="K412" s="0" t="n">
        <v>22</v>
      </c>
      <c r="T412" s="0" t="n">
        <v>4</v>
      </c>
      <c r="U412" s="0" t="n">
        <v>2</v>
      </c>
      <c r="V412" s="0" t="inlineStr">
        <is>
          <t>계단식</t>
        </is>
      </c>
      <c r="W412" s="0" t="n">
        <v>165</v>
      </c>
      <c r="X412" s="0" t="n">
        <v>20</v>
      </c>
      <c r="Y412" s="0" t="n">
        <v>8</v>
      </c>
      <c r="Z412" s="0" t="inlineStr">
        <is>
          <t>https://new.land.naver.com/complexes/8330?tab=detail&amp;rf=Y</t>
        </is>
      </c>
      <c r="AA412" s="0" t="inlineStr">
        <is>
          <t>인천시 서구 공촌동 318-1</t>
        </is>
      </c>
      <c r="AB412" s="0" t="inlineStr">
        <is>
          <t>인천시</t>
        </is>
      </c>
      <c r="AC412" s="0" t="inlineStr">
        <is>
          <t>서구</t>
        </is>
      </c>
      <c r="AD412" s="0" t="inlineStr">
        <is>
          <t>공촌동</t>
        </is>
      </c>
      <c r="AG412" s="0" t="inlineStr">
        <is>
          <t>인천시 서구 심곡로 170</t>
        </is>
      </c>
      <c r="AH412" s="0" t="n">
        <v>0</v>
      </c>
      <c r="AI412" s="0" t="n">
        <v>270</v>
      </c>
      <c r="AJ412" s="0" t="n">
        <v>26</v>
      </c>
      <c r="AK412" s="0" t="n">
        <v>323</v>
      </c>
      <c r="AL412" s="0" t="n">
        <v>1.08</v>
      </c>
    </row>
    <row r="413">
      <c r="A413" s="0" t="inlineStr">
        <is>
          <t>[금곡동]</t>
        </is>
      </c>
      <c r="B413" s="0" t="n">
        <v>110716</v>
      </c>
      <c r="C413" s="0" t="n">
        <v>1</v>
      </c>
      <c r="D413" s="0" t="inlineStr">
        <is>
          <t>검단우방아이유쉘</t>
        </is>
      </c>
      <c r="E413" s="0" t="inlineStr">
        <is>
          <t>2017.08.</t>
        </is>
      </c>
      <c r="F413" s="0" t="n">
        <v>555</v>
      </c>
      <c r="G413" s="0" t="n">
        <v>24.19</v>
      </c>
      <c r="H413" s="0" t="n">
        <v>79.98</v>
      </c>
      <c r="I413" s="0" t="n">
        <v>18.09</v>
      </c>
      <c r="J413" s="0" t="n">
        <v>59.81</v>
      </c>
      <c r="K413" s="0" t="n">
        <v>117</v>
      </c>
      <c r="T413" s="0" t="n">
        <v>3</v>
      </c>
      <c r="U413" s="0" t="n">
        <v>2</v>
      </c>
      <c r="V413" s="0" t="inlineStr">
        <is>
          <t>계단식</t>
        </is>
      </c>
      <c r="W413" s="0" t="n">
        <v>79</v>
      </c>
      <c r="X413" s="0" t="n">
        <v>15</v>
      </c>
      <c r="Y413" s="0" t="n">
        <v>12</v>
      </c>
      <c r="Z413" s="0" t="inlineStr">
        <is>
          <t>https://new.land.naver.com/complexes/110716?tab=detail&amp;rf=Y</t>
        </is>
      </c>
      <c r="AA413" s="0" t="inlineStr">
        <is>
          <t>인천시 서구 금곡동 736-1</t>
        </is>
      </c>
      <c r="AB413" s="0" t="inlineStr">
        <is>
          <t>인천시</t>
        </is>
      </c>
      <c r="AC413" s="0" t="inlineStr">
        <is>
          <t>서구</t>
        </is>
      </c>
      <c r="AD413" s="0" t="inlineStr">
        <is>
          <t>금곡동</t>
        </is>
      </c>
      <c r="AG413" s="0" t="inlineStr">
        <is>
          <t>인천시 서구 완정로 208</t>
        </is>
      </c>
      <c r="AH413" s="0" t="n">
        <v>0</v>
      </c>
      <c r="AI413" s="0" t="n">
        <v>196</v>
      </c>
      <c r="AJ413" s="0" t="n">
        <v>22</v>
      </c>
      <c r="AK413" s="0" t="n">
        <v>673</v>
      </c>
      <c r="AL413" s="0" t="n">
        <v>1.21</v>
      </c>
    </row>
    <row r="414">
      <c r="A414" s="0" t="inlineStr">
        <is>
          <t>[금곡동]</t>
        </is>
      </c>
      <c r="B414" s="0" t="n">
        <v>110716</v>
      </c>
      <c r="C414" s="0" t="n">
        <v>2</v>
      </c>
      <c r="D414" s="0" t="inlineStr">
        <is>
          <t>검단우방아이유쉘</t>
        </is>
      </c>
      <c r="E414" s="0" t="inlineStr">
        <is>
          <t>2017.08.</t>
        </is>
      </c>
      <c r="F414" s="0" t="n">
        <v>555</v>
      </c>
      <c r="G414" s="0" t="n">
        <v>34.76</v>
      </c>
      <c r="H414" s="0" t="n">
        <v>114.92</v>
      </c>
      <c r="I414" s="0" t="n">
        <v>25.7</v>
      </c>
      <c r="J414" s="0" t="n">
        <v>84.95999999999999</v>
      </c>
      <c r="K414" s="0" t="n">
        <v>219</v>
      </c>
      <c r="T414" s="0" t="n">
        <v>4</v>
      </c>
      <c r="U414" s="0" t="n">
        <v>2</v>
      </c>
      <c r="V414" s="0" t="inlineStr">
        <is>
          <t>계단식</t>
        </is>
      </c>
      <c r="W414" s="0" t="inlineStr">
        <is>
          <t>114A</t>
        </is>
      </c>
      <c r="X414" s="0" t="n">
        <v>15</v>
      </c>
      <c r="Y414" s="0" t="n">
        <v>12</v>
      </c>
      <c r="Z414" s="0" t="inlineStr">
        <is>
          <t>https://new.land.naver.com/complexes/110716?tab=detail&amp;rf=Y</t>
        </is>
      </c>
      <c r="AA414" s="0" t="inlineStr">
        <is>
          <t>인천시 서구 금곡동 736-1</t>
        </is>
      </c>
      <c r="AB414" s="0" t="inlineStr">
        <is>
          <t>인천시</t>
        </is>
      </c>
      <c r="AC414" s="0" t="inlineStr">
        <is>
          <t>서구</t>
        </is>
      </c>
      <c r="AD414" s="0" t="inlineStr">
        <is>
          <t>금곡동</t>
        </is>
      </c>
      <c r="AG414" s="0" t="inlineStr">
        <is>
          <t>인천시 서구 완정로 208</t>
        </is>
      </c>
      <c r="AH414" s="0" t="n">
        <v>0</v>
      </c>
      <c r="AI414" s="0" t="n">
        <v>196</v>
      </c>
      <c r="AJ414" s="0" t="n">
        <v>22</v>
      </c>
      <c r="AK414" s="0" t="n">
        <v>673</v>
      </c>
      <c r="AL414" s="0" t="n">
        <v>1.21</v>
      </c>
    </row>
    <row r="415">
      <c r="A415" s="0" t="inlineStr">
        <is>
          <t>[금곡동]</t>
        </is>
      </c>
      <c r="B415" s="0" t="n">
        <v>110716</v>
      </c>
      <c r="C415" s="0" t="n">
        <v>3</v>
      </c>
      <c r="D415" s="0" t="inlineStr">
        <is>
          <t>검단우방아이유쉘</t>
        </is>
      </c>
      <c r="E415" s="0" t="inlineStr">
        <is>
          <t>2017.08.</t>
        </is>
      </c>
      <c r="F415" s="0" t="n">
        <v>555</v>
      </c>
      <c r="G415" s="0" t="n">
        <v>34.85</v>
      </c>
      <c r="H415" s="0" t="n">
        <v>115.21</v>
      </c>
      <c r="I415" s="0" t="n">
        <v>25.51</v>
      </c>
      <c r="J415" s="0" t="n">
        <v>84.34</v>
      </c>
      <c r="K415" s="0" t="n">
        <v>164</v>
      </c>
      <c r="T415" s="0" t="n">
        <v>4</v>
      </c>
      <c r="U415" s="0" t="n">
        <v>2</v>
      </c>
      <c r="V415" s="0" t="inlineStr">
        <is>
          <t>계단식</t>
        </is>
      </c>
      <c r="W415" s="0" t="inlineStr">
        <is>
          <t>115B</t>
        </is>
      </c>
      <c r="X415" s="0" t="n">
        <v>15</v>
      </c>
      <c r="Y415" s="0" t="n">
        <v>12</v>
      </c>
      <c r="Z415" s="0" t="inlineStr">
        <is>
          <t>https://new.land.naver.com/complexes/110716?tab=detail&amp;rf=Y</t>
        </is>
      </c>
      <c r="AA415" s="0" t="inlineStr">
        <is>
          <t>인천시 서구 금곡동 736-1</t>
        </is>
      </c>
      <c r="AB415" s="0" t="inlineStr">
        <is>
          <t>인천시</t>
        </is>
      </c>
      <c r="AC415" s="0" t="inlineStr">
        <is>
          <t>서구</t>
        </is>
      </c>
      <c r="AD415" s="0" t="inlineStr">
        <is>
          <t>금곡동</t>
        </is>
      </c>
      <c r="AG415" s="0" t="inlineStr">
        <is>
          <t>인천시 서구 완정로 208</t>
        </is>
      </c>
      <c r="AH415" s="0" t="n">
        <v>0</v>
      </c>
      <c r="AI415" s="0" t="n">
        <v>196</v>
      </c>
      <c r="AJ415" s="0" t="n">
        <v>22</v>
      </c>
      <c r="AK415" s="0" t="n">
        <v>673</v>
      </c>
      <c r="AL415" s="0" t="n">
        <v>1.21</v>
      </c>
    </row>
    <row r="416">
      <c r="A416" s="0" t="inlineStr">
        <is>
          <t>[금곡동]</t>
        </is>
      </c>
      <c r="B416" s="0" t="n">
        <v>110716</v>
      </c>
      <c r="C416" s="0" t="n">
        <v>4</v>
      </c>
      <c r="D416" s="0" t="inlineStr">
        <is>
          <t>검단우방아이유쉘</t>
        </is>
      </c>
      <c r="E416" s="0" t="inlineStr">
        <is>
          <t>2017.08.</t>
        </is>
      </c>
      <c r="F416" s="0" t="n">
        <v>555</v>
      </c>
      <c r="G416" s="0" t="n">
        <v>35.03</v>
      </c>
      <c r="H416" s="0" t="n">
        <v>115.81</v>
      </c>
      <c r="I416" s="0" t="n">
        <v>25.68</v>
      </c>
      <c r="J416" s="0" t="n">
        <v>84.91</v>
      </c>
      <c r="K416" s="0" t="n">
        <v>55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115C</t>
        </is>
      </c>
      <c r="X416" s="0" t="n">
        <v>15</v>
      </c>
      <c r="Y416" s="0" t="n">
        <v>12</v>
      </c>
      <c r="Z416" s="0" t="inlineStr">
        <is>
          <t>https://new.land.naver.com/complexes/110716?tab=detail&amp;rf=Y</t>
        </is>
      </c>
      <c r="AA416" s="0" t="inlineStr">
        <is>
          <t>인천시 서구 금곡동 736-1</t>
        </is>
      </c>
      <c r="AB416" s="0" t="inlineStr">
        <is>
          <t>인천시</t>
        </is>
      </c>
      <c r="AC416" s="0" t="inlineStr">
        <is>
          <t>서구</t>
        </is>
      </c>
      <c r="AD416" s="0" t="inlineStr">
        <is>
          <t>금곡동</t>
        </is>
      </c>
      <c r="AG416" s="0" t="inlineStr">
        <is>
          <t>인천시 서구 완정로 208</t>
        </is>
      </c>
      <c r="AH416" s="0" t="n">
        <v>0</v>
      </c>
      <c r="AI416" s="0" t="n">
        <v>196</v>
      </c>
      <c r="AJ416" s="0" t="n">
        <v>22</v>
      </c>
      <c r="AK416" s="0" t="n">
        <v>673</v>
      </c>
      <c r="AL416" s="0" t="n">
        <v>1.21</v>
      </c>
    </row>
    <row r="417">
      <c r="A417" s="0" t="inlineStr">
        <is>
          <t>[금곡동]</t>
        </is>
      </c>
      <c r="B417" s="0" t="n">
        <v>9533</v>
      </c>
      <c r="C417" s="0" t="n">
        <v>1</v>
      </c>
      <c r="D417" s="0" t="inlineStr">
        <is>
          <t>동남</t>
        </is>
      </c>
      <c r="E417" s="0" t="inlineStr">
        <is>
          <t>1999.11.</t>
        </is>
      </c>
      <c r="F417" s="0" t="n">
        <v>370</v>
      </c>
      <c r="G417" s="0" t="n">
        <v>23.55</v>
      </c>
      <c r="H417" s="0" t="n">
        <v>77.88</v>
      </c>
      <c r="I417" s="0" t="n">
        <v>18.05</v>
      </c>
      <c r="J417" s="0" t="n">
        <v>59.7</v>
      </c>
      <c r="K417" s="0" t="n">
        <v>146</v>
      </c>
      <c r="T417" s="0" t="n">
        <v>3</v>
      </c>
      <c r="U417" s="0" t="n">
        <v>1</v>
      </c>
      <c r="V417" s="0" t="inlineStr">
        <is>
          <t>계단식</t>
        </is>
      </c>
      <c r="W417" s="0" t="n">
        <v>77</v>
      </c>
      <c r="X417" s="0" t="n">
        <v>22</v>
      </c>
      <c r="Y417" s="0" t="n">
        <v>15</v>
      </c>
      <c r="Z417" s="0" t="inlineStr">
        <is>
          <t>https://new.land.naver.com/complexes/9533?tab=detail&amp;rf=Y</t>
        </is>
      </c>
      <c r="AA417" s="0" t="inlineStr">
        <is>
          <t>인천시 서구 금곡동 722-2</t>
        </is>
      </c>
      <c r="AB417" s="0" t="inlineStr">
        <is>
          <t>인천시</t>
        </is>
      </c>
      <c r="AC417" s="0" t="inlineStr">
        <is>
          <t>서구</t>
        </is>
      </c>
      <c r="AD417" s="0" t="inlineStr">
        <is>
          <t>금곡동</t>
        </is>
      </c>
      <c r="AG417" s="0" t="inlineStr">
        <is>
          <t>인천시 서구 완정로 242</t>
        </is>
      </c>
      <c r="AH417" s="0" t="n">
        <v>0</v>
      </c>
      <c r="AI417" s="0" t="n">
        <v>299</v>
      </c>
      <c r="AJ417" s="0" t="n">
        <v>23</v>
      </c>
      <c r="AK417" s="0" t="n">
        <v>376</v>
      </c>
      <c r="AL417" s="0" t="n">
        <v>1.02</v>
      </c>
    </row>
    <row r="418">
      <c r="A418" s="0" t="inlineStr">
        <is>
          <t>[금곡동]</t>
        </is>
      </c>
      <c r="B418" s="0" t="n">
        <v>9533</v>
      </c>
      <c r="C418" s="0" t="n">
        <v>2</v>
      </c>
      <c r="D418" s="0" t="inlineStr">
        <is>
          <t>동남</t>
        </is>
      </c>
      <c r="E418" s="0" t="inlineStr">
        <is>
          <t>1999.11.</t>
        </is>
      </c>
      <c r="F418" s="0" t="n">
        <v>370</v>
      </c>
      <c r="G418" s="0" t="n">
        <v>33.43</v>
      </c>
      <c r="H418" s="0" t="n">
        <v>110.53</v>
      </c>
      <c r="I418" s="0" t="n">
        <v>25.63</v>
      </c>
      <c r="J418" s="0" t="n">
        <v>84.73</v>
      </c>
      <c r="K418" s="0" t="n">
        <v>224</v>
      </c>
      <c r="T418" s="0" t="n">
        <v>3</v>
      </c>
      <c r="U418" s="0" t="n">
        <v>2</v>
      </c>
      <c r="V418" s="0" t="inlineStr">
        <is>
          <t>계단식</t>
        </is>
      </c>
      <c r="W418" s="0" t="n">
        <v>110</v>
      </c>
      <c r="X418" s="0" t="n">
        <v>22</v>
      </c>
      <c r="Y418" s="0" t="n">
        <v>15</v>
      </c>
      <c r="Z418" s="0" t="inlineStr">
        <is>
          <t>https://new.land.naver.com/complexes/9533?tab=detail&amp;rf=Y</t>
        </is>
      </c>
      <c r="AA418" s="0" t="inlineStr">
        <is>
          <t>인천시 서구 금곡동 722-2</t>
        </is>
      </c>
      <c r="AB418" s="0" t="inlineStr">
        <is>
          <t>인천시</t>
        </is>
      </c>
      <c r="AC418" s="0" t="inlineStr">
        <is>
          <t>서구</t>
        </is>
      </c>
      <c r="AD418" s="0" t="inlineStr">
        <is>
          <t>금곡동</t>
        </is>
      </c>
      <c r="AG418" s="0" t="inlineStr">
        <is>
          <t>인천시 서구 완정로 242</t>
        </is>
      </c>
      <c r="AH418" s="0" t="n">
        <v>0</v>
      </c>
      <c r="AI418" s="0" t="n">
        <v>299</v>
      </c>
      <c r="AJ418" s="0" t="n">
        <v>23</v>
      </c>
      <c r="AK418" s="0" t="n">
        <v>376</v>
      </c>
      <c r="AL418" s="0" t="n">
        <v>1.02</v>
      </c>
    </row>
    <row r="419">
      <c r="A419" s="0" t="inlineStr">
        <is>
          <t>[금곡동]</t>
        </is>
      </c>
      <c r="B419" s="0" t="n">
        <v>9126</v>
      </c>
      <c r="C419" s="0" t="n">
        <v>1</v>
      </c>
      <c r="D419" s="0" t="inlineStr">
        <is>
          <t>하나</t>
        </is>
      </c>
      <c r="E419" s="0" t="inlineStr">
        <is>
          <t>1999.07.</t>
        </is>
      </c>
      <c r="F419" s="0" t="n">
        <v>299</v>
      </c>
      <c r="G419" s="0" t="n">
        <v>23.2</v>
      </c>
      <c r="H419" s="0" t="n">
        <v>76.7</v>
      </c>
      <c r="I419" s="0" t="n">
        <v>18.1</v>
      </c>
      <c r="J419" s="0" t="n">
        <v>59.84</v>
      </c>
      <c r="K419" s="0" t="n">
        <v>107</v>
      </c>
      <c r="T419" s="0" t="n">
        <v>3</v>
      </c>
      <c r="U419" s="0" t="n">
        <v>1</v>
      </c>
      <c r="V419" s="0" t="inlineStr">
        <is>
          <t>계단식</t>
        </is>
      </c>
      <c r="W419" s="0" t="n">
        <v>76</v>
      </c>
      <c r="X419" s="0" t="n">
        <v>15</v>
      </c>
      <c r="Y419" s="0" t="n">
        <v>8</v>
      </c>
      <c r="Z419" s="0" t="inlineStr">
        <is>
          <t>https://new.land.naver.com/complexes/9126?tab=detail&amp;rf=Y</t>
        </is>
      </c>
      <c r="AA419" s="0" t="inlineStr">
        <is>
          <t>인천시 서구 금곡동 725-7</t>
        </is>
      </c>
      <c r="AB419" s="0" t="inlineStr">
        <is>
          <t>인천시</t>
        </is>
      </c>
      <c r="AC419" s="0" t="inlineStr">
        <is>
          <t>서구</t>
        </is>
      </c>
      <c r="AD419" s="0" t="inlineStr">
        <is>
          <t>금곡동</t>
        </is>
      </c>
      <c r="AG419" s="0" t="inlineStr">
        <is>
          <t>인천시 서구 완정로228번길 12-13</t>
        </is>
      </c>
      <c r="AH419" s="0" t="n">
        <v>0</v>
      </c>
      <c r="AI419" s="0" t="n">
        <v>212</v>
      </c>
      <c r="AJ419" s="0" t="n">
        <v>24</v>
      </c>
      <c r="AK419" s="0" t="n">
        <v>306</v>
      </c>
      <c r="AL419" s="0" t="n">
        <v>1.02</v>
      </c>
    </row>
    <row r="420">
      <c r="A420" s="0" t="inlineStr">
        <is>
          <t>[금곡동]</t>
        </is>
      </c>
      <c r="B420" s="0" t="n">
        <v>9126</v>
      </c>
      <c r="C420" s="0" t="n">
        <v>2</v>
      </c>
      <c r="D420" s="0" t="inlineStr">
        <is>
          <t>하나</t>
        </is>
      </c>
      <c r="E420" s="0" t="inlineStr">
        <is>
          <t>1999.07.</t>
        </is>
      </c>
      <c r="F420" s="0" t="n">
        <v>299</v>
      </c>
      <c r="G420" s="0" t="n">
        <v>32.94</v>
      </c>
      <c r="H420" s="0" t="n">
        <v>108.91</v>
      </c>
      <c r="I420" s="0" t="n">
        <v>25.7</v>
      </c>
      <c r="J420" s="0" t="n">
        <v>84.97</v>
      </c>
      <c r="K420" s="0" t="n">
        <v>138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108</v>
      </c>
      <c r="X420" s="0" t="n">
        <v>15</v>
      </c>
      <c r="Y420" s="0" t="n">
        <v>8</v>
      </c>
      <c r="Z420" s="0" t="inlineStr">
        <is>
          <t>https://new.land.naver.com/complexes/9126?tab=detail&amp;rf=Y</t>
        </is>
      </c>
      <c r="AA420" s="0" t="inlineStr">
        <is>
          <t>인천시 서구 금곡동 725-7</t>
        </is>
      </c>
      <c r="AB420" s="0" t="inlineStr">
        <is>
          <t>인천시</t>
        </is>
      </c>
      <c r="AC420" s="0" t="inlineStr">
        <is>
          <t>서구</t>
        </is>
      </c>
      <c r="AD420" s="0" t="inlineStr">
        <is>
          <t>금곡동</t>
        </is>
      </c>
      <c r="AG420" s="0" t="inlineStr">
        <is>
          <t>인천시 서구 완정로228번길 12-13</t>
        </is>
      </c>
      <c r="AH420" s="0" t="n">
        <v>0</v>
      </c>
      <c r="AI420" s="0" t="n">
        <v>212</v>
      </c>
      <c r="AJ420" s="0" t="n">
        <v>24</v>
      </c>
      <c r="AK420" s="0" t="n">
        <v>306</v>
      </c>
      <c r="AL420" s="0" t="n">
        <v>1.02</v>
      </c>
    </row>
    <row r="421">
      <c r="A421" s="0" t="inlineStr">
        <is>
          <t>[금곡동]</t>
        </is>
      </c>
      <c r="B421" s="0" t="n">
        <v>9126</v>
      </c>
      <c r="C421" s="0" t="n">
        <v>3</v>
      </c>
      <c r="D421" s="0" t="inlineStr">
        <is>
          <t>하나</t>
        </is>
      </c>
      <c r="E421" s="0" t="inlineStr">
        <is>
          <t>1999.07.</t>
        </is>
      </c>
      <c r="F421" s="0" t="n">
        <v>299</v>
      </c>
      <c r="G421" s="0" t="n">
        <v>38.73</v>
      </c>
      <c r="H421" s="0" t="n">
        <v>128.06</v>
      </c>
      <c r="I421" s="0" t="n">
        <v>30.22</v>
      </c>
      <c r="J421" s="0" t="n">
        <v>99.91</v>
      </c>
      <c r="K421" s="0" t="n">
        <v>32</v>
      </c>
      <c r="T421" s="0" t="n">
        <v>4</v>
      </c>
      <c r="U421" s="0" t="n">
        <v>2</v>
      </c>
      <c r="V421" s="0" t="inlineStr">
        <is>
          <t>계단식</t>
        </is>
      </c>
      <c r="W421" s="0" t="n">
        <v>128</v>
      </c>
      <c r="X421" s="0" t="n">
        <v>15</v>
      </c>
      <c r="Y421" s="0" t="n">
        <v>8</v>
      </c>
      <c r="Z421" s="0" t="inlineStr">
        <is>
          <t>https://new.land.naver.com/complexes/9126?tab=detail&amp;rf=Y</t>
        </is>
      </c>
      <c r="AA421" s="0" t="inlineStr">
        <is>
          <t>인천시 서구 금곡동 725-7</t>
        </is>
      </c>
      <c r="AB421" s="0" t="inlineStr">
        <is>
          <t>인천시</t>
        </is>
      </c>
      <c r="AC421" s="0" t="inlineStr">
        <is>
          <t>서구</t>
        </is>
      </c>
      <c r="AD421" s="0" t="inlineStr">
        <is>
          <t>금곡동</t>
        </is>
      </c>
      <c r="AG421" s="0" t="inlineStr">
        <is>
          <t>인천시 서구 완정로228번길 12-13</t>
        </is>
      </c>
      <c r="AH421" s="0" t="n">
        <v>0</v>
      </c>
      <c r="AI421" s="0" t="n">
        <v>212</v>
      </c>
      <c r="AJ421" s="0" t="n">
        <v>24</v>
      </c>
      <c r="AK421" s="0" t="n">
        <v>306</v>
      </c>
      <c r="AL421" s="0" t="n">
        <v>1.02</v>
      </c>
    </row>
    <row r="422">
      <c r="A422" s="0" t="inlineStr">
        <is>
          <t>[금곡동]</t>
        </is>
      </c>
      <c r="B422" s="0" t="n">
        <v>9126</v>
      </c>
      <c r="C422" s="0" t="n">
        <v>4</v>
      </c>
      <c r="D422" s="0" t="inlineStr">
        <is>
          <t>하나</t>
        </is>
      </c>
      <c r="E422" s="0" t="inlineStr">
        <is>
          <t>1999.07.</t>
        </is>
      </c>
      <c r="F422" s="0" t="n">
        <v>299</v>
      </c>
      <c r="G422" s="0" t="n">
        <v>46.36</v>
      </c>
      <c r="H422" s="0" t="n">
        <v>153.28</v>
      </c>
      <c r="I422" s="0" t="n">
        <v>36.17</v>
      </c>
      <c r="J422" s="0" t="n">
        <v>119.59</v>
      </c>
      <c r="K422" s="0" t="n">
        <v>22</v>
      </c>
      <c r="T422" s="0" t="n">
        <v>4</v>
      </c>
      <c r="U422" s="0" t="n">
        <v>2</v>
      </c>
      <c r="V422" s="0" t="inlineStr">
        <is>
          <t>계단식</t>
        </is>
      </c>
      <c r="W422" s="0" t="n">
        <v>153</v>
      </c>
      <c r="X422" s="0" t="n">
        <v>15</v>
      </c>
      <c r="Y422" s="0" t="n">
        <v>8</v>
      </c>
      <c r="Z422" s="0" t="inlineStr">
        <is>
          <t>https://new.land.naver.com/complexes/9126?tab=detail&amp;rf=Y</t>
        </is>
      </c>
      <c r="AA422" s="0" t="inlineStr">
        <is>
          <t>인천시 서구 금곡동 725-7</t>
        </is>
      </c>
      <c r="AB422" s="0" t="inlineStr">
        <is>
          <t>인천시</t>
        </is>
      </c>
      <c r="AC422" s="0" t="inlineStr">
        <is>
          <t>서구</t>
        </is>
      </c>
      <c r="AD422" s="0" t="inlineStr">
        <is>
          <t>금곡동</t>
        </is>
      </c>
      <c r="AG422" s="0" t="inlineStr">
        <is>
          <t>인천시 서구 완정로228번길 12-13</t>
        </is>
      </c>
      <c r="AH422" s="0" t="n">
        <v>0</v>
      </c>
      <c r="AI422" s="0" t="n">
        <v>212</v>
      </c>
      <c r="AJ422" s="0" t="n">
        <v>24</v>
      </c>
      <c r="AK422" s="0" t="n">
        <v>306</v>
      </c>
      <c r="AL422" s="0" t="n">
        <v>1.02</v>
      </c>
    </row>
    <row r="423">
      <c r="A423" s="0" t="inlineStr">
        <is>
          <t>[당하동]</t>
        </is>
      </c>
      <c r="B423" s="0" t="n">
        <v>129775</v>
      </c>
      <c r="C423" s="0" t="n">
        <v>1</v>
      </c>
      <c r="D423" s="0" t="inlineStr">
        <is>
          <t>검단신도시대성베르힐</t>
        </is>
      </c>
      <c r="E423" s="0" t="inlineStr">
        <is>
          <t>2022.11.</t>
        </is>
      </c>
      <c r="F423" s="0" t="n">
        <v>745</v>
      </c>
      <c r="G423" s="0" t="n">
        <v>33.44</v>
      </c>
      <c r="H423" s="0" t="n">
        <v>110.57</v>
      </c>
      <c r="I423" s="0" t="n">
        <v>25.69</v>
      </c>
      <c r="J423" s="0" t="n">
        <v>84.93000000000001</v>
      </c>
      <c r="K423" s="0" t="n">
        <v>409</v>
      </c>
      <c r="T423" s="0" t="inlineStr">
        <is>
          <t>-</t>
        </is>
      </c>
      <c r="U423" s="0" t="inlineStr">
        <is>
          <t>-</t>
        </is>
      </c>
      <c r="V423" s="0" t="inlineStr">
        <is>
          <t>계단식</t>
        </is>
      </c>
      <c r="W423" s="0" t="inlineStr">
        <is>
          <t>110A</t>
        </is>
      </c>
      <c r="X423" s="0" t="n">
        <v>25</v>
      </c>
      <c r="Y423" s="0" t="n">
        <v>16</v>
      </c>
      <c r="Z423" s="0" t="inlineStr">
        <is>
          <t>https://new.land.naver.com/complexes/129775?tab=detail&amp;rf=Y</t>
        </is>
      </c>
      <c r="AA423" s="0" t="inlineStr">
        <is>
          <t>인천시 서구 당하동 검단신도시 AB3-1블록</t>
        </is>
      </c>
      <c r="AB423" s="0" t="inlineStr">
        <is>
          <t>인천시</t>
        </is>
      </c>
      <c r="AC423" s="0" t="inlineStr">
        <is>
          <t>서구</t>
        </is>
      </c>
      <c r="AD423" s="0" t="inlineStr">
        <is>
          <t>당하동</t>
        </is>
      </c>
      <c r="AG423" s="0" t="inlineStr">
        <is>
          <t>인천시 서구</t>
        </is>
      </c>
      <c r="AH423" s="0" t="n">
        <v>0</v>
      </c>
      <c r="AI423" s="0" t="n">
        <v>214</v>
      </c>
      <c r="AJ423" s="0" t="n">
        <v>16</v>
      </c>
      <c r="AK423" s="0" t="n">
        <v>0</v>
      </c>
      <c r="AL423" s="0" t="n">
        <v>0</v>
      </c>
    </row>
    <row r="424">
      <c r="A424" s="0" t="inlineStr">
        <is>
          <t>[당하동]</t>
        </is>
      </c>
      <c r="B424" s="0" t="n">
        <v>129775</v>
      </c>
      <c r="C424" s="0" t="n">
        <v>2</v>
      </c>
      <c r="D424" s="0" t="inlineStr">
        <is>
          <t>검단신도시대성베르힐</t>
        </is>
      </c>
      <c r="E424" s="0" t="inlineStr">
        <is>
          <t>2022.11.</t>
        </is>
      </c>
      <c r="F424" s="0" t="n">
        <v>745</v>
      </c>
      <c r="G424" s="0" t="n">
        <v>33.39</v>
      </c>
      <c r="H424" s="0" t="n">
        <v>110.39</v>
      </c>
      <c r="I424" s="0" t="n">
        <v>25.53</v>
      </c>
      <c r="J424" s="0" t="n">
        <v>84.40000000000001</v>
      </c>
      <c r="K424" s="0" t="n">
        <v>124</v>
      </c>
      <c r="T424" s="0" t="inlineStr">
        <is>
          <t>-</t>
        </is>
      </c>
      <c r="U424" s="0" t="inlineStr">
        <is>
          <t>-</t>
        </is>
      </c>
      <c r="V424" s="0" t="inlineStr">
        <is>
          <t>계단식</t>
        </is>
      </c>
      <c r="W424" s="0" t="inlineStr">
        <is>
          <t>110B</t>
        </is>
      </c>
      <c r="X424" s="0" t="n">
        <v>25</v>
      </c>
      <c r="Y424" s="0" t="n">
        <v>16</v>
      </c>
      <c r="Z424" s="0" t="inlineStr">
        <is>
          <t>https://new.land.naver.com/complexes/129775?tab=detail&amp;rf=Y</t>
        </is>
      </c>
      <c r="AA424" s="0" t="inlineStr">
        <is>
          <t>인천시 서구 당하동 검단신도시 AB3-1블록</t>
        </is>
      </c>
      <c r="AB424" s="0" t="inlineStr">
        <is>
          <t>인천시</t>
        </is>
      </c>
      <c r="AC424" s="0" t="inlineStr">
        <is>
          <t>서구</t>
        </is>
      </c>
      <c r="AD424" s="0" t="inlineStr">
        <is>
          <t>당하동</t>
        </is>
      </c>
      <c r="AG424" s="0" t="inlineStr">
        <is>
          <t>인천시 서구</t>
        </is>
      </c>
      <c r="AH424" s="0" t="n">
        <v>0</v>
      </c>
      <c r="AI424" s="0" t="n">
        <v>214</v>
      </c>
      <c r="AJ424" s="0" t="n">
        <v>16</v>
      </c>
      <c r="AK424" s="0" t="n">
        <v>0</v>
      </c>
      <c r="AL424" s="0" t="n">
        <v>0</v>
      </c>
    </row>
    <row r="425">
      <c r="A425" s="0" t="inlineStr">
        <is>
          <t>[당하동]</t>
        </is>
      </c>
      <c r="B425" s="0" t="n">
        <v>129775</v>
      </c>
      <c r="C425" s="0" t="n">
        <v>3</v>
      </c>
      <c r="D425" s="0" t="inlineStr">
        <is>
          <t>검단신도시대성베르힐</t>
        </is>
      </c>
      <c r="E425" s="0" t="inlineStr">
        <is>
          <t>2022.11.</t>
        </is>
      </c>
      <c r="F425" s="0" t="n">
        <v>745</v>
      </c>
      <c r="G425" s="0" t="n">
        <v>40.95</v>
      </c>
      <c r="H425" s="0" t="n">
        <v>135.4</v>
      </c>
      <c r="I425" s="0" t="n">
        <v>33.39</v>
      </c>
      <c r="J425" s="0" t="n">
        <v>110.39</v>
      </c>
      <c r="K425" s="0" t="n">
        <v>212</v>
      </c>
      <c r="T425" s="0" t="inlineStr">
        <is>
          <t>-</t>
        </is>
      </c>
      <c r="U425" s="0" t="inlineStr">
        <is>
          <t>-</t>
        </is>
      </c>
      <c r="V425" s="0" t="inlineStr">
        <is>
          <t>계단식</t>
        </is>
      </c>
      <c r="W425" s="0" t="n">
        <v>135</v>
      </c>
      <c r="X425" s="0" t="n">
        <v>25</v>
      </c>
      <c r="Y425" s="0" t="n">
        <v>16</v>
      </c>
      <c r="Z425" s="0" t="inlineStr">
        <is>
          <t>https://new.land.naver.com/complexes/129775?tab=detail&amp;rf=Y</t>
        </is>
      </c>
      <c r="AA425" s="0" t="inlineStr">
        <is>
          <t>인천시 서구 당하동 검단신도시 AB3-1블록</t>
        </is>
      </c>
      <c r="AB425" s="0" t="inlineStr">
        <is>
          <t>인천시</t>
        </is>
      </c>
      <c r="AC425" s="0" t="inlineStr">
        <is>
          <t>서구</t>
        </is>
      </c>
      <c r="AD425" s="0" t="inlineStr">
        <is>
          <t>당하동</t>
        </is>
      </c>
      <c r="AG425" s="0" t="inlineStr">
        <is>
          <t>인천시 서구</t>
        </is>
      </c>
      <c r="AH425" s="0" t="n">
        <v>0</v>
      </c>
      <c r="AI425" s="0" t="n">
        <v>214</v>
      </c>
      <c r="AJ425" s="0" t="n">
        <v>16</v>
      </c>
      <c r="AK425" s="0" t="n">
        <v>0</v>
      </c>
      <c r="AL425" s="0" t="n">
        <v>0</v>
      </c>
    </row>
    <row r="426">
      <c r="A426" s="0" t="inlineStr">
        <is>
          <t>[당하동]</t>
        </is>
      </c>
      <c r="B426" s="0" t="n">
        <v>10626</v>
      </c>
      <c r="C426" s="0" t="n">
        <v>1</v>
      </c>
      <c r="D426" s="0" t="inlineStr">
        <is>
          <t>신안실크밸리</t>
        </is>
      </c>
      <c r="E426" s="0" t="inlineStr">
        <is>
          <t>2004.12.</t>
        </is>
      </c>
      <c r="F426" s="0" t="n">
        <v>936</v>
      </c>
      <c r="G426" s="0" t="n">
        <v>26.48</v>
      </c>
      <c r="H426" s="0" t="n">
        <v>87.56</v>
      </c>
      <c r="I426" s="0" t="n">
        <v>18.13</v>
      </c>
      <c r="J426" s="0" t="n">
        <v>59.96</v>
      </c>
      <c r="K426" s="0" t="n">
        <v>629</v>
      </c>
      <c r="T426" s="0" t="n">
        <v>3</v>
      </c>
      <c r="U426" s="0" t="n">
        <v>2</v>
      </c>
      <c r="V426" s="0" t="inlineStr">
        <is>
          <t>계단식</t>
        </is>
      </c>
      <c r="W426" s="0" t="n">
        <v>87</v>
      </c>
      <c r="X426" s="0" t="n">
        <v>20</v>
      </c>
      <c r="Y426" s="0" t="n">
        <v>11</v>
      </c>
      <c r="Z426" s="0" t="inlineStr">
        <is>
          <t>https://new.land.naver.com/complexes/10626?tab=detail&amp;rf=Y</t>
        </is>
      </c>
      <c r="AA426" s="0" t="inlineStr">
        <is>
          <t>인천시 서구 당하동 1027-15</t>
        </is>
      </c>
      <c r="AB426" s="0" t="inlineStr">
        <is>
          <t>인천시</t>
        </is>
      </c>
      <c r="AC426" s="0" t="inlineStr">
        <is>
          <t>서구</t>
        </is>
      </c>
      <c r="AD426" s="0" t="inlineStr">
        <is>
          <t>당하동</t>
        </is>
      </c>
      <c r="AG426" s="0" t="inlineStr">
        <is>
          <t>인천시 서구 원당대로840번길 22</t>
        </is>
      </c>
      <c r="AH426" s="0" t="n">
        <v>0</v>
      </c>
      <c r="AI426" s="0" t="n">
        <v>0</v>
      </c>
      <c r="AJ426" s="0" t="n">
        <v>0</v>
      </c>
      <c r="AK426" s="0" t="n">
        <v>0</v>
      </c>
      <c r="AL426" s="0" t="n">
        <v>0</v>
      </c>
    </row>
    <row r="427">
      <c r="A427" s="0" t="inlineStr">
        <is>
          <t>[당하동]</t>
        </is>
      </c>
      <c r="B427" s="0" t="n">
        <v>10626</v>
      </c>
      <c r="C427" s="0" t="n">
        <v>2</v>
      </c>
      <c r="D427" s="0" t="inlineStr">
        <is>
          <t>신안실크밸리</t>
        </is>
      </c>
      <c r="E427" s="0" t="inlineStr">
        <is>
          <t>2004.12.</t>
        </is>
      </c>
      <c r="F427" s="0" t="n">
        <v>936</v>
      </c>
      <c r="G427" s="0" t="n">
        <v>35.11</v>
      </c>
      <c r="H427" s="0" t="n">
        <v>116.07</v>
      </c>
      <c r="I427" s="0" t="n">
        <v>25.7</v>
      </c>
      <c r="J427" s="0" t="n">
        <v>84.98999999999999</v>
      </c>
      <c r="K427" s="0" t="n">
        <v>307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116</v>
      </c>
      <c r="X427" s="0" t="n">
        <v>20</v>
      </c>
      <c r="Y427" s="0" t="n">
        <v>11</v>
      </c>
      <c r="Z427" s="0" t="inlineStr">
        <is>
          <t>https://new.land.naver.com/complexes/10626?tab=detail&amp;rf=Y</t>
        </is>
      </c>
      <c r="AA427" s="0" t="inlineStr">
        <is>
          <t>인천시 서구 당하동 1027-15</t>
        </is>
      </c>
      <c r="AB427" s="0" t="inlineStr">
        <is>
          <t>인천시</t>
        </is>
      </c>
      <c r="AC427" s="0" t="inlineStr">
        <is>
          <t>서구</t>
        </is>
      </c>
      <c r="AD427" s="0" t="inlineStr">
        <is>
          <t>당하동</t>
        </is>
      </c>
      <c r="AG427" s="0" t="inlineStr">
        <is>
          <t>인천시 서구 원당대로840번길 22</t>
        </is>
      </c>
      <c r="AH427" s="0" t="n">
        <v>0</v>
      </c>
      <c r="AI427" s="0" t="n">
        <v>0</v>
      </c>
      <c r="AJ427" s="0" t="n">
        <v>0</v>
      </c>
      <c r="AK427" s="0" t="n">
        <v>0</v>
      </c>
      <c r="AL427" s="0" t="n">
        <v>0</v>
      </c>
    </row>
    <row r="428">
      <c r="A428" s="0" t="inlineStr">
        <is>
          <t>[당하동]</t>
        </is>
      </c>
      <c r="B428" s="0" t="n">
        <v>10155</v>
      </c>
      <c r="C428" s="0" t="n">
        <v>1</v>
      </c>
      <c r="D428" s="0" t="inlineStr">
        <is>
          <t>풍림아이원</t>
        </is>
      </c>
      <c r="E428" s="0" t="inlineStr">
        <is>
          <t>2004.09.</t>
        </is>
      </c>
      <c r="F428" s="0" t="n">
        <v>1739</v>
      </c>
      <c r="G428" s="0" t="n">
        <v>24.62</v>
      </c>
      <c r="H428" s="0" t="n">
        <v>81.41</v>
      </c>
      <c r="I428" s="0" t="n">
        <v>18.09</v>
      </c>
      <c r="J428" s="0" t="n">
        <v>59.83</v>
      </c>
      <c r="K428" s="0" t="n">
        <v>415</v>
      </c>
      <c r="T428" s="0" t="n">
        <v>3</v>
      </c>
      <c r="U428" s="0" t="n">
        <v>2</v>
      </c>
      <c r="V428" s="0" t="inlineStr">
        <is>
          <t>계단식</t>
        </is>
      </c>
      <c r="W428" s="0" t="n">
        <v>81</v>
      </c>
      <c r="X428" s="0" t="n">
        <v>20</v>
      </c>
      <c r="Y428" s="0" t="n">
        <v>12</v>
      </c>
      <c r="Z428" s="0" t="inlineStr">
        <is>
          <t>https://new.land.naver.com/complexes/10155?tab=detail&amp;rf=Y</t>
        </is>
      </c>
      <c r="AA428" s="0" t="inlineStr">
        <is>
          <t>인천시 서구 당하동 1031</t>
        </is>
      </c>
      <c r="AB428" s="0" t="inlineStr">
        <is>
          <t>인천시</t>
        </is>
      </c>
      <c r="AC428" s="0" t="inlineStr">
        <is>
          <t>서구</t>
        </is>
      </c>
      <c r="AD428" s="0" t="inlineStr">
        <is>
          <t>당하동</t>
        </is>
      </c>
      <c r="AG428" s="0" t="inlineStr">
        <is>
          <t>인천시 서구 원당대로840번길 21</t>
        </is>
      </c>
      <c r="AH428" s="0" t="n">
        <v>0</v>
      </c>
      <c r="AI428" s="0" t="n">
        <v>227</v>
      </c>
      <c r="AJ428" s="0" t="n">
        <v>17</v>
      </c>
      <c r="AK428" s="0" t="n">
        <v>1821</v>
      </c>
      <c r="AL428" s="0" t="n">
        <v>1.05</v>
      </c>
    </row>
    <row r="429">
      <c r="A429" s="0" t="inlineStr">
        <is>
          <t>[당하동]</t>
        </is>
      </c>
      <c r="B429" s="0" t="n">
        <v>10155</v>
      </c>
      <c r="C429" s="0" t="n">
        <v>2</v>
      </c>
      <c r="D429" s="0" t="inlineStr">
        <is>
          <t>풍림아이원</t>
        </is>
      </c>
      <c r="E429" s="0" t="inlineStr">
        <is>
          <t>2004.09.</t>
        </is>
      </c>
      <c r="F429" s="0" t="n">
        <v>1739</v>
      </c>
      <c r="G429" s="0" t="n">
        <v>29.05</v>
      </c>
      <c r="H429" s="0" t="n">
        <v>96.05</v>
      </c>
      <c r="I429" s="0" t="n">
        <v>22.4</v>
      </c>
      <c r="J429" s="0" t="n">
        <v>74.08</v>
      </c>
      <c r="K429" s="0" t="n">
        <v>433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96</v>
      </c>
      <c r="X429" s="0" t="n">
        <v>20</v>
      </c>
      <c r="Y429" s="0" t="n">
        <v>12</v>
      </c>
      <c r="Z429" s="0" t="inlineStr">
        <is>
          <t>https://new.land.naver.com/complexes/10155?tab=detail&amp;rf=Y</t>
        </is>
      </c>
      <c r="AA429" s="0" t="inlineStr">
        <is>
          <t>인천시 서구 당하동 1031</t>
        </is>
      </c>
      <c r="AB429" s="0" t="inlineStr">
        <is>
          <t>인천시</t>
        </is>
      </c>
      <c r="AC429" s="0" t="inlineStr">
        <is>
          <t>서구</t>
        </is>
      </c>
      <c r="AD429" s="0" t="inlineStr">
        <is>
          <t>당하동</t>
        </is>
      </c>
      <c r="AG429" s="0" t="inlineStr">
        <is>
          <t>인천시 서구 원당대로840번길 21</t>
        </is>
      </c>
      <c r="AH429" s="0" t="n">
        <v>0</v>
      </c>
      <c r="AI429" s="0" t="n">
        <v>227</v>
      </c>
      <c r="AJ429" s="0" t="n">
        <v>17</v>
      </c>
      <c r="AK429" s="0" t="n">
        <v>1821</v>
      </c>
      <c r="AL429" s="0" t="n">
        <v>1.05</v>
      </c>
    </row>
    <row r="430">
      <c r="A430" s="0" t="inlineStr">
        <is>
          <t>[당하동]</t>
        </is>
      </c>
      <c r="B430" s="0" t="n">
        <v>10155</v>
      </c>
      <c r="C430" s="0" t="n">
        <v>3</v>
      </c>
      <c r="D430" s="0" t="inlineStr">
        <is>
          <t>풍림아이원</t>
        </is>
      </c>
      <c r="E430" s="0" t="inlineStr">
        <is>
          <t>2004.09.</t>
        </is>
      </c>
      <c r="F430" s="0" t="n">
        <v>1739</v>
      </c>
      <c r="G430" s="0" t="n">
        <v>33.9</v>
      </c>
      <c r="H430" s="0" t="n">
        <v>112.07</v>
      </c>
      <c r="I430" s="0" t="n">
        <v>25.57</v>
      </c>
      <c r="J430" s="0" t="n">
        <v>84.55</v>
      </c>
      <c r="K430" s="0" t="n">
        <v>764</v>
      </c>
      <c r="T430" s="0" t="n">
        <v>3</v>
      </c>
      <c r="U430" s="0" t="n">
        <v>2</v>
      </c>
      <c r="V430" s="0" t="inlineStr">
        <is>
          <t>계단식</t>
        </is>
      </c>
      <c r="W430" s="0" t="n">
        <v>112</v>
      </c>
      <c r="X430" s="0" t="n">
        <v>20</v>
      </c>
      <c r="Y430" s="0" t="n">
        <v>12</v>
      </c>
      <c r="Z430" s="0" t="inlineStr">
        <is>
          <t>https://new.land.naver.com/complexes/10155?tab=detail&amp;rf=Y</t>
        </is>
      </c>
      <c r="AA430" s="0" t="inlineStr">
        <is>
          <t>인천시 서구 당하동 1031</t>
        </is>
      </c>
      <c r="AB430" s="0" t="inlineStr">
        <is>
          <t>인천시</t>
        </is>
      </c>
      <c r="AC430" s="0" t="inlineStr">
        <is>
          <t>서구</t>
        </is>
      </c>
      <c r="AD430" s="0" t="inlineStr">
        <is>
          <t>당하동</t>
        </is>
      </c>
      <c r="AG430" s="0" t="inlineStr">
        <is>
          <t>인천시 서구 원당대로840번길 21</t>
        </is>
      </c>
      <c r="AH430" s="0" t="n">
        <v>0</v>
      </c>
      <c r="AI430" s="0" t="n">
        <v>227</v>
      </c>
      <c r="AJ430" s="0" t="n">
        <v>17</v>
      </c>
      <c r="AK430" s="0" t="n">
        <v>1821</v>
      </c>
      <c r="AL430" s="0" t="n">
        <v>1.05</v>
      </c>
    </row>
    <row r="431">
      <c r="A431" s="0" t="inlineStr">
        <is>
          <t>[당하동]</t>
        </is>
      </c>
      <c r="B431" s="0" t="n">
        <v>10155</v>
      </c>
      <c r="C431" s="0" t="n">
        <v>4</v>
      </c>
      <c r="D431" s="0" t="inlineStr">
        <is>
          <t>풍림아이원</t>
        </is>
      </c>
      <c r="E431" s="0" t="inlineStr">
        <is>
          <t>2004.09.</t>
        </is>
      </c>
      <c r="F431" s="0" t="n">
        <v>1739</v>
      </c>
      <c r="G431" s="0" t="n">
        <v>40.01</v>
      </c>
      <c r="H431" s="0" t="n">
        <v>132.29</v>
      </c>
      <c r="I431" s="0" t="n">
        <v>33.09</v>
      </c>
      <c r="J431" s="0" t="n">
        <v>109.42</v>
      </c>
      <c r="K431" s="0" t="n">
        <v>127</v>
      </c>
      <c r="T431" s="0" t="n">
        <v>4</v>
      </c>
      <c r="U431" s="0" t="n">
        <v>2</v>
      </c>
      <c r="V431" s="0" t="inlineStr">
        <is>
          <t>계단식</t>
        </is>
      </c>
      <c r="W431" s="0" t="n">
        <v>132</v>
      </c>
      <c r="X431" s="0" t="n">
        <v>20</v>
      </c>
      <c r="Y431" s="0" t="n">
        <v>12</v>
      </c>
      <c r="Z431" s="0" t="inlineStr">
        <is>
          <t>https://new.land.naver.com/complexes/10155?tab=detail&amp;rf=Y</t>
        </is>
      </c>
      <c r="AA431" s="0" t="inlineStr">
        <is>
          <t>인천시 서구 당하동 1031</t>
        </is>
      </c>
      <c r="AB431" s="0" t="inlineStr">
        <is>
          <t>인천시</t>
        </is>
      </c>
      <c r="AC431" s="0" t="inlineStr">
        <is>
          <t>서구</t>
        </is>
      </c>
      <c r="AD431" s="0" t="inlineStr">
        <is>
          <t>당하동</t>
        </is>
      </c>
      <c r="AG431" s="0" t="inlineStr">
        <is>
          <t>인천시 서구 원당대로840번길 21</t>
        </is>
      </c>
      <c r="AH431" s="0" t="n">
        <v>0</v>
      </c>
      <c r="AI431" s="0" t="n">
        <v>227</v>
      </c>
      <c r="AJ431" s="0" t="n">
        <v>17</v>
      </c>
      <c r="AK431" s="0" t="n">
        <v>1821</v>
      </c>
      <c r="AL431" s="0" t="n">
        <v>1.05</v>
      </c>
    </row>
    <row r="432">
      <c r="A432" s="0" t="inlineStr">
        <is>
          <t>[당하동]</t>
        </is>
      </c>
      <c r="B432" s="0" t="n">
        <v>9255</v>
      </c>
      <c r="C432" s="0" t="n">
        <v>1</v>
      </c>
      <c r="D432" s="0" t="inlineStr">
        <is>
          <t>영남,신대진,성웅(당하탑스빌)</t>
        </is>
      </c>
      <c r="E432" s="0" t="inlineStr">
        <is>
          <t>1998.03.</t>
        </is>
      </c>
      <c r="F432" s="0" t="n">
        <v>1368</v>
      </c>
      <c r="G432" s="0" t="n">
        <v>25.8</v>
      </c>
      <c r="H432" s="0" t="n">
        <v>85.31999999999999</v>
      </c>
      <c r="I432" s="0" t="n">
        <v>18.14</v>
      </c>
      <c r="J432" s="0" t="n">
        <v>59.99</v>
      </c>
      <c r="K432" s="0" t="n">
        <v>452</v>
      </c>
      <c r="T432" s="0" t="n">
        <v>3</v>
      </c>
      <c r="U432" s="0" t="n">
        <v>2</v>
      </c>
      <c r="V432" s="0" t="inlineStr">
        <is>
          <t>계단식</t>
        </is>
      </c>
      <c r="W432" s="0" t="n">
        <v>85</v>
      </c>
      <c r="X432" s="0" t="n">
        <v>18</v>
      </c>
      <c r="Y432" s="0" t="n">
        <v>16</v>
      </c>
      <c r="Z432" s="0" t="inlineStr">
        <is>
          <t>https://new.land.naver.com/complexes/9255?tab=detail&amp;rf=Y</t>
        </is>
      </c>
      <c r="AA432" s="0" t="inlineStr">
        <is>
          <t>인천시 서구 당하동 895-1</t>
        </is>
      </c>
      <c r="AB432" s="0" t="inlineStr">
        <is>
          <t>인천시</t>
        </is>
      </c>
      <c r="AC432" s="0" t="inlineStr">
        <is>
          <t>서구</t>
        </is>
      </c>
      <c r="AD432" s="0" t="inlineStr">
        <is>
          <t>당하동</t>
        </is>
      </c>
      <c r="AG432" s="0" t="inlineStr">
        <is>
          <t>인천시 서구 서곶로 818</t>
        </is>
      </c>
      <c r="AH432" s="0" t="n">
        <v>0</v>
      </c>
      <c r="AI432" s="0" t="n">
        <v>200</v>
      </c>
      <c r="AJ432" s="0" t="n">
        <v>16</v>
      </c>
      <c r="AK432" s="0" t="n">
        <v>1471</v>
      </c>
      <c r="AL432" s="0" t="n">
        <v>1.08</v>
      </c>
    </row>
    <row r="433">
      <c r="A433" s="0" t="inlineStr">
        <is>
          <t>[당하동]</t>
        </is>
      </c>
      <c r="B433" s="0" t="n">
        <v>9255</v>
      </c>
      <c r="C433" s="0" t="n">
        <v>2</v>
      </c>
      <c r="D433" s="0" t="inlineStr">
        <is>
          <t>영남,신대진,성웅(당하탑스빌)</t>
        </is>
      </c>
      <c r="E433" s="0" t="inlineStr">
        <is>
          <t>1998.03.</t>
        </is>
      </c>
      <c r="F433" s="0" t="n">
        <v>1368</v>
      </c>
      <c r="G433" s="0" t="n">
        <v>33.81</v>
      </c>
      <c r="H433" s="0" t="n">
        <v>111.78</v>
      </c>
      <c r="I433" s="0" t="n">
        <v>25.69</v>
      </c>
      <c r="J433" s="0" t="n">
        <v>84.94</v>
      </c>
      <c r="K433" s="0" t="n">
        <v>639</v>
      </c>
      <c r="T433" s="0" t="n">
        <v>3</v>
      </c>
      <c r="U433" s="0" t="n">
        <v>2</v>
      </c>
      <c r="V433" s="0" t="inlineStr">
        <is>
          <t>계단식</t>
        </is>
      </c>
      <c r="W433" s="0" t="n">
        <v>111</v>
      </c>
      <c r="X433" s="0" t="n">
        <v>18</v>
      </c>
      <c r="Y433" s="0" t="n">
        <v>16</v>
      </c>
      <c r="Z433" s="0" t="inlineStr">
        <is>
          <t>https://new.land.naver.com/complexes/9255?tab=detail&amp;rf=Y</t>
        </is>
      </c>
      <c r="AA433" s="0" t="inlineStr">
        <is>
          <t>인천시 서구 당하동 895-1</t>
        </is>
      </c>
      <c r="AB433" s="0" t="inlineStr">
        <is>
          <t>인천시</t>
        </is>
      </c>
      <c r="AC433" s="0" t="inlineStr">
        <is>
          <t>서구</t>
        </is>
      </c>
      <c r="AD433" s="0" t="inlineStr">
        <is>
          <t>당하동</t>
        </is>
      </c>
      <c r="AG433" s="0" t="inlineStr">
        <is>
          <t>인천시 서구 서곶로 818</t>
        </is>
      </c>
      <c r="AH433" s="0" t="n">
        <v>0</v>
      </c>
      <c r="AI433" s="0" t="n">
        <v>200</v>
      </c>
      <c r="AJ433" s="0" t="n">
        <v>16</v>
      </c>
      <c r="AK433" s="0" t="n">
        <v>1471</v>
      </c>
      <c r="AL433" s="0" t="n">
        <v>1.08</v>
      </c>
    </row>
    <row r="434">
      <c r="A434" s="0" t="inlineStr">
        <is>
          <t>[당하동]</t>
        </is>
      </c>
      <c r="B434" s="0" t="n">
        <v>9255</v>
      </c>
      <c r="C434" s="0" t="n">
        <v>3</v>
      </c>
      <c r="D434" s="0" t="inlineStr">
        <is>
          <t>영남,신대진,성웅(당하탑스빌)</t>
        </is>
      </c>
      <c r="E434" s="0" t="inlineStr">
        <is>
          <t>1998.03.</t>
        </is>
      </c>
      <c r="F434" s="0" t="n">
        <v>1368</v>
      </c>
      <c r="G434" s="0" t="n">
        <v>44.68</v>
      </c>
      <c r="H434" s="0" t="n">
        <v>147.72</v>
      </c>
      <c r="I434" s="0" t="n">
        <v>35.16</v>
      </c>
      <c r="J434" s="0" t="n">
        <v>116.24</v>
      </c>
      <c r="K434" s="0" t="n">
        <v>101</v>
      </c>
      <c r="T434" s="0" t="n">
        <v>4</v>
      </c>
      <c r="U434" s="0" t="n">
        <v>2</v>
      </c>
      <c r="V434" s="0" t="inlineStr">
        <is>
          <t>계단식</t>
        </is>
      </c>
      <c r="W434" s="0" t="n">
        <v>147</v>
      </c>
      <c r="X434" s="0" t="n">
        <v>18</v>
      </c>
      <c r="Y434" s="0" t="n">
        <v>16</v>
      </c>
      <c r="Z434" s="0" t="inlineStr">
        <is>
          <t>https://new.land.naver.com/complexes/9255?tab=detail&amp;rf=Y</t>
        </is>
      </c>
      <c r="AA434" s="0" t="inlineStr">
        <is>
          <t>인천시 서구 당하동 895-1</t>
        </is>
      </c>
      <c r="AB434" s="0" t="inlineStr">
        <is>
          <t>인천시</t>
        </is>
      </c>
      <c r="AC434" s="0" t="inlineStr">
        <is>
          <t>서구</t>
        </is>
      </c>
      <c r="AD434" s="0" t="inlineStr">
        <is>
          <t>당하동</t>
        </is>
      </c>
      <c r="AG434" s="0" t="inlineStr">
        <is>
          <t>인천시 서구 서곶로 818</t>
        </is>
      </c>
      <c r="AH434" s="0" t="n">
        <v>0</v>
      </c>
      <c r="AI434" s="0" t="n">
        <v>200</v>
      </c>
      <c r="AJ434" s="0" t="n">
        <v>16</v>
      </c>
      <c r="AK434" s="0" t="n">
        <v>1471</v>
      </c>
      <c r="AL434" s="0" t="n">
        <v>1.08</v>
      </c>
    </row>
    <row r="435">
      <c r="A435" s="0" t="inlineStr">
        <is>
          <t>[당하동]</t>
        </is>
      </c>
      <c r="B435" s="0" t="n">
        <v>9255</v>
      </c>
      <c r="C435" s="0" t="n">
        <v>4</v>
      </c>
      <c r="D435" s="0" t="inlineStr">
        <is>
          <t>영남,신대진,성웅(당하탑스빌)</t>
        </is>
      </c>
      <c r="E435" s="0" t="inlineStr">
        <is>
          <t>1998.03.</t>
        </is>
      </c>
      <c r="F435" s="0" t="n">
        <v>1368</v>
      </c>
      <c r="G435" s="0" t="n">
        <v>51.64</v>
      </c>
      <c r="H435" s="0" t="n">
        <v>170.72</v>
      </c>
      <c r="I435" s="0" t="n">
        <v>41.42</v>
      </c>
      <c r="J435" s="0" t="n">
        <v>136.95</v>
      </c>
      <c r="K435" s="0" t="n">
        <v>176</v>
      </c>
      <c r="T435" s="0" t="n">
        <v>4</v>
      </c>
      <c r="U435" s="0" t="n">
        <v>2</v>
      </c>
      <c r="V435" s="0" t="inlineStr">
        <is>
          <t>계단식</t>
        </is>
      </c>
      <c r="W435" s="0" t="n">
        <v>170</v>
      </c>
      <c r="X435" s="0" t="n">
        <v>18</v>
      </c>
      <c r="Y435" s="0" t="n">
        <v>16</v>
      </c>
      <c r="Z435" s="0" t="inlineStr">
        <is>
          <t>https://new.land.naver.com/complexes/9255?tab=detail&amp;rf=Y</t>
        </is>
      </c>
      <c r="AA435" s="0" t="inlineStr">
        <is>
          <t>인천시 서구 당하동 895-1</t>
        </is>
      </c>
      <c r="AB435" s="0" t="inlineStr">
        <is>
          <t>인천시</t>
        </is>
      </c>
      <c r="AC435" s="0" t="inlineStr">
        <is>
          <t>서구</t>
        </is>
      </c>
      <c r="AD435" s="0" t="inlineStr">
        <is>
          <t>당하동</t>
        </is>
      </c>
      <c r="AG435" s="0" t="inlineStr">
        <is>
          <t>인천시 서구 서곶로 818</t>
        </is>
      </c>
      <c r="AH435" s="0" t="n">
        <v>0</v>
      </c>
      <c r="AI435" s="0" t="n">
        <v>200</v>
      </c>
      <c r="AJ435" s="0" t="n">
        <v>16</v>
      </c>
      <c r="AK435" s="0" t="n">
        <v>1471</v>
      </c>
      <c r="AL435" s="0" t="n">
        <v>1.08</v>
      </c>
    </row>
    <row r="436">
      <c r="A436" s="0" t="inlineStr">
        <is>
          <t>[당하동]</t>
        </is>
      </c>
      <c r="B436" s="0" t="n">
        <v>127726</v>
      </c>
      <c r="C436" s="0" t="n">
        <v>1</v>
      </c>
      <c r="D436" s="0" t="inlineStr">
        <is>
          <t>검단신도시모아미래도엘리트파크</t>
        </is>
      </c>
      <c r="E436" s="0" t="inlineStr">
        <is>
          <t>2022.10.</t>
        </is>
      </c>
      <c r="F436" s="0" t="n">
        <v>658</v>
      </c>
      <c r="G436" s="0" t="n">
        <v>33.03</v>
      </c>
      <c r="H436" s="0" t="n">
        <v>109.22</v>
      </c>
      <c r="I436" s="0" t="n">
        <v>25.6</v>
      </c>
      <c r="J436" s="0" t="n">
        <v>84.65000000000001</v>
      </c>
      <c r="K436" s="0" t="n">
        <v>524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109A</t>
        </is>
      </c>
      <c r="X436" s="0" t="n">
        <v>25</v>
      </c>
      <c r="Y436" s="0" t="n">
        <v>11</v>
      </c>
      <c r="Z436" s="0" t="inlineStr">
        <is>
          <t>https://new.land.naver.com/complexes/127726?tab=detail&amp;rf=Y</t>
        </is>
      </c>
      <c r="AA436" s="0" t="inlineStr">
        <is>
          <t>인천시 서구 당하동 검단신도시 AA3블록</t>
        </is>
      </c>
      <c r="AB436" s="0" t="inlineStr">
        <is>
          <t>인천시</t>
        </is>
      </c>
      <c r="AC436" s="0" t="inlineStr">
        <is>
          <t>서구</t>
        </is>
      </c>
      <c r="AD436" s="0" t="inlineStr">
        <is>
          <t>당하동</t>
        </is>
      </c>
      <c r="AG436" s="0" t="inlineStr">
        <is>
          <t>인천시 서구</t>
        </is>
      </c>
      <c r="AH436" s="0" t="n">
        <v>0</v>
      </c>
      <c r="AI436" s="0" t="n">
        <v>183</v>
      </c>
      <c r="AJ436" s="0" t="n">
        <v>19</v>
      </c>
      <c r="AK436" s="0" t="n">
        <v>863</v>
      </c>
      <c r="AL436" s="0" t="n">
        <v>1.31</v>
      </c>
    </row>
    <row r="437">
      <c r="A437" s="0" t="inlineStr">
        <is>
          <t>[당하동]</t>
        </is>
      </c>
      <c r="B437" s="0" t="n">
        <v>127726</v>
      </c>
      <c r="C437" s="0" t="n">
        <v>2</v>
      </c>
      <c r="D437" s="0" t="inlineStr">
        <is>
          <t>검단신도시모아미래도엘리트파크</t>
        </is>
      </c>
      <c r="E437" s="0" t="inlineStr">
        <is>
          <t>2022.10.</t>
        </is>
      </c>
      <c r="F437" s="0" t="n">
        <v>658</v>
      </c>
      <c r="G437" s="0" t="n">
        <v>33.35</v>
      </c>
      <c r="H437" s="0" t="n">
        <v>110.25</v>
      </c>
      <c r="I437" s="0" t="n">
        <v>25.69</v>
      </c>
      <c r="J437" s="0" t="n">
        <v>84.93000000000001</v>
      </c>
      <c r="K437" s="0" t="n">
        <v>134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110B</t>
        </is>
      </c>
      <c r="X437" s="0" t="n">
        <v>25</v>
      </c>
      <c r="Y437" s="0" t="n">
        <v>11</v>
      </c>
      <c r="Z437" s="0" t="inlineStr">
        <is>
          <t>https://new.land.naver.com/complexes/127726?tab=detail&amp;rf=Y</t>
        </is>
      </c>
      <c r="AA437" s="0" t="inlineStr">
        <is>
          <t>인천시 서구 당하동 검단신도시 AA3블록</t>
        </is>
      </c>
      <c r="AB437" s="0" t="inlineStr">
        <is>
          <t>인천시</t>
        </is>
      </c>
      <c r="AC437" s="0" t="inlineStr">
        <is>
          <t>서구</t>
        </is>
      </c>
      <c r="AD437" s="0" t="inlineStr">
        <is>
          <t>당하동</t>
        </is>
      </c>
      <c r="AG437" s="0" t="inlineStr">
        <is>
          <t>인천시 서구</t>
        </is>
      </c>
      <c r="AH437" s="0" t="n">
        <v>0</v>
      </c>
      <c r="AI437" s="0" t="n">
        <v>183</v>
      </c>
      <c r="AJ437" s="0" t="n">
        <v>19</v>
      </c>
      <c r="AK437" s="0" t="n">
        <v>863</v>
      </c>
      <c r="AL437" s="0" t="n">
        <v>1.31</v>
      </c>
    </row>
    <row r="438">
      <c r="A438" s="0" t="inlineStr">
        <is>
          <t>[당하동]</t>
        </is>
      </c>
      <c r="B438" s="0" t="n">
        <v>141161</v>
      </c>
      <c r="C438" s="0" t="n">
        <v>1</v>
      </c>
      <c r="D438" s="0" t="inlineStr">
        <is>
          <t>검단신도시우미린파크뷰1단지</t>
        </is>
      </c>
      <c r="E438" s="0" t="inlineStr">
        <is>
          <t>2023.07.</t>
        </is>
      </c>
      <c r="F438" s="0" t="n">
        <v>370</v>
      </c>
      <c r="G438" s="0" t="n">
        <v>25.29</v>
      </c>
      <c r="H438" s="0" t="n">
        <v>83.61</v>
      </c>
      <c r="I438" s="0" t="n">
        <v>18.12</v>
      </c>
      <c r="J438" s="0" t="n">
        <v>59.93</v>
      </c>
      <c r="K438" s="0" t="n">
        <v>165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83A</t>
        </is>
      </c>
      <c r="X438" s="0" t="n">
        <v>25</v>
      </c>
      <c r="Y438" s="0" t="n">
        <v>20</v>
      </c>
      <c r="Z438" s="0" t="inlineStr">
        <is>
          <t>https://new.land.naver.com/complexes/141161?tab=detail&amp;rf=Y</t>
        </is>
      </c>
      <c r="AA438" s="0" t="inlineStr">
        <is>
          <t>인천시 서구 당하동 인천검단신도시 AA8블록</t>
        </is>
      </c>
      <c r="AB438" s="0" t="inlineStr">
        <is>
          <t>인천시</t>
        </is>
      </c>
      <c r="AC438" s="0" t="inlineStr">
        <is>
          <t>서구</t>
        </is>
      </c>
      <c r="AD438" s="0" t="inlineStr">
        <is>
          <t>당하동</t>
        </is>
      </c>
      <c r="AG438" s="0" t="inlineStr">
        <is>
          <t>인천시 서구</t>
        </is>
      </c>
      <c r="AH438" s="0" t="n">
        <v>0</v>
      </c>
      <c r="AI438" s="0" t="n">
        <v>0</v>
      </c>
      <c r="AJ438" s="0" t="n">
        <v>0</v>
      </c>
      <c r="AK438" s="0" t="n">
        <v>484</v>
      </c>
      <c r="AL438" s="0" t="n">
        <v>1.31</v>
      </c>
    </row>
    <row r="439">
      <c r="A439" s="0" t="inlineStr">
        <is>
          <t>[당하동]</t>
        </is>
      </c>
      <c r="B439" s="0" t="n">
        <v>141161</v>
      </c>
      <c r="C439" s="0" t="n">
        <v>2</v>
      </c>
      <c r="D439" s="0" t="inlineStr">
        <is>
          <t>검단신도시우미린파크뷰1단지</t>
        </is>
      </c>
      <c r="E439" s="0" t="inlineStr">
        <is>
          <t>2023.07.</t>
        </is>
      </c>
      <c r="F439" s="0" t="n">
        <v>370</v>
      </c>
      <c r="G439" s="0" t="n">
        <v>25.24</v>
      </c>
      <c r="H439" s="0" t="n">
        <v>83.45</v>
      </c>
      <c r="I439" s="0" t="n">
        <v>18.09</v>
      </c>
      <c r="J439" s="0" t="n">
        <v>59.81</v>
      </c>
      <c r="K439" s="0" t="n">
        <v>92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83B</t>
        </is>
      </c>
      <c r="X439" s="0" t="n">
        <v>25</v>
      </c>
      <c r="Y439" s="0" t="n">
        <v>20</v>
      </c>
      <c r="Z439" s="0" t="inlineStr">
        <is>
          <t>https://new.land.naver.com/complexes/141161?tab=detail&amp;rf=Y</t>
        </is>
      </c>
      <c r="AA439" s="0" t="inlineStr">
        <is>
          <t>인천시 서구 당하동 인천검단신도시 AA8블록</t>
        </is>
      </c>
      <c r="AB439" s="0" t="inlineStr">
        <is>
          <t>인천시</t>
        </is>
      </c>
      <c r="AC439" s="0" t="inlineStr">
        <is>
          <t>서구</t>
        </is>
      </c>
      <c r="AD439" s="0" t="inlineStr">
        <is>
          <t>당하동</t>
        </is>
      </c>
      <c r="AG439" s="0" t="inlineStr">
        <is>
          <t>인천시 서구</t>
        </is>
      </c>
      <c r="AH439" s="0" t="n">
        <v>0</v>
      </c>
      <c r="AI439" s="0" t="n">
        <v>0</v>
      </c>
      <c r="AJ439" s="0" t="n">
        <v>0</v>
      </c>
      <c r="AK439" s="0" t="n">
        <v>484</v>
      </c>
      <c r="AL439" s="0" t="n">
        <v>1.31</v>
      </c>
    </row>
    <row r="440">
      <c r="A440" s="0" t="inlineStr">
        <is>
          <t>[당하동]</t>
        </is>
      </c>
      <c r="B440" s="0" t="n">
        <v>141161</v>
      </c>
      <c r="C440" s="0" t="n">
        <v>3</v>
      </c>
      <c r="D440" s="0" t="inlineStr">
        <is>
          <t>검단신도시우미린파크뷰1단지</t>
        </is>
      </c>
      <c r="E440" s="0" t="inlineStr">
        <is>
          <t>2023.07.</t>
        </is>
      </c>
      <c r="F440" s="0" t="n">
        <v>370</v>
      </c>
      <c r="G440" s="0" t="n">
        <v>35.24</v>
      </c>
      <c r="H440" s="0" t="n">
        <v>116.52</v>
      </c>
      <c r="I440" s="0" t="n">
        <v>25.67</v>
      </c>
      <c r="J440" s="0" t="n">
        <v>84.87</v>
      </c>
      <c r="K440" s="0" t="n">
        <v>113</v>
      </c>
      <c r="T440" s="0" t="n">
        <v>3</v>
      </c>
      <c r="U440" s="0" t="n">
        <v>2</v>
      </c>
      <c r="V440" s="0" t="inlineStr">
        <is>
          <t>계단식</t>
        </is>
      </c>
      <c r="W440" s="0" t="n">
        <v>116</v>
      </c>
      <c r="X440" s="0" t="n">
        <v>25</v>
      </c>
      <c r="Y440" s="0" t="n">
        <v>20</v>
      </c>
      <c r="Z440" s="0" t="inlineStr">
        <is>
          <t>https://new.land.naver.com/complexes/141161?tab=detail&amp;rf=Y</t>
        </is>
      </c>
      <c r="AA440" s="0" t="inlineStr">
        <is>
          <t>인천시 서구 당하동 인천검단신도시 AA8블록</t>
        </is>
      </c>
      <c r="AB440" s="0" t="inlineStr">
        <is>
          <t>인천시</t>
        </is>
      </c>
      <c r="AC440" s="0" t="inlineStr">
        <is>
          <t>서구</t>
        </is>
      </c>
      <c r="AD440" s="0" t="inlineStr">
        <is>
          <t>당하동</t>
        </is>
      </c>
      <c r="AG440" s="0" t="inlineStr">
        <is>
          <t>인천시 서구</t>
        </is>
      </c>
      <c r="AH440" s="0" t="n">
        <v>0</v>
      </c>
      <c r="AI440" s="0" t="n">
        <v>0</v>
      </c>
      <c r="AJ440" s="0" t="n">
        <v>0</v>
      </c>
      <c r="AK440" s="0" t="n">
        <v>484</v>
      </c>
      <c r="AL440" s="0" t="n">
        <v>1.31</v>
      </c>
    </row>
    <row r="441">
      <c r="A441" s="0" t="inlineStr">
        <is>
          <t>[당하동]</t>
        </is>
      </c>
      <c r="B441" s="0" t="n">
        <v>118070</v>
      </c>
      <c r="C441" s="0" t="n">
        <v>1</v>
      </c>
      <c r="D441" s="0" t="inlineStr">
        <is>
          <t>엠디타운</t>
        </is>
      </c>
      <c r="E441" s="0" t="inlineStr">
        <is>
          <t>2013.10.</t>
        </is>
      </c>
      <c r="F441" s="0" t="n">
        <v>48</v>
      </c>
      <c r="G441" s="0" t="n">
        <v>9.6</v>
      </c>
      <c r="H441" s="0" t="n">
        <v>31.74</v>
      </c>
      <c r="I441" s="0" t="n">
        <v>7.61</v>
      </c>
      <c r="J441" s="0" t="n">
        <v>25.19</v>
      </c>
      <c r="K441" s="0" t="n">
        <v>4</v>
      </c>
      <c r="T441" s="0" t="n">
        <v>1</v>
      </c>
      <c r="U441" s="0" t="n">
        <v>1</v>
      </c>
      <c r="V441" s="0" t="inlineStr">
        <is>
          <t>계단식</t>
        </is>
      </c>
      <c r="W441" s="0" t="inlineStr">
        <is>
          <t>31A</t>
        </is>
      </c>
      <c r="X441" s="0" t="n">
        <v>5</v>
      </c>
      <c r="Y441" s="0" t="n">
        <v>5</v>
      </c>
      <c r="Z441" s="0" t="inlineStr">
        <is>
          <t>https://new.land.naver.com/complexes/118070?tab=detail&amp;rf=Y</t>
        </is>
      </c>
      <c r="AA441" s="0" t="inlineStr">
        <is>
          <t>인천시 서구 당하동 1093-5</t>
        </is>
      </c>
      <c r="AB441" s="0" t="inlineStr">
        <is>
          <t>인천시</t>
        </is>
      </c>
      <c r="AC441" s="0" t="inlineStr">
        <is>
          <t>서구</t>
        </is>
      </c>
      <c r="AD441" s="0" t="inlineStr">
        <is>
          <t>당하동</t>
        </is>
      </c>
      <c r="AG441" s="0" t="inlineStr">
        <is>
          <t>인천시 서구 청마로167번안길 7</t>
        </is>
      </c>
      <c r="AH441" s="0" t="n">
        <v>0</v>
      </c>
      <c r="AI441" s="0" t="n">
        <v>295</v>
      </c>
      <c r="AJ441" s="0" t="n">
        <v>69</v>
      </c>
      <c r="AK441" s="0" t="n">
        <v>24</v>
      </c>
      <c r="AL441" s="0" t="n">
        <v>0.5</v>
      </c>
    </row>
    <row r="442">
      <c r="A442" s="0" t="inlineStr">
        <is>
          <t>[당하동]</t>
        </is>
      </c>
      <c r="B442" s="0" t="n">
        <v>118070</v>
      </c>
      <c r="C442" s="0" t="n">
        <v>2</v>
      </c>
      <c r="D442" s="0" t="inlineStr">
        <is>
          <t>엠디타운</t>
        </is>
      </c>
      <c r="E442" s="0" t="inlineStr">
        <is>
          <t>2013.10.</t>
        </is>
      </c>
      <c r="F442" s="0" t="n">
        <v>48</v>
      </c>
      <c r="G442" s="0" t="n">
        <v>9.9</v>
      </c>
      <c r="H442" s="0" t="n">
        <v>32.76</v>
      </c>
      <c r="I442" s="0" t="n">
        <v>7.86</v>
      </c>
      <c r="J442" s="0" t="n">
        <v>26</v>
      </c>
      <c r="K442" s="0" t="n">
        <v>28</v>
      </c>
      <c r="T442" s="0" t="n">
        <v>1</v>
      </c>
      <c r="U442" s="0" t="n">
        <v>1</v>
      </c>
      <c r="V442" s="0" t="inlineStr">
        <is>
          <t>계단식</t>
        </is>
      </c>
      <c r="W442" s="0" t="inlineStr">
        <is>
          <t>32B</t>
        </is>
      </c>
      <c r="X442" s="0" t="n">
        <v>5</v>
      </c>
      <c r="Y442" s="0" t="n">
        <v>5</v>
      </c>
      <c r="Z442" s="0" t="inlineStr">
        <is>
          <t>https://new.land.naver.com/complexes/118070?tab=detail&amp;rf=Y</t>
        </is>
      </c>
      <c r="AA442" s="0" t="inlineStr">
        <is>
          <t>인천시 서구 당하동 1093-5</t>
        </is>
      </c>
      <c r="AB442" s="0" t="inlineStr">
        <is>
          <t>인천시</t>
        </is>
      </c>
      <c r="AC442" s="0" t="inlineStr">
        <is>
          <t>서구</t>
        </is>
      </c>
      <c r="AD442" s="0" t="inlineStr">
        <is>
          <t>당하동</t>
        </is>
      </c>
      <c r="AG442" s="0" t="inlineStr">
        <is>
          <t>인천시 서구 청마로167번안길 7</t>
        </is>
      </c>
      <c r="AH442" s="0" t="n">
        <v>0</v>
      </c>
      <c r="AI442" s="0" t="n">
        <v>295</v>
      </c>
      <c r="AJ442" s="0" t="n">
        <v>69</v>
      </c>
      <c r="AK442" s="0" t="n">
        <v>24</v>
      </c>
      <c r="AL442" s="0" t="n">
        <v>0.5</v>
      </c>
    </row>
    <row r="443">
      <c r="A443" s="0" t="inlineStr">
        <is>
          <t>[당하동]</t>
        </is>
      </c>
      <c r="B443" s="0" t="n">
        <v>118070</v>
      </c>
      <c r="C443" s="0" t="n">
        <v>3</v>
      </c>
      <c r="D443" s="0" t="inlineStr">
        <is>
          <t>엠디타운</t>
        </is>
      </c>
      <c r="E443" s="0" t="inlineStr">
        <is>
          <t>2013.10.</t>
        </is>
      </c>
      <c r="F443" s="0" t="n">
        <v>48</v>
      </c>
      <c r="G443" s="0" t="n">
        <v>10.13</v>
      </c>
      <c r="H443" s="0" t="n">
        <v>33.51</v>
      </c>
      <c r="I443" s="0" t="n">
        <v>8.039999999999999</v>
      </c>
      <c r="J443" s="0" t="n">
        <v>26.6</v>
      </c>
      <c r="K443" s="0" t="n">
        <v>8</v>
      </c>
      <c r="T443" s="0" t="n">
        <v>1</v>
      </c>
      <c r="U443" s="0" t="n">
        <v>1</v>
      </c>
      <c r="V443" s="0" t="inlineStr">
        <is>
          <t>계단식</t>
        </is>
      </c>
      <c r="W443" s="0" t="inlineStr">
        <is>
          <t>33C</t>
        </is>
      </c>
      <c r="X443" s="0" t="n">
        <v>5</v>
      </c>
      <c r="Y443" s="0" t="n">
        <v>5</v>
      </c>
      <c r="Z443" s="0" t="inlineStr">
        <is>
          <t>https://new.land.naver.com/complexes/118070?tab=detail&amp;rf=Y</t>
        </is>
      </c>
      <c r="AA443" s="0" t="inlineStr">
        <is>
          <t>인천시 서구 당하동 1093-5</t>
        </is>
      </c>
      <c r="AB443" s="0" t="inlineStr">
        <is>
          <t>인천시</t>
        </is>
      </c>
      <c r="AC443" s="0" t="inlineStr">
        <is>
          <t>서구</t>
        </is>
      </c>
      <c r="AD443" s="0" t="inlineStr">
        <is>
          <t>당하동</t>
        </is>
      </c>
      <c r="AG443" s="0" t="inlineStr">
        <is>
          <t>인천시 서구 청마로167번안길 7</t>
        </is>
      </c>
      <c r="AH443" s="0" t="n">
        <v>0</v>
      </c>
      <c r="AI443" s="0" t="n">
        <v>295</v>
      </c>
      <c r="AJ443" s="0" t="n">
        <v>69</v>
      </c>
      <c r="AK443" s="0" t="n">
        <v>24</v>
      </c>
      <c r="AL443" s="0" t="n">
        <v>0.5</v>
      </c>
    </row>
    <row r="444">
      <c r="A444" s="0" t="inlineStr">
        <is>
          <t>[당하동]</t>
        </is>
      </c>
      <c r="B444" s="0" t="n">
        <v>118070</v>
      </c>
      <c r="C444" s="0" t="n">
        <v>4</v>
      </c>
      <c r="D444" s="0" t="inlineStr">
        <is>
          <t>엠디타운</t>
        </is>
      </c>
      <c r="E444" s="0" t="inlineStr">
        <is>
          <t>2013.10.</t>
        </is>
      </c>
      <c r="F444" s="0" t="n">
        <v>48</v>
      </c>
      <c r="G444" s="0" t="n">
        <v>10.53</v>
      </c>
      <c r="H444" s="0" t="n">
        <v>34.83</v>
      </c>
      <c r="I444" s="0" t="n">
        <v>8.359999999999999</v>
      </c>
      <c r="J444" s="0" t="n">
        <v>27.64</v>
      </c>
      <c r="K444" s="0" t="n">
        <v>8</v>
      </c>
      <c r="T444" s="0" t="n">
        <v>1</v>
      </c>
      <c r="U444" s="0" t="n">
        <v>1</v>
      </c>
      <c r="V444" s="0" t="inlineStr">
        <is>
          <t>계단식</t>
        </is>
      </c>
      <c r="W444" s="0" t="n">
        <v>34</v>
      </c>
      <c r="X444" s="0" t="n">
        <v>5</v>
      </c>
      <c r="Y444" s="0" t="n">
        <v>5</v>
      </c>
      <c r="Z444" s="0" t="inlineStr">
        <is>
          <t>https://new.land.naver.com/complexes/118070?tab=detail&amp;rf=Y</t>
        </is>
      </c>
      <c r="AA444" s="0" t="inlineStr">
        <is>
          <t>인천시 서구 당하동 1093-5</t>
        </is>
      </c>
      <c r="AB444" s="0" t="inlineStr">
        <is>
          <t>인천시</t>
        </is>
      </c>
      <c r="AC444" s="0" t="inlineStr">
        <is>
          <t>서구</t>
        </is>
      </c>
      <c r="AD444" s="0" t="inlineStr">
        <is>
          <t>당하동</t>
        </is>
      </c>
      <c r="AG444" s="0" t="inlineStr">
        <is>
          <t>인천시 서구 청마로167번안길 7</t>
        </is>
      </c>
      <c r="AH444" s="0" t="n">
        <v>0</v>
      </c>
      <c r="AI444" s="0" t="n">
        <v>295</v>
      </c>
      <c r="AJ444" s="0" t="n">
        <v>69</v>
      </c>
      <c r="AK444" s="0" t="n">
        <v>24</v>
      </c>
      <c r="AL444" s="0" t="n">
        <v>0.5</v>
      </c>
    </row>
    <row r="445">
      <c r="A445" s="0" t="inlineStr">
        <is>
          <t>[당하동]</t>
        </is>
      </c>
      <c r="B445" s="0" t="n">
        <v>11036</v>
      </c>
      <c r="C445" s="0" t="n">
        <v>1</v>
      </c>
      <c r="D445" s="0" t="inlineStr">
        <is>
          <t>당하KCC스위첸</t>
        </is>
      </c>
      <c r="E445" s="0" t="inlineStr">
        <is>
          <t>2005.04.</t>
        </is>
      </c>
      <c r="F445" s="0" t="n">
        <v>1015</v>
      </c>
      <c r="G445" s="0" t="n">
        <v>27.82</v>
      </c>
      <c r="H445" s="0" t="n">
        <v>91.98999999999999</v>
      </c>
      <c r="I445" s="0" t="n">
        <v>22.18</v>
      </c>
      <c r="J445" s="0" t="n">
        <v>73.34</v>
      </c>
      <c r="K445" s="0" t="n">
        <v>201</v>
      </c>
      <c r="T445" s="0" t="n">
        <v>3</v>
      </c>
      <c r="U445" s="0" t="n">
        <v>2</v>
      </c>
      <c r="V445" s="0" t="inlineStr">
        <is>
          <t>계단식</t>
        </is>
      </c>
      <c r="W445" s="0" t="n">
        <v>91</v>
      </c>
      <c r="X445" s="0" t="n">
        <v>20</v>
      </c>
      <c r="Y445" s="0" t="n">
        <v>12</v>
      </c>
      <c r="Z445" s="0" t="inlineStr">
        <is>
          <t>https://new.land.naver.com/complexes/11036?tab=detail&amp;rf=Y</t>
        </is>
      </c>
      <c r="AA445" s="0" t="inlineStr">
        <is>
          <t>인천시 서구 당하동 1113-1</t>
        </is>
      </c>
      <c r="AB445" s="0" t="inlineStr">
        <is>
          <t>인천시</t>
        </is>
      </c>
      <c r="AC445" s="0" t="inlineStr">
        <is>
          <t>서구</t>
        </is>
      </c>
      <c r="AD445" s="0" t="inlineStr">
        <is>
          <t>당하동</t>
        </is>
      </c>
      <c r="AG445" s="0" t="inlineStr">
        <is>
          <t>인천시 서구 청마로 124</t>
        </is>
      </c>
      <c r="AH445" s="0" t="n">
        <v>0</v>
      </c>
      <c r="AI445" s="0" t="n">
        <v>248</v>
      </c>
      <c r="AJ445" s="0" t="n">
        <v>0</v>
      </c>
      <c r="AK445" s="0" t="n">
        <v>1067</v>
      </c>
      <c r="AL445" s="0" t="n">
        <v>1.05</v>
      </c>
    </row>
    <row r="446">
      <c r="A446" s="0" t="inlineStr">
        <is>
          <t>[당하동]</t>
        </is>
      </c>
      <c r="B446" s="0" t="n">
        <v>11036</v>
      </c>
      <c r="C446" s="0" t="n">
        <v>2</v>
      </c>
      <c r="D446" s="0" t="inlineStr">
        <is>
          <t>당하KCC스위첸</t>
        </is>
      </c>
      <c r="E446" s="0" t="inlineStr">
        <is>
          <t>2005.04.</t>
        </is>
      </c>
      <c r="F446" s="0" t="n">
        <v>1015</v>
      </c>
      <c r="G446" s="0" t="n">
        <v>32.6</v>
      </c>
      <c r="H446" s="0" t="n">
        <v>107.8</v>
      </c>
      <c r="I446" s="0" t="n">
        <v>25.7</v>
      </c>
      <c r="J446" s="0" t="n">
        <v>84.98999999999999</v>
      </c>
      <c r="K446" s="0" t="n">
        <v>736</v>
      </c>
      <c r="T446" s="0" t="n">
        <v>3</v>
      </c>
      <c r="U446" s="0" t="n">
        <v>2</v>
      </c>
      <c r="V446" s="0" t="inlineStr">
        <is>
          <t>계단식</t>
        </is>
      </c>
      <c r="W446" s="0" t="n">
        <v>107</v>
      </c>
      <c r="X446" s="0" t="n">
        <v>20</v>
      </c>
      <c r="Y446" s="0" t="n">
        <v>12</v>
      </c>
      <c r="Z446" s="0" t="inlineStr">
        <is>
          <t>https://new.land.naver.com/complexes/11036?tab=detail&amp;rf=Y</t>
        </is>
      </c>
      <c r="AA446" s="0" t="inlineStr">
        <is>
          <t>인천시 서구 당하동 1113-1</t>
        </is>
      </c>
      <c r="AB446" s="0" t="inlineStr">
        <is>
          <t>인천시</t>
        </is>
      </c>
      <c r="AC446" s="0" t="inlineStr">
        <is>
          <t>서구</t>
        </is>
      </c>
      <c r="AD446" s="0" t="inlineStr">
        <is>
          <t>당하동</t>
        </is>
      </c>
      <c r="AG446" s="0" t="inlineStr">
        <is>
          <t>인천시 서구 청마로 124</t>
        </is>
      </c>
      <c r="AH446" s="0" t="n">
        <v>0</v>
      </c>
      <c r="AI446" s="0" t="n">
        <v>248</v>
      </c>
      <c r="AJ446" s="0" t="n">
        <v>0</v>
      </c>
      <c r="AK446" s="0" t="n">
        <v>1067</v>
      </c>
      <c r="AL446" s="0" t="n">
        <v>1.05</v>
      </c>
    </row>
    <row r="447">
      <c r="A447" s="0" t="inlineStr">
        <is>
          <t>[당하동]</t>
        </is>
      </c>
      <c r="B447" s="0" t="n">
        <v>11036</v>
      </c>
      <c r="C447" s="0" t="n">
        <v>3</v>
      </c>
      <c r="D447" s="0" t="inlineStr">
        <is>
          <t>당하KCC스위첸</t>
        </is>
      </c>
      <c r="E447" s="0" t="inlineStr">
        <is>
          <t>2005.04.</t>
        </is>
      </c>
      <c r="F447" s="0" t="n">
        <v>1015</v>
      </c>
      <c r="G447" s="0" t="n">
        <v>40.49</v>
      </c>
      <c r="H447" s="0" t="n">
        <v>133.88</v>
      </c>
      <c r="I447" s="0" t="n">
        <v>31.92</v>
      </c>
      <c r="J447" s="0" t="n">
        <v>105.54</v>
      </c>
      <c r="K447" s="0" t="n">
        <v>78</v>
      </c>
      <c r="T447" s="0" t="n">
        <v>3</v>
      </c>
      <c r="U447" s="0" t="n">
        <v>2</v>
      </c>
      <c r="V447" s="0" t="inlineStr">
        <is>
          <t>계단식</t>
        </is>
      </c>
      <c r="W447" s="0" t="n">
        <v>133</v>
      </c>
      <c r="X447" s="0" t="n">
        <v>20</v>
      </c>
      <c r="Y447" s="0" t="n">
        <v>12</v>
      </c>
      <c r="Z447" s="0" t="inlineStr">
        <is>
          <t>https://new.land.naver.com/complexes/11036?tab=detail&amp;rf=Y</t>
        </is>
      </c>
      <c r="AA447" s="0" t="inlineStr">
        <is>
          <t>인천시 서구 당하동 1113-1</t>
        </is>
      </c>
      <c r="AB447" s="0" t="inlineStr">
        <is>
          <t>인천시</t>
        </is>
      </c>
      <c r="AC447" s="0" t="inlineStr">
        <is>
          <t>서구</t>
        </is>
      </c>
      <c r="AD447" s="0" t="inlineStr">
        <is>
          <t>당하동</t>
        </is>
      </c>
      <c r="AG447" s="0" t="inlineStr">
        <is>
          <t>인천시 서구 청마로 124</t>
        </is>
      </c>
      <c r="AH447" s="0" t="n">
        <v>0</v>
      </c>
      <c r="AI447" s="0" t="n">
        <v>248</v>
      </c>
      <c r="AJ447" s="0" t="n">
        <v>0</v>
      </c>
      <c r="AK447" s="0" t="n">
        <v>1067</v>
      </c>
      <c r="AL447" s="0" t="n">
        <v>1.05</v>
      </c>
    </row>
    <row r="448">
      <c r="A448" s="0" t="inlineStr">
        <is>
          <t>[당하동]</t>
        </is>
      </c>
      <c r="B448" s="0" t="n">
        <v>10005</v>
      </c>
      <c r="C448" s="0" t="n">
        <v>1</v>
      </c>
      <c r="D448" s="0" t="inlineStr">
        <is>
          <t>금호어울림1차</t>
        </is>
      </c>
      <c r="E448" s="0" t="inlineStr">
        <is>
          <t>2004.03.</t>
        </is>
      </c>
      <c r="F448" s="0" t="n">
        <v>341</v>
      </c>
      <c r="G448" s="0" t="n">
        <v>32.01</v>
      </c>
      <c r="H448" s="0" t="n">
        <v>105.84</v>
      </c>
      <c r="I448" s="0" t="n">
        <v>25.7</v>
      </c>
      <c r="J448" s="0" t="n">
        <v>84.98999999999999</v>
      </c>
      <c r="K448" s="0" t="n">
        <v>341</v>
      </c>
      <c r="T448" s="0" t="n">
        <v>3</v>
      </c>
      <c r="U448" s="0" t="n">
        <v>2</v>
      </c>
      <c r="V448" s="0" t="inlineStr">
        <is>
          <t>계단식</t>
        </is>
      </c>
      <c r="W448" s="0" t="n">
        <v>105</v>
      </c>
      <c r="X448" s="0" t="n">
        <v>15</v>
      </c>
      <c r="Y448" s="0" t="n">
        <v>12</v>
      </c>
      <c r="Z448" s="0" t="inlineStr">
        <is>
          <t>https://new.land.naver.com/complexes/10005?tab=detail&amp;rf=Y</t>
        </is>
      </c>
      <c r="AA448" s="0" t="inlineStr">
        <is>
          <t>인천시 서구 당하동 1037-3</t>
        </is>
      </c>
      <c r="AB448" s="0" t="inlineStr">
        <is>
          <t>인천시</t>
        </is>
      </c>
      <c r="AC448" s="0" t="inlineStr">
        <is>
          <t>서구</t>
        </is>
      </c>
      <c r="AD448" s="0" t="inlineStr">
        <is>
          <t>당하동</t>
        </is>
      </c>
      <c r="AG448" s="0" t="inlineStr">
        <is>
          <t>인천시 서구 고산후로78번길 9</t>
        </is>
      </c>
      <c r="AH448" s="0" t="n">
        <v>0</v>
      </c>
      <c r="AI448" s="0" t="n">
        <v>199</v>
      </c>
      <c r="AJ448" s="0" t="n">
        <v>0</v>
      </c>
      <c r="AK448" s="0" t="n">
        <v>0</v>
      </c>
      <c r="AL448" s="0" t="n">
        <v>0</v>
      </c>
    </row>
    <row r="449">
      <c r="A449" s="0" t="inlineStr">
        <is>
          <t>[당하동]</t>
        </is>
      </c>
      <c r="B449" s="0" t="n">
        <v>26004</v>
      </c>
      <c r="C449" s="0" t="n">
        <v>1</v>
      </c>
      <c r="D449" s="0" t="inlineStr">
        <is>
          <t>보미골드리즌빌(실버주택)</t>
        </is>
      </c>
      <c r="E449" s="0" t="inlineStr">
        <is>
          <t>2009.02.</t>
        </is>
      </c>
      <c r="F449" s="0" t="n">
        <v>216</v>
      </c>
      <c r="G449" s="0" t="n">
        <v>30.67</v>
      </c>
      <c r="H449" s="0" t="n">
        <v>101.39</v>
      </c>
      <c r="I449" s="0" t="n">
        <v>23.76</v>
      </c>
      <c r="J449" s="0" t="n">
        <v>78.56</v>
      </c>
      <c r="K449" s="0" t="n">
        <v>81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101A</t>
        </is>
      </c>
      <c r="X449" s="0" t="n">
        <v>10</v>
      </c>
      <c r="Y449" s="0" t="n">
        <v>10</v>
      </c>
      <c r="Z449" s="0" t="inlineStr">
        <is>
          <t>https://new.land.naver.com/complexes/26004?tab=detail&amp;rf=Y</t>
        </is>
      </c>
      <c r="AA449" s="0" t="inlineStr">
        <is>
          <t>인천시 서구 당하동 1077-3</t>
        </is>
      </c>
      <c r="AB449" s="0" t="inlineStr">
        <is>
          <t>인천시</t>
        </is>
      </c>
      <c r="AC449" s="0" t="inlineStr">
        <is>
          <t>서구</t>
        </is>
      </c>
      <c r="AD449" s="0" t="inlineStr">
        <is>
          <t>당하동</t>
        </is>
      </c>
      <c r="AG449" s="0" t="inlineStr">
        <is>
          <t>인천시 서구 원당대로 628</t>
        </is>
      </c>
      <c r="AH449" s="0" t="n">
        <v>0</v>
      </c>
      <c r="AI449" s="0" t="n">
        <v>521</v>
      </c>
      <c r="AJ449" s="0" t="n">
        <v>69</v>
      </c>
      <c r="AK449" s="0" t="n">
        <v>175</v>
      </c>
      <c r="AL449" s="0" t="n">
        <v>0.8100000000000001</v>
      </c>
    </row>
    <row r="450">
      <c r="A450" s="0" t="inlineStr">
        <is>
          <t>[당하동]</t>
        </is>
      </c>
      <c r="B450" s="0" t="n">
        <v>26004</v>
      </c>
      <c r="C450" s="0" t="n">
        <v>2</v>
      </c>
      <c r="D450" s="0" t="inlineStr">
        <is>
          <t>보미골드리즌빌(실버주택)</t>
        </is>
      </c>
      <c r="E450" s="0" t="inlineStr">
        <is>
          <t>2009.02.</t>
        </is>
      </c>
      <c r="F450" s="0" t="n">
        <v>216</v>
      </c>
      <c r="G450" s="0" t="n">
        <v>31.03</v>
      </c>
      <c r="H450" s="0" t="n">
        <v>102.58</v>
      </c>
      <c r="I450" s="0" t="n">
        <v>24.04</v>
      </c>
      <c r="J450" s="0" t="n">
        <v>79.48</v>
      </c>
      <c r="K450" s="0" t="n">
        <v>36</v>
      </c>
      <c r="T450" s="0" t="n">
        <v>3</v>
      </c>
      <c r="U450" s="0" t="n">
        <v>2</v>
      </c>
      <c r="V450" s="0" t="inlineStr">
        <is>
          <t>계단식</t>
        </is>
      </c>
      <c r="W450" s="0" t="inlineStr">
        <is>
          <t>102B</t>
        </is>
      </c>
      <c r="X450" s="0" t="n">
        <v>10</v>
      </c>
      <c r="Y450" s="0" t="n">
        <v>10</v>
      </c>
      <c r="Z450" s="0" t="inlineStr">
        <is>
          <t>https://new.land.naver.com/complexes/26004?tab=detail&amp;rf=Y</t>
        </is>
      </c>
      <c r="AA450" s="0" t="inlineStr">
        <is>
          <t>인천시 서구 당하동 1077-3</t>
        </is>
      </c>
      <c r="AB450" s="0" t="inlineStr">
        <is>
          <t>인천시</t>
        </is>
      </c>
      <c r="AC450" s="0" t="inlineStr">
        <is>
          <t>서구</t>
        </is>
      </c>
      <c r="AD450" s="0" t="inlineStr">
        <is>
          <t>당하동</t>
        </is>
      </c>
      <c r="AG450" s="0" t="inlineStr">
        <is>
          <t>인천시 서구 원당대로 628</t>
        </is>
      </c>
      <c r="AH450" s="0" t="n">
        <v>0</v>
      </c>
      <c r="AI450" s="0" t="n">
        <v>521</v>
      </c>
      <c r="AJ450" s="0" t="n">
        <v>69</v>
      </c>
      <c r="AK450" s="0" t="n">
        <v>175</v>
      </c>
      <c r="AL450" s="0" t="n">
        <v>0.8100000000000001</v>
      </c>
    </row>
    <row r="451">
      <c r="A451" s="0" t="inlineStr">
        <is>
          <t>[당하동]</t>
        </is>
      </c>
      <c r="B451" s="0" t="n">
        <v>26004</v>
      </c>
      <c r="C451" s="0" t="n">
        <v>3</v>
      </c>
      <c r="D451" s="0" t="inlineStr">
        <is>
          <t>보미골드리즌빌(실버주택)</t>
        </is>
      </c>
      <c r="E451" s="0" t="inlineStr">
        <is>
          <t>2009.02.</t>
        </is>
      </c>
      <c r="F451" s="0" t="n">
        <v>216</v>
      </c>
      <c r="G451" s="0" t="n">
        <v>31.29</v>
      </c>
      <c r="H451" s="0" t="n">
        <v>103.44</v>
      </c>
      <c r="I451" s="0" t="n">
        <v>24.24</v>
      </c>
      <c r="J451" s="0" t="n">
        <v>80.15000000000001</v>
      </c>
      <c r="K451" s="0" t="n">
        <v>18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103C</t>
        </is>
      </c>
      <c r="X451" s="0" t="n">
        <v>10</v>
      </c>
      <c r="Y451" s="0" t="n">
        <v>10</v>
      </c>
      <c r="Z451" s="0" t="inlineStr">
        <is>
          <t>https://new.land.naver.com/complexes/26004?tab=detail&amp;rf=Y</t>
        </is>
      </c>
      <c r="AA451" s="0" t="inlineStr">
        <is>
          <t>인천시 서구 당하동 1077-3</t>
        </is>
      </c>
      <c r="AB451" s="0" t="inlineStr">
        <is>
          <t>인천시</t>
        </is>
      </c>
      <c r="AC451" s="0" t="inlineStr">
        <is>
          <t>서구</t>
        </is>
      </c>
      <c r="AD451" s="0" t="inlineStr">
        <is>
          <t>당하동</t>
        </is>
      </c>
      <c r="AG451" s="0" t="inlineStr">
        <is>
          <t>인천시 서구 원당대로 628</t>
        </is>
      </c>
      <c r="AH451" s="0" t="n">
        <v>0</v>
      </c>
      <c r="AI451" s="0" t="n">
        <v>521</v>
      </c>
      <c r="AJ451" s="0" t="n">
        <v>69</v>
      </c>
      <c r="AK451" s="0" t="n">
        <v>175</v>
      </c>
      <c r="AL451" s="0" t="n">
        <v>0.8100000000000001</v>
      </c>
    </row>
    <row r="452">
      <c r="A452" s="0" t="inlineStr">
        <is>
          <t>[당하동]</t>
        </is>
      </c>
      <c r="B452" s="0" t="n">
        <v>26004</v>
      </c>
      <c r="C452" s="0" t="n">
        <v>4</v>
      </c>
      <c r="D452" s="0" t="inlineStr">
        <is>
          <t>보미골드리즌빌(실버주택)</t>
        </is>
      </c>
      <c r="E452" s="0" t="inlineStr">
        <is>
          <t>2009.02.</t>
        </is>
      </c>
      <c r="F452" s="0" t="n">
        <v>216</v>
      </c>
      <c r="G452" s="0" t="n">
        <v>37.84</v>
      </c>
      <c r="H452" s="0" t="n">
        <v>125.11</v>
      </c>
      <c r="I452" s="0" t="n">
        <v>29.32</v>
      </c>
      <c r="J452" s="0" t="n">
        <v>96.94</v>
      </c>
      <c r="K452" s="0" t="n">
        <v>72</v>
      </c>
      <c r="T452" s="0" t="n">
        <v>4</v>
      </c>
      <c r="U452" s="0" t="n">
        <v>2</v>
      </c>
      <c r="V452" s="0" t="inlineStr">
        <is>
          <t>계단식</t>
        </is>
      </c>
      <c r="W452" s="0" t="n">
        <v>125</v>
      </c>
      <c r="X452" s="0" t="n">
        <v>10</v>
      </c>
      <c r="Y452" s="0" t="n">
        <v>10</v>
      </c>
      <c r="Z452" s="0" t="inlineStr">
        <is>
          <t>https://new.land.naver.com/complexes/26004?tab=detail&amp;rf=Y</t>
        </is>
      </c>
      <c r="AA452" s="0" t="inlineStr">
        <is>
          <t>인천시 서구 당하동 1077-3</t>
        </is>
      </c>
      <c r="AB452" s="0" t="inlineStr">
        <is>
          <t>인천시</t>
        </is>
      </c>
      <c r="AC452" s="0" t="inlineStr">
        <is>
          <t>서구</t>
        </is>
      </c>
      <c r="AD452" s="0" t="inlineStr">
        <is>
          <t>당하동</t>
        </is>
      </c>
      <c r="AG452" s="0" t="inlineStr">
        <is>
          <t>인천시 서구 원당대로 628</t>
        </is>
      </c>
      <c r="AH452" s="0" t="n">
        <v>0</v>
      </c>
      <c r="AI452" s="0" t="n">
        <v>521</v>
      </c>
      <c r="AJ452" s="0" t="n">
        <v>69</v>
      </c>
      <c r="AK452" s="0" t="n">
        <v>175</v>
      </c>
      <c r="AL452" s="0" t="n">
        <v>0.8100000000000001</v>
      </c>
    </row>
    <row r="453">
      <c r="A453" s="0" t="inlineStr">
        <is>
          <t>[당하동]</t>
        </is>
      </c>
      <c r="B453" s="0" t="n">
        <v>26004</v>
      </c>
      <c r="C453" s="0" t="n">
        <v>5</v>
      </c>
      <c r="D453" s="0" t="inlineStr">
        <is>
          <t>보미골드리즌빌(실버주택)</t>
        </is>
      </c>
      <c r="E453" s="0" t="inlineStr">
        <is>
          <t>2009.02.</t>
        </is>
      </c>
      <c r="F453" s="0" t="n">
        <v>216</v>
      </c>
      <c r="G453" s="0" t="n">
        <v>49.94</v>
      </c>
      <c r="H453" s="0" t="n">
        <v>165.11</v>
      </c>
      <c r="I453" s="0" t="n">
        <v>38.69</v>
      </c>
      <c r="J453" s="0" t="n">
        <v>127.93</v>
      </c>
      <c r="K453" s="0" t="n">
        <v>9</v>
      </c>
      <c r="T453" s="0" t="n">
        <v>4</v>
      </c>
      <c r="U453" s="0" t="n">
        <v>2</v>
      </c>
      <c r="V453" s="0" t="inlineStr">
        <is>
          <t>계단식</t>
        </is>
      </c>
      <c r="W453" s="0" t="n">
        <v>165</v>
      </c>
      <c r="X453" s="0" t="n">
        <v>10</v>
      </c>
      <c r="Y453" s="0" t="n">
        <v>10</v>
      </c>
      <c r="Z453" s="0" t="inlineStr">
        <is>
          <t>https://new.land.naver.com/complexes/26004?tab=detail&amp;rf=Y</t>
        </is>
      </c>
      <c r="AA453" s="0" t="inlineStr">
        <is>
          <t>인천시 서구 당하동 1077-3</t>
        </is>
      </c>
      <c r="AB453" s="0" t="inlineStr">
        <is>
          <t>인천시</t>
        </is>
      </c>
      <c r="AC453" s="0" t="inlineStr">
        <is>
          <t>서구</t>
        </is>
      </c>
      <c r="AD453" s="0" t="inlineStr">
        <is>
          <t>당하동</t>
        </is>
      </c>
      <c r="AG453" s="0" t="inlineStr">
        <is>
          <t>인천시 서구 원당대로 628</t>
        </is>
      </c>
      <c r="AH453" s="0" t="n">
        <v>0</v>
      </c>
      <c r="AI453" s="0" t="n">
        <v>521</v>
      </c>
      <c r="AJ453" s="0" t="n">
        <v>69</v>
      </c>
      <c r="AK453" s="0" t="n">
        <v>175</v>
      </c>
      <c r="AL453" s="0" t="n">
        <v>0.8100000000000001</v>
      </c>
    </row>
    <row r="454">
      <c r="A454" s="0" t="inlineStr">
        <is>
          <t>[당하동]</t>
        </is>
      </c>
      <c r="B454" s="0" t="n">
        <v>124963</v>
      </c>
      <c r="C454" s="0" t="n">
        <v>1</v>
      </c>
      <c r="D454" s="0" t="inlineStr">
        <is>
          <t>검단신도시한신더휴캐널파크</t>
        </is>
      </c>
      <c r="E454" s="0" t="inlineStr">
        <is>
          <t>2021.09.</t>
        </is>
      </c>
      <c r="F454" s="0" t="n">
        <v>936</v>
      </c>
      <c r="G454" s="0" t="n">
        <v>28.86</v>
      </c>
      <c r="H454" s="0" t="n">
        <v>95.42</v>
      </c>
      <c r="I454" s="0" t="n">
        <v>22.46</v>
      </c>
      <c r="J454" s="0" t="n">
        <v>74.26000000000001</v>
      </c>
      <c r="K454" s="0" t="n">
        <v>250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95A</t>
        </is>
      </c>
      <c r="X454" s="0" t="n">
        <v>28</v>
      </c>
      <c r="Y454" s="0" t="n">
        <v>21</v>
      </c>
      <c r="Z454" s="0" t="inlineStr">
        <is>
          <t>https://new.land.naver.com/complexes/124963?tab=detail&amp;rf=Y</t>
        </is>
      </c>
      <c r="AA454" s="0" t="inlineStr">
        <is>
          <t>인천시 서구 당하동 1254-1</t>
        </is>
      </c>
      <c r="AB454" s="0" t="inlineStr">
        <is>
          <t>인천시</t>
        </is>
      </c>
      <c r="AC454" s="0" t="inlineStr">
        <is>
          <t>서구</t>
        </is>
      </c>
      <c r="AD454" s="0" t="inlineStr">
        <is>
          <t>당하동</t>
        </is>
      </c>
      <c r="AG454" s="0" t="inlineStr">
        <is>
          <t>인천시 서구 이음3로 125</t>
        </is>
      </c>
      <c r="AH454" s="0" t="n">
        <v>0</v>
      </c>
      <c r="AI454" s="0" t="n">
        <v>214</v>
      </c>
      <c r="AJ454" s="0" t="n">
        <v>14</v>
      </c>
      <c r="AK454" s="0" t="n">
        <v>1185</v>
      </c>
      <c r="AL454" s="0" t="n">
        <v>1.27</v>
      </c>
    </row>
    <row r="455">
      <c r="A455" s="0" t="inlineStr">
        <is>
          <t>[당하동]</t>
        </is>
      </c>
      <c r="B455" s="0" t="n">
        <v>124963</v>
      </c>
      <c r="C455" s="0" t="n">
        <v>2</v>
      </c>
      <c r="D455" s="0" t="inlineStr">
        <is>
          <t>검단신도시한신더휴캐널파크</t>
        </is>
      </c>
      <c r="E455" s="0" t="inlineStr">
        <is>
          <t>2021.09.</t>
        </is>
      </c>
      <c r="F455" s="0" t="n">
        <v>936</v>
      </c>
      <c r="G455" s="0" t="n">
        <v>29.11</v>
      </c>
      <c r="H455" s="0" t="n">
        <v>96.25</v>
      </c>
      <c r="I455" s="0" t="n">
        <v>22.5</v>
      </c>
      <c r="J455" s="0" t="n">
        <v>74.41</v>
      </c>
      <c r="K455" s="0" t="n">
        <v>74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96B</t>
        </is>
      </c>
      <c r="X455" s="0" t="n">
        <v>28</v>
      </c>
      <c r="Y455" s="0" t="n">
        <v>21</v>
      </c>
      <c r="Z455" s="0" t="inlineStr">
        <is>
          <t>https://new.land.naver.com/complexes/124963?tab=detail&amp;rf=Y</t>
        </is>
      </c>
      <c r="AA455" s="0" t="inlineStr">
        <is>
          <t>인천시 서구 당하동 1254-1</t>
        </is>
      </c>
      <c r="AB455" s="0" t="inlineStr">
        <is>
          <t>인천시</t>
        </is>
      </c>
      <c r="AC455" s="0" t="inlineStr">
        <is>
          <t>서구</t>
        </is>
      </c>
      <c r="AD455" s="0" t="inlineStr">
        <is>
          <t>당하동</t>
        </is>
      </c>
      <c r="AG455" s="0" t="inlineStr">
        <is>
          <t>인천시 서구 이음3로 125</t>
        </is>
      </c>
      <c r="AH455" s="0" t="n">
        <v>0</v>
      </c>
      <c r="AI455" s="0" t="n">
        <v>214</v>
      </c>
      <c r="AJ455" s="0" t="n">
        <v>14</v>
      </c>
      <c r="AK455" s="0" t="n">
        <v>1185</v>
      </c>
      <c r="AL455" s="0" t="n">
        <v>1.27</v>
      </c>
    </row>
    <row r="456">
      <c r="A456" s="0" t="inlineStr">
        <is>
          <t>[당하동]</t>
        </is>
      </c>
      <c r="B456" s="0" t="n">
        <v>124963</v>
      </c>
      <c r="C456" s="0" t="n">
        <v>3</v>
      </c>
      <c r="D456" s="0" t="inlineStr">
        <is>
          <t>검단신도시한신더휴캐널파크</t>
        </is>
      </c>
      <c r="E456" s="0" t="inlineStr">
        <is>
          <t>2021.09.</t>
        </is>
      </c>
      <c r="F456" s="0" t="n">
        <v>936</v>
      </c>
      <c r="G456" s="0" t="n">
        <v>32.78</v>
      </c>
      <c r="H456" s="0" t="n">
        <v>108.37</v>
      </c>
      <c r="I456" s="0" t="n">
        <v>25.45</v>
      </c>
      <c r="J456" s="0" t="n">
        <v>84.15000000000001</v>
      </c>
      <c r="K456" s="0" t="n">
        <v>366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108B</t>
        </is>
      </c>
      <c r="X456" s="0" t="n">
        <v>28</v>
      </c>
      <c r="Y456" s="0" t="n">
        <v>21</v>
      </c>
      <c r="Z456" s="0" t="inlineStr">
        <is>
          <t>https://new.land.naver.com/complexes/124963?tab=detail&amp;rf=Y</t>
        </is>
      </c>
      <c r="AA456" s="0" t="inlineStr">
        <is>
          <t>인천시 서구 당하동 1254-1</t>
        </is>
      </c>
      <c r="AB456" s="0" t="inlineStr">
        <is>
          <t>인천시</t>
        </is>
      </c>
      <c r="AC456" s="0" t="inlineStr">
        <is>
          <t>서구</t>
        </is>
      </c>
      <c r="AD456" s="0" t="inlineStr">
        <is>
          <t>당하동</t>
        </is>
      </c>
      <c r="AG456" s="0" t="inlineStr">
        <is>
          <t>인천시 서구 이음3로 125</t>
        </is>
      </c>
      <c r="AH456" s="0" t="n">
        <v>0</v>
      </c>
      <c r="AI456" s="0" t="n">
        <v>214</v>
      </c>
      <c r="AJ456" s="0" t="n">
        <v>14</v>
      </c>
      <c r="AK456" s="0" t="n">
        <v>1185</v>
      </c>
      <c r="AL456" s="0" t="n">
        <v>1.27</v>
      </c>
    </row>
    <row r="457">
      <c r="A457" s="0" t="inlineStr">
        <is>
          <t>[당하동]</t>
        </is>
      </c>
      <c r="B457" s="0" t="n">
        <v>124963</v>
      </c>
      <c r="C457" s="0" t="n">
        <v>4</v>
      </c>
      <c r="D457" s="0" t="inlineStr">
        <is>
          <t>검단신도시한신더휴캐널파크</t>
        </is>
      </c>
      <c r="E457" s="0" t="inlineStr">
        <is>
          <t>2021.09.</t>
        </is>
      </c>
      <c r="F457" s="0" t="n">
        <v>936</v>
      </c>
      <c r="G457" s="0" t="n">
        <v>32.78</v>
      </c>
      <c r="H457" s="0" t="n">
        <v>108.37</v>
      </c>
      <c r="I457" s="0" t="n">
        <v>25.51</v>
      </c>
      <c r="J457" s="0" t="n">
        <v>84.34</v>
      </c>
      <c r="K457" s="0" t="n">
        <v>246</v>
      </c>
      <c r="T457" s="0" t="n">
        <v>4</v>
      </c>
      <c r="U457" s="0" t="n">
        <v>2</v>
      </c>
      <c r="V457" s="0" t="inlineStr">
        <is>
          <t>계단식</t>
        </is>
      </c>
      <c r="W457" s="0" t="inlineStr">
        <is>
          <t>108A</t>
        </is>
      </c>
      <c r="X457" s="0" t="n">
        <v>28</v>
      </c>
      <c r="Y457" s="0" t="n">
        <v>21</v>
      </c>
      <c r="Z457" s="0" t="inlineStr">
        <is>
          <t>https://new.land.naver.com/complexes/124963?tab=detail&amp;rf=Y</t>
        </is>
      </c>
      <c r="AA457" s="0" t="inlineStr">
        <is>
          <t>인천시 서구 당하동 1254-1</t>
        </is>
      </c>
      <c r="AB457" s="0" t="inlineStr">
        <is>
          <t>인천시</t>
        </is>
      </c>
      <c r="AC457" s="0" t="inlineStr">
        <is>
          <t>서구</t>
        </is>
      </c>
      <c r="AD457" s="0" t="inlineStr">
        <is>
          <t>당하동</t>
        </is>
      </c>
      <c r="AG457" s="0" t="inlineStr">
        <is>
          <t>인천시 서구 이음3로 125</t>
        </is>
      </c>
      <c r="AH457" s="0" t="n">
        <v>0</v>
      </c>
      <c r="AI457" s="0" t="n">
        <v>214</v>
      </c>
      <c r="AJ457" s="0" t="n">
        <v>14</v>
      </c>
      <c r="AK457" s="0" t="n">
        <v>1185</v>
      </c>
      <c r="AL457" s="0" t="n">
        <v>1.27</v>
      </c>
    </row>
    <row r="458">
      <c r="A458" s="0" t="inlineStr">
        <is>
          <t>[당하동]</t>
        </is>
      </c>
      <c r="B458" s="0" t="n">
        <v>127926</v>
      </c>
      <c r="C458" s="0" t="n">
        <v>1</v>
      </c>
      <c r="D458" s="0" t="inlineStr">
        <is>
          <t>호반써밋인천검단2차</t>
        </is>
      </c>
      <c r="E458" s="0" t="inlineStr">
        <is>
          <t>2022.05.</t>
        </is>
      </c>
      <c r="F458" s="0" t="n">
        <v>719</v>
      </c>
      <c r="G458" s="0" t="n">
        <v>29.19</v>
      </c>
      <c r="H458" s="0" t="n">
        <v>96.52</v>
      </c>
      <c r="I458" s="0" t="n">
        <v>21.94</v>
      </c>
      <c r="J458" s="0" t="n">
        <v>72.55</v>
      </c>
      <c r="K458" s="0" t="n">
        <v>84</v>
      </c>
      <c r="T458" s="0" t="n">
        <v>3</v>
      </c>
      <c r="U458" s="0" t="n">
        <v>2</v>
      </c>
      <c r="V458" s="0" t="inlineStr">
        <is>
          <t>계단식</t>
        </is>
      </c>
      <c r="W458" s="0" t="inlineStr">
        <is>
          <t>96A</t>
        </is>
      </c>
      <c r="X458" s="0" t="n">
        <v>25</v>
      </c>
      <c r="Y458" s="0" t="n">
        <v>22</v>
      </c>
      <c r="Z458" s="0" t="inlineStr">
        <is>
          <t>https://new.land.naver.com/complexes/127926?tab=detail&amp;rf=Y</t>
        </is>
      </c>
      <c r="AA458" s="0" t="inlineStr">
        <is>
          <t>인천시 서구 당하동 검단지구 AA1블록</t>
        </is>
      </c>
      <c r="AB458" s="0" t="inlineStr">
        <is>
          <t>인천시</t>
        </is>
      </c>
      <c r="AC458" s="0" t="inlineStr">
        <is>
          <t>서구</t>
        </is>
      </c>
      <c r="AD458" s="0" t="inlineStr">
        <is>
          <t>당하동</t>
        </is>
      </c>
      <c r="AG458" s="0" t="inlineStr">
        <is>
          <t>인천시 서구</t>
        </is>
      </c>
      <c r="AH458" s="0" t="n">
        <v>0</v>
      </c>
      <c r="AI458" s="0" t="n">
        <v>184</v>
      </c>
      <c r="AJ458" s="0" t="n">
        <v>15</v>
      </c>
      <c r="AK458" s="0" t="n">
        <v>1016</v>
      </c>
      <c r="AL458" s="0" t="n">
        <v>1.41</v>
      </c>
    </row>
    <row r="459">
      <c r="A459" s="0" t="inlineStr">
        <is>
          <t>[당하동]</t>
        </is>
      </c>
      <c r="B459" s="0" t="n">
        <v>127926</v>
      </c>
      <c r="C459" s="0" t="n">
        <v>2</v>
      </c>
      <c r="D459" s="0" t="inlineStr">
        <is>
          <t>호반써밋인천검단2차</t>
        </is>
      </c>
      <c r="E459" s="0" t="inlineStr">
        <is>
          <t>2022.05.</t>
        </is>
      </c>
      <c r="F459" s="0" t="n">
        <v>719</v>
      </c>
      <c r="G459" s="0" t="n">
        <v>29.41</v>
      </c>
      <c r="H459" s="0" t="n">
        <v>97.23999999999999</v>
      </c>
      <c r="I459" s="0" t="n">
        <v>21.98</v>
      </c>
      <c r="J459" s="0" t="n">
        <v>72.69</v>
      </c>
      <c r="K459" s="0" t="n">
        <v>84</v>
      </c>
      <c r="T459" s="0" t="n">
        <v>3</v>
      </c>
      <c r="U459" s="0" t="n">
        <v>2</v>
      </c>
      <c r="V459" s="0" t="inlineStr">
        <is>
          <t>계단식</t>
        </is>
      </c>
      <c r="W459" s="0" t="inlineStr">
        <is>
          <t>97B</t>
        </is>
      </c>
      <c r="X459" s="0" t="n">
        <v>25</v>
      </c>
      <c r="Y459" s="0" t="n">
        <v>22</v>
      </c>
      <c r="Z459" s="0" t="inlineStr">
        <is>
          <t>https://new.land.naver.com/complexes/127926?tab=detail&amp;rf=Y</t>
        </is>
      </c>
      <c r="AA459" s="0" t="inlineStr">
        <is>
          <t>인천시 서구 당하동 검단지구 AA1블록</t>
        </is>
      </c>
      <c r="AB459" s="0" t="inlineStr">
        <is>
          <t>인천시</t>
        </is>
      </c>
      <c r="AC459" s="0" t="inlineStr">
        <is>
          <t>서구</t>
        </is>
      </c>
      <c r="AD459" s="0" t="inlineStr">
        <is>
          <t>당하동</t>
        </is>
      </c>
      <c r="AG459" s="0" t="inlineStr">
        <is>
          <t>인천시 서구</t>
        </is>
      </c>
      <c r="AH459" s="0" t="n">
        <v>0</v>
      </c>
      <c r="AI459" s="0" t="n">
        <v>184</v>
      </c>
      <c r="AJ459" s="0" t="n">
        <v>15</v>
      </c>
      <c r="AK459" s="0" t="n">
        <v>1016</v>
      </c>
      <c r="AL459" s="0" t="n">
        <v>1.41</v>
      </c>
    </row>
    <row r="460">
      <c r="A460" s="0" t="inlineStr">
        <is>
          <t>[당하동]</t>
        </is>
      </c>
      <c r="B460" s="0" t="n">
        <v>127926</v>
      </c>
      <c r="C460" s="0" t="n">
        <v>3</v>
      </c>
      <c r="D460" s="0" t="inlineStr">
        <is>
          <t>호반써밋인천검단2차</t>
        </is>
      </c>
      <c r="E460" s="0" t="inlineStr">
        <is>
          <t>2022.05.</t>
        </is>
      </c>
      <c r="F460" s="0" t="n">
        <v>719</v>
      </c>
      <c r="G460" s="0" t="n">
        <v>32.22</v>
      </c>
      <c r="H460" s="0" t="n">
        <v>106.54</v>
      </c>
      <c r="I460" s="0" t="n">
        <v>24.41</v>
      </c>
      <c r="J460" s="0" t="n">
        <v>80.70999999999999</v>
      </c>
      <c r="K460" s="0" t="n">
        <v>8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106A</t>
        </is>
      </c>
      <c r="X460" s="0" t="n">
        <v>25</v>
      </c>
      <c r="Y460" s="0" t="n">
        <v>22</v>
      </c>
      <c r="Z460" s="0" t="inlineStr">
        <is>
          <t>https://new.land.naver.com/complexes/127926?tab=detail&amp;rf=Y</t>
        </is>
      </c>
      <c r="AA460" s="0" t="inlineStr">
        <is>
          <t>인천시 서구 당하동 검단지구 AA1블록</t>
        </is>
      </c>
      <c r="AB460" s="0" t="inlineStr">
        <is>
          <t>인천시</t>
        </is>
      </c>
      <c r="AC460" s="0" t="inlineStr">
        <is>
          <t>서구</t>
        </is>
      </c>
      <c r="AD460" s="0" t="inlineStr">
        <is>
          <t>당하동</t>
        </is>
      </c>
      <c r="AG460" s="0" t="inlineStr">
        <is>
          <t>인천시 서구</t>
        </is>
      </c>
      <c r="AH460" s="0" t="n">
        <v>0</v>
      </c>
      <c r="AI460" s="0" t="n">
        <v>184</v>
      </c>
      <c r="AJ460" s="0" t="n">
        <v>15</v>
      </c>
      <c r="AK460" s="0" t="n">
        <v>1016</v>
      </c>
      <c r="AL460" s="0" t="n">
        <v>1.41</v>
      </c>
    </row>
    <row r="461">
      <c r="A461" s="0" t="inlineStr">
        <is>
          <t>[당하동]</t>
        </is>
      </c>
      <c r="B461" s="0" t="n">
        <v>127926</v>
      </c>
      <c r="C461" s="0" t="n">
        <v>4</v>
      </c>
      <c r="D461" s="0" t="inlineStr">
        <is>
          <t>호반써밋인천검단2차</t>
        </is>
      </c>
      <c r="E461" s="0" t="inlineStr">
        <is>
          <t>2022.05.</t>
        </is>
      </c>
      <c r="F461" s="0" t="n">
        <v>719</v>
      </c>
      <c r="G461" s="0" t="n">
        <v>32.44</v>
      </c>
      <c r="H461" s="0" t="n">
        <v>107.26</v>
      </c>
      <c r="I461" s="0" t="n">
        <v>24.45</v>
      </c>
      <c r="J461" s="0" t="n">
        <v>80.84999999999999</v>
      </c>
      <c r="K461" s="0" t="n">
        <v>8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107B</t>
        </is>
      </c>
      <c r="X461" s="0" t="n">
        <v>25</v>
      </c>
      <c r="Y461" s="0" t="n">
        <v>22</v>
      </c>
      <c r="Z461" s="0" t="inlineStr">
        <is>
          <t>https://new.land.naver.com/complexes/127926?tab=detail&amp;rf=Y</t>
        </is>
      </c>
      <c r="AA461" s="0" t="inlineStr">
        <is>
          <t>인천시 서구 당하동 검단지구 AA1블록</t>
        </is>
      </c>
      <c r="AB461" s="0" t="inlineStr">
        <is>
          <t>인천시</t>
        </is>
      </c>
      <c r="AC461" s="0" t="inlineStr">
        <is>
          <t>서구</t>
        </is>
      </c>
      <c r="AD461" s="0" t="inlineStr">
        <is>
          <t>당하동</t>
        </is>
      </c>
      <c r="AG461" s="0" t="inlineStr">
        <is>
          <t>인천시 서구</t>
        </is>
      </c>
      <c r="AH461" s="0" t="n">
        <v>0</v>
      </c>
      <c r="AI461" s="0" t="n">
        <v>184</v>
      </c>
      <c r="AJ461" s="0" t="n">
        <v>15</v>
      </c>
      <c r="AK461" s="0" t="n">
        <v>1016</v>
      </c>
      <c r="AL461" s="0" t="n">
        <v>1.41</v>
      </c>
    </row>
    <row r="462">
      <c r="A462" s="0" t="inlineStr">
        <is>
          <t>[당하동]</t>
        </is>
      </c>
      <c r="B462" s="0" t="n">
        <v>127926</v>
      </c>
      <c r="C462" s="0" t="n">
        <v>5</v>
      </c>
      <c r="D462" s="0" t="inlineStr">
        <is>
          <t>호반써밋인천검단2차</t>
        </is>
      </c>
      <c r="E462" s="0" t="inlineStr">
        <is>
          <t>2022.05.</t>
        </is>
      </c>
      <c r="F462" s="0" t="n">
        <v>719</v>
      </c>
      <c r="G462" s="0" t="n">
        <v>33.47</v>
      </c>
      <c r="H462" s="0" t="n">
        <v>110.65</v>
      </c>
      <c r="I462" s="0" t="n">
        <v>25.49</v>
      </c>
      <c r="J462" s="0" t="n">
        <v>84.28</v>
      </c>
      <c r="K462" s="0" t="n">
        <v>276</v>
      </c>
      <c r="T462" s="0" t="n">
        <v>4</v>
      </c>
      <c r="U462" s="0" t="n">
        <v>2</v>
      </c>
      <c r="V462" s="0" t="inlineStr">
        <is>
          <t>계단식</t>
        </is>
      </c>
      <c r="W462" s="0" t="inlineStr">
        <is>
          <t>110A</t>
        </is>
      </c>
      <c r="X462" s="0" t="n">
        <v>25</v>
      </c>
      <c r="Y462" s="0" t="n">
        <v>22</v>
      </c>
      <c r="Z462" s="0" t="inlineStr">
        <is>
          <t>https://new.land.naver.com/complexes/127926?tab=detail&amp;rf=Y</t>
        </is>
      </c>
      <c r="AA462" s="0" t="inlineStr">
        <is>
          <t>인천시 서구 당하동 검단지구 AA1블록</t>
        </is>
      </c>
      <c r="AB462" s="0" t="inlineStr">
        <is>
          <t>인천시</t>
        </is>
      </c>
      <c r="AC462" s="0" t="inlineStr">
        <is>
          <t>서구</t>
        </is>
      </c>
      <c r="AD462" s="0" t="inlineStr">
        <is>
          <t>당하동</t>
        </is>
      </c>
      <c r="AG462" s="0" t="inlineStr">
        <is>
          <t>인천시 서구</t>
        </is>
      </c>
      <c r="AH462" s="0" t="n">
        <v>0</v>
      </c>
      <c r="AI462" s="0" t="n">
        <v>184</v>
      </c>
      <c r="AJ462" s="0" t="n">
        <v>15</v>
      </c>
      <c r="AK462" s="0" t="n">
        <v>1016</v>
      </c>
      <c r="AL462" s="0" t="n">
        <v>1.41</v>
      </c>
    </row>
    <row r="463">
      <c r="A463" s="0" t="inlineStr">
        <is>
          <t>[당하동]</t>
        </is>
      </c>
      <c r="B463" s="0" t="n">
        <v>127926</v>
      </c>
      <c r="C463" s="0" t="n">
        <v>6</v>
      </c>
      <c r="D463" s="0" t="inlineStr">
        <is>
          <t>호반써밋인천검단2차</t>
        </is>
      </c>
      <c r="E463" s="0" t="inlineStr">
        <is>
          <t>2022.05.</t>
        </is>
      </c>
      <c r="F463" s="0" t="n">
        <v>719</v>
      </c>
      <c r="G463" s="0" t="n">
        <v>33.53</v>
      </c>
      <c r="H463" s="0" t="n">
        <v>110.85</v>
      </c>
      <c r="I463" s="0" t="n">
        <v>25.43</v>
      </c>
      <c r="J463" s="0" t="n">
        <v>84.09</v>
      </c>
      <c r="K463" s="0" t="n">
        <v>46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110B</t>
        </is>
      </c>
      <c r="X463" s="0" t="n">
        <v>25</v>
      </c>
      <c r="Y463" s="0" t="n">
        <v>22</v>
      </c>
      <c r="Z463" s="0" t="inlineStr">
        <is>
          <t>https://new.land.naver.com/complexes/127926?tab=detail&amp;rf=Y</t>
        </is>
      </c>
      <c r="AA463" s="0" t="inlineStr">
        <is>
          <t>인천시 서구 당하동 검단지구 AA1블록</t>
        </is>
      </c>
      <c r="AB463" s="0" t="inlineStr">
        <is>
          <t>인천시</t>
        </is>
      </c>
      <c r="AC463" s="0" t="inlineStr">
        <is>
          <t>서구</t>
        </is>
      </c>
      <c r="AD463" s="0" t="inlineStr">
        <is>
          <t>당하동</t>
        </is>
      </c>
      <c r="AG463" s="0" t="inlineStr">
        <is>
          <t>인천시 서구</t>
        </is>
      </c>
      <c r="AH463" s="0" t="n">
        <v>0</v>
      </c>
      <c r="AI463" s="0" t="n">
        <v>184</v>
      </c>
      <c r="AJ463" s="0" t="n">
        <v>15</v>
      </c>
      <c r="AK463" s="0" t="n">
        <v>1016</v>
      </c>
      <c r="AL463" s="0" t="n">
        <v>1.41</v>
      </c>
    </row>
    <row r="464">
      <c r="A464" s="0" t="inlineStr">
        <is>
          <t>[당하동]</t>
        </is>
      </c>
      <c r="B464" s="0" t="n">
        <v>127926</v>
      </c>
      <c r="C464" s="0" t="n">
        <v>7</v>
      </c>
      <c r="D464" s="0" t="inlineStr">
        <is>
          <t>호반써밋인천검단2차</t>
        </is>
      </c>
      <c r="E464" s="0" t="inlineStr">
        <is>
          <t>2022.05.</t>
        </is>
      </c>
      <c r="F464" s="0" t="n">
        <v>719</v>
      </c>
      <c r="G464" s="0" t="n">
        <v>37.02</v>
      </c>
      <c r="H464" s="0" t="n">
        <v>122.4</v>
      </c>
      <c r="I464" s="0" t="n">
        <v>29.48</v>
      </c>
      <c r="J464" s="0" t="n">
        <v>97.48</v>
      </c>
      <c r="K464" s="0" t="n">
        <v>184</v>
      </c>
      <c r="T464" s="0" t="n">
        <v>4</v>
      </c>
      <c r="U464" s="0" t="n">
        <v>2</v>
      </c>
      <c r="V464" s="0" t="inlineStr">
        <is>
          <t>계단식</t>
        </is>
      </c>
      <c r="W464" s="0" t="n">
        <v>122</v>
      </c>
      <c r="X464" s="0" t="n">
        <v>25</v>
      </c>
      <c r="Y464" s="0" t="n">
        <v>22</v>
      </c>
      <c r="Z464" s="0" t="inlineStr">
        <is>
          <t>https://new.land.naver.com/complexes/127926?tab=detail&amp;rf=Y</t>
        </is>
      </c>
      <c r="AA464" s="0" t="inlineStr">
        <is>
          <t>인천시 서구 당하동 검단지구 AA1블록</t>
        </is>
      </c>
      <c r="AB464" s="0" t="inlineStr">
        <is>
          <t>인천시</t>
        </is>
      </c>
      <c r="AC464" s="0" t="inlineStr">
        <is>
          <t>서구</t>
        </is>
      </c>
      <c r="AD464" s="0" t="inlineStr">
        <is>
          <t>당하동</t>
        </is>
      </c>
      <c r="AG464" s="0" t="inlineStr">
        <is>
          <t>인천시 서구</t>
        </is>
      </c>
      <c r="AH464" s="0" t="n">
        <v>0</v>
      </c>
      <c r="AI464" s="0" t="n">
        <v>184</v>
      </c>
      <c r="AJ464" s="0" t="n">
        <v>15</v>
      </c>
      <c r="AK464" s="0" t="n">
        <v>1016</v>
      </c>
      <c r="AL464" s="0" t="n">
        <v>1.41</v>
      </c>
    </row>
    <row r="465">
      <c r="A465" s="0" t="inlineStr">
        <is>
          <t>[당하동]</t>
        </is>
      </c>
      <c r="B465" s="0" t="n">
        <v>127926</v>
      </c>
      <c r="C465" s="0" t="n">
        <v>8</v>
      </c>
      <c r="D465" s="0" t="inlineStr">
        <is>
          <t>호반써밋인천검단2차</t>
        </is>
      </c>
      <c r="E465" s="0" t="inlineStr">
        <is>
          <t>2022.05.</t>
        </is>
      </c>
      <c r="F465" s="0" t="n">
        <v>719</v>
      </c>
      <c r="G465" s="0" t="n">
        <v>36.92</v>
      </c>
      <c r="H465" s="0" t="n">
        <v>122.05</v>
      </c>
      <c r="I465" s="0" t="n">
        <v>28.32</v>
      </c>
      <c r="J465" s="0" t="n">
        <v>93.64</v>
      </c>
      <c r="K465" s="0" t="n">
        <v>15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122A</t>
        </is>
      </c>
      <c r="X465" s="0" t="n">
        <v>25</v>
      </c>
      <c r="Y465" s="0" t="n">
        <v>22</v>
      </c>
      <c r="Z465" s="0" t="inlineStr">
        <is>
          <t>https://new.land.naver.com/complexes/127926?tab=detail&amp;rf=Y</t>
        </is>
      </c>
      <c r="AA465" s="0" t="inlineStr">
        <is>
          <t>인천시 서구 당하동 검단지구 AA1블록</t>
        </is>
      </c>
      <c r="AB465" s="0" t="inlineStr">
        <is>
          <t>인천시</t>
        </is>
      </c>
      <c r="AC465" s="0" t="inlineStr">
        <is>
          <t>서구</t>
        </is>
      </c>
      <c r="AD465" s="0" t="inlineStr">
        <is>
          <t>당하동</t>
        </is>
      </c>
      <c r="AG465" s="0" t="inlineStr">
        <is>
          <t>인천시 서구</t>
        </is>
      </c>
      <c r="AH465" s="0" t="n">
        <v>0</v>
      </c>
      <c r="AI465" s="0" t="n">
        <v>184</v>
      </c>
      <c r="AJ465" s="0" t="n">
        <v>15</v>
      </c>
      <c r="AK465" s="0" t="n">
        <v>1016</v>
      </c>
      <c r="AL465" s="0" t="n">
        <v>1.41</v>
      </c>
    </row>
    <row r="466">
      <c r="A466" s="0" t="inlineStr">
        <is>
          <t>[당하동]</t>
        </is>
      </c>
      <c r="B466" s="0" t="n">
        <v>127926</v>
      </c>
      <c r="C466" s="0" t="n">
        <v>9</v>
      </c>
      <c r="D466" s="0" t="inlineStr">
        <is>
          <t>호반써밋인천검단2차</t>
        </is>
      </c>
      <c r="E466" s="0" t="inlineStr">
        <is>
          <t>2022.05.</t>
        </is>
      </c>
      <c r="F466" s="0" t="n">
        <v>719</v>
      </c>
      <c r="G466" s="0" t="n">
        <v>36.98</v>
      </c>
      <c r="H466" s="0" t="n">
        <v>122.25</v>
      </c>
      <c r="I466" s="0" t="n">
        <v>28.26</v>
      </c>
      <c r="J466" s="0" t="n">
        <v>93.45</v>
      </c>
      <c r="K466" s="0" t="n">
        <v>4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122B</t>
        </is>
      </c>
      <c r="X466" s="0" t="n">
        <v>25</v>
      </c>
      <c r="Y466" s="0" t="n">
        <v>22</v>
      </c>
      <c r="Z466" s="0" t="inlineStr">
        <is>
          <t>https://new.land.naver.com/complexes/127926?tab=detail&amp;rf=Y</t>
        </is>
      </c>
      <c r="AA466" s="0" t="inlineStr">
        <is>
          <t>인천시 서구 당하동 검단지구 AA1블록</t>
        </is>
      </c>
      <c r="AB466" s="0" t="inlineStr">
        <is>
          <t>인천시</t>
        </is>
      </c>
      <c r="AC466" s="0" t="inlineStr">
        <is>
          <t>서구</t>
        </is>
      </c>
      <c r="AD466" s="0" t="inlineStr">
        <is>
          <t>당하동</t>
        </is>
      </c>
      <c r="AG466" s="0" t="inlineStr">
        <is>
          <t>인천시 서구</t>
        </is>
      </c>
      <c r="AH466" s="0" t="n">
        <v>0</v>
      </c>
      <c r="AI466" s="0" t="n">
        <v>184</v>
      </c>
      <c r="AJ466" s="0" t="n">
        <v>15</v>
      </c>
      <c r="AK466" s="0" t="n">
        <v>1016</v>
      </c>
      <c r="AL466" s="0" t="n">
        <v>1.41</v>
      </c>
    </row>
    <row r="467">
      <c r="A467" s="0" t="inlineStr">
        <is>
          <t>[당하동]</t>
        </is>
      </c>
      <c r="B467" s="0" t="n">
        <v>127926</v>
      </c>
      <c r="C467" s="0" t="n">
        <v>10</v>
      </c>
      <c r="D467" s="0" t="inlineStr">
        <is>
          <t>호반써밋인천검단2차</t>
        </is>
      </c>
      <c r="E467" s="0" t="inlineStr">
        <is>
          <t>2022.05.</t>
        </is>
      </c>
      <c r="F467" s="0" t="n">
        <v>719</v>
      </c>
      <c r="G467" s="0" t="n">
        <v>40.55</v>
      </c>
      <c r="H467" s="0" t="n">
        <v>134.08</v>
      </c>
      <c r="I467" s="0" t="n">
        <v>32.5</v>
      </c>
      <c r="J467" s="0" t="n">
        <v>107.44</v>
      </c>
      <c r="K467" s="0" t="n">
        <v>10</v>
      </c>
      <c r="T467" s="0" t="n">
        <v>4</v>
      </c>
      <c r="U467" s="0" t="n">
        <v>2</v>
      </c>
      <c r="V467" s="0" t="inlineStr">
        <is>
          <t>계단식</t>
        </is>
      </c>
      <c r="W467" s="0" t="n">
        <v>134</v>
      </c>
      <c r="X467" s="0" t="n">
        <v>25</v>
      </c>
      <c r="Y467" s="0" t="n">
        <v>22</v>
      </c>
      <c r="Z467" s="0" t="inlineStr">
        <is>
          <t>https://new.land.naver.com/complexes/127926?tab=detail&amp;rf=Y</t>
        </is>
      </c>
      <c r="AA467" s="0" t="inlineStr">
        <is>
          <t>인천시 서구 당하동 검단지구 AA1블록</t>
        </is>
      </c>
      <c r="AB467" s="0" t="inlineStr">
        <is>
          <t>인천시</t>
        </is>
      </c>
      <c r="AC467" s="0" t="inlineStr">
        <is>
          <t>서구</t>
        </is>
      </c>
      <c r="AD467" s="0" t="inlineStr">
        <is>
          <t>당하동</t>
        </is>
      </c>
      <c r="AG467" s="0" t="inlineStr">
        <is>
          <t>인천시 서구</t>
        </is>
      </c>
      <c r="AH467" s="0" t="n">
        <v>0</v>
      </c>
      <c r="AI467" s="0" t="n">
        <v>184</v>
      </c>
      <c r="AJ467" s="0" t="n">
        <v>15</v>
      </c>
      <c r="AK467" s="0" t="n">
        <v>1016</v>
      </c>
      <c r="AL467" s="0" t="n">
        <v>1.41</v>
      </c>
    </row>
    <row r="468">
      <c r="A468" s="0" t="inlineStr">
        <is>
          <t>[당하동]</t>
        </is>
      </c>
      <c r="B468" s="0" t="n">
        <v>102707</v>
      </c>
      <c r="C468" s="0" t="n">
        <v>1</v>
      </c>
      <c r="D468" s="0" t="inlineStr">
        <is>
          <t>인천검단힐스테이트5차</t>
        </is>
      </c>
      <c r="E468" s="0" t="inlineStr">
        <is>
          <t>2013.02.</t>
        </is>
      </c>
      <c r="F468" s="0" t="n">
        <v>412</v>
      </c>
      <c r="G468" s="0" t="n">
        <v>32.29</v>
      </c>
      <c r="H468" s="0" t="n">
        <v>106.75</v>
      </c>
      <c r="I468" s="0" t="n">
        <v>25.7</v>
      </c>
      <c r="J468" s="0" t="n">
        <v>84.97</v>
      </c>
      <c r="K468" s="0" t="n">
        <v>112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106C</t>
        </is>
      </c>
      <c r="X468" s="0" t="n">
        <v>15</v>
      </c>
      <c r="Y468" s="0" t="n">
        <v>15</v>
      </c>
      <c r="Z468" s="0" t="inlineStr">
        <is>
          <t>https://new.land.naver.com/complexes/102707?tab=detail&amp;rf=Y</t>
        </is>
      </c>
      <c r="AA468" s="0" t="inlineStr">
        <is>
          <t>인천시 서구 당하동 1075-9</t>
        </is>
      </c>
      <c r="AB468" s="0" t="inlineStr">
        <is>
          <t>인천시</t>
        </is>
      </c>
      <c r="AC468" s="0" t="inlineStr">
        <is>
          <t>서구</t>
        </is>
      </c>
      <c r="AD468" s="0" t="inlineStr">
        <is>
          <t>당하동</t>
        </is>
      </c>
      <c r="AG468" s="0" t="inlineStr">
        <is>
          <t>인천시 서구 청마로34번길 6</t>
        </is>
      </c>
      <c r="AH468" s="0" t="n">
        <v>0</v>
      </c>
      <c r="AI468" s="0" t="n">
        <v>193</v>
      </c>
      <c r="AJ468" s="0" t="n">
        <v>19</v>
      </c>
      <c r="AK468" s="0" t="n">
        <v>539</v>
      </c>
      <c r="AL468" s="0" t="n">
        <v>1.31</v>
      </c>
    </row>
    <row r="469">
      <c r="A469" s="0" t="inlineStr">
        <is>
          <t>[당하동]</t>
        </is>
      </c>
      <c r="B469" s="0" t="n">
        <v>102707</v>
      </c>
      <c r="C469" s="0" t="n">
        <v>2</v>
      </c>
      <c r="D469" s="0" t="inlineStr">
        <is>
          <t>인천검단힐스테이트5차</t>
        </is>
      </c>
      <c r="E469" s="0" t="inlineStr">
        <is>
          <t>2013.02.</t>
        </is>
      </c>
      <c r="F469" s="0" t="n">
        <v>412</v>
      </c>
      <c r="G469" s="0" t="n">
        <v>32.37</v>
      </c>
      <c r="H469" s="0" t="n">
        <v>107.01</v>
      </c>
      <c r="I469" s="0" t="n">
        <v>25.7</v>
      </c>
      <c r="J469" s="0" t="n">
        <v>84.98999999999999</v>
      </c>
      <c r="K469" s="0" t="n">
        <v>120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107A</t>
        </is>
      </c>
      <c r="X469" s="0" t="n">
        <v>15</v>
      </c>
      <c r="Y469" s="0" t="n">
        <v>15</v>
      </c>
      <c r="Z469" s="0" t="inlineStr">
        <is>
          <t>https://new.land.naver.com/complexes/102707?tab=detail&amp;rf=Y</t>
        </is>
      </c>
      <c r="AA469" s="0" t="inlineStr">
        <is>
          <t>인천시 서구 당하동 1075-9</t>
        </is>
      </c>
      <c r="AB469" s="0" t="inlineStr">
        <is>
          <t>인천시</t>
        </is>
      </c>
      <c r="AC469" s="0" t="inlineStr">
        <is>
          <t>서구</t>
        </is>
      </c>
      <c r="AD469" s="0" t="inlineStr">
        <is>
          <t>당하동</t>
        </is>
      </c>
      <c r="AG469" s="0" t="inlineStr">
        <is>
          <t>인천시 서구 청마로34번길 6</t>
        </is>
      </c>
      <c r="AH469" s="0" t="n">
        <v>0</v>
      </c>
      <c r="AI469" s="0" t="n">
        <v>193</v>
      </c>
      <c r="AJ469" s="0" t="n">
        <v>19</v>
      </c>
      <c r="AK469" s="0" t="n">
        <v>539</v>
      </c>
      <c r="AL469" s="0" t="n">
        <v>1.31</v>
      </c>
    </row>
    <row r="470">
      <c r="A470" s="0" t="inlineStr">
        <is>
          <t>[당하동]</t>
        </is>
      </c>
      <c r="B470" s="0" t="n">
        <v>102707</v>
      </c>
      <c r="C470" s="0" t="n">
        <v>3</v>
      </c>
      <c r="D470" s="0" t="inlineStr">
        <is>
          <t>인천검단힐스테이트5차</t>
        </is>
      </c>
      <c r="E470" s="0" t="inlineStr">
        <is>
          <t>2013.02.</t>
        </is>
      </c>
      <c r="F470" s="0" t="n">
        <v>412</v>
      </c>
      <c r="G470" s="0" t="n">
        <v>32.82</v>
      </c>
      <c r="H470" s="0" t="n">
        <v>108.5</v>
      </c>
      <c r="I470" s="0" t="n">
        <v>25.7</v>
      </c>
      <c r="J470" s="0" t="n">
        <v>84.95999999999999</v>
      </c>
      <c r="K470" s="0" t="n">
        <v>60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108B</t>
        </is>
      </c>
      <c r="X470" s="0" t="n">
        <v>15</v>
      </c>
      <c r="Y470" s="0" t="n">
        <v>15</v>
      </c>
      <c r="Z470" s="0" t="inlineStr">
        <is>
          <t>https://new.land.naver.com/complexes/102707?tab=detail&amp;rf=Y</t>
        </is>
      </c>
      <c r="AA470" s="0" t="inlineStr">
        <is>
          <t>인천시 서구 당하동 1075-9</t>
        </is>
      </c>
      <c r="AB470" s="0" t="inlineStr">
        <is>
          <t>인천시</t>
        </is>
      </c>
      <c r="AC470" s="0" t="inlineStr">
        <is>
          <t>서구</t>
        </is>
      </c>
      <c r="AD470" s="0" t="inlineStr">
        <is>
          <t>당하동</t>
        </is>
      </c>
      <c r="AG470" s="0" t="inlineStr">
        <is>
          <t>인천시 서구 청마로34번길 6</t>
        </is>
      </c>
      <c r="AH470" s="0" t="n">
        <v>0</v>
      </c>
      <c r="AI470" s="0" t="n">
        <v>193</v>
      </c>
      <c r="AJ470" s="0" t="n">
        <v>19</v>
      </c>
      <c r="AK470" s="0" t="n">
        <v>539</v>
      </c>
      <c r="AL470" s="0" t="n">
        <v>1.31</v>
      </c>
    </row>
    <row r="471">
      <c r="A471" s="0" t="inlineStr">
        <is>
          <t>[당하동]</t>
        </is>
      </c>
      <c r="B471" s="0" t="n">
        <v>102707</v>
      </c>
      <c r="C471" s="0" t="n">
        <v>4</v>
      </c>
      <c r="D471" s="0" t="inlineStr">
        <is>
          <t>인천검단힐스테이트5차</t>
        </is>
      </c>
      <c r="E471" s="0" t="inlineStr">
        <is>
          <t>2013.02.</t>
        </is>
      </c>
      <c r="F471" s="0" t="n">
        <v>412</v>
      </c>
      <c r="G471" s="0" t="n">
        <v>37.98</v>
      </c>
      <c r="H471" s="0" t="n">
        <v>125.58</v>
      </c>
      <c r="I471" s="0" t="n">
        <v>30.09</v>
      </c>
      <c r="J471" s="0" t="n">
        <v>99.48</v>
      </c>
      <c r="K471" s="0" t="n">
        <v>120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125</v>
      </c>
      <c r="X471" s="0" t="n">
        <v>15</v>
      </c>
      <c r="Y471" s="0" t="n">
        <v>15</v>
      </c>
      <c r="Z471" s="0" t="inlineStr">
        <is>
          <t>https://new.land.naver.com/complexes/102707?tab=detail&amp;rf=Y</t>
        </is>
      </c>
      <c r="AA471" s="0" t="inlineStr">
        <is>
          <t>인천시 서구 당하동 1075-9</t>
        </is>
      </c>
      <c r="AB471" s="0" t="inlineStr">
        <is>
          <t>인천시</t>
        </is>
      </c>
      <c r="AC471" s="0" t="inlineStr">
        <is>
          <t>서구</t>
        </is>
      </c>
      <c r="AD471" s="0" t="inlineStr">
        <is>
          <t>당하동</t>
        </is>
      </c>
      <c r="AG471" s="0" t="inlineStr">
        <is>
          <t>인천시 서구 청마로34번길 6</t>
        </is>
      </c>
      <c r="AH471" s="0" t="n">
        <v>0</v>
      </c>
      <c r="AI471" s="0" t="n">
        <v>193</v>
      </c>
      <c r="AJ471" s="0" t="n">
        <v>19</v>
      </c>
      <c r="AK471" s="0" t="n">
        <v>539</v>
      </c>
      <c r="AL471" s="0" t="n">
        <v>1.31</v>
      </c>
    </row>
    <row r="472">
      <c r="A472" s="0" t="inlineStr">
        <is>
          <t>[당하동]</t>
        </is>
      </c>
      <c r="B472" s="0" t="n">
        <v>124463</v>
      </c>
      <c r="C472" s="0" t="n">
        <v>1</v>
      </c>
      <c r="D472" s="0" t="inlineStr">
        <is>
          <t>디자인타운</t>
        </is>
      </c>
      <c r="E472" s="0" t="inlineStr">
        <is>
          <t>2015.10.</t>
        </is>
      </c>
      <c r="F472" s="0" t="n">
        <v>9</v>
      </c>
      <c r="G472" s="0" t="n">
        <v>20.55</v>
      </c>
      <c r="H472" s="0" t="n">
        <v>67.95</v>
      </c>
      <c r="I472" s="0" t="n">
        <v>17.95</v>
      </c>
      <c r="J472" s="0" t="n">
        <v>59.36</v>
      </c>
      <c r="K472" s="0" t="n">
        <v>1</v>
      </c>
      <c r="T472" s="0" t="n">
        <v>3</v>
      </c>
      <c r="U472" s="0" t="n">
        <v>1</v>
      </c>
      <c r="V472" s="0" t="inlineStr">
        <is>
          <t>계단식</t>
        </is>
      </c>
      <c r="W472" s="0" t="inlineStr">
        <is>
          <t>67A</t>
        </is>
      </c>
      <c r="X472" s="0" t="n">
        <v>5</v>
      </c>
      <c r="Y472" s="0" t="n">
        <v>5</v>
      </c>
      <c r="Z472" s="0" t="inlineStr">
        <is>
          <t>https://new.land.naver.com/complexes/124463?tab=detail&amp;rf=Y</t>
        </is>
      </c>
      <c r="AA472" s="0" t="inlineStr">
        <is>
          <t>인천시 서구 당하동 1098-10</t>
        </is>
      </c>
      <c r="AB472" s="0" t="inlineStr">
        <is>
          <t>인천시</t>
        </is>
      </c>
      <c r="AC472" s="0" t="inlineStr">
        <is>
          <t>서구</t>
        </is>
      </c>
      <c r="AD472" s="0" t="inlineStr">
        <is>
          <t>당하동</t>
        </is>
      </c>
      <c r="AG472" s="0" t="inlineStr">
        <is>
          <t>인천시 서구 청마로 111-9</t>
        </is>
      </c>
      <c r="AH472" s="0" t="n">
        <v>0</v>
      </c>
      <c r="AI472" s="0" t="n">
        <v>208</v>
      </c>
      <c r="AJ472" s="0" t="n">
        <v>53</v>
      </c>
      <c r="AK472" s="0" t="n">
        <v>9</v>
      </c>
      <c r="AL472" s="0" t="n">
        <v>1</v>
      </c>
    </row>
    <row r="473">
      <c r="A473" s="0" t="inlineStr">
        <is>
          <t>[당하동]</t>
        </is>
      </c>
      <c r="B473" s="0" t="n">
        <v>124463</v>
      </c>
      <c r="C473" s="0" t="n">
        <v>2</v>
      </c>
      <c r="D473" s="0" t="inlineStr">
        <is>
          <t>디자인타운</t>
        </is>
      </c>
      <c r="E473" s="0" t="inlineStr">
        <is>
          <t>2015.10.</t>
        </is>
      </c>
      <c r="F473" s="0" t="n">
        <v>9</v>
      </c>
      <c r="G473" s="0" t="n">
        <v>20.89</v>
      </c>
      <c r="H473" s="0" t="n">
        <v>69.09</v>
      </c>
      <c r="I473" s="0" t="n">
        <v>18.25</v>
      </c>
      <c r="J473" s="0" t="n">
        <v>60.36</v>
      </c>
      <c r="K473" s="0" t="n">
        <v>2</v>
      </c>
      <c r="T473" s="0" t="n">
        <v>3</v>
      </c>
      <c r="U473" s="0" t="n">
        <v>1</v>
      </c>
      <c r="V473" s="0" t="inlineStr">
        <is>
          <t>계단식</t>
        </is>
      </c>
      <c r="W473" s="0" t="inlineStr">
        <is>
          <t>69B</t>
        </is>
      </c>
      <c r="X473" s="0" t="n">
        <v>5</v>
      </c>
      <c r="Y473" s="0" t="n">
        <v>5</v>
      </c>
      <c r="Z473" s="0" t="inlineStr">
        <is>
          <t>https://new.land.naver.com/complexes/124463?tab=detail&amp;rf=Y</t>
        </is>
      </c>
      <c r="AA473" s="0" t="inlineStr">
        <is>
          <t>인천시 서구 당하동 1098-10</t>
        </is>
      </c>
      <c r="AB473" s="0" t="inlineStr">
        <is>
          <t>인천시</t>
        </is>
      </c>
      <c r="AC473" s="0" t="inlineStr">
        <is>
          <t>서구</t>
        </is>
      </c>
      <c r="AD473" s="0" t="inlineStr">
        <is>
          <t>당하동</t>
        </is>
      </c>
      <c r="AG473" s="0" t="inlineStr">
        <is>
          <t>인천시 서구 청마로 111-9</t>
        </is>
      </c>
      <c r="AH473" s="0" t="n">
        <v>0</v>
      </c>
      <c r="AI473" s="0" t="n">
        <v>208</v>
      </c>
      <c r="AJ473" s="0" t="n">
        <v>53</v>
      </c>
      <c r="AK473" s="0" t="n">
        <v>9</v>
      </c>
      <c r="AL473" s="0" t="n">
        <v>1</v>
      </c>
    </row>
    <row r="474">
      <c r="A474" s="0" t="inlineStr">
        <is>
          <t>[당하동]</t>
        </is>
      </c>
      <c r="B474" s="0" t="n">
        <v>124463</v>
      </c>
      <c r="C474" s="0" t="n">
        <v>3</v>
      </c>
      <c r="D474" s="0" t="inlineStr">
        <is>
          <t>디자인타운</t>
        </is>
      </c>
      <c r="E474" s="0" t="inlineStr">
        <is>
          <t>2015.10.</t>
        </is>
      </c>
      <c r="F474" s="0" t="n">
        <v>9</v>
      </c>
      <c r="G474" s="0" t="n">
        <v>21.11</v>
      </c>
      <c r="H474" s="0" t="n">
        <v>69.79000000000001</v>
      </c>
      <c r="I474" s="0" t="n">
        <v>18.44</v>
      </c>
      <c r="J474" s="0" t="n">
        <v>60.97</v>
      </c>
      <c r="K474" s="0" t="n">
        <v>2</v>
      </c>
      <c r="T474" s="0" t="n">
        <v>3</v>
      </c>
      <c r="U474" s="0" t="n">
        <v>1</v>
      </c>
      <c r="V474" s="0" t="inlineStr">
        <is>
          <t>계단식</t>
        </is>
      </c>
      <c r="W474" s="0" t="inlineStr">
        <is>
          <t>69C</t>
        </is>
      </c>
      <c r="X474" s="0" t="n">
        <v>5</v>
      </c>
      <c r="Y474" s="0" t="n">
        <v>5</v>
      </c>
      <c r="Z474" s="0" t="inlineStr">
        <is>
          <t>https://new.land.naver.com/complexes/124463?tab=detail&amp;rf=Y</t>
        </is>
      </c>
      <c r="AA474" s="0" t="inlineStr">
        <is>
          <t>인천시 서구 당하동 1098-10</t>
        </is>
      </c>
      <c r="AB474" s="0" t="inlineStr">
        <is>
          <t>인천시</t>
        </is>
      </c>
      <c r="AC474" s="0" t="inlineStr">
        <is>
          <t>서구</t>
        </is>
      </c>
      <c r="AD474" s="0" t="inlineStr">
        <is>
          <t>당하동</t>
        </is>
      </c>
      <c r="AG474" s="0" t="inlineStr">
        <is>
          <t>인천시 서구 청마로 111-9</t>
        </is>
      </c>
      <c r="AH474" s="0" t="n">
        <v>0</v>
      </c>
      <c r="AI474" s="0" t="n">
        <v>208</v>
      </c>
      <c r="AJ474" s="0" t="n">
        <v>53</v>
      </c>
      <c r="AK474" s="0" t="n">
        <v>9</v>
      </c>
      <c r="AL474" s="0" t="n">
        <v>1</v>
      </c>
    </row>
    <row r="475">
      <c r="A475" s="0" t="inlineStr">
        <is>
          <t>[당하동]</t>
        </is>
      </c>
      <c r="B475" s="0" t="n">
        <v>124463</v>
      </c>
      <c r="C475" s="0" t="n">
        <v>4</v>
      </c>
      <c r="D475" s="0" t="inlineStr">
        <is>
          <t>디자인타운</t>
        </is>
      </c>
      <c r="E475" s="0" t="inlineStr">
        <is>
          <t>2015.10.</t>
        </is>
      </c>
      <c r="F475" s="0" t="n">
        <v>9</v>
      </c>
      <c r="G475" s="0" t="n">
        <v>21.69</v>
      </c>
      <c r="H475" s="0" t="n">
        <v>71.73</v>
      </c>
      <c r="I475" s="0" t="n">
        <v>18.95</v>
      </c>
      <c r="J475" s="0" t="n">
        <v>62.67</v>
      </c>
      <c r="K475" s="0" t="n">
        <v>3</v>
      </c>
      <c r="T475" s="0" t="n">
        <v>3</v>
      </c>
      <c r="U475" s="0" t="n">
        <v>1</v>
      </c>
      <c r="V475" s="0" t="inlineStr">
        <is>
          <t>계단식</t>
        </is>
      </c>
      <c r="W475" s="0" t="inlineStr">
        <is>
          <t>71A</t>
        </is>
      </c>
      <c r="X475" s="0" t="n">
        <v>5</v>
      </c>
      <c r="Y475" s="0" t="n">
        <v>5</v>
      </c>
      <c r="Z475" s="0" t="inlineStr">
        <is>
          <t>https://new.land.naver.com/complexes/124463?tab=detail&amp;rf=Y</t>
        </is>
      </c>
      <c r="AA475" s="0" t="inlineStr">
        <is>
          <t>인천시 서구 당하동 1098-10</t>
        </is>
      </c>
      <c r="AB475" s="0" t="inlineStr">
        <is>
          <t>인천시</t>
        </is>
      </c>
      <c r="AC475" s="0" t="inlineStr">
        <is>
          <t>서구</t>
        </is>
      </c>
      <c r="AD475" s="0" t="inlineStr">
        <is>
          <t>당하동</t>
        </is>
      </c>
      <c r="AG475" s="0" t="inlineStr">
        <is>
          <t>인천시 서구 청마로 111-9</t>
        </is>
      </c>
      <c r="AH475" s="0" t="n">
        <v>0</v>
      </c>
      <c r="AI475" s="0" t="n">
        <v>208</v>
      </c>
      <c r="AJ475" s="0" t="n">
        <v>53</v>
      </c>
      <c r="AK475" s="0" t="n">
        <v>9</v>
      </c>
      <c r="AL475" s="0" t="n">
        <v>1</v>
      </c>
    </row>
    <row r="476">
      <c r="A476" s="0" t="inlineStr">
        <is>
          <t>[당하동]</t>
        </is>
      </c>
      <c r="B476" s="0" t="n">
        <v>124463</v>
      </c>
      <c r="C476" s="0" t="n">
        <v>5</v>
      </c>
      <c r="D476" s="0" t="inlineStr">
        <is>
          <t>디자인타운</t>
        </is>
      </c>
      <c r="E476" s="0" t="inlineStr">
        <is>
          <t>2015.10.</t>
        </is>
      </c>
      <c r="F476" s="0" t="n">
        <v>9</v>
      </c>
      <c r="G476" s="0" t="n">
        <v>21.81</v>
      </c>
      <c r="H476" s="0" t="n">
        <v>72.13</v>
      </c>
      <c r="I476" s="0" t="n">
        <v>19.06</v>
      </c>
      <c r="J476" s="0" t="n">
        <v>63.01</v>
      </c>
      <c r="K476" s="0" t="n">
        <v>1</v>
      </c>
      <c r="T476" s="0" t="n">
        <v>3</v>
      </c>
      <c r="U476" s="0" t="n">
        <v>1</v>
      </c>
      <c r="V476" s="0" t="inlineStr">
        <is>
          <t>계단식</t>
        </is>
      </c>
      <c r="W476" s="0" t="inlineStr">
        <is>
          <t>72B</t>
        </is>
      </c>
      <c r="X476" s="0" t="n">
        <v>5</v>
      </c>
      <c r="Y476" s="0" t="n">
        <v>5</v>
      </c>
      <c r="Z476" s="0" t="inlineStr">
        <is>
          <t>https://new.land.naver.com/complexes/124463?tab=detail&amp;rf=Y</t>
        </is>
      </c>
      <c r="AA476" s="0" t="inlineStr">
        <is>
          <t>인천시 서구 당하동 1098-10</t>
        </is>
      </c>
      <c r="AB476" s="0" t="inlineStr">
        <is>
          <t>인천시</t>
        </is>
      </c>
      <c r="AC476" s="0" t="inlineStr">
        <is>
          <t>서구</t>
        </is>
      </c>
      <c r="AD476" s="0" t="inlineStr">
        <is>
          <t>당하동</t>
        </is>
      </c>
      <c r="AG476" s="0" t="inlineStr">
        <is>
          <t>인천시 서구 청마로 111-9</t>
        </is>
      </c>
      <c r="AH476" s="0" t="n">
        <v>0</v>
      </c>
      <c r="AI476" s="0" t="n">
        <v>208</v>
      </c>
      <c r="AJ476" s="0" t="n">
        <v>53</v>
      </c>
      <c r="AK476" s="0" t="n">
        <v>9</v>
      </c>
      <c r="AL476" s="0" t="n">
        <v>1</v>
      </c>
    </row>
    <row r="477">
      <c r="A477" s="0" t="inlineStr">
        <is>
          <t>[당하동]</t>
        </is>
      </c>
      <c r="B477" s="0" t="n">
        <v>110157</v>
      </c>
      <c r="C477" s="0" t="n">
        <v>1</v>
      </c>
      <c r="D477" s="0" t="inlineStr">
        <is>
          <t>한경카일룸(도시형)</t>
        </is>
      </c>
      <c r="E477" s="0" t="inlineStr">
        <is>
          <t>2012.07.</t>
        </is>
      </c>
      <c r="F477" s="0" t="n">
        <v>29</v>
      </c>
      <c r="G477" s="0" t="n">
        <v>12.36</v>
      </c>
      <c r="H477" s="0" t="n">
        <v>40.87</v>
      </c>
      <c r="I477" s="0" t="n">
        <v>10.75</v>
      </c>
      <c r="J477" s="0" t="n">
        <v>35.56</v>
      </c>
      <c r="K477" s="0" t="n">
        <v>2</v>
      </c>
      <c r="T477" s="0" t="n">
        <v>1</v>
      </c>
      <c r="U477" s="0" t="n">
        <v>1</v>
      </c>
      <c r="V477" s="0" t="inlineStr">
        <is>
          <t>복도식</t>
        </is>
      </c>
      <c r="W477" s="0" t="inlineStr">
        <is>
          <t>40A</t>
        </is>
      </c>
      <c r="X477" s="0" t="n">
        <v>5</v>
      </c>
      <c r="Y477" s="0" t="n">
        <v>5</v>
      </c>
      <c r="Z477" s="0" t="inlineStr">
        <is>
          <t>https://new.land.naver.com/complexes/110157?tab=detail&amp;rf=Y</t>
        </is>
      </c>
      <c r="AA477" s="0" t="inlineStr">
        <is>
          <t>인천시 서구 당하동 1100-4</t>
        </is>
      </c>
      <c r="AB477" s="0" t="inlineStr">
        <is>
          <t>인천시</t>
        </is>
      </c>
      <c r="AC477" s="0" t="inlineStr">
        <is>
          <t>서구</t>
        </is>
      </c>
      <c r="AD477" s="0" t="inlineStr">
        <is>
          <t>당하동</t>
        </is>
      </c>
      <c r="AG477" s="0" t="inlineStr">
        <is>
          <t>인천시 서구 청마로148번길 45</t>
        </is>
      </c>
      <c r="AH477" s="0" t="n">
        <v>0</v>
      </c>
      <c r="AI477" s="0" t="n">
        <v>153</v>
      </c>
      <c r="AJ477" s="0" t="n">
        <v>53</v>
      </c>
      <c r="AK477" s="0" t="n">
        <v>29</v>
      </c>
      <c r="AL477" s="0" t="n">
        <v>1</v>
      </c>
    </row>
    <row r="478">
      <c r="A478" s="0" t="inlineStr">
        <is>
          <t>[당하동]</t>
        </is>
      </c>
      <c r="B478" s="0" t="n">
        <v>110157</v>
      </c>
      <c r="C478" s="0" t="n">
        <v>2</v>
      </c>
      <c r="D478" s="0" t="inlineStr">
        <is>
          <t>한경카일룸(도시형)</t>
        </is>
      </c>
      <c r="E478" s="0" t="inlineStr">
        <is>
          <t>2012.07.</t>
        </is>
      </c>
      <c r="F478" s="0" t="n">
        <v>29</v>
      </c>
      <c r="G478" s="0" t="n">
        <v>12.49</v>
      </c>
      <c r="H478" s="0" t="n">
        <v>41.32</v>
      </c>
      <c r="I478" s="0" t="n">
        <v>10.86</v>
      </c>
      <c r="J478" s="0" t="n">
        <v>35.93</v>
      </c>
      <c r="K478" s="0" t="n">
        <v>8</v>
      </c>
      <c r="T478" s="0" t="n">
        <v>3</v>
      </c>
      <c r="U478" s="0" t="n">
        <v>1</v>
      </c>
      <c r="V478" s="0" t="inlineStr">
        <is>
          <t>복도식</t>
        </is>
      </c>
      <c r="W478" s="0" t="n">
        <v>41</v>
      </c>
      <c r="X478" s="0" t="n">
        <v>5</v>
      </c>
      <c r="Y478" s="0" t="n">
        <v>5</v>
      </c>
      <c r="Z478" s="0" t="inlineStr">
        <is>
          <t>https://new.land.naver.com/complexes/110157?tab=detail&amp;rf=Y</t>
        </is>
      </c>
      <c r="AA478" s="0" t="inlineStr">
        <is>
          <t>인천시 서구 당하동 1100-4</t>
        </is>
      </c>
      <c r="AB478" s="0" t="inlineStr">
        <is>
          <t>인천시</t>
        </is>
      </c>
      <c r="AC478" s="0" t="inlineStr">
        <is>
          <t>서구</t>
        </is>
      </c>
      <c r="AD478" s="0" t="inlineStr">
        <is>
          <t>당하동</t>
        </is>
      </c>
      <c r="AG478" s="0" t="inlineStr">
        <is>
          <t>인천시 서구 청마로148번길 45</t>
        </is>
      </c>
      <c r="AH478" s="0" t="n">
        <v>0</v>
      </c>
      <c r="AI478" s="0" t="n">
        <v>153</v>
      </c>
      <c r="AJ478" s="0" t="n">
        <v>53</v>
      </c>
      <c r="AK478" s="0" t="n">
        <v>29</v>
      </c>
      <c r="AL478" s="0" t="n">
        <v>1</v>
      </c>
    </row>
    <row r="479">
      <c r="A479" s="0" t="inlineStr">
        <is>
          <t>[당하동]</t>
        </is>
      </c>
      <c r="B479" s="0" t="n">
        <v>110157</v>
      </c>
      <c r="C479" s="0" t="n">
        <v>3</v>
      </c>
      <c r="D479" s="0" t="inlineStr">
        <is>
          <t>한경카일룸(도시형)</t>
        </is>
      </c>
      <c r="E479" s="0" t="inlineStr">
        <is>
          <t>2012.07.</t>
        </is>
      </c>
      <c r="F479" s="0" t="n">
        <v>29</v>
      </c>
      <c r="G479" s="0" t="n">
        <v>12.44</v>
      </c>
      <c r="H479" s="0" t="n">
        <v>41.13</v>
      </c>
      <c r="I479" s="0" t="n">
        <v>10.82</v>
      </c>
      <c r="J479" s="0" t="n">
        <v>35.77</v>
      </c>
      <c r="K479" s="0" t="n">
        <v>8</v>
      </c>
      <c r="T479" s="0" t="n">
        <v>1</v>
      </c>
      <c r="U479" s="0" t="n">
        <v>1</v>
      </c>
      <c r="V479" s="0" t="inlineStr">
        <is>
          <t>복도식</t>
        </is>
      </c>
      <c r="W479" s="0" t="inlineStr">
        <is>
          <t>41B</t>
        </is>
      </c>
      <c r="X479" s="0" t="n">
        <v>5</v>
      </c>
      <c r="Y479" s="0" t="n">
        <v>5</v>
      </c>
      <c r="Z479" s="0" t="inlineStr">
        <is>
          <t>https://new.land.naver.com/complexes/110157?tab=detail&amp;rf=Y</t>
        </is>
      </c>
      <c r="AA479" s="0" t="inlineStr">
        <is>
          <t>인천시 서구 당하동 1100-4</t>
        </is>
      </c>
      <c r="AB479" s="0" t="inlineStr">
        <is>
          <t>인천시</t>
        </is>
      </c>
      <c r="AC479" s="0" t="inlineStr">
        <is>
          <t>서구</t>
        </is>
      </c>
      <c r="AD479" s="0" t="inlineStr">
        <is>
          <t>당하동</t>
        </is>
      </c>
      <c r="AG479" s="0" t="inlineStr">
        <is>
          <t>인천시 서구 청마로148번길 45</t>
        </is>
      </c>
      <c r="AH479" s="0" t="n">
        <v>0</v>
      </c>
      <c r="AI479" s="0" t="n">
        <v>153</v>
      </c>
      <c r="AJ479" s="0" t="n">
        <v>53</v>
      </c>
      <c r="AK479" s="0" t="n">
        <v>29</v>
      </c>
      <c r="AL479" s="0" t="n">
        <v>1</v>
      </c>
    </row>
    <row r="480">
      <c r="A480" s="0" t="inlineStr">
        <is>
          <t>[당하동]</t>
        </is>
      </c>
      <c r="B480" s="0" t="n">
        <v>110157</v>
      </c>
      <c r="C480" s="0" t="n">
        <v>4</v>
      </c>
      <c r="D480" s="0" t="inlineStr">
        <is>
          <t>한경카일룸(도시형)</t>
        </is>
      </c>
      <c r="E480" s="0" t="inlineStr">
        <is>
          <t>2012.07.</t>
        </is>
      </c>
      <c r="F480" s="0" t="n">
        <v>29</v>
      </c>
      <c r="G480" s="0" t="n">
        <v>12.45</v>
      </c>
      <c r="H480" s="0" t="n">
        <v>41.17</v>
      </c>
      <c r="I480" s="0" t="n">
        <v>10.83</v>
      </c>
      <c r="J480" s="0" t="n">
        <v>35.82</v>
      </c>
      <c r="K480" s="0" t="n">
        <v>2</v>
      </c>
      <c r="T480" s="0" t="n">
        <v>1</v>
      </c>
      <c r="U480" s="0" t="n">
        <v>1</v>
      </c>
      <c r="V480" s="0" t="inlineStr">
        <is>
          <t>복도식</t>
        </is>
      </c>
      <c r="W480" s="0" t="inlineStr">
        <is>
          <t>41C</t>
        </is>
      </c>
      <c r="X480" s="0" t="n">
        <v>5</v>
      </c>
      <c r="Y480" s="0" t="n">
        <v>5</v>
      </c>
      <c r="Z480" s="0" t="inlineStr">
        <is>
          <t>https://new.land.naver.com/complexes/110157?tab=detail&amp;rf=Y</t>
        </is>
      </c>
      <c r="AA480" s="0" t="inlineStr">
        <is>
          <t>인천시 서구 당하동 1100-4</t>
        </is>
      </c>
      <c r="AB480" s="0" t="inlineStr">
        <is>
          <t>인천시</t>
        </is>
      </c>
      <c r="AC480" s="0" t="inlineStr">
        <is>
          <t>서구</t>
        </is>
      </c>
      <c r="AD480" s="0" t="inlineStr">
        <is>
          <t>당하동</t>
        </is>
      </c>
      <c r="AG480" s="0" t="inlineStr">
        <is>
          <t>인천시 서구 청마로148번길 45</t>
        </is>
      </c>
      <c r="AH480" s="0" t="n">
        <v>0</v>
      </c>
      <c r="AI480" s="0" t="n">
        <v>153</v>
      </c>
      <c r="AJ480" s="0" t="n">
        <v>53</v>
      </c>
      <c r="AK480" s="0" t="n">
        <v>29</v>
      </c>
      <c r="AL480" s="0" t="n">
        <v>1</v>
      </c>
    </row>
    <row r="481">
      <c r="A481" s="0" t="inlineStr">
        <is>
          <t>[당하동]</t>
        </is>
      </c>
      <c r="B481" s="0" t="n">
        <v>110157</v>
      </c>
      <c r="C481" s="0" t="n">
        <v>5</v>
      </c>
      <c r="D481" s="0" t="inlineStr">
        <is>
          <t>한경카일룸(도시형)</t>
        </is>
      </c>
      <c r="E481" s="0" t="inlineStr">
        <is>
          <t>2012.07.</t>
        </is>
      </c>
      <c r="F481" s="0" t="n">
        <v>29</v>
      </c>
      <c r="G481" s="0" t="n">
        <v>14.23</v>
      </c>
      <c r="H481" s="0" t="n">
        <v>47.06</v>
      </c>
      <c r="I481" s="0" t="n">
        <v>12.38</v>
      </c>
      <c r="J481" s="0" t="n">
        <v>40.94</v>
      </c>
      <c r="K481" s="0" t="n">
        <v>3</v>
      </c>
      <c r="T481" s="0" t="n">
        <v>1</v>
      </c>
      <c r="U481" s="0" t="n">
        <v>1</v>
      </c>
      <c r="V481" s="0" t="inlineStr">
        <is>
          <t>복도식</t>
        </is>
      </c>
      <c r="W481" s="0" t="n">
        <v>47</v>
      </c>
      <c r="X481" s="0" t="n">
        <v>5</v>
      </c>
      <c r="Y481" s="0" t="n">
        <v>5</v>
      </c>
      <c r="Z481" s="0" t="inlineStr">
        <is>
          <t>https://new.land.naver.com/complexes/110157?tab=detail&amp;rf=Y</t>
        </is>
      </c>
      <c r="AA481" s="0" t="inlineStr">
        <is>
          <t>인천시 서구 당하동 1100-4</t>
        </is>
      </c>
      <c r="AB481" s="0" t="inlineStr">
        <is>
          <t>인천시</t>
        </is>
      </c>
      <c r="AC481" s="0" t="inlineStr">
        <is>
          <t>서구</t>
        </is>
      </c>
      <c r="AD481" s="0" t="inlineStr">
        <is>
          <t>당하동</t>
        </is>
      </c>
      <c r="AG481" s="0" t="inlineStr">
        <is>
          <t>인천시 서구 청마로148번길 45</t>
        </is>
      </c>
      <c r="AH481" s="0" t="n">
        <v>0</v>
      </c>
      <c r="AI481" s="0" t="n">
        <v>153</v>
      </c>
      <c r="AJ481" s="0" t="n">
        <v>53</v>
      </c>
      <c r="AK481" s="0" t="n">
        <v>29</v>
      </c>
      <c r="AL481" s="0" t="n">
        <v>1</v>
      </c>
    </row>
    <row r="482">
      <c r="A482" s="0" t="inlineStr">
        <is>
          <t>[당하동]</t>
        </is>
      </c>
      <c r="B482" s="0" t="n">
        <v>110157</v>
      </c>
      <c r="C482" s="0" t="n">
        <v>6</v>
      </c>
      <c r="D482" s="0" t="inlineStr">
        <is>
          <t>한경카일룸(도시형)</t>
        </is>
      </c>
      <c r="E482" s="0" t="inlineStr">
        <is>
          <t>2012.07.</t>
        </is>
      </c>
      <c r="F482" s="0" t="n">
        <v>29</v>
      </c>
      <c r="G482" s="0" t="n">
        <v>15.28</v>
      </c>
      <c r="H482" s="0" t="n">
        <v>50.53</v>
      </c>
      <c r="I482" s="0" t="n">
        <v>13.29</v>
      </c>
      <c r="J482" s="0" t="n">
        <v>43.96</v>
      </c>
      <c r="K482" s="0" t="n">
        <v>3</v>
      </c>
      <c r="T482" s="0" t="n">
        <v>1</v>
      </c>
      <c r="U482" s="0" t="n">
        <v>1</v>
      </c>
      <c r="V482" s="0" t="inlineStr">
        <is>
          <t>복도식</t>
        </is>
      </c>
      <c r="W482" s="0" t="n">
        <v>50</v>
      </c>
      <c r="X482" s="0" t="n">
        <v>5</v>
      </c>
      <c r="Y482" s="0" t="n">
        <v>5</v>
      </c>
      <c r="Z482" s="0" t="inlineStr">
        <is>
          <t>https://new.land.naver.com/complexes/110157?tab=detail&amp;rf=Y</t>
        </is>
      </c>
      <c r="AA482" s="0" t="inlineStr">
        <is>
          <t>인천시 서구 당하동 1100-4</t>
        </is>
      </c>
      <c r="AB482" s="0" t="inlineStr">
        <is>
          <t>인천시</t>
        </is>
      </c>
      <c r="AC482" s="0" t="inlineStr">
        <is>
          <t>서구</t>
        </is>
      </c>
      <c r="AD482" s="0" t="inlineStr">
        <is>
          <t>당하동</t>
        </is>
      </c>
      <c r="AG482" s="0" t="inlineStr">
        <is>
          <t>인천시 서구 청마로148번길 45</t>
        </is>
      </c>
      <c r="AH482" s="0" t="n">
        <v>0</v>
      </c>
      <c r="AI482" s="0" t="n">
        <v>153</v>
      </c>
      <c r="AJ482" s="0" t="n">
        <v>53</v>
      </c>
      <c r="AK482" s="0" t="n">
        <v>29</v>
      </c>
      <c r="AL482" s="0" t="n">
        <v>1</v>
      </c>
    </row>
    <row r="483">
      <c r="A483" s="0" t="inlineStr">
        <is>
          <t>[당하동]</t>
        </is>
      </c>
      <c r="B483" s="0" t="n">
        <v>110157</v>
      </c>
      <c r="C483" s="0" t="n">
        <v>7</v>
      </c>
      <c r="D483" s="0" t="inlineStr">
        <is>
          <t>한경카일룸(도시형)</t>
        </is>
      </c>
      <c r="E483" s="0" t="inlineStr">
        <is>
          <t>2012.07.</t>
        </is>
      </c>
      <c r="F483" s="0" t="n">
        <v>29</v>
      </c>
      <c r="G483" s="0" t="n">
        <v>20.4</v>
      </c>
      <c r="H483" s="0" t="n">
        <v>67.45</v>
      </c>
      <c r="I483" s="0" t="n">
        <v>17.75</v>
      </c>
      <c r="J483" s="0" t="n">
        <v>58.68</v>
      </c>
      <c r="K483" s="0" t="n">
        <v>3</v>
      </c>
      <c r="T483" s="0" t="n">
        <v>2</v>
      </c>
      <c r="U483" s="0" t="n">
        <v>1</v>
      </c>
      <c r="V483" s="0" t="inlineStr">
        <is>
          <t>복도식</t>
        </is>
      </c>
      <c r="W483" s="0" t="n">
        <v>67</v>
      </c>
      <c r="X483" s="0" t="n">
        <v>5</v>
      </c>
      <c r="Y483" s="0" t="n">
        <v>5</v>
      </c>
      <c r="Z483" s="0" t="inlineStr">
        <is>
          <t>https://new.land.naver.com/complexes/110157?tab=detail&amp;rf=Y</t>
        </is>
      </c>
      <c r="AA483" s="0" t="inlineStr">
        <is>
          <t>인천시 서구 당하동 1100-4</t>
        </is>
      </c>
      <c r="AB483" s="0" t="inlineStr">
        <is>
          <t>인천시</t>
        </is>
      </c>
      <c r="AC483" s="0" t="inlineStr">
        <is>
          <t>서구</t>
        </is>
      </c>
      <c r="AD483" s="0" t="inlineStr">
        <is>
          <t>당하동</t>
        </is>
      </c>
      <c r="AG483" s="0" t="inlineStr">
        <is>
          <t>인천시 서구 청마로148번길 45</t>
        </is>
      </c>
      <c r="AH483" s="0" t="n">
        <v>0</v>
      </c>
      <c r="AI483" s="0" t="n">
        <v>153</v>
      </c>
      <c r="AJ483" s="0" t="n">
        <v>53</v>
      </c>
      <c r="AK483" s="0" t="n">
        <v>29</v>
      </c>
      <c r="AL483" s="0" t="n">
        <v>1</v>
      </c>
    </row>
    <row r="484">
      <c r="A484" s="0" t="inlineStr">
        <is>
          <t>[당하동]</t>
        </is>
      </c>
      <c r="B484" s="0" t="n">
        <v>105167</v>
      </c>
      <c r="C484" s="0" t="n">
        <v>1</v>
      </c>
      <c r="D484" s="0" t="inlineStr">
        <is>
          <t>동인스카이빌(도시형)</t>
        </is>
      </c>
      <c r="E484" s="0" t="inlineStr">
        <is>
          <t>2012.04.</t>
        </is>
      </c>
      <c r="F484" s="0" t="n">
        <v>112</v>
      </c>
      <c r="G484" s="0" t="n">
        <v>12.51</v>
      </c>
      <c r="H484" s="0" t="n">
        <v>41.36</v>
      </c>
      <c r="I484" s="0" t="n">
        <v>7.5</v>
      </c>
      <c r="J484" s="0" t="n">
        <v>24.8</v>
      </c>
      <c r="K484" s="0" t="n">
        <v>24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41A</t>
        </is>
      </c>
      <c r="X484" s="0" t="n">
        <v>10</v>
      </c>
      <c r="Y484" s="0" t="n">
        <v>10</v>
      </c>
      <c r="Z484" s="0" t="inlineStr">
        <is>
          <t>https://new.land.naver.com/complexes/105167?tab=detail&amp;rf=Y</t>
        </is>
      </c>
      <c r="AA484" s="0" t="inlineStr">
        <is>
          <t>인천시 서구 당하동 1092-8</t>
        </is>
      </c>
      <c r="AB484" s="0" t="inlineStr">
        <is>
          <t>인천시</t>
        </is>
      </c>
      <c r="AC484" s="0" t="inlineStr">
        <is>
          <t>서구</t>
        </is>
      </c>
      <c r="AD484" s="0" t="inlineStr">
        <is>
          <t>당하동</t>
        </is>
      </c>
      <c r="AG484" s="0" t="inlineStr">
        <is>
          <t>인천시 서구 원당대로 670</t>
        </is>
      </c>
      <c r="AH484" s="0" t="n">
        <v>0</v>
      </c>
      <c r="AI484" s="0" t="n">
        <v>615</v>
      </c>
      <c r="AJ484" s="0" t="n">
        <v>69</v>
      </c>
      <c r="AK484" s="0" t="n">
        <v>64</v>
      </c>
      <c r="AL484" s="0" t="n">
        <v>0.57</v>
      </c>
    </row>
    <row r="485">
      <c r="A485" s="0" t="inlineStr">
        <is>
          <t>[당하동]</t>
        </is>
      </c>
      <c r="B485" s="0" t="n">
        <v>105167</v>
      </c>
      <c r="C485" s="0" t="n">
        <v>2</v>
      </c>
      <c r="D485" s="0" t="inlineStr">
        <is>
          <t>동인스카이빌(도시형)</t>
        </is>
      </c>
      <c r="E485" s="0" t="inlineStr">
        <is>
          <t>2012.04.</t>
        </is>
      </c>
      <c r="F485" s="0" t="n">
        <v>112</v>
      </c>
      <c r="G485" s="0" t="n">
        <v>12.82</v>
      </c>
      <c r="H485" s="0" t="n">
        <v>42.4</v>
      </c>
      <c r="I485" s="0" t="n">
        <v>7.68</v>
      </c>
      <c r="J485" s="0" t="n">
        <v>25.42</v>
      </c>
      <c r="K485" s="0" t="n">
        <v>16</v>
      </c>
      <c r="T485" s="0" t="n">
        <v>1</v>
      </c>
      <c r="U485" s="0" t="n">
        <v>1</v>
      </c>
      <c r="V485" s="0" t="inlineStr">
        <is>
          <t>복도식</t>
        </is>
      </c>
      <c r="W485" s="0" t="inlineStr">
        <is>
          <t>42B</t>
        </is>
      </c>
      <c r="X485" s="0" t="n">
        <v>10</v>
      </c>
      <c r="Y485" s="0" t="n">
        <v>10</v>
      </c>
      <c r="Z485" s="0" t="inlineStr">
        <is>
          <t>https://new.land.naver.com/complexes/105167?tab=detail&amp;rf=Y</t>
        </is>
      </c>
      <c r="AA485" s="0" t="inlineStr">
        <is>
          <t>인천시 서구 당하동 1092-8</t>
        </is>
      </c>
      <c r="AB485" s="0" t="inlineStr">
        <is>
          <t>인천시</t>
        </is>
      </c>
      <c r="AC485" s="0" t="inlineStr">
        <is>
          <t>서구</t>
        </is>
      </c>
      <c r="AD485" s="0" t="inlineStr">
        <is>
          <t>당하동</t>
        </is>
      </c>
      <c r="AG485" s="0" t="inlineStr">
        <is>
          <t>인천시 서구 원당대로 670</t>
        </is>
      </c>
      <c r="AH485" s="0" t="n">
        <v>0</v>
      </c>
      <c r="AI485" s="0" t="n">
        <v>615</v>
      </c>
      <c r="AJ485" s="0" t="n">
        <v>69</v>
      </c>
      <c r="AK485" s="0" t="n">
        <v>64</v>
      </c>
      <c r="AL485" s="0" t="n">
        <v>0.57</v>
      </c>
    </row>
    <row r="486">
      <c r="A486" s="0" t="inlineStr">
        <is>
          <t>[당하동]</t>
        </is>
      </c>
      <c r="B486" s="0" t="n">
        <v>105167</v>
      </c>
      <c r="C486" s="0" t="n">
        <v>3</v>
      </c>
      <c r="D486" s="0" t="inlineStr">
        <is>
          <t>동인스카이빌(도시형)</t>
        </is>
      </c>
      <c r="E486" s="0" t="inlineStr">
        <is>
          <t>2012.04.</t>
        </is>
      </c>
      <c r="F486" s="0" t="n">
        <v>112</v>
      </c>
      <c r="G486" s="0" t="n">
        <v>13.45</v>
      </c>
      <c r="H486" s="0" t="n">
        <v>44.47</v>
      </c>
      <c r="I486" s="0" t="n">
        <v>8.06</v>
      </c>
      <c r="J486" s="0" t="n">
        <v>26.66</v>
      </c>
      <c r="K486" s="0" t="n">
        <v>27</v>
      </c>
      <c r="T486" s="0" t="n">
        <v>1</v>
      </c>
      <c r="U486" s="0" t="n">
        <v>1</v>
      </c>
      <c r="V486" s="0" t="inlineStr">
        <is>
          <t>복도식</t>
        </is>
      </c>
      <c r="W486" s="0" t="inlineStr">
        <is>
          <t>44C</t>
        </is>
      </c>
      <c r="X486" s="0" t="n">
        <v>10</v>
      </c>
      <c r="Y486" s="0" t="n">
        <v>10</v>
      </c>
      <c r="Z486" s="0" t="inlineStr">
        <is>
          <t>https://new.land.naver.com/complexes/105167?tab=detail&amp;rf=Y</t>
        </is>
      </c>
      <c r="AA486" s="0" t="inlineStr">
        <is>
          <t>인천시 서구 당하동 1092-8</t>
        </is>
      </c>
      <c r="AB486" s="0" t="inlineStr">
        <is>
          <t>인천시</t>
        </is>
      </c>
      <c r="AC486" s="0" t="inlineStr">
        <is>
          <t>서구</t>
        </is>
      </c>
      <c r="AD486" s="0" t="inlineStr">
        <is>
          <t>당하동</t>
        </is>
      </c>
      <c r="AG486" s="0" t="inlineStr">
        <is>
          <t>인천시 서구 원당대로 670</t>
        </is>
      </c>
      <c r="AH486" s="0" t="n">
        <v>0</v>
      </c>
      <c r="AI486" s="0" t="n">
        <v>615</v>
      </c>
      <c r="AJ486" s="0" t="n">
        <v>69</v>
      </c>
      <c r="AK486" s="0" t="n">
        <v>64</v>
      </c>
      <c r="AL486" s="0" t="n">
        <v>0.57</v>
      </c>
    </row>
    <row r="487">
      <c r="A487" s="0" t="inlineStr">
        <is>
          <t>[당하동]</t>
        </is>
      </c>
      <c r="B487" s="0" t="n">
        <v>105167</v>
      </c>
      <c r="C487" s="0" t="n">
        <v>4</v>
      </c>
      <c r="D487" s="0" t="inlineStr">
        <is>
          <t>동인스카이빌(도시형)</t>
        </is>
      </c>
      <c r="E487" s="0" t="inlineStr">
        <is>
          <t>2012.04.</t>
        </is>
      </c>
      <c r="F487" s="0" t="n">
        <v>112</v>
      </c>
      <c r="G487" s="0" t="n">
        <v>16.71</v>
      </c>
      <c r="H487" s="0" t="n">
        <v>55.24</v>
      </c>
      <c r="I487" s="0" t="n">
        <v>10.01</v>
      </c>
      <c r="J487" s="0" t="n">
        <v>33.12</v>
      </c>
      <c r="K487" s="0" t="n">
        <v>36</v>
      </c>
      <c r="T487" s="0" t="n">
        <v>1</v>
      </c>
      <c r="U487" s="0" t="n">
        <v>1</v>
      </c>
      <c r="V487" s="0" t="inlineStr">
        <is>
          <t>복도식</t>
        </is>
      </c>
      <c r="W487" s="0" t="n">
        <v>55</v>
      </c>
      <c r="X487" s="0" t="n">
        <v>10</v>
      </c>
      <c r="Y487" s="0" t="n">
        <v>10</v>
      </c>
      <c r="Z487" s="0" t="inlineStr">
        <is>
          <t>https://new.land.naver.com/complexes/105167?tab=detail&amp;rf=Y</t>
        </is>
      </c>
      <c r="AA487" s="0" t="inlineStr">
        <is>
          <t>인천시 서구 당하동 1092-8</t>
        </is>
      </c>
      <c r="AB487" s="0" t="inlineStr">
        <is>
          <t>인천시</t>
        </is>
      </c>
      <c r="AC487" s="0" t="inlineStr">
        <is>
          <t>서구</t>
        </is>
      </c>
      <c r="AD487" s="0" t="inlineStr">
        <is>
          <t>당하동</t>
        </is>
      </c>
      <c r="AG487" s="0" t="inlineStr">
        <is>
          <t>인천시 서구 원당대로 670</t>
        </is>
      </c>
      <c r="AH487" s="0" t="n">
        <v>0</v>
      </c>
      <c r="AI487" s="0" t="n">
        <v>615</v>
      </c>
      <c r="AJ487" s="0" t="n">
        <v>69</v>
      </c>
      <c r="AK487" s="0" t="n">
        <v>64</v>
      </c>
      <c r="AL487" s="0" t="n">
        <v>0.57</v>
      </c>
    </row>
    <row r="488">
      <c r="A488" s="0" t="inlineStr">
        <is>
          <t>[당하동]</t>
        </is>
      </c>
      <c r="B488" s="0" t="n">
        <v>105167</v>
      </c>
      <c r="C488" s="0" t="n">
        <v>5</v>
      </c>
      <c r="D488" s="0" t="inlineStr">
        <is>
          <t>동인스카이빌(도시형)</t>
        </is>
      </c>
      <c r="E488" s="0" t="inlineStr">
        <is>
          <t>2012.04.</t>
        </is>
      </c>
      <c r="F488" s="0" t="n">
        <v>112</v>
      </c>
      <c r="G488" s="0" t="n">
        <v>19.07</v>
      </c>
      <c r="H488" s="0" t="n">
        <v>63.05</v>
      </c>
      <c r="I488" s="0" t="n">
        <v>11.43</v>
      </c>
      <c r="J488" s="0" t="n">
        <v>37.8</v>
      </c>
      <c r="K488" s="0" t="n">
        <v>9</v>
      </c>
      <c r="T488" s="0" t="n">
        <v>1</v>
      </c>
      <c r="U488" s="0" t="n">
        <v>1</v>
      </c>
      <c r="V488" s="0" t="inlineStr">
        <is>
          <t>복도식</t>
        </is>
      </c>
      <c r="W488" s="0" t="n">
        <v>63</v>
      </c>
      <c r="X488" s="0" t="n">
        <v>10</v>
      </c>
      <c r="Y488" s="0" t="n">
        <v>10</v>
      </c>
      <c r="Z488" s="0" t="inlineStr">
        <is>
          <t>https://new.land.naver.com/complexes/105167?tab=detail&amp;rf=Y</t>
        </is>
      </c>
      <c r="AA488" s="0" t="inlineStr">
        <is>
          <t>인천시 서구 당하동 1092-8</t>
        </is>
      </c>
      <c r="AB488" s="0" t="inlineStr">
        <is>
          <t>인천시</t>
        </is>
      </c>
      <c r="AC488" s="0" t="inlineStr">
        <is>
          <t>서구</t>
        </is>
      </c>
      <c r="AD488" s="0" t="inlineStr">
        <is>
          <t>당하동</t>
        </is>
      </c>
      <c r="AG488" s="0" t="inlineStr">
        <is>
          <t>인천시 서구 원당대로 670</t>
        </is>
      </c>
      <c r="AH488" s="0" t="n">
        <v>0</v>
      </c>
      <c r="AI488" s="0" t="n">
        <v>615</v>
      </c>
      <c r="AJ488" s="0" t="n">
        <v>69</v>
      </c>
      <c r="AK488" s="0" t="n">
        <v>64</v>
      </c>
      <c r="AL488" s="0" t="n">
        <v>0.57</v>
      </c>
    </row>
    <row r="489">
      <c r="A489" s="0" t="inlineStr">
        <is>
          <t>[당하동]</t>
        </is>
      </c>
      <c r="B489" s="0" t="n">
        <v>141182</v>
      </c>
      <c r="C489" s="0" t="n">
        <v>1</v>
      </c>
      <c r="D489" s="0" t="inlineStr">
        <is>
          <t>검단신도시우미린파크뷰2단지</t>
        </is>
      </c>
      <c r="E489" s="0" t="inlineStr">
        <is>
          <t>2023.07.</t>
        </is>
      </c>
      <c r="F489" s="0" t="n">
        <v>810</v>
      </c>
      <c r="G489" s="0" t="n">
        <v>24.9</v>
      </c>
      <c r="H489" s="0" t="n">
        <v>82.33</v>
      </c>
      <c r="I489" s="0" t="n">
        <v>18.12</v>
      </c>
      <c r="J489" s="0" t="n">
        <v>59.93</v>
      </c>
      <c r="K489" s="0" t="n">
        <v>375</v>
      </c>
      <c r="T489" s="0" t="n">
        <v>3</v>
      </c>
      <c r="U489" s="0" t="n">
        <v>2</v>
      </c>
      <c r="V489" s="0" t="inlineStr">
        <is>
          <t>계단식</t>
        </is>
      </c>
      <c r="W489" s="0" t="inlineStr">
        <is>
          <t>82A</t>
        </is>
      </c>
      <c r="X489" s="0" t="n">
        <v>25</v>
      </c>
      <c r="Y489" s="0" t="n">
        <v>20</v>
      </c>
      <c r="Z489" s="0" t="inlineStr">
        <is>
          <t>https://new.land.naver.com/complexes/141182?tab=detail&amp;rf=Y</t>
        </is>
      </c>
      <c r="AA489" s="0" t="inlineStr">
        <is>
          <t>인천시 서구 당하동 검단신도시 AB1블록</t>
        </is>
      </c>
      <c r="AB489" s="0" t="inlineStr">
        <is>
          <t>인천시</t>
        </is>
      </c>
      <c r="AC489" s="0" t="inlineStr">
        <is>
          <t>서구</t>
        </is>
      </c>
      <c r="AD489" s="0" t="inlineStr">
        <is>
          <t>당하동</t>
        </is>
      </c>
      <c r="AG489" s="0" t="inlineStr">
        <is>
          <t>인천시 서구</t>
        </is>
      </c>
      <c r="AH489" s="0" t="n">
        <v>0</v>
      </c>
      <c r="AI489" s="0" t="n">
        <v>0</v>
      </c>
      <c r="AJ489" s="0" t="n">
        <v>0</v>
      </c>
      <c r="AK489" s="0" t="n">
        <v>1058</v>
      </c>
      <c r="AL489" s="0" t="n">
        <v>1.31</v>
      </c>
    </row>
    <row r="490">
      <c r="A490" s="0" t="inlineStr">
        <is>
          <t>[당하동]</t>
        </is>
      </c>
      <c r="B490" s="0" t="n">
        <v>141182</v>
      </c>
      <c r="C490" s="0" t="n">
        <v>2</v>
      </c>
      <c r="D490" s="0" t="inlineStr">
        <is>
          <t>검단신도시우미린파크뷰2단지</t>
        </is>
      </c>
      <c r="E490" s="0" t="inlineStr">
        <is>
          <t>2023.07.</t>
        </is>
      </c>
      <c r="F490" s="0" t="n">
        <v>810</v>
      </c>
      <c r="G490" s="0" t="n">
        <v>24.85</v>
      </c>
      <c r="H490" s="0" t="n">
        <v>82.16</v>
      </c>
      <c r="I490" s="0" t="n">
        <v>18.09</v>
      </c>
      <c r="J490" s="0" t="n">
        <v>59.81</v>
      </c>
      <c r="K490" s="0" t="n">
        <v>170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82B</t>
        </is>
      </c>
      <c r="X490" s="0" t="n">
        <v>25</v>
      </c>
      <c r="Y490" s="0" t="n">
        <v>20</v>
      </c>
      <c r="Z490" s="0" t="inlineStr">
        <is>
          <t>https://new.land.naver.com/complexes/141182?tab=detail&amp;rf=Y</t>
        </is>
      </c>
      <c r="AA490" s="0" t="inlineStr">
        <is>
          <t>인천시 서구 당하동 검단신도시 AB1블록</t>
        </is>
      </c>
      <c r="AB490" s="0" t="inlineStr">
        <is>
          <t>인천시</t>
        </is>
      </c>
      <c r="AC490" s="0" t="inlineStr">
        <is>
          <t>서구</t>
        </is>
      </c>
      <c r="AD490" s="0" t="inlineStr">
        <is>
          <t>당하동</t>
        </is>
      </c>
      <c r="AG490" s="0" t="inlineStr">
        <is>
          <t>인천시 서구</t>
        </is>
      </c>
      <c r="AH490" s="0" t="n">
        <v>0</v>
      </c>
      <c r="AI490" s="0" t="n">
        <v>0</v>
      </c>
      <c r="AJ490" s="0" t="n">
        <v>0</v>
      </c>
      <c r="AK490" s="0" t="n">
        <v>1058</v>
      </c>
      <c r="AL490" s="0" t="n">
        <v>1.31</v>
      </c>
    </row>
    <row r="491">
      <c r="A491" s="0" t="inlineStr">
        <is>
          <t>[당하동]</t>
        </is>
      </c>
      <c r="B491" s="0" t="n">
        <v>141182</v>
      </c>
      <c r="C491" s="0" t="n">
        <v>3</v>
      </c>
      <c r="D491" s="0" t="inlineStr">
        <is>
          <t>검단신도시우미린파크뷰2단지</t>
        </is>
      </c>
      <c r="E491" s="0" t="inlineStr">
        <is>
          <t>2023.07.</t>
        </is>
      </c>
      <c r="F491" s="0" t="n">
        <v>810</v>
      </c>
      <c r="G491" s="0" t="n">
        <v>34.69</v>
      </c>
      <c r="H491" s="0" t="n">
        <v>114.7</v>
      </c>
      <c r="I491" s="0" t="n">
        <v>25.67</v>
      </c>
      <c r="J491" s="0" t="n">
        <v>84.87</v>
      </c>
      <c r="K491" s="0" t="n">
        <v>265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114</v>
      </c>
      <c r="X491" s="0" t="n">
        <v>25</v>
      </c>
      <c r="Y491" s="0" t="n">
        <v>20</v>
      </c>
      <c r="Z491" s="0" t="inlineStr">
        <is>
          <t>https://new.land.naver.com/complexes/141182?tab=detail&amp;rf=Y</t>
        </is>
      </c>
      <c r="AA491" s="0" t="inlineStr">
        <is>
          <t>인천시 서구 당하동 검단신도시 AB1블록</t>
        </is>
      </c>
      <c r="AB491" s="0" t="inlineStr">
        <is>
          <t>인천시</t>
        </is>
      </c>
      <c r="AC491" s="0" t="inlineStr">
        <is>
          <t>서구</t>
        </is>
      </c>
      <c r="AD491" s="0" t="inlineStr">
        <is>
          <t>당하동</t>
        </is>
      </c>
      <c r="AG491" s="0" t="inlineStr">
        <is>
          <t>인천시 서구</t>
        </is>
      </c>
      <c r="AH491" s="0" t="n">
        <v>0</v>
      </c>
      <c r="AI491" s="0" t="n">
        <v>0</v>
      </c>
      <c r="AJ491" s="0" t="n">
        <v>0</v>
      </c>
      <c r="AK491" s="0" t="n">
        <v>1058</v>
      </c>
      <c r="AL491" s="0" t="n">
        <v>1.31</v>
      </c>
    </row>
    <row r="492">
      <c r="A492" s="0" t="inlineStr">
        <is>
          <t>[당하동]</t>
        </is>
      </c>
      <c r="B492" s="0" t="n">
        <v>112845</v>
      </c>
      <c r="C492" s="0" t="n">
        <v>1</v>
      </c>
      <c r="D492" s="0" t="inlineStr">
        <is>
          <t>경원하이뷰(도시형)</t>
        </is>
      </c>
      <c r="E492" s="0" t="inlineStr">
        <is>
          <t>2014.08.</t>
        </is>
      </c>
      <c r="F492" s="0" t="n">
        <v>44</v>
      </c>
      <c r="G492" s="0" t="n">
        <v>7.79</v>
      </c>
      <c r="H492" s="0" t="n">
        <v>25.78</v>
      </c>
      <c r="I492" s="0" t="n">
        <v>5.89</v>
      </c>
      <c r="J492" s="0" t="n">
        <v>19.48</v>
      </c>
      <c r="K492" s="0" t="n">
        <v>3</v>
      </c>
      <c r="T492" s="0" t="n">
        <v>1</v>
      </c>
      <c r="U492" s="0" t="n">
        <v>1</v>
      </c>
      <c r="V492" s="0" t="inlineStr">
        <is>
          <t>복도식</t>
        </is>
      </c>
      <c r="W492" s="0" t="n">
        <v>25</v>
      </c>
      <c r="X492" s="0" t="n">
        <v>10</v>
      </c>
      <c r="Y492" s="0" t="n">
        <v>10</v>
      </c>
      <c r="Z492" s="0" t="inlineStr">
        <is>
          <t>https://new.land.naver.com/complexes/112845?tab=detail&amp;rf=Y</t>
        </is>
      </c>
      <c r="AA492" s="0" t="inlineStr">
        <is>
          <t>인천시 서구 당하동 1077-6</t>
        </is>
      </c>
      <c r="AB492" s="0" t="inlineStr">
        <is>
          <t>인천시</t>
        </is>
      </c>
      <c r="AC492" s="0" t="inlineStr">
        <is>
          <t>서구</t>
        </is>
      </c>
      <c r="AD492" s="0" t="inlineStr">
        <is>
          <t>당하동</t>
        </is>
      </c>
      <c r="AG492" s="0" t="inlineStr">
        <is>
          <t>인천시 서구 원당대로 638</t>
        </is>
      </c>
      <c r="AH492" s="0" t="n">
        <v>0</v>
      </c>
      <c r="AI492" s="0" t="n">
        <v>601</v>
      </c>
      <c r="AJ492" s="0" t="n">
        <v>68</v>
      </c>
      <c r="AK492" s="0" t="n">
        <v>33</v>
      </c>
      <c r="AL492" s="0" t="n">
        <v>0.75</v>
      </c>
    </row>
    <row r="493">
      <c r="A493" s="0" t="inlineStr">
        <is>
          <t>[당하동]</t>
        </is>
      </c>
      <c r="B493" s="0" t="n">
        <v>112845</v>
      </c>
      <c r="C493" s="0" t="n">
        <v>2</v>
      </c>
      <c r="D493" s="0" t="inlineStr">
        <is>
          <t>경원하이뷰(도시형)</t>
        </is>
      </c>
      <c r="E493" s="0" t="inlineStr">
        <is>
          <t>2014.08.</t>
        </is>
      </c>
      <c r="F493" s="0" t="n">
        <v>44</v>
      </c>
      <c r="G493" s="0" t="n">
        <v>9.460000000000001</v>
      </c>
      <c r="H493" s="0" t="n">
        <v>31.28</v>
      </c>
      <c r="I493" s="0" t="n">
        <v>7.15</v>
      </c>
      <c r="J493" s="0" t="n">
        <v>23.64</v>
      </c>
      <c r="K493" s="0" t="n">
        <v>19</v>
      </c>
      <c r="T493" s="0" t="n">
        <v>1</v>
      </c>
      <c r="U493" s="0" t="n">
        <v>1</v>
      </c>
      <c r="V493" s="0" t="inlineStr">
        <is>
          <t>복도식</t>
        </is>
      </c>
      <c r="W493" s="0" t="n">
        <v>31</v>
      </c>
      <c r="X493" s="0" t="n">
        <v>10</v>
      </c>
      <c r="Y493" s="0" t="n">
        <v>10</v>
      </c>
      <c r="Z493" s="0" t="inlineStr">
        <is>
          <t>https://new.land.naver.com/complexes/112845?tab=detail&amp;rf=Y</t>
        </is>
      </c>
      <c r="AA493" s="0" t="inlineStr">
        <is>
          <t>인천시 서구 당하동 1077-6</t>
        </is>
      </c>
      <c r="AB493" s="0" t="inlineStr">
        <is>
          <t>인천시</t>
        </is>
      </c>
      <c r="AC493" s="0" t="inlineStr">
        <is>
          <t>서구</t>
        </is>
      </c>
      <c r="AD493" s="0" t="inlineStr">
        <is>
          <t>당하동</t>
        </is>
      </c>
      <c r="AG493" s="0" t="inlineStr">
        <is>
          <t>인천시 서구 원당대로 638</t>
        </is>
      </c>
      <c r="AH493" s="0" t="n">
        <v>0</v>
      </c>
      <c r="AI493" s="0" t="n">
        <v>601</v>
      </c>
      <c r="AJ493" s="0" t="n">
        <v>68</v>
      </c>
      <c r="AK493" s="0" t="n">
        <v>33</v>
      </c>
      <c r="AL493" s="0" t="n">
        <v>0.75</v>
      </c>
    </row>
    <row r="494">
      <c r="A494" s="0" t="inlineStr">
        <is>
          <t>[당하동]</t>
        </is>
      </c>
      <c r="B494" s="0" t="n">
        <v>112845</v>
      </c>
      <c r="C494" s="0" t="n">
        <v>3</v>
      </c>
      <c r="D494" s="0" t="inlineStr">
        <is>
          <t>경원하이뷰(도시형)</t>
        </is>
      </c>
      <c r="E494" s="0" t="inlineStr">
        <is>
          <t>2014.08.</t>
        </is>
      </c>
      <c r="F494" s="0" t="n">
        <v>44</v>
      </c>
      <c r="G494" s="0" t="n">
        <v>9.73</v>
      </c>
      <c r="H494" s="0" t="n">
        <v>32.17</v>
      </c>
      <c r="I494" s="0" t="n">
        <v>7.35</v>
      </c>
      <c r="J494" s="0" t="n">
        <v>24.31</v>
      </c>
      <c r="K494" s="0" t="n">
        <v>3</v>
      </c>
      <c r="T494" s="0" t="n">
        <v>1</v>
      </c>
      <c r="U494" s="0" t="n">
        <v>1</v>
      </c>
      <c r="V494" s="0" t="inlineStr">
        <is>
          <t>복도식</t>
        </is>
      </c>
      <c r="W494" s="0" t="inlineStr">
        <is>
          <t>32A</t>
        </is>
      </c>
      <c r="X494" s="0" t="n">
        <v>10</v>
      </c>
      <c r="Y494" s="0" t="n">
        <v>10</v>
      </c>
      <c r="Z494" s="0" t="inlineStr">
        <is>
          <t>https://new.land.naver.com/complexes/112845?tab=detail&amp;rf=Y</t>
        </is>
      </c>
      <c r="AA494" s="0" t="inlineStr">
        <is>
          <t>인천시 서구 당하동 1077-6</t>
        </is>
      </c>
      <c r="AB494" s="0" t="inlineStr">
        <is>
          <t>인천시</t>
        </is>
      </c>
      <c r="AC494" s="0" t="inlineStr">
        <is>
          <t>서구</t>
        </is>
      </c>
      <c r="AD494" s="0" t="inlineStr">
        <is>
          <t>당하동</t>
        </is>
      </c>
      <c r="AG494" s="0" t="inlineStr">
        <is>
          <t>인천시 서구 원당대로 638</t>
        </is>
      </c>
      <c r="AH494" s="0" t="n">
        <v>0</v>
      </c>
      <c r="AI494" s="0" t="n">
        <v>601</v>
      </c>
      <c r="AJ494" s="0" t="n">
        <v>68</v>
      </c>
      <c r="AK494" s="0" t="n">
        <v>33</v>
      </c>
      <c r="AL494" s="0" t="n">
        <v>0.75</v>
      </c>
    </row>
    <row r="495">
      <c r="A495" s="0" t="inlineStr">
        <is>
          <t>[당하동]</t>
        </is>
      </c>
      <c r="B495" s="0" t="n">
        <v>112845</v>
      </c>
      <c r="C495" s="0" t="n">
        <v>4</v>
      </c>
      <c r="D495" s="0" t="inlineStr">
        <is>
          <t>경원하이뷰(도시형)</t>
        </is>
      </c>
      <c r="E495" s="0" t="inlineStr">
        <is>
          <t>2014.08.</t>
        </is>
      </c>
      <c r="F495" s="0" t="n">
        <v>44</v>
      </c>
      <c r="G495" s="0" t="n">
        <v>10.18</v>
      </c>
      <c r="H495" s="0" t="n">
        <v>33.66</v>
      </c>
      <c r="I495" s="0" t="n">
        <v>7.69</v>
      </c>
      <c r="J495" s="0" t="n">
        <v>25.44</v>
      </c>
      <c r="K495" s="0" t="n">
        <v>7</v>
      </c>
      <c r="T495" s="0" t="n">
        <v>1</v>
      </c>
      <c r="U495" s="0" t="n">
        <v>1</v>
      </c>
      <c r="V495" s="0" t="inlineStr">
        <is>
          <t>복도식</t>
        </is>
      </c>
      <c r="W495" s="0" t="inlineStr">
        <is>
          <t>33B</t>
        </is>
      </c>
      <c r="X495" s="0" t="n">
        <v>10</v>
      </c>
      <c r="Y495" s="0" t="n">
        <v>10</v>
      </c>
      <c r="Z495" s="0" t="inlineStr">
        <is>
          <t>https://new.land.naver.com/complexes/112845?tab=detail&amp;rf=Y</t>
        </is>
      </c>
      <c r="AA495" s="0" t="inlineStr">
        <is>
          <t>인천시 서구 당하동 1077-6</t>
        </is>
      </c>
      <c r="AB495" s="0" t="inlineStr">
        <is>
          <t>인천시</t>
        </is>
      </c>
      <c r="AC495" s="0" t="inlineStr">
        <is>
          <t>서구</t>
        </is>
      </c>
      <c r="AD495" s="0" t="inlineStr">
        <is>
          <t>당하동</t>
        </is>
      </c>
      <c r="AG495" s="0" t="inlineStr">
        <is>
          <t>인천시 서구 원당대로 638</t>
        </is>
      </c>
      <c r="AH495" s="0" t="n">
        <v>0</v>
      </c>
      <c r="AI495" s="0" t="n">
        <v>601</v>
      </c>
      <c r="AJ495" s="0" t="n">
        <v>68</v>
      </c>
      <c r="AK495" s="0" t="n">
        <v>33</v>
      </c>
      <c r="AL495" s="0" t="n">
        <v>0.75</v>
      </c>
    </row>
    <row r="496">
      <c r="A496" s="0" t="inlineStr">
        <is>
          <t>[당하동]</t>
        </is>
      </c>
      <c r="B496" s="0" t="n">
        <v>112845</v>
      </c>
      <c r="C496" s="0" t="n">
        <v>5</v>
      </c>
      <c r="D496" s="0" t="inlineStr">
        <is>
          <t>경원하이뷰(도시형)</t>
        </is>
      </c>
      <c r="E496" s="0" t="inlineStr">
        <is>
          <t>2014.08.</t>
        </is>
      </c>
      <c r="F496" s="0" t="n">
        <v>44</v>
      </c>
      <c r="G496" s="0" t="n">
        <v>17.53</v>
      </c>
      <c r="H496" s="0" t="n">
        <v>57.96</v>
      </c>
      <c r="I496" s="0" t="n">
        <v>13.24</v>
      </c>
      <c r="J496" s="0" t="n">
        <v>43.8</v>
      </c>
      <c r="K496" s="0" t="n">
        <v>4</v>
      </c>
      <c r="T496" s="0" t="n">
        <v>1</v>
      </c>
      <c r="U496" s="0" t="n">
        <v>1</v>
      </c>
      <c r="V496" s="0" t="inlineStr">
        <is>
          <t>복도식</t>
        </is>
      </c>
      <c r="W496" s="0" t="n">
        <v>57</v>
      </c>
      <c r="X496" s="0" t="n">
        <v>10</v>
      </c>
      <c r="Y496" s="0" t="n">
        <v>10</v>
      </c>
      <c r="Z496" s="0" t="inlineStr">
        <is>
          <t>https://new.land.naver.com/complexes/112845?tab=detail&amp;rf=Y</t>
        </is>
      </c>
      <c r="AA496" s="0" t="inlineStr">
        <is>
          <t>인천시 서구 당하동 1077-6</t>
        </is>
      </c>
      <c r="AB496" s="0" t="inlineStr">
        <is>
          <t>인천시</t>
        </is>
      </c>
      <c r="AC496" s="0" t="inlineStr">
        <is>
          <t>서구</t>
        </is>
      </c>
      <c r="AD496" s="0" t="inlineStr">
        <is>
          <t>당하동</t>
        </is>
      </c>
      <c r="AG496" s="0" t="inlineStr">
        <is>
          <t>인천시 서구 원당대로 638</t>
        </is>
      </c>
      <c r="AH496" s="0" t="n">
        <v>0</v>
      </c>
      <c r="AI496" s="0" t="n">
        <v>601</v>
      </c>
      <c r="AJ496" s="0" t="n">
        <v>68</v>
      </c>
      <c r="AK496" s="0" t="n">
        <v>33</v>
      </c>
      <c r="AL496" s="0" t="n">
        <v>0.75</v>
      </c>
    </row>
    <row r="497">
      <c r="A497" s="0" t="inlineStr">
        <is>
          <t>[당하동]</t>
        </is>
      </c>
      <c r="B497" s="0" t="n">
        <v>112845</v>
      </c>
      <c r="C497" s="0" t="n">
        <v>6</v>
      </c>
      <c r="D497" s="0" t="inlineStr">
        <is>
          <t>경원하이뷰(도시형)</t>
        </is>
      </c>
      <c r="E497" s="0" t="inlineStr">
        <is>
          <t>2014.08.</t>
        </is>
      </c>
      <c r="F497" s="0" t="n">
        <v>44</v>
      </c>
      <c r="G497" s="0" t="n">
        <v>18.92</v>
      </c>
      <c r="H497" s="0" t="n">
        <v>62.57</v>
      </c>
      <c r="I497" s="0" t="n">
        <v>14.3</v>
      </c>
      <c r="J497" s="0" t="n">
        <v>47.29</v>
      </c>
      <c r="K497" s="0" t="n">
        <v>8</v>
      </c>
      <c r="T497" s="0" t="n">
        <v>1</v>
      </c>
      <c r="U497" s="0" t="n">
        <v>1</v>
      </c>
      <c r="V497" s="0" t="inlineStr">
        <is>
          <t>복도식</t>
        </is>
      </c>
      <c r="W497" s="0" t="n">
        <v>62</v>
      </c>
      <c r="X497" s="0" t="n">
        <v>10</v>
      </c>
      <c r="Y497" s="0" t="n">
        <v>10</v>
      </c>
      <c r="Z497" s="0" t="inlineStr">
        <is>
          <t>https://new.land.naver.com/complexes/112845?tab=detail&amp;rf=Y</t>
        </is>
      </c>
      <c r="AA497" s="0" t="inlineStr">
        <is>
          <t>인천시 서구 당하동 1077-6</t>
        </is>
      </c>
      <c r="AB497" s="0" t="inlineStr">
        <is>
          <t>인천시</t>
        </is>
      </c>
      <c r="AC497" s="0" t="inlineStr">
        <is>
          <t>서구</t>
        </is>
      </c>
      <c r="AD497" s="0" t="inlineStr">
        <is>
          <t>당하동</t>
        </is>
      </c>
      <c r="AG497" s="0" t="inlineStr">
        <is>
          <t>인천시 서구 원당대로 638</t>
        </is>
      </c>
      <c r="AH497" s="0" t="n">
        <v>0</v>
      </c>
      <c r="AI497" s="0" t="n">
        <v>601</v>
      </c>
      <c r="AJ497" s="0" t="n">
        <v>68</v>
      </c>
      <c r="AK497" s="0" t="n">
        <v>33</v>
      </c>
      <c r="AL497" s="0" t="n">
        <v>0.75</v>
      </c>
    </row>
    <row r="498">
      <c r="A498" s="0" t="inlineStr">
        <is>
          <t>[당하동]</t>
        </is>
      </c>
      <c r="B498" s="0" t="n">
        <v>128504</v>
      </c>
      <c r="C498" s="0" t="n">
        <v>1</v>
      </c>
      <c r="D498" s="0" t="inlineStr">
        <is>
          <t>검단파라곤센트럴파크</t>
        </is>
      </c>
      <c r="E498" s="0" t="inlineStr">
        <is>
          <t>2022.06.</t>
        </is>
      </c>
      <c r="F498" s="0" t="n">
        <v>1122</v>
      </c>
      <c r="G498" s="0" t="n">
        <v>33.66</v>
      </c>
      <c r="H498" s="0" t="n">
        <v>111.3</v>
      </c>
      <c r="I498" s="0" t="n">
        <v>25.7</v>
      </c>
      <c r="J498" s="0" t="n">
        <v>84.98</v>
      </c>
      <c r="K498" s="0" t="n">
        <v>582</v>
      </c>
      <c r="T498" s="0" t="n">
        <v>3</v>
      </c>
      <c r="U498" s="0" t="n">
        <v>2</v>
      </c>
      <c r="V498" s="0" t="inlineStr">
        <is>
          <t>계단식</t>
        </is>
      </c>
      <c r="W498" s="0" t="inlineStr">
        <is>
          <t>111A</t>
        </is>
      </c>
      <c r="X498" s="0" t="n">
        <v>25</v>
      </c>
      <c r="Y498" s="0" t="n">
        <v>22</v>
      </c>
      <c r="Z498" s="0" t="inlineStr">
        <is>
          <t>https://new.land.naver.com/complexes/128504?tab=detail&amp;rf=Y</t>
        </is>
      </c>
      <c r="AA498" s="0" t="inlineStr">
        <is>
          <t>인천시 서구 당하동 검단신도시 AA2블록</t>
        </is>
      </c>
      <c r="AB498" s="0" t="inlineStr">
        <is>
          <t>인천시</t>
        </is>
      </c>
      <c r="AC498" s="0" t="inlineStr">
        <is>
          <t>서구</t>
        </is>
      </c>
      <c r="AD498" s="0" t="inlineStr">
        <is>
          <t>당하동</t>
        </is>
      </c>
      <c r="AG498" s="0" t="inlineStr">
        <is>
          <t>인천시 서구</t>
        </is>
      </c>
      <c r="AH498" s="0" t="n">
        <v>0</v>
      </c>
      <c r="AI498" s="0" t="n">
        <v>184</v>
      </c>
      <c r="AJ498" s="0" t="n">
        <v>14</v>
      </c>
      <c r="AK498" s="0" t="n">
        <v>1600</v>
      </c>
      <c r="AL498" s="0" t="n">
        <v>1.43</v>
      </c>
    </row>
    <row r="499">
      <c r="A499" s="0" t="inlineStr">
        <is>
          <t>[당하동]</t>
        </is>
      </c>
      <c r="B499" s="0" t="n">
        <v>128504</v>
      </c>
      <c r="C499" s="0" t="n">
        <v>2</v>
      </c>
      <c r="D499" s="0" t="inlineStr">
        <is>
          <t>검단파라곤센트럴파크</t>
        </is>
      </c>
      <c r="E499" s="0" t="inlineStr">
        <is>
          <t>2022.06.</t>
        </is>
      </c>
      <c r="F499" s="0" t="n">
        <v>1122</v>
      </c>
      <c r="G499" s="0" t="n">
        <v>33.69</v>
      </c>
      <c r="H499" s="0" t="n">
        <v>111.38</v>
      </c>
      <c r="I499" s="0" t="n">
        <v>25.69</v>
      </c>
      <c r="J499" s="0" t="n">
        <v>84.95</v>
      </c>
      <c r="K499" s="0" t="n">
        <v>540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111B</t>
        </is>
      </c>
      <c r="X499" s="0" t="n">
        <v>25</v>
      </c>
      <c r="Y499" s="0" t="n">
        <v>22</v>
      </c>
      <c r="Z499" s="0" t="inlineStr">
        <is>
          <t>https://new.land.naver.com/complexes/128504?tab=detail&amp;rf=Y</t>
        </is>
      </c>
      <c r="AA499" s="0" t="inlineStr">
        <is>
          <t>인천시 서구 당하동 검단신도시 AA2블록</t>
        </is>
      </c>
      <c r="AB499" s="0" t="inlineStr">
        <is>
          <t>인천시</t>
        </is>
      </c>
      <c r="AC499" s="0" t="inlineStr">
        <is>
          <t>서구</t>
        </is>
      </c>
      <c r="AD499" s="0" t="inlineStr">
        <is>
          <t>당하동</t>
        </is>
      </c>
      <c r="AG499" s="0" t="inlineStr">
        <is>
          <t>인천시 서구</t>
        </is>
      </c>
      <c r="AH499" s="0" t="n">
        <v>0</v>
      </c>
      <c r="AI499" s="0" t="n">
        <v>184</v>
      </c>
      <c r="AJ499" s="0" t="n">
        <v>14</v>
      </c>
      <c r="AK499" s="0" t="n">
        <v>1600</v>
      </c>
      <c r="AL499" s="0" t="n">
        <v>1.43</v>
      </c>
    </row>
    <row r="500">
      <c r="A500" s="0" t="inlineStr">
        <is>
          <t>[당하동]</t>
        </is>
      </c>
      <c r="B500" s="0" t="n">
        <v>22303</v>
      </c>
      <c r="C500" s="0" t="n">
        <v>1</v>
      </c>
      <c r="D500" s="0" t="inlineStr">
        <is>
          <t>인천당하대주파크빌</t>
        </is>
      </c>
      <c r="E500" s="0" t="inlineStr">
        <is>
          <t>2006.01.</t>
        </is>
      </c>
      <c r="F500" s="0" t="n">
        <v>276</v>
      </c>
      <c r="G500" s="0" t="n">
        <v>35.91</v>
      </c>
      <c r="H500" s="0" t="n">
        <v>118.74</v>
      </c>
      <c r="I500" s="0" t="n">
        <v>25.58</v>
      </c>
      <c r="J500" s="0" t="n">
        <v>84.58</v>
      </c>
      <c r="K500" s="0" t="n">
        <v>80</v>
      </c>
      <c r="T500" s="0" t="n">
        <v>3</v>
      </c>
      <c r="U500" s="0" t="n">
        <v>2</v>
      </c>
      <c r="V500" s="0" t="inlineStr">
        <is>
          <t>계단식</t>
        </is>
      </c>
      <c r="W500" s="0" t="n">
        <v>118</v>
      </c>
      <c r="X500" s="0" t="n">
        <v>20</v>
      </c>
      <c r="Y500" s="0" t="n">
        <v>20</v>
      </c>
      <c r="Z500" s="0" t="inlineStr">
        <is>
          <t>https://new.land.naver.com/complexes/22303?tab=detail&amp;rf=Y</t>
        </is>
      </c>
      <c r="AA500" s="0" t="inlineStr">
        <is>
          <t>인천시 서구 당하동 1098-1</t>
        </is>
      </c>
      <c r="AB500" s="0" t="inlineStr">
        <is>
          <t>인천시</t>
        </is>
      </c>
      <c r="AC500" s="0" t="inlineStr">
        <is>
          <t>서구</t>
        </is>
      </c>
      <c r="AD500" s="0" t="inlineStr">
        <is>
          <t>당하동</t>
        </is>
      </c>
      <c r="AG500" s="0" t="inlineStr">
        <is>
          <t>인천시 서구 청마로 135</t>
        </is>
      </c>
      <c r="AH500" s="0" t="n">
        <v>0</v>
      </c>
      <c r="AI500" s="0" t="n">
        <v>225</v>
      </c>
      <c r="AJ500" s="0" t="n">
        <v>17</v>
      </c>
      <c r="AK500" s="0" t="n">
        <v>276</v>
      </c>
      <c r="AL500" s="0" t="n">
        <v>1</v>
      </c>
    </row>
    <row r="501">
      <c r="A501" s="0" t="inlineStr">
        <is>
          <t>[당하동]</t>
        </is>
      </c>
      <c r="B501" s="0" t="n">
        <v>22303</v>
      </c>
      <c r="C501" s="0" t="n">
        <v>2</v>
      </c>
      <c r="D501" s="0" t="inlineStr">
        <is>
          <t>인천당하대주파크빌</t>
        </is>
      </c>
      <c r="E501" s="0" t="inlineStr">
        <is>
          <t>2006.01.</t>
        </is>
      </c>
      <c r="F501" s="0" t="n">
        <v>276</v>
      </c>
      <c r="G501" s="0" t="n">
        <v>37.2</v>
      </c>
      <c r="H501" s="0" t="n">
        <v>123</v>
      </c>
      <c r="I501" s="0" t="n">
        <v>25.65</v>
      </c>
      <c r="J501" s="0" t="n">
        <v>84.81999999999999</v>
      </c>
      <c r="K501" s="0" t="n">
        <v>196</v>
      </c>
      <c r="T501" s="0" t="n">
        <v>3</v>
      </c>
      <c r="U501" s="0" t="n">
        <v>2</v>
      </c>
      <c r="V501" s="0" t="inlineStr">
        <is>
          <t>계단식</t>
        </is>
      </c>
      <c r="W501" s="0" t="n">
        <v>123</v>
      </c>
      <c r="X501" s="0" t="n">
        <v>20</v>
      </c>
      <c r="Y501" s="0" t="n">
        <v>20</v>
      </c>
      <c r="Z501" s="0" t="inlineStr">
        <is>
          <t>https://new.land.naver.com/complexes/22303?tab=detail&amp;rf=Y</t>
        </is>
      </c>
      <c r="AA501" s="0" t="inlineStr">
        <is>
          <t>인천시 서구 당하동 1098-1</t>
        </is>
      </c>
      <c r="AB501" s="0" t="inlineStr">
        <is>
          <t>인천시</t>
        </is>
      </c>
      <c r="AC501" s="0" t="inlineStr">
        <is>
          <t>서구</t>
        </is>
      </c>
      <c r="AD501" s="0" t="inlineStr">
        <is>
          <t>당하동</t>
        </is>
      </c>
      <c r="AG501" s="0" t="inlineStr">
        <is>
          <t>인천시 서구 청마로 135</t>
        </is>
      </c>
      <c r="AH501" s="0" t="n">
        <v>0</v>
      </c>
      <c r="AI501" s="0" t="n">
        <v>225</v>
      </c>
      <c r="AJ501" s="0" t="n">
        <v>17</v>
      </c>
      <c r="AK501" s="0" t="n">
        <v>276</v>
      </c>
      <c r="AL501" s="0" t="n">
        <v>1</v>
      </c>
    </row>
    <row r="502">
      <c r="A502" s="0" t="inlineStr">
        <is>
          <t>[당하동]</t>
        </is>
      </c>
      <c r="B502" s="0" t="n">
        <v>8345</v>
      </c>
      <c r="C502" s="0" t="n">
        <v>1</v>
      </c>
      <c r="D502" s="0" t="inlineStr">
        <is>
          <t>태평</t>
        </is>
      </c>
      <c r="E502" s="0" t="inlineStr">
        <is>
          <t>1999.06.</t>
        </is>
      </c>
      <c r="F502" s="0" t="n">
        <v>528</v>
      </c>
      <c r="G502" s="0" t="n">
        <v>24.8</v>
      </c>
      <c r="H502" s="0" t="n">
        <v>81.98999999999999</v>
      </c>
      <c r="I502" s="0" t="n">
        <v>18.14</v>
      </c>
      <c r="J502" s="0" t="n">
        <v>59.97</v>
      </c>
      <c r="K502" s="0" t="n">
        <v>384</v>
      </c>
      <c r="T502" s="0" t="n">
        <v>3</v>
      </c>
      <c r="U502" s="0" t="n">
        <v>1</v>
      </c>
      <c r="V502" s="0" t="inlineStr">
        <is>
          <t>계단식</t>
        </is>
      </c>
      <c r="W502" s="0" t="inlineStr">
        <is>
          <t>81A</t>
        </is>
      </c>
      <c r="X502" s="0" t="n">
        <v>20</v>
      </c>
      <c r="Y502" s="0" t="n">
        <v>9</v>
      </c>
      <c r="Z502" s="0" t="inlineStr">
        <is>
          <t>https://new.land.naver.com/complexes/8345?tab=detail&amp;rf=Y</t>
        </is>
      </c>
      <c r="AA502" s="0" t="inlineStr">
        <is>
          <t>인천시 서구 당하동 820-1</t>
        </is>
      </c>
      <c r="AB502" s="0" t="inlineStr">
        <is>
          <t>인천시</t>
        </is>
      </c>
      <c r="AC502" s="0" t="inlineStr">
        <is>
          <t>서구</t>
        </is>
      </c>
      <c r="AD502" s="0" t="inlineStr">
        <is>
          <t>당하동</t>
        </is>
      </c>
      <c r="AG502" s="0" t="inlineStr">
        <is>
          <t>인천시 서구 독정로25번길 26-6</t>
        </is>
      </c>
      <c r="AH502" s="0" t="n">
        <v>0</v>
      </c>
      <c r="AI502" s="0" t="n">
        <v>201</v>
      </c>
      <c r="AJ502" s="0" t="n">
        <v>19</v>
      </c>
      <c r="AK502" s="0" t="n">
        <v>543</v>
      </c>
      <c r="AL502" s="0" t="n">
        <v>1.03</v>
      </c>
    </row>
    <row r="503">
      <c r="A503" s="0" t="inlineStr">
        <is>
          <t>[당하동]</t>
        </is>
      </c>
      <c r="B503" s="0" t="n">
        <v>8345</v>
      </c>
      <c r="C503" s="0" t="n">
        <v>2</v>
      </c>
      <c r="D503" s="0" t="inlineStr">
        <is>
          <t>태평</t>
        </is>
      </c>
      <c r="E503" s="0" t="inlineStr">
        <is>
          <t>1999.06.</t>
        </is>
      </c>
      <c r="F503" s="0" t="n">
        <v>528</v>
      </c>
      <c r="G503" s="0" t="n">
        <v>24.81</v>
      </c>
      <c r="H503" s="0" t="n">
        <v>82.02</v>
      </c>
      <c r="I503" s="0" t="n">
        <v>18.14</v>
      </c>
      <c r="J503" s="0" t="n">
        <v>59.99</v>
      </c>
      <c r="K503" s="0" t="n">
        <v>144</v>
      </c>
      <c r="T503" s="0" t="n">
        <v>2</v>
      </c>
      <c r="U503" s="0" t="n">
        <v>1</v>
      </c>
      <c r="V503" s="0" t="inlineStr">
        <is>
          <t>계단식</t>
        </is>
      </c>
      <c r="W503" s="0" t="inlineStr">
        <is>
          <t>82B</t>
        </is>
      </c>
      <c r="X503" s="0" t="n">
        <v>20</v>
      </c>
      <c r="Y503" s="0" t="n">
        <v>9</v>
      </c>
      <c r="Z503" s="0" t="inlineStr">
        <is>
          <t>https://new.land.naver.com/complexes/8345?tab=detail&amp;rf=Y</t>
        </is>
      </c>
      <c r="AA503" s="0" t="inlineStr">
        <is>
          <t>인천시 서구 당하동 820-1</t>
        </is>
      </c>
      <c r="AB503" s="0" t="inlineStr">
        <is>
          <t>인천시</t>
        </is>
      </c>
      <c r="AC503" s="0" t="inlineStr">
        <is>
          <t>서구</t>
        </is>
      </c>
      <c r="AD503" s="0" t="inlineStr">
        <is>
          <t>당하동</t>
        </is>
      </c>
      <c r="AG503" s="0" t="inlineStr">
        <is>
          <t>인천시 서구 독정로25번길 26-6</t>
        </is>
      </c>
      <c r="AH503" s="0" t="n">
        <v>0</v>
      </c>
      <c r="AI503" s="0" t="n">
        <v>201</v>
      </c>
      <c r="AJ503" s="0" t="n">
        <v>19</v>
      </c>
      <c r="AK503" s="0" t="n">
        <v>543</v>
      </c>
      <c r="AL503" s="0" t="n">
        <v>1.03</v>
      </c>
    </row>
    <row r="504">
      <c r="A504" s="0" t="inlineStr">
        <is>
          <t>[당하동]</t>
        </is>
      </c>
      <c r="B504" s="0" t="n">
        <v>11390</v>
      </c>
      <c r="C504" s="0" t="n">
        <v>1</v>
      </c>
      <c r="D504" s="0" t="inlineStr">
        <is>
          <t>동문굿모닝힐</t>
        </is>
      </c>
      <c r="E504" s="0" t="inlineStr">
        <is>
          <t>2004.12.</t>
        </is>
      </c>
      <c r="F504" s="0" t="n">
        <v>434</v>
      </c>
      <c r="G504" s="0" t="n">
        <v>28.82</v>
      </c>
      <c r="H504" s="0" t="n">
        <v>95.29000000000001</v>
      </c>
      <c r="I504" s="0" t="n">
        <v>22.42</v>
      </c>
      <c r="J504" s="0" t="n">
        <v>74.14</v>
      </c>
      <c r="K504" s="0" t="n">
        <v>30</v>
      </c>
      <c r="T504" s="0" t="n">
        <v>3</v>
      </c>
      <c r="U504" s="0" t="n">
        <v>2</v>
      </c>
      <c r="V504" s="0" t="inlineStr">
        <is>
          <t>계단식</t>
        </is>
      </c>
      <c r="W504" s="0" t="n">
        <v>95</v>
      </c>
      <c r="X504" s="0" t="n">
        <v>15</v>
      </c>
      <c r="Y504" s="0" t="n">
        <v>11</v>
      </c>
      <c r="Z504" s="0" t="inlineStr">
        <is>
          <t>https://new.land.naver.com/complexes/11390?tab=detail&amp;rf=Y</t>
        </is>
      </c>
      <c r="AA504" s="0" t="inlineStr">
        <is>
          <t>인천시 서구 당하동 1027-3</t>
        </is>
      </c>
      <c r="AB504" s="0" t="inlineStr">
        <is>
          <t>인천시</t>
        </is>
      </c>
      <c r="AC504" s="0" t="inlineStr">
        <is>
          <t>서구</t>
        </is>
      </c>
      <c r="AD504" s="0" t="inlineStr">
        <is>
          <t>당하동</t>
        </is>
      </c>
      <c r="AG504" s="0" t="inlineStr">
        <is>
          <t>인천시 서구 원당대로820번길 3</t>
        </is>
      </c>
      <c r="AH504" s="0" t="n">
        <v>0</v>
      </c>
      <c r="AI504" s="0" t="n">
        <v>249</v>
      </c>
      <c r="AJ504" s="0" t="n">
        <v>0</v>
      </c>
      <c r="AK504" s="0" t="n">
        <v>520</v>
      </c>
      <c r="AL504" s="0" t="n">
        <v>1.2</v>
      </c>
    </row>
    <row r="505">
      <c r="A505" s="0" t="inlineStr">
        <is>
          <t>[당하동]</t>
        </is>
      </c>
      <c r="B505" s="0" t="n">
        <v>11390</v>
      </c>
      <c r="C505" s="0" t="n">
        <v>2</v>
      </c>
      <c r="D505" s="0" t="inlineStr">
        <is>
          <t>동문굿모닝힐</t>
        </is>
      </c>
      <c r="E505" s="0" t="inlineStr">
        <is>
          <t>2004.12.</t>
        </is>
      </c>
      <c r="F505" s="0" t="n">
        <v>434</v>
      </c>
      <c r="G505" s="0" t="n">
        <v>32.44</v>
      </c>
      <c r="H505" s="0" t="n">
        <v>107.25</v>
      </c>
      <c r="I505" s="0" t="n">
        <v>25.7</v>
      </c>
      <c r="J505" s="0" t="n">
        <v>84.95999999999999</v>
      </c>
      <c r="K505" s="0" t="n">
        <v>404</v>
      </c>
      <c r="T505" s="0" t="n">
        <v>3</v>
      </c>
      <c r="U505" s="0" t="n">
        <v>2</v>
      </c>
      <c r="V505" s="0" t="inlineStr">
        <is>
          <t>계단식</t>
        </is>
      </c>
      <c r="W505" s="0" t="n">
        <v>107</v>
      </c>
      <c r="X505" s="0" t="n">
        <v>15</v>
      </c>
      <c r="Y505" s="0" t="n">
        <v>11</v>
      </c>
      <c r="Z505" s="0" t="inlineStr">
        <is>
          <t>https://new.land.naver.com/complexes/11390?tab=detail&amp;rf=Y</t>
        </is>
      </c>
      <c r="AA505" s="0" t="inlineStr">
        <is>
          <t>인천시 서구 당하동 1027-3</t>
        </is>
      </c>
      <c r="AB505" s="0" t="inlineStr">
        <is>
          <t>인천시</t>
        </is>
      </c>
      <c r="AC505" s="0" t="inlineStr">
        <is>
          <t>서구</t>
        </is>
      </c>
      <c r="AD505" s="0" t="inlineStr">
        <is>
          <t>당하동</t>
        </is>
      </c>
      <c r="AG505" s="0" t="inlineStr">
        <is>
          <t>인천시 서구 원당대로820번길 3</t>
        </is>
      </c>
      <c r="AH505" s="0" t="n">
        <v>0</v>
      </c>
      <c r="AI505" s="0" t="n">
        <v>249</v>
      </c>
      <c r="AJ505" s="0" t="n">
        <v>0</v>
      </c>
      <c r="AK505" s="0" t="n">
        <v>520</v>
      </c>
      <c r="AL505" s="0" t="n">
        <v>1.2</v>
      </c>
    </row>
    <row r="506">
      <c r="A506" s="0" t="inlineStr">
        <is>
          <t>[당하동]</t>
        </is>
      </c>
      <c r="B506" s="0" t="n">
        <v>123910</v>
      </c>
      <c r="C506" s="0" t="n">
        <v>1</v>
      </c>
      <c r="D506" s="0" t="inlineStr">
        <is>
          <t>검단신도시유승한내들에듀파크</t>
        </is>
      </c>
      <c r="E506" s="0" t="inlineStr">
        <is>
          <t>2021.09.</t>
        </is>
      </c>
      <c r="F506" s="0" t="n">
        <v>938</v>
      </c>
      <c r="G506" s="0" t="n">
        <v>33.1</v>
      </c>
      <c r="H506" s="0" t="n">
        <v>109.43</v>
      </c>
      <c r="I506" s="0" t="n">
        <v>25.48</v>
      </c>
      <c r="J506" s="0" t="n">
        <v>84.23999999999999</v>
      </c>
      <c r="K506" s="0" t="n">
        <v>475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109A</t>
        </is>
      </c>
      <c r="X506" s="0" t="n">
        <v>25</v>
      </c>
      <c r="Y506" s="0" t="n">
        <v>24</v>
      </c>
      <c r="Z506" s="0" t="inlineStr">
        <is>
          <t>https://new.land.naver.com/complexes/123910?tab=detail&amp;rf=Y</t>
        </is>
      </c>
      <c r="AA506" s="0" t="inlineStr">
        <is>
          <t>인천시 서구 당하동 검단신도시 AA4블록</t>
        </is>
      </c>
      <c r="AB506" s="0" t="inlineStr">
        <is>
          <t>인천시</t>
        </is>
      </c>
      <c r="AC506" s="0" t="inlineStr">
        <is>
          <t>서구</t>
        </is>
      </c>
      <c r="AD506" s="0" t="inlineStr">
        <is>
          <t>당하동</t>
        </is>
      </c>
      <c r="AG506" s="0" t="inlineStr">
        <is>
          <t>인천시 서구 이음3로 130</t>
        </is>
      </c>
      <c r="AH506" s="0" t="n">
        <v>0</v>
      </c>
      <c r="AI506" s="0" t="n">
        <v>184</v>
      </c>
      <c r="AJ506" s="0" t="n">
        <v>13</v>
      </c>
      <c r="AK506" s="0" t="n">
        <v>1273</v>
      </c>
      <c r="AL506" s="0" t="n">
        <v>1.36</v>
      </c>
    </row>
    <row r="507">
      <c r="A507" s="0" t="inlineStr">
        <is>
          <t>[당하동]</t>
        </is>
      </c>
      <c r="B507" s="0" t="n">
        <v>123910</v>
      </c>
      <c r="C507" s="0" t="n">
        <v>2</v>
      </c>
      <c r="D507" s="0" t="inlineStr">
        <is>
          <t>검단신도시유승한내들에듀파크</t>
        </is>
      </c>
      <c r="E507" s="0" t="inlineStr">
        <is>
          <t>2021.09.</t>
        </is>
      </c>
      <c r="F507" s="0" t="n">
        <v>938</v>
      </c>
      <c r="G507" s="0" t="n">
        <v>33.05</v>
      </c>
      <c r="H507" s="0" t="n">
        <v>109.26</v>
      </c>
      <c r="I507" s="0" t="n">
        <v>25.68</v>
      </c>
      <c r="J507" s="0" t="n">
        <v>84.92</v>
      </c>
      <c r="K507" s="0" t="n">
        <v>138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109C</t>
        </is>
      </c>
      <c r="X507" s="0" t="n">
        <v>25</v>
      </c>
      <c r="Y507" s="0" t="n">
        <v>24</v>
      </c>
      <c r="Z507" s="0" t="inlineStr">
        <is>
          <t>https://new.land.naver.com/complexes/123910?tab=detail&amp;rf=Y</t>
        </is>
      </c>
      <c r="AA507" s="0" t="inlineStr">
        <is>
          <t>인천시 서구 당하동 검단신도시 AA4블록</t>
        </is>
      </c>
      <c r="AB507" s="0" t="inlineStr">
        <is>
          <t>인천시</t>
        </is>
      </c>
      <c r="AC507" s="0" t="inlineStr">
        <is>
          <t>서구</t>
        </is>
      </c>
      <c r="AD507" s="0" t="inlineStr">
        <is>
          <t>당하동</t>
        </is>
      </c>
      <c r="AG507" s="0" t="inlineStr">
        <is>
          <t>인천시 서구 이음3로 130</t>
        </is>
      </c>
      <c r="AH507" s="0" t="n">
        <v>0</v>
      </c>
      <c r="AI507" s="0" t="n">
        <v>184</v>
      </c>
      <c r="AJ507" s="0" t="n">
        <v>13</v>
      </c>
      <c r="AK507" s="0" t="n">
        <v>1273</v>
      </c>
      <c r="AL507" s="0" t="n">
        <v>1.36</v>
      </c>
    </row>
    <row r="508">
      <c r="A508" s="0" t="inlineStr">
        <is>
          <t>[당하동]</t>
        </is>
      </c>
      <c r="B508" s="0" t="n">
        <v>123910</v>
      </c>
      <c r="C508" s="0" t="n">
        <v>3</v>
      </c>
      <c r="D508" s="0" t="inlineStr">
        <is>
          <t>검단신도시유승한내들에듀파크</t>
        </is>
      </c>
      <c r="E508" s="0" t="inlineStr">
        <is>
          <t>2021.09.</t>
        </is>
      </c>
      <c r="F508" s="0" t="n">
        <v>938</v>
      </c>
      <c r="G508" s="0" t="n">
        <v>32.98</v>
      </c>
      <c r="H508" s="0" t="n">
        <v>109.05</v>
      </c>
      <c r="I508" s="0" t="n">
        <v>25.56</v>
      </c>
      <c r="J508" s="0" t="n">
        <v>84.51000000000001</v>
      </c>
      <c r="K508" s="0" t="n">
        <v>115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109B</t>
        </is>
      </c>
      <c r="X508" s="0" t="n">
        <v>25</v>
      </c>
      <c r="Y508" s="0" t="n">
        <v>24</v>
      </c>
      <c r="Z508" s="0" t="inlineStr">
        <is>
          <t>https://new.land.naver.com/complexes/123910?tab=detail&amp;rf=Y</t>
        </is>
      </c>
      <c r="AA508" s="0" t="inlineStr">
        <is>
          <t>인천시 서구 당하동 검단신도시 AA4블록</t>
        </is>
      </c>
      <c r="AB508" s="0" t="inlineStr">
        <is>
          <t>인천시</t>
        </is>
      </c>
      <c r="AC508" s="0" t="inlineStr">
        <is>
          <t>서구</t>
        </is>
      </c>
      <c r="AD508" s="0" t="inlineStr">
        <is>
          <t>당하동</t>
        </is>
      </c>
      <c r="AG508" s="0" t="inlineStr">
        <is>
          <t>인천시 서구 이음3로 130</t>
        </is>
      </c>
      <c r="AH508" s="0" t="n">
        <v>0</v>
      </c>
      <c r="AI508" s="0" t="n">
        <v>184</v>
      </c>
      <c r="AJ508" s="0" t="n">
        <v>13</v>
      </c>
      <c r="AK508" s="0" t="n">
        <v>1273</v>
      </c>
      <c r="AL508" s="0" t="n">
        <v>1.36</v>
      </c>
    </row>
    <row r="509">
      <c r="A509" s="0" t="inlineStr">
        <is>
          <t>[당하동]</t>
        </is>
      </c>
      <c r="B509" s="0" t="n">
        <v>123910</v>
      </c>
      <c r="C509" s="0" t="n">
        <v>4</v>
      </c>
      <c r="D509" s="0" t="inlineStr">
        <is>
          <t>검단신도시유승한내들에듀파크</t>
        </is>
      </c>
      <c r="E509" s="0" t="inlineStr">
        <is>
          <t>2021.09.</t>
        </is>
      </c>
      <c r="F509" s="0" t="n">
        <v>938</v>
      </c>
      <c r="G509" s="0" t="n">
        <v>36.07</v>
      </c>
      <c r="H509" s="0" t="n">
        <v>119.27</v>
      </c>
      <c r="I509" s="0" t="n">
        <v>27.89</v>
      </c>
      <c r="J509" s="0" t="n">
        <v>92.20999999999999</v>
      </c>
      <c r="K509" s="0" t="n">
        <v>192</v>
      </c>
      <c r="T509" s="0" t="n">
        <v>3</v>
      </c>
      <c r="U509" s="0" t="n">
        <v>2</v>
      </c>
      <c r="V509" s="0" t="inlineStr">
        <is>
          <t>계단식</t>
        </is>
      </c>
      <c r="W509" s="0" t="n">
        <v>119</v>
      </c>
      <c r="X509" s="0" t="n">
        <v>25</v>
      </c>
      <c r="Y509" s="0" t="n">
        <v>24</v>
      </c>
      <c r="Z509" s="0" t="inlineStr">
        <is>
          <t>https://new.land.naver.com/complexes/123910?tab=detail&amp;rf=Y</t>
        </is>
      </c>
      <c r="AA509" s="0" t="inlineStr">
        <is>
          <t>인천시 서구 당하동 검단신도시 AA4블록</t>
        </is>
      </c>
      <c r="AB509" s="0" t="inlineStr">
        <is>
          <t>인천시</t>
        </is>
      </c>
      <c r="AC509" s="0" t="inlineStr">
        <is>
          <t>서구</t>
        </is>
      </c>
      <c r="AD509" s="0" t="inlineStr">
        <is>
          <t>당하동</t>
        </is>
      </c>
      <c r="AG509" s="0" t="inlineStr">
        <is>
          <t>인천시 서구 이음3로 130</t>
        </is>
      </c>
      <c r="AH509" s="0" t="n">
        <v>0</v>
      </c>
      <c r="AI509" s="0" t="n">
        <v>184</v>
      </c>
      <c r="AJ509" s="0" t="n">
        <v>13</v>
      </c>
      <c r="AK509" s="0" t="n">
        <v>1273</v>
      </c>
      <c r="AL509" s="0" t="n">
        <v>1.36</v>
      </c>
    </row>
    <row r="510">
      <c r="A510" s="0" t="inlineStr">
        <is>
          <t>[당하동]</t>
        </is>
      </c>
      <c r="B510" s="0" t="n">
        <v>123910</v>
      </c>
      <c r="C510" s="0" t="n">
        <v>5</v>
      </c>
      <c r="D510" s="0" t="inlineStr">
        <is>
          <t>검단신도시유승한내들에듀파크</t>
        </is>
      </c>
      <c r="E510" s="0" t="inlineStr">
        <is>
          <t>2021.09.</t>
        </is>
      </c>
      <c r="F510" s="0" t="n">
        <v>938</v>
      </c>
      <c r="G510" s="0" t="n">
        <v>36.85</v>
      </c>
      <c r="H510" s="0" t="n">
        <v>121.84</v>
      </c>
      <c r="I510" s="0" t="n">
        <v>28.73</v>
      </c>
      <c r="J510" s="0" t="n">
        <v>94.98999999999999</v>
      </c>
      <c r="K510" s="0" t="n">
        <v>6</v>
      </c>
      <c r="T510" s="0" t="n">
        <v>3</v>
      </c>
      <c r="U510" s="0" t="n">
        <v>2</v>
      </c>
      <c r="V510" s="0" t="inlineStr">
        <is>
          <t>계단식</t>
        </is>
      </c>
      <c r="W510" s="0" t="inlineStr">
        <is>
          <t>121B</t>
        </is>
      </c>
      <c r="X510" s="0" t="n">
        <v>25</v>
      </c>
      <c r="Y510" s="0" t="n">
        <v>24</v>
      </c>
      <c r="Z510" s="0" t="inlineStr">
        <is>
          <t>https://new.land.naver.com/complexes/123910?tab=detail&amp;rf=Y</t>
        </is>
      </c>
      <c r="AA510" s="0" t="inlineStr">
        <is>
          <t>인천시 서구 당하동 검단신도시 AA4블록</t>
        </is>
      </c>
      <c r="AB510" s="0" t="inlineStr">
        <is>
          <t>인천시</t>
        </is>
      </c>
      <c r="AC510" s="0" t="inlineStr">
        <is>
          <t>서구</t>
        </is>
      </c>
      <c r="AD510" s="0" t="inlineStr">
        <is>
          <t>당하동</t>
        </is>
      </c>
      <c r="AG510" s="0" t="inlineStr">
        <is>
          <t>인천시 서구 이음3로 130</t>
        </is>
      </c>
      <c r="AH510" s="0" t="n">
        <v>0</v>
      </c>
      <c r="AI510" s="0" t="n">
        <v>184</v>
      </c>
      <c r="AJ510" s="0" t="n">
        <v>13</v>
      </c>
      <c r="AK510" s="0" t="n">
        <v>1273</v>
      </c>
      <c r="AL510" s="0" t="n">
        <v>1.36</v>
      </c>
    </row>
    <row r="511">
      <c r="A511" s="0" t="inlineStr">
        <is>
          <t>[당하동]</t>
        </is>
      </c>
      <c r="B511" s="0" t="n">
        <v>123910</v>
      </c>
      <c r="C511" s="0" t="n">
        <v>6</v>
      </c>
      <c r="D511" s="0" t="inlineStr">
        <is>
          <t>검단신도시유승한내들에듀파크</t>
        </is>
      </c>
      <c r="E511" s="0" t="inlineStr">
        <is>
          <t>2021.09.</t>
        </is>
      </c>
      <c r="F511" s="0" t="n">
        <v>938</v>
      </c>
      <c r="G511" s="0" t="n">
        <v>36.87</v>
      </c>
      <c r="H511" s="0" t="n">
        <v>121.89</v>
      </c>
      <c r="I511" s="0" t="n">
        <v>28.49</v>
      </c>
      <c r="J511" s="0" t="n">
        <v>94.2</v>
      </c>
      <c r="K511" s="0" t="n">
        <v>3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121A</t>
        </is>
      </c>
      <c r="X511" s="0" t="n">
        <v>25</v>
      </c>
      <c r="Y511" s="0" t="n">
        <v>24</v>
      </c>
      <c r="Z511" s="0" t="inlineStr">
        <is>
          <t>https://new.land.naver.com/complexes/123910?tab=detail&amp;rf=Y</t>
        </is>
      </c>
      <c r="AA511" s="0" t="inlineStr">
        <is>
          <t>인천시 서구 당하동 검단신도시 AA4블록</t>
        </is>
      </c>
      <c r="AB511" s="0" t="inlineStr">
        <is>
          <t>인천시</t>
        </is>
      </c>
      <c r="AC511" s="0" t="inlineStr">
        <is>
          <t>서구</t>
        </is>
      </c>
      <c r="AD511" s="0" t="inlineStr">
        <is>
          <t>당하동</t>
        </is>
      </c>
      <c r="AG511" s="0" t="inlineStr">
        <is>
          <t>인천시 서구 이음3로 130</t>
        </is>
      </c>
      <c r="AH511" s="0" t="n">
        <v>0</v>
      </c>
      <c r="AI511" s="0" t="n">
        <v>184</v>
      </c>
      <c r="AJ511" s="0" t="n">
        <v>13</v>
      </c>
      <c r="AK511" s="0" t="n">
        <v>1273</v>
      </c>
      <c r="AL511" s="0" t="n">
        <v>1.36</v>
      </c>
    </row>
    <row r="512">
      <c r="A512" s="0" t="inlineStr">
        <is>
          <t>[당하동]</t>
        </is>
      </c>
      <c r="B512" s="0" t="n">
        <v>123910</v>
      </c>
      <c r="C512" s="0" t="n">
        <v>7</v>
      </c>
      <c r="D512" s="0" t="inlineStr">
        <is>
          <t>검단신도시유승한내들에듀파크</t>
        </is>
      </c>
      <c r="E512" s="0" t="inlineStr">
        <is>
          <t>2021.09.</t>
        </is>
      </c>
      <c r="F512" s="0" t="n">
        <v>938</v>
      </c>
      <c r="G512" s="0" t="n">
        <v>41.34</v>
      </c>
      <c r="H512" s="0" t="n">
        <v>136.68</v>
      </c>
      <c r="I512" s="0" t="n">
        <v>32.46</v>
      </c>
      <c r="J512" s="0" t="n">
        <v>107.31</v>
      </c>
      <c r="K512" s="0" t="n">
        <v>6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136B</t>
        </is>
      </c>
      <c r="X512" s="0" t="n">
        <v>25</v>
      </c>
      <c r="Y512" s="0" t="n">
        <v>24</v>
      </c>
      <c r="Z512" s="0" t="inlineStr">
        <is>
          <t>https://new.land.naver.com/complexes/123910?tab=detail&amp;rf=Y</t>
        </is>
      </c>
      <c r="AA512" s="0" t="inlineStr">
        <is>
          <t>인천시 서구 당하동 검단신도시 AA4블록</t>
        </is>
      </c>
      <c r="AB512" s="0" t="inlineStr">
        <is>
          <t>인천시</t>
        </is>
      </c>
      <c r="AC512" s="0" t="inlineStr">
        <is>
          <t>서구</t>
        </is>
      </c>
      <c r="AD512" s="0" t="inlineStr">
        <is>
          <t>당하동</t>
        </is>
      </c>
      <c r="AG512" s="0" t="inlineStr">
        <is>
          <t>인천시 서구 이음3로 130</t>
        </is>
      </c>
      <c r="AH512" s="0" t="n">
        <v>0</v>
      </c>
      <c r="AI512" s="0" t="n">
        <v>184</v>
      </c>
      <c r="AJ512" s="0" t="n">
        <v>13</v>
      </c>
      <c r="AK512" s="0" t="n">
        <v>1273</v>
      </c>
      <c r="AL512" s="0" t="n">
        <v>1.36</v>
      </c>
    </row>
    <row r="513">
      <c r="A513" s="0" t="inlineStr">
        <is>
          <t>[당하동]</t>
        </is>
      </c>
      <c r="B513" s="0" t="n">
        <v>123910</v>
      </c>
      <c r="C513" s="0" t="n">
        <v>8</v>
      </c>
      <c r="D513" s="0" t="inlineStr">
        <is>
          <t>검단신도시유승한내들에듀파크</t>
        </is>
      </c>
      <c r="E513" s="0" t="inlineStr">
        <is>
          <t>2021.09.</t>
        </is>
      </c>
      <c r="F513" s="0" t="n">
        <v>938</v>
      </c>
      <c r="G513" s="0" t="n">
        <v>41.59</v>
      </c>
      <c r="H513" s="0" t="n">
        <v>137.52</v>
      </c>
      <c r="I513" s="0" t="n">
        <v>32.41</v>
      </c>
      <c r="J513" s="0" t="n">
        <v>107.17</v>
      </c>
      <c r="K513" s="0" t="n">
        <v>3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137A</t>
        </is>
      </c>
      <c r="X513" s="0" t="n">
        <v>25</v>
      </c>
      <c r="Y513" s="0" t="n">
        <v>24</v>
      </c>
      <c r="Z513" s="0" t="inlineStr">
        <is>
          <t>https://new.land.naver.com/complexes/123910?tab=detail&amp;rf=Y</t>
        </is>
      </c>
      <c r="AA513" s="0" t="inlineStr">
        <is>
          <t>인천시 서구 당하동 검단신도시 AA4블록</t>
        </is>
      </c>
      <c r="AB513" s="0" t="inlineStr">
        <is>
          <t>인천시</t>
        </is>
      </c>
      <c r="AC513" s="0" t="inlineStr">
        <is>
          <t>서구</t>
        </is>
      </c>
      <c r="AD513" s="0" t="inlineStr">
        <is>
          <t>당하동</t>
        </is>
      </c>
      <c r="AG513" s="0" t="inlineStr">
        <is>
          <t>인천시 서구 이음3로 130</t>
        </is>
      </c>
      <c r="AH513" s="0" t="n">
        <v>0</v>
      </c>
      <c r="AI513" s="0" t="n">
        <v>184</v>
      </c>
      <c r="AJ513" s="0" t="n">
        <v>13</v>
      </c>
      <c r="AK513" s="0" t="n">
        <v>1273</v>
      </c>
      <c r="AL513" s="0" t="n">
        <v>1.36</v>
      </c>
    </row>
    <row r="514">
      <c r="A514" s="0" t="inlineStr">
        <is>
          <t>[당하동]</t>
        </is>
      </c>
      <c r="B514" s="0" t="n">
        <v>9557</v>
      </c>
      <c r="C514" s="0" t="n">
        <v>1</v>
      </c>
      <c r="D514" s="0" t="inlineStr">
        <is>
          <t>풍림아이원1차</t>
        </is>
      </c>
      <c r="E514" s="0" t="inlineStr">
        <is>
          <t>2004.04.</t>
        </is>
      </c>
      <c r="F514" s="0" t="n">
        <v>442</v>
      </c>
      <c r="G514" s="0" t="n">
        <v>26.5</v>
      </c>
      <c r="H514" s="0" t="n">
        <v>87.63</v>
      </c>
      <c r="I514" s="0" t="n">
        <v>18.14</v>
      </c>
      <c r="J514" s="0" t="n">
        <v>59.98</v>
      </c>
      <c r="K514" s="0" t="n">
        <v>188</v>
      </c>
      <c r="T514" s="0" t="n">
        <v>3</v>
      </c>
      <c r="U514" s="0" t="n">
        <v>2</v>
      </c>
      <c r="V514" s="0" t="inlineStr">
        <is>
          <t>계단식</t>
        </is>
      </c>
      <c r="W514" s="0" t="n">
        <v>87</v>
      </c>
      <c r="X514" s="0" t="n">
        <v>20</v>
      </c>
      <c r="Y514" s="0" t="n">
        <v>17</v>
      </c>
      <c r="Z514" s="0" t="inlineStr">
        <is>
          <t>https://new.land.naver.com/complexes/9557?tab=detail&amp;rf=Y</t>
        </is>
      </c>
      <c r="AA514" s="0" t="inlineStr">
        <is>
          <t>인천시 서구 당하동 1099-3</t>
        </is>
      </c>
      <c r="AB514" s="0" t="inlineStr">
        <is>
          <t>인천시</t>
        </is>
      </c>
      <c r="AC514" s="0" t="inlineStr">
        <is>
          <t>서구</t>
        </is>
      </c>
      <c r="AD514" s="0" t="inlineStr">
        <is>
          <t>당하동</t>
        </is>
      </c>
      <c r="AG514" s="0" t="inlineStr">
        <is>
          <t>인천시 서구 청마로 160</t>
        </is>
      </c>
      <c r="AH514" s="0" t="n">
        <v>0</v>
      </c>
      <c r="AI514" s="0" t="n">
        <v>245</v>
      </c>
      <c r="AJ514" s="0" t="n">
        <v>16</v>
      </c>
      <c r="AK514" s="0" t="n">
        <v>458</v>
      </c>
      <c r="AL514" s="0" t="n">
        <v>1.04</v>
      </c>
    </row>
    <row r="515">
      <c r="A515" s="0" t="inlineStr">
        <is>
          <t>[당하동]</t>
        </is>
      </c>
      <c r="B515" s="0" t="n">
        <v>9557</v>
      </c>
      <c r="C515" s="0" t="n">
        <v>2</v>
      </c>
      <c r="D515" s="0" t="inlineStr">
        <is>
          <t>풍림아이원1차</t>
        </is>
      </c>
      <c r="E515" s="0" t="inlineStr">
        <is>
          <t>2004.04.</t>
        </is>
      </c>
      <c r="F515" s="0" t="n">
        <v>442</v>
      </c>
      <c r="G515" s="0" t="n">
        <v>33.65</v>
      </c>
      <c r="H515" s="0" t="n">
        <v>111.27</v>
      </c>
      <c r="I515" s="0" t="n">
        <v>25.66</v>
      </c>
      <c r="J515" s="0" t="n">
        <v>84.84</v>
      </c>
      <c r="K515" s="0" t="n">
        <v>254</v>
      </c>
      <c r="T515" s="0" t="n">
        <v>3</v>
      </c>
      <c r="U515" s="0" t="n">
        <v>2</v>
      </c>
      <c r="V515" s="0" t="inlineStr">
        <is>
          <t>계단식</t>
        </is>
      </c>
      <c r="W515" s="0" t="n">
        <v>111</v>
      </c>
      <c r="X515" s="0" t="n">
        <v>20</v>
      </c>
      <c r="Y515" s="0" t="n">
        <v>17</v>
      </c>
      <c r="Z515" s="0" t="inlineStr">
        <is>
          <t>https://new.land.naver.com/complexes/9557?tab=detail&amp;rf=Y</t>
        </is>
      </c>
      <c r="AA515" s="0" t="inlineStr">
        <is>
          <t>인천시 서구 당하동 1099-3</t>
        </is>
      </c>
      <c r="AB515" s="0" t="inlineStr">
        <is>
          <t>인천시</t>
        </is>
      </c>
      <c r="AC515" s="0" t="inlineStr">
        <is>
          <t>서구</t>
        </is>
      </c>
      <c r="AD515" s="0" t="inlineStr">
        <is>
          <t>당하동</t>
        </is>
      </c>
      <c r="AG515" s="0" t="inlineStr">
        <is>
          <t>인천시 서구 청마로 160</t>
        </is>
      </c>
      <c r="AH515" s="0" t="n">
        <v>0</v>
      </c>
      <c r="AI515" s="0" t="n">
        <v>245</v>
      </c>
      <c r="AJ515" s="0" t="n">
        <v>16</v>
      </c>
      <c r="AK515" s="0" t="n">
        <v>458</v>
      </c>
      <c r="AL515" s="0" t="n">
        <v>1.04</v>
      </c>
    </row>
    <row r="516">
      <c r="A516" s="0" t="inlineStr">
        <is>
          <t>[당하동]</t>
        </is>
      </c>
      <c r="B516" s="0" t="n">
        <v>125374</v>
      </c>
      <c r="C516" s="0" t="n">
        <v>1</v>
      </c>
      <c r="D516" s="0" t="inlineStr">
        <is>
          <t>검단신도시디에트르더펠리체</t>
        </is>
      </c>
      <c r="E516" s="0" t="inlineStr">
        <is>
          <t>2022.02.</t>
        </is>
      </c>
      <c r="F516" s="0" t="n">
        <v>1279</v>
      </c>
      <c r="G516" s="0" t="n">
        <v>30.21</v>
      </c>
      <c r="H516" s="0" t="n">
        <v>99.90000000000001</v>
      </c>
      <c r="I516" s="0" t="n">
        <v>22.88</v>
      </c>
      <c r="J516" s="0" t="n">
        <v>75.65000000000001</v>
      </c>
      <c r="K516" s="0" t="n">
        <v>186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99B</t>
        </is>
      </c>
      <c r="X516" s="0" t="n">
        <v>25</v>
      </c>
      <c r="Y516" s="0" t="n">
        <v>25</v>
      </c>
      <c r="Z516" s="0" t="inlineStr">
        <is>
          <t>https://new.land.naver.com/complexes/125374?tab=detail&amp;rf=Y</t>
        </is>
      </c>
      <c r="AA516" s="0" t="inlineStr">
        <is>
          <t>인천시 서구 당하동 검단신도시 AB4블록</t>
        </is>
      </c>
      <c r="AB516" s="0" t="inlineStr">
        <is>
          <t>인천시</t>
        </is>
      </c>
      <c r="AC516" s="0" t="inlineStr">
        <is>
          <t>서구</t>
        </is>
      </c>
      <c r="AD516" s="0" t="inlineStr">
        <is>
          <t>당하동</t>
        </is>
      </c>
      <c r="AG516" s="0" t="inlineStr">
        <is>
          <t>인천시 서구</t>
        </is>
      </c>
      <c r="AH516" s="0" t="n">
        <v>0</v>
      </c>
      <c r="AI516" s="0" t="n">
        <v>0</v>
      </c>
      <c r="AJ516" s="0" t="n">
        <v>0</v>
      </c>
      <c r="AK516" s="0" t="n">
        <v>1834</v>
      </c>
      <c r="AL516" s="0" t="n">
        <v>1.43</v>
      </c>
    </row>
    <row r="517">
      <c r="A517" s="0" t="inlineStr">
        <is>
          <t>[당하동]</t>
        </is>
      </c>
      <c r="B517" s="0" t="n">
        <v>125374</v>
      </c>
      <c r="C517" s="0" t="n">
        <v>2</v>
      </c>
      <c r="D517" s="0" t="inlineStr">
        <is>
          <t>검단신도시디에트르더펠리체</t>
        </is>
      </c>
      <c r="E517" s="0" t="inlineStr">
        <is>
          <t>2022.02.</t>
        </is>
      </c>
      <c r="F517" s="0" t="n">
        <v>1279</v>
      </c>
      <c r="G517" s="0" t="n">
        <v>30.18</v>
      </c>
      <c r="H517" s="0" t="n">
        <v>99.79000000000001</v>
      </c>
      <c r="I517" s="0" t="n">
        <v>22.92</v>
      </c>
      <c r="J517" s="0" t="n">
        <v>75.79000000000001</v>
      </c>
      <c r="K517" s="0" t="n">
        <v>110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99A</t>
        </is>
      </c>
      <c r="X517" s="0" t="n">
        <v>25</v>
      </c>
      <c r="Y517" s="0" t="n">
        <v>25</v>
      </c>
      <c r="Z517" s="0" t="inlineStr">
        <is>
          <t>https://new.land.naver.com/complexes/125374?tab=detail&amp;rf=Y</t>
        </is>
      </c>
      <c r="AA517" s="0" t="inlineStr">
        <is>
          <t>인천시 서구 당하동 검단신도시 AB4블록</t>
        </is>
      </c>
      <c r="AB517" s="0" t="inlineStr">
        <is>
          <t>인천시</t>
        </is>
      </c>
      <c r="AC517" s="0" t="inlineStr">
        <is>
          <t>서구</t>
        </is>
      </c>
      <c r="AD517" s="0" t="inlineStr">
        <is>
          <t>당하동</t>
        </is>
      </c>
      <c r="AG517" s="0" t="inlineStr">
        <is>
          <t>인천시 서구</t>
        </is>
      </c>
      <c r="AH517" s="0" t="n">
        <v>0</v>
      </c>
      <c r="AI517" s="0" t="n">
        <v>0</v>
      </c>
      <c r="AJ517" s="0" t="n">
        <v>0</v>
      </c>
      <c r="AK517" s="0" t="n">
        <v>1834</v>
      </c>
      <c r="AL517" s="0" t="n">
        <v>1.43</v>
      </c>
    </row>
    <row r="518">
      <c r="A518" s="0" t="inlineStr">
        <is>
          <t>[당하동]</t>
        </is>
      </c>
      <c r="B518" s="0" t="n">
        <v>125374</v>
      </c>
      <c r="C518" s="0" t="n">
        <v>3</v>
      </c>
      <c r="D518" s="0" t="inlineStr">
        <is>
          <t>검단신도시디에트르더펠리체</t>
        </is>
      </c>
      <c r="E518" s="0" t="inlineStr">
        <is>
          <t>2022.02.</t>
        </is>
      </c>
      <c r="F518" s="0" t="n">
        <v>1279</v>
      </c>
      <c r="G518" s="0" t="n">
        <v>33.25</v>
      </c>
      <c r="H518" s="0" t="n">
        <v>109.92</v>
      </c>
      <c r="I518" s="0" t="n">
        <v>25.64</v>
      </c>
      <c r="J518" s="0" t="n">
        <v>84.77</v>
      </c>
      <c r="K518" s="0" t="n">
        <v>362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109C</t>
        </is>
      </c>
      <c r="X518" s="0" t="n">
        <v>25</v>
      </c>
      <c r="Y518" s="0" t="n">
        <v>25</v>
      </c>
      <c r="Z518" s="0" t="inlineStr">
        <is>
          <t>https://new.land.naver.com/complexes/125374?tab=detail&amp;rf=Y</t>
        </is>
      </c>
      <c r="AA518" s="0" t="inlineStr">
        <is>
          <t>인천시 서구 당하동 검단신도시 AB4블록</t>
        </is>
      </c>
      <c r="AB518" s="0" t="inlineStr">
        <is>
          <t>인천시</t>
        </is>
      </c>
      <c r="AC518" s="0" t="inlineStr">
        <is>
          <t>서구</t>
        </is>
      </c>
      <c r="AD518" s="0" t="inlineStr">
        <is>
          <t>당하동</t>
        </is>
      </c>
      <c r="AG518" s="0" t="inlineStr">
        <is>
          <t>인천시 서구</t>
        </is>
      </c>
      <c r="AH518" s="0" t="n">
        <v>0</v>
      </c>
      <c r="AI518" s="0" t="n">
        <v>0</v>
      </c>
      <c r="AJ518" s="0" t="n">
        <v>0</v>
      </c>
      <c r="AK518" s="0" t="n">
        <v>1834</v>
      </c>
      <c r="AL518" s="0" t="n">
        <v>1.43</v>
      </c>
    </row>
    <row r="519">
      <c r="A519" s="0" t="inlineStr">
        <is>
          <t>[당하동]</t>
        </is>
      </c>
      <c r="B519" s="0" t="n">
        <v>125374</v>
      </c>
      <c r="C519" s="0" t="n">
        <v>4</v>
      </c>
      <c r="D519" s="0" t="inlineStr">
        <is>
          <t>검단신도시디에트르더펠리체</t>
        </is>
      </c>
      <c r="E519" s="0" t="inlineStr">
        <is>
          <t>2022.02.</t>
        </is>
      </c>
      <c r="F519" s="0" t="n">
        <v>1279</v>
      </c>
      <c r="G519" s="0" t="n">
        <v>33.14</v>
      </c>
      <c r="H519" s="0" t="n">
        <v>109.58</v>
      </c>
      <c r="I519" s="0" t="n">
        <v>25.69</v>
      </c>
      <c r="J519" s="0" t="n">
        <v>84.95</v>
      </c>
      <c r="K519" s="0" t="n">
        <v>190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109B</t>
        </is>
      </c>
      <c r="X519" s="0" t="n">
        <v>25</v>
      </c>
      <c r="Y519" s="0" t="n">
        <v>25</v>
      </c>
      <c r="Z519" s="0" t="inlineStr">
        <is>
          <t>https://new.land.naver.com/complexes/125374?tab=detail&amp;rf=Y</t>
        </is>
      </c>
      <c r="AA519" s="0" t="inlineStr">
        <is>
          <t>인천시 서구 당하동 검단신도시 AB4블록</t>
        </is>
      </c>
      <c r="AB519" s="0" t="inlineStr">
        <is>
          <t>인천시</t>
        </is>
      </c>
      <c r="AC519" s="0" t="inlineStr">
        <is>
          <t>서구</t>
        </is>
      </c>
      <c r="AD519" s="0" t="inlineStr">
        <is>
          <t>당하동</t>
        </is>
      </c>
      <c r="AG519" s="0" t="inlineStr">
        <is>
          <t>인천시 서구</t>
        </is>
      </c>
      <c r="AH519" s="0" t="n">
        <v>0</v>
      </c>
      <c r="AI519" s="0" t="n">
        <v>0</v>
      </c>
      <c r="AJ519" s="0" t="n">
        <v>0</v>
      </c>
      <c r="AK519" s="0" t="n">
        <v>1834</v>
      </c>
      <c r="AL519" s="0" t="n">
        <v>1.43</v>
      </c>
    </row>
    <row r="520">
      <c r="A520" s="0" t="inlineStr">
        <is>
          <t>[당하동]</t>
        </is>
      </c>
      <c r="B520" s="0" t="n">
        <v>125374</v>
      </c>
      <c r="C520" s="0" t="n">
        <v>5</v>
      </c>
      <c r="D520" s="0" t="inlineStr">
        <is>
          <t>검단신도시디에트르더펠리체</t>
        </is>
      </c>
      <c r="E520" s="0" t="inlineStr">
        <is>
          <t>2022.02.</t>
        </is>
      </c>
      <c r="F520" s="0" t="n">
        <v>1279</v>
      </c>
      <c r="G520" s="0" t="n">
        <v>33.26</v>
      </c>
      <c r="H520" s="0" t="n">
        <v>109.96</v>
      </c>
      <c r="I520" s="0" t="n">
        <v>25.68</v>
      </c>
      <c r="J520" s="0" t="n">
        <v>84.91</v>
      </c>
      <c r="K520" s="0" t="n">
        <v>159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109A</t>
        </is>
      </c>
      <c r="X520" s="0" t="n">
        <v>25</v>
      </c>
      <c r="Y520" s="0" t="n">
        <v>25</v>
      </c>
      <c r="Z520" s="0" t="inlineStr">
        <is>
          <t>https://new.land.naver.com/complexes/125374?tab=detail&amp;rf=Y</t>
        </is>
      </c>
      <c r="AA520" s="0" t="inlineStr">
        <is>
          <t>인천시 서구 당하동 검단신도시 AB4블록</t>
        </is>
      </c>
      <c r="AB520" s="0" t="inlineStr">
        <is>
          <t>인천시</t>
        </is>
      </c>
      <c r="AC520" s="0" t="inlineStr">
        <is>
          <t>서구</t>
        </is>
      </c>
      <c r="AD520" s="0" t="inlineStr">
        <is>
          <t>당하동</t>
        </is>
      </c>
      <c r="AG520" s="0" t="inlineStr">
        <is>
          <t>인천시 서구</t>
        </is>
      </c>
      <c r="AH520" s="0" t="n">
        <v>0</v>
      </c>
      <c r="AI520" s="0" t="n">
        <v>0</v>
      </c>
      <c r="AJ520" s="0" t="n">
        <v>0</v>
      </c>
      <c r="AK520" s="0" t="n">
        <v>1834</v>
      </c>
      <c r="AL520" s="0" t="n">
        <v>1.43</v>
      </c>
    </row>
    <row r="521">
      <c r="A521" s="0" t="inlineStr">
        <is>
          <t>[당하동]</t>
        </is>
      </c>
      <c r="B521" s="0" t="n">
        <v>125374</v>
      </c>
      <c r="C521" s="0" t="n">
        <v>6</v>
      </c>
      <c r="D521" s="0" t="inlineStr">
        <is>
          <t>검단신도시디에트르더펠리체</t>
        </is>
      </c>
      <c r="E521" s="0" t="inlineStr">
        <is>
          <t>2022.02.</t>
        </is>
      </c>
      <c r="F521" s="0" t="n">
        <v>1279</v>
      </c>
      <c r="G521" s="0" t="n">
        <v>40.26</v>
      </c>
      <c r="H521" s="0" t="n">
        <v>133.12</v>
      </c>
      <c r="I521" s="0" t="n">
        <v>32.95</v>
      </c>
      <c r="J521" s="0" t="n">
        <v>108.93</v>
      </c>
      <c r="K521" s="0" t="n">
        <v>140</v>
      </c>
      <c r="T521" s="0" t="n">
        <v>4</v>
      </c>
      <c r="U521" s="0" t="n">
        <v>2</v>
      </c>
      <c r="V521" s="0" t="inlineStr">
        <is>
          <t>계단식</t>
        </is>
      </c>
      <c r="W521" s="0" t="inlineStr">
        <is>
          <t>133B</t>
        </is>
      </c>
      <c r="X521" s="0" t="n">
        <v>25</v>
      </c>
      <c r="Y521" s="0" t="n">
        <v>25</v>
      </c>
      <c r="Z521" s="0" t="inlineStr">
        <is>
          <t>https://new.land.naver.com/complexes/125374?tab=detail&amp;rf=Y</t>
        </is>
      </c>
      <c r="AA521" s="0" t="inlineStr">
        <is>
          <t>인천시 서구 당하동 검단신도시 AB4블록</t>
        </is>
      </c>
      <c r="AB521" s="0" t="inlineStr">
        <is>
          <t>인천시</t>
        </is>
      </c>
      <c r="AC521" s="0" t="inlineStr">
        <is>
          <t>서구</t>
        </is>
      </c>
      <c r="AD521" s="0" t="inlineStr">
        <is>
          <t>당하동</t>
        </is>
      </c>
      <c r="AG521" s="0" t="inlineStr">
        <is>
          <t>인천시 서구</t>
        </is>
      </c>
      <c r="AH521" s="0" t="n">
        <v>0</v>
      </c>
      <c r="AI521" s="0" t="n">
        <v>0</v>
      </c>
      <c r="AJ521" s="0" t="n">
        <v>0</v>
      </c>
      <c r="AK521" s="0" t="n">
        <v>1834</v>
      </c>
      <c r="AL521" s="0" t="n">
        <v>1.43</v>
      </c>
    </row>
    <row r="522">
      <c r="A522" s="0" t="inlineStr">
        <is>
          <t>[당하동]</t>
        </is>
      </c>
      <c r="B522" s="0" t="n">
        <v>125374</v>
      </c>
      <c r="C522" s="0" t="n">
        <v>7</v>
      </c>
      <c r="D522" s="0" t="inlineStr">
        <is>
          <t>검단신도시디에트르더펠리체</t>
        </is>
      </c>
      <c r="E522" s="0" t="inlineStr">
        <is>
          <t>2022.02.</t>
        </is>
      </c>
      <c r="F522" s="0" t="n">
        <v>1279</v>
      </c>
      <c r="G522" s="0" t="n">
        <v>40.31</v>
      </c>
      <c r="H522" s="0" t="n">
        <v>133.27</v>
      </c>
      <c r="I522" s="0" t="n">
        <v>32.71</v>
      </c>
      <c r="J522" s="0" t="n">
        <v>108.14</v>
      </c>
      <c r="K522" s="0" t="n">
        <v>132</v>
      </c>
      <c r="T522" s="0" t="n">
        <v>4</v>
      </c>
      <c r="U522" s="0" t="n">
        <v>2</v>
      </c>
      <c r="V522" s="0" t="inlineStr">
        <is>
          <t>계단식</t>
        </is>
      </c>
      <c r="W522" s="0" t="inlineStr">
        <is>
          <t>133A</t>
        </is>
      </c>
      <c r="X522" s="0" t="n">
        <v>25</v>
      </c>
      <c r="Y522" s="0" t="n">
        <v>25</v>
      </c>
      <c r="Z522" s="0" t="inlineStr">
        <is>
          <t>https://new.land.naver.com/complexes/125374?tab=detail&amp;rf=Y</t>
        </is>
      </c>
      <c r="AA522" s="0" t="inlineStr">
        <is>
          <t>인천시 서구 당하동 검단신도시 AB4블록</t>
        </is>
      </c>
      <c r="AB522" s="0" t="inlineStr">
        <is>
          <t>인천시</t>
        </is>
      </c>
      <c r="AC522" s="0" t="inlineStr">
        <is>
          <t>서구</t>
        </is>
      </c>
      <c r="AD522" s="0" t="inlineStr">
        <is>
          <t>당하동</t>
        </is>
      </c>
      <c r="AG522" s="0" t="inlineStr">
        <is>
          <t>인천시 서구</t>
        </is>
      </c>
      <c r="AH522" s="0" t="n">
        <v>0</v>
      </c>
      <c r="AI522" s="0" t="n">
        <v>0</v>
      </c>
      <c r="AJ522" s="0" t="n">
        <v>0</v>
      </c>
      <c r="AK522" s="0" t="n">
        <v>1834</v>
      </c>
      <c r="AL522" s="0" t="n">
        <v>1.43</v>
      </c>
    </row>
    <row r="523">
      <c r="A523" s="0" t="inlineStr">
        <is>
          <t>[당하동]</t>
        </is>
      </c>
      <c r="B523" s="0" t="n">
        <v>101664</v>
      </c>
      <c r="C523" s="0" t="n">
        <v>1</v>
      </c>
      <c r="D523" s="0" t="inlineStr">
        <is>
          <t>검단힐스테이트4차</t>
        </is>
      </c>
      <c r="E523" s="0" t="inlineStr">
        <is>
          <t>2012.02.</t>
        </is>
      </c>
      <c r="F523" s="0" t="n">
        <v>588</v>
      </c>
      <c r="G523" s="0" t="n">
        <v>39.94</v>
      </c>
      <c r="H523" s="0" t="n">
        <v>132.04</v>
      </c>
      <c r="I523" s="0" t="n">
        <v>32.5</v>
      </c>
      <c r="J523" s="0" t="n">
        <v>107.44</v>
      </c>
      <c r="K523" s="0" t="n">
        <v>288</v>
      </c>
      <c r="T523" s="0" t="n">
        <v>3</v>
      </c>
      <c r="U523" s="0" t="n">
        <v>2</v>
      </c>
      <c r="V523" s="0" t="inlineStr">
        <is>
          <t>계단식</t>
        </is>
      </c>
      <c r="W523" s="0" t="n">
        <v>132</v>
      </c>
      <c r="X523" s="0" t="n">
        <v>15</v>
      </c>
      <c r="Y523" s="0" t="n">
        <v>15</v>
      </c>
      <c r="Z523" s="0" t="inlineStr">
        <is>
          <t>https://new.land.naver.com/complexes/101664?tab=detail&amp;rf=Y</t>
        </is>
      </c>
      <c r="AA523" s="0" t="inlineStr">
        <is>
          <t>인천시 서구 당하동 1090-1</t>
        </is>
      </c>
      <c r="AB523" s="0" t="inlineStr">
        <is>
          <t>인천시</t>
        </is>
      </c>
      <c r="AC523" s="0" t="inlineStr">
        <is>
          <t>서구</t>
        </is>
      </c>
      <c r="AD523" s="0" t="inlineStr">
        <is>
          <t>당하동</t>
        </is>
      </c>
      <c r="AG523" s="0" t="inlineStr">
        <is>
          <t>인천시 서구 청마로 92</t>
        </is>
      </c>
      <c r="AH523" s="0" t="n">
        <v>0</v>
      </c>
      <c r="AI523" s="0" t="n">
        <v>171</v>
      </c>
      <c r="AJ523" s="0" t="n">
        <v>17</v>
      </c>
      <c r="AK523" s="0" t="n">
        <v>963</v>
      </c>
      <c r="AL523" s="0" t="n">
        <v>1.64</v>
      </c>
    </row>
    <row r="524">
      <c r="A524" s="0" t="inlineStr">
        <is>
          <t>[당하동]</t>
        </is>
      </c>
      <c r="B524" s="0" t="n">
        <v>101664</v>
      </c>
      <c r="C524" s="0" t="n">
        <v>2</v>
      </c>
      <c r="D524" s="0" t="inlineStr">
        <is>
          <t>검단힐스테이트4차</t>
        </is>
      </c>
      <c r="E524" s="0" t="inlineStr">
        <is>
          <t>2012.02.</t>
        </is>
      </c>
      <c r="F524" s="0" t="n">
        <v>588</v>
      </c>
      <c r="G524" s="0" t="n">
        <v>42.95</v>
      </c>
      <c r="H524" s="0" t="n">
        <v>142.01</v>
      </c>
      <c r="I524" s="0" t="n">
        <v>35</v>
      </c>
      <c r="J524" s="0" t="n">
        <v>115.71</v>
      </c>
      <c r="K524" s="0" t="n">
        <v>210</v>
      </c>
      <c r="T524" s="0" t="n">
        <v>3</v>
      </c>
      <c r="U524" s="0" t="n">
        <v>2</v>
      </c>
      <c r="V524" s="0" t="inlineStr">
        <is>
          <t>계단식</t>
        </is>
      </c>
      <c r="W524" s="0" t="n">
        <v>142</v>
      </c>
      <c r="X524" s="0" t="n">
        <v>15</v>
      </c>
      <c r="Y524" s="0" t="n">
        <v>15</v>
      </c>
      <c r="Z524" s="0" t="inlineStr">
        <is>
          <t>https://new.land.naver.com/complexes/101664?tab=detail&amp;rf=Y</t>
        </is>
      </c>
      <c r="AA524" s="0" t="inlineStr">
        <is>
          <t>인천시 서구 당하동 1090-1</t>
        </is>
      </c>
      <c r="AB524" s="0" t="inlineStr">
        <is>
          <t>인천시</t>
        </is>
      </c>
      <c r="AC524" s="0" t="inlineStr">
        <is>
          <t>서구</t>
        </is>
      </c>
      <c r="AD524" s="0" t="inlineStr">
        <is>
          <t>당하동</t>
        </is>
      </c>
      <c r="AG524" s="0" t="inlineStr">
        <is>
          <t>인천시 서구 청마로 92</t>
        </is>
      </c>
      <c r="AH524" s="0" t="n">
        <v>0</v>
      </c>
      <c r="AI524" s="0" t="n">
        <v>171</v>
      </c>
      <c r="AJ524" s="0" t="n">
        <v>17</v>
      </c>
      <c r="AK524" s="0" t="n">
        <v>963</v>
      </c>
      <c r="AL524" s="0" t="n">
        <v>1.64</v>
      </c>
    </row>
    <row r="525">
      <c r="A525" s="0" t="inlineStr">
        <is>
          <t>[당하동]</t>
        </is>
      </c>
      <c r="B525" s="0" t="n">
        <v>101664</v>
      </c>
      <c r="C525" s="0" t="n">
        <v>3</v>
      </c>
      <c r="D525" s="0" t="inlineStr">
        <is>
          <t>검단힐스테이트4차</t>
        </is>
      </c>
      <c r="E525" s="0" t="inlineStr">
        <is>
          <t>2012.02.</t>
        </is>
      </c>
      <c r="F525" s="0" t="n">
        <v>588</v>
      </c>
      <c r="G525" s="0" t="n">
        <v>46.95</v>
      </c>
      <c r="H525" s="0" t="n">
        <v>155.23</v>
      </c>
      <c r="I525" s="0" t="n">
        <v>38.54</v>
      </c>
      <c r="J525" s="0" t="n">
        <v>127.41</v>
      </c>
      <c r="K525" s="0" t="n">
        <v>90</v>
      </c>
      <c r="T525" s="0" t="n">
        <v>3</v>
      </c>
      <c r="U525" s="0" t="n">
        <v>2</v>
      </c>
      <c r="V525" s="0" t="inlineStr">
        <is>
          <t>계단식</t>
        </is>
      </c>
      <c r="W525" s="0" t="n">
        <v>155</v>
      </c>
      <c r="X525" s="0" t="n">
        <v>15</v>
      </c>
      <c r="Y525" s="0" t="n">
        <v>15</v>
      </c>
      <c r="Z525" s="0" t="inlineStr">
        <is>
          <t>https://new.land.naver.com/complexes/101664?tab=detail&amp;rf=Y</t>
        </is>
      </c>
      <c r="AA525" s="0" t="inlineStr">
        <is>
          <t>인천시 서구 당하동 1090-1</t>
        </is>
      </c>
      <c r="AB525" s="0" t="inlineStr">
        <is>
          <t>인천시</t>
        </is>
      </c>
      <c r="AC525" s="0" t="inlineStr">
        <is>
          <t>서구</t>
        </is>
      </c>
      <c r="AD525" s="0" t="inlineStr">
        <is>
          <t>당하동</t>
        </is>
      </c>
      <c r="AG525" s="0" t="inlineStr">
        <is>
          <t>인천시 서구 청마로 92</t>
        </is>
      </c>
      <c r="AH525" s="0" t="n">
        <v>0</v>
      </c>
      <c r="AI525" s="0" t="n">
        <v>171</v>
      </c>
      <c r="AJ525" s="0" t="n">
        <v>17</v>
      </c>
      <c r="AK525" s="0" t="n">
        <v>963</v>
      </c>
      <c r="AL525" s="0" t="n">
        <v>1.64</v>
      </c>
    </row>
    <row r="526">
      <c r="A526" s="0" t="inlineStr">
        <is>
          <t>[당하동]</t>
        </is>
      </c>
      <c r="B526" s="0" t="n">
        <v>110820</v>
      </c>
      <c r="C526" s="0" t="n">
        <v>1</v>
      </c>
      <c r="D526" s="0" t="inlineStr">
        <is>
          <t>검단SK뷰</t>
        </is>
      </c>
      <c r="E526" s="0" t="inlineStr">
        <is>
          <t>2017.09.</t>
        </is>
      </c>
      <c r="F526" s="0" t="n">
        <v>530</v>
      </c>
      <c r="G526" s="0" t="n">
        <v>30.11</v>
      </c>
      <c r="H526" s="0" t="n">
        <v>99.56999999999999</v>
      </c>
      <c r="I526" s="0" t="n">
        <v>22.65</v>
      </c>
      <c r="J526" s="0" t="n">
        <v>74.90000000000001</v>
      </c>
      <c r="K526" s="0" t="n">
        <v>152</v>
      </c>
      <c r="T526" s="0" t="n">
        <v>3</v>
      </c>
      <c r="U526" s="0" t="n">
        <v>2</v>
      </c>
      <c r="V526" s="0" t="inlineStr">
        <is>
          <t>계단식</t>
        </is>
      </c>
      <c r="W526" s="0" t="n">
        <v>99</v>
      </c>
      <c r="X526" s="0" t="n">
        <v>18</v>
      </c>
      <c r="Y526" s="0" t="n">
        <v>12</v>
      </c>
      <c r="Z526" s="0" t="inlineStr">
        <is>
          <t>https://new.land.naver.com/complexes/110820?tab=detail&amp;rf=Y</t>
        </is>
      </c>
      <c r="AA526" s="0" t="inlineStr">
        <is>
          <t>인천시 서구 당하동 1067-1</t>
        </is>
      </c>
      <c r="AB526" s="0" t="inlineStr">
        <is>
          <t>인천시</t>
        </is>
      </c>
      <c r="AC526" s="0" t="inlineStr">
        <is>
          <t>서구</t>
        </is>
      </c>
      <c r="AD526" s="0" t="inlineStr">
        <is>
          <t>당하동</t>
        </is>
      </c>
      <c r="AG526" s="0" t="inlineStr">
        <is>
          <t>인천시 서구 독정로 17</t>
        </is>
      </c>
      <c r="AH526" s="0" t="n">
        <v>0</v>
      </c>
      <c r="AI526" s="0" t="n">
        <v>231</v>
      </c>
      <c r="AJ526" s="0" t="n">
        <v>20</v>
      </c>
      <c r="AK526" s="0" t="n">
        <v>690</v>
      </c>
      <c r="AL526" s="0" t="n">
        <v>1.3</v>
      </c>
    </row>
    <row r="527">
      <c r="A527" s="0" t="inlineStr">
        <is>
          <t>[당하동]</t>
        </is>
      </c>
      <c r="B527" s="0" t="n">
        <v>110820</v>
      </c>
      <c r="C527" s="0" t="n">
        <v>2</v>
      </c>
      <c r="D527" s="0" t="inlineStr">
        <is>
          <t>검단SK뷰</t>
        </is>
      </c>
      <c r="E527" s="0" t="inlineStr">
        <is>
          <t>2017.09.</t>
        </is>
      </c>
      <c r="F527" s="0" t="n">
        <v>530</v>
      </c>
      <c r="G527" s="0" t="n">
        <v>33.95</v>
      </c>
      <c r="H527" s="0" t="n">
        <v>112.24</v>
      </c>
      <c r="I527" s="0" t="n">
        <v>25.64</v>
      </c>
      <c r="J527" s="0" t="n">
        <v>84.78</v>
      </c>
      <c r="K527" s="0" t="n">
        <v>296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112A</t>
        </is>
      </c>
      <c r="X527" s="0" t="n">
        <v>18</v>
      </c>
      <c r="Y527" s="0" t="n">
        <v>12</v>
      </c>
      <c r="Z527" s="0" t="inlineStr">
        <is>
          <t>https://new.land.naver.com/complexes/110820?tab=detail&amp;rf=Y</t>
        </is>
      </c>
      <c r="AA527" s="0" t="inlineStr">
        <is>
          <t>인천시 서구 당하동 1067-1</t>
        </is>
      </c>
      <c r="AB527" s="0" t="inlineStr">
        <is>
          <t>인천시</t>
        </is>
      </c>
      <c r="AC527" s="0" t="inlineStr">
        <is>
          <t>서구</t>
        </is>
      </c>
      <c r="AD527" s="0" t="inlineStr">
        <is>
          <t>당하동</t>
        </is>
      </c>
      <c r="AG527" s="0" t="inlineStr">
        <is>
          <t>인천시 서구 독정로 17</t>
        </is>
      </c>
      <c r="AH527" s="0" t="n">
        <v>0</v>
      </c>
      <c r="AI527" s="0" t="n">
        <v>231</v>
      </c>
      <c r="AJ527" s="0" t="n">
        <v>20</v>
      </c>
      <c r="AK527" s="0" t="n">
        <v>690</v>
      </c>
      <c r="AL527" s="0" t="n">
        <v>1.3</v>
      </c>
    </row>
    <row r="528">
      <c r="A528" s="0" t="inlineStr">
        <is>
          <t>[당하동]</t>
        </is>
      </c>
      <c r="B528" s="0" t="n">
        <v>110820</v>
      </c>
      <c r="C528" s="0" t="n">
        <v>3</v>
      </c>
      <c r="D528" s="0" t="inlineStr">
        <is>
          <t>검단SK뷰</t>
        </is>
      </c>
      <c r="E528" s="0" t="inlineStr">
        <is>
          <t>2017.09.</t>
        </is>
      </c>
      <c r="F528" s="0" t="n">
        <v>530</v>
      </c>
      <c r="G528" s="0" t="n">
        <v>34.56</v>
      </c>
      <c r="H528" s="0" t="n">
        <v>114.28</v>
      </c>
      <c r="I528" s="0" t="n">
        <v>25.7</v>
      </c>
      <c r="J528" s="0" t="n">
        <v>84.97</v>
      </c>
      <c r="K528" s="0" t="n">
        <v>82</v>
      </c>
      <c r="T528" s="0" t="n">
        <v>4</v>
      </c>
      <c r="U528" s="0" t="n">
        <v>2</v>
      </c>
      <c r="V528" s="0" t="inlineStr">
        <is>
          <t>계단식</t>
        </is>
      </c>
      <c r="W528" s="0" t="inlineStr">
        <is>
          <t>114B</t>
        </is>
      </c>
      <c r="X528" s="0" t="n">
        <v>18</v>
      </c>
      <c r="Y528" s="0" t="n">
        <v>12</v>
      </c>
      <c r="Z528" s="0" t="inlineStr">
        <is>
          <t>https://new.land.naver.com/complexes/110820?tab=detail&amp;rf=Y</t>
        </is>
      </c>
      <c r="AA528" s="0" t="inlineStr">
        <is>
          <t>인천시 서구 당하동 1067-1</t>
        </is>
      </c>
      <c r="AB528" s="0" t="inlineStr">
        <is>
          <t>인천시</t>
        </is>
      </c>
      <c r="AC528" s="0" t="inlineStr">
        <is>
          <t>서구</t>
        </is>
      </c>
      <c r="AD528" s="0" t="inlineStr">
        <is>
          <t>당하동</t>
        </is>
      </c>
      <c r="AG528" s="0" t="inlineStr">
        <is>
          <t>인천시 서구 독정로 17</t>
        </is>
      </c>
      <c r="AH528" s="0" t="n">
        <v>0</v>
      </c>
      <c r="AI528" s="0" t="n">
        <v>231</v>
      </c>
      <c r="AJ528" s="0" t="n">
        <v>20</v>
      </c>
      <c r="AK528" s="0" t="n">
        <v>690</v>
      </c>
      <c r="AL528" s="0" t="n">
        <v>1.3</v>
      </c>
    </row>
    <row r="529">
      <c r="A529" s="0" t="inlineStr">
        <is>
          <t>[당하동]</t>
        </is>
      </c>
      <c r="B529" s="0" t="n">
        <v>124468</v>
      </c>
      <c r="C529" s="0" t="n">
        <v>1</v>
      </c>
      <c r="D529" s="0" t="inlineStr">
        <is>
          <t>디자인타운(도시형)</t>
        </is>
      </c>
      <c r="E529" s="0" t="inlineStr">
        <is>
          <t>2015.08.</t>
        </is>
      </c>
      <c r="F529" s="0" t="n">
        <v>35</v>
      </c>
      <c r="G529" s="0" t="n">
        <v>18.59</v>
      </c>
      <c r="H529" s="0" t="n">
        <v>61.47</v>
      </c>
      <c r="I529" s="0" t="n">
        <v>16.17</v>
      </c>
      <c r="J529" s="0" t="n">
        <v>53.48</v>
      </c>
      <c r="K529" s="0" t="n">
        <v>1</v>
      </c>
      <c r="T529" s="0" t="n">
        <v>2</v>
      </c>
      <c r="U529" s="0" t="n">
        <v>1</v>
      </c>
      <c r="V529" s="0" t="inlineStr">
        <is>
          <t>계단식</t>
        </is>
      </c>
      <c r="W529" s="0" t="inlineStr">
        <is>
          <t>61A</t>
        </is>
      </c>
      <c r="X529" s="0" t="n">
        <v>5</v>
      </c>
      <c r="Y529" s="0" t="n">
        <v>5</v>
      </c>
      <c r="Z529" s="0" t="inlineStr">
        <is>
          <t>https://new.land.naver.com/complexes/124468?tab=detail&amp;rf=Y</t>
        </is>
      </c>
      <c r="AA529" s="0" t="inlineStr">
        <is>
          <t>인천시 서구 당하동 1098-11</t>
        </is>
      </c>
      <c r="AB529" s="0" t="inlineStr">
        <is>
          <t>인천시</t>
        </is>
      </c>
      <c r="AC529" s="0" t="inlineStr">
        <is>
          <t>서구</t>
        </is>
      </c>
      <c r="AD529" s="0" t="inlineStr">
        <is>
          <t>당하동</t>
        </is>
      </c>
      <c r="AG529" s="0" t="inlineStr">
        <is>
          <t>인천시 서구 청마로 111</t>
        </is>
      </c>
      <c r="AH529" s="0" t="n">
        <v>0</v>
      </c>
      <c r="AI529" s="0" t="n">
        <v>0</v>
      </c>
      <c r="AJ529" s="0" t="n">
        <v>0</v>
      </c>
      <c r="AK529" s="0" t="n">
        <v>0</v>
      </c>
      <c r="AL529" s="0" t="n">
        <v>0</v>
      </c>
    </row>
    <row r="530">
      <c r="A530" s="0" t="inlineStr">
        <is>
          <t>[당하동]</t>
        </is>
      </c>
      <c r="B530" s="0" t="n">
        <v>124468</v>
      </c>
      <c r="C530" s="0" t="n">
        <v>2</v>
      </c>
      <c r="D530" s="0" t="inlineStr">
        <is>
          <t>디자인타운(도시형)</t>
        </is>
      </c>
      <c r="E530" s="0" t="inlineStr">
        <is>
          <t>2015.08.</t>
        </is>
      </c>
      <c r="F530" s="0" t="n">
        <v>35</v>
      </c>
      <c r="G530" s="0" t="n">
        <v>18.71</v>
      </c>
      <c r="H530" s="0" t="n">
        <v>61.88</v>
      </c>
      <c r="I530" s="0" t="n">
        <v>16.33</v>
      </c>
      <c r="J530" s="0" t="n">
        <v>54</v>
      </c>
      <c r="K530" s="0" t="n">
        <v>1</v>
      </c>
      <c r="T530" s="0" t="n">
        <v>2</v>
      </c>
      <c r="U530" s="0" t="n">
        <v>1</v>
      </c>
      <c r="V530" s="0" t="inlineStr">
        <is>
          <t>계단식</t>
        </is>
      </c>
      <c r="W530" s="0" t="inlineStr">
        <is>
          <t>61B</t>
        </is>
      </c>
      <c r="X530" s="0" t="n">
        <v>5</v>
      </c>
      <c r="Y530" s="0" t="n">
        <v>5</v>
      </c>
      <c r="Z530" s="0" t="inlineStr">
        <is>
          <t>https://new.land.naver.com/complexes/124468?tab=detail&amp;rf=Y</t>
        </is>
      </c>
      <c r="AA530" s="0" t="inlineStr">
        <is>
          <t>인천시 서구 당하동 1098-11</t>
        </is>
      </c>
      <c r="AB530" s="0" t="inlineStr">
        <is>
          <t>인천시</t>
        </is>
      </c>
      <c r="AC530" s="0" t="inlineStr">
        <is>
          <t>서구</t>
        </is>
      </c>
      <c r="AD530" s="0" t="inlineStr">
        <is>
          <t>당하동</t>
        </is>
      </c>
      <c r="AG530" s="0" t="inlineStr">
        <is>
          <t>인천시 서구 청마로 111</t>
        </is>
      </c>
      <c r="AH530" s="0" t="n">
        <v>0</v>
      </c>
      <c r="AI530" s="0" t="n">
        <v>0</v>
      </c>
      <c r="AJ530" s="0" t="n">
        <v>0</v>
      </c>
      <c r="AK530" s="0" t="n">
        <v>0</v>
      </c>
      <c r="AL530" s="0" t="n">
        <v>0</v>
      </c>
    </row>
    <row r="531">
      <c r="A531" s="0" t="inlineStr">
        <is>
          <t>[당하동]</t>
        </is>
      </c>
      <c r="B531" s="0" t="n">
        <v>124468</v>
      </c>
      <c r="C531" s="0" t="n">
        <v>3</v>
      </c>
      <c r="D531" s="0" t="inlineStr">
        <is>
          <t>디자인타운(도시형)</t>
        </is>
      </c>
      <c r="E531" s="0" t="inlineStr">
        <is>
          <t>2015.08.</t>
        </is>
      </c>
      <c r="F531" s="0" t="n">
        <v>35</v>
      </c>
      <c r="G531" s="0" t="n">
        <v>19.59</v>
      </c>
      <c r="H531" s="0" t="n">
        <v>64.79000000000001</v>
      </c>
      <c r="I531" s="0" t="n">
        <v>16.96</v>
      </c>
      <c r="J531" s="0" t="n">
        <v>56.08</v>
      </c>
      <c r="K531" s="0" t="n">
        <v>1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64D</t>
        </is>
      </c>
      <c r="X531" s="0" t="n">
        <v>5</v>
      </c>
      <c r="Y531" s="0" t="n">
        <v>5</v>
      </c>
      <c r="Z531" s="0" t="inlineStr">
        <is>
          <t>https://new.land.naver.com/complexes/124468?tab=detail&amp;rf=Y</t>
        </is>
      </c>
      <c r="AA531" s="0" t="inlineStr">
        <is>
          <t>인천시 서구 당하동 1098-11</t>
        </is>
      </c>
      <c r="AB531" s="0" t="inlineStr">
        <is>
          <t>인천시</t>
        </is>
      </c>
      <c r="AC531" s="0" t="inlineStr">
        <is>
          <t>서구</t>
        </is>
      </c>
      <c r="AD531" s="0" t="inlineStr">
        <is>
          <t>당하동</t>
        </is>
      </c>
      <c r="AG531" s="0" t="inlineStr">
        <is>
          <t>인천시 서구 청마로 111</t>
        </is>
      </c>
      <c r="AH531" s="0" t="n">
        <v>0</v>
      </c>
      <c r="AI531" s="0" t="n">
        <v>0</v>
      </c>
      <c r="AJ531" s="0" t="n">
        <v>0</v>
      </c>
      <c r="AK531" s="0" t="n">
        <v>0</v>
      </c>
      <c r="AL531" s="0" t="n">
        <v>0</v>
      </c>
    </row>
    <row r="532">
      <c r="A532" s="0" t="inlineStr">
        <is>
          <t>[당하동]</t>
        </is>
      </c>
      <c r="B532" s="0" t="n">
        <v>124468</v>
      </c>
      <c r="C532" s="0" t="n">
        <v>4</v>
      </c>
      <c r="D532" s="0" t="inlineStr">
        <is>
          <t>디자인타운(도시형)</t>
        </is>
      </c>
      <c r="E532" s="0" t="inlineStr">
        <is>
          <t>2015.08.</t>
        </is>
      </c>
      <c r="F532" s="0" t="n">
        <v>35</v>
      </c>
      <c r="G532" s="0" t="n">
        <v>19.94</v>
      </c>
      <c r="H532" s="0" t="n">
        <v>65.94</v>
      </c>
      <c r="I532" s="0" t="n">
        <v>17.24</v>
      </c>
      <c r="J532" s="0" t="n">
        <v>57.01</v>
      </c>
      <c r="K532" s="0" t="n">
        <v>3</v>
      </c>
      <c r="T532" s="0" t="n">
        <v>3</v>
      </c>
      <c r="U532" s="0" t="n">
        <v>1</v>
      </c>
      <c r="V532" s="0" t="inlineStr">
        <is>
          <t>계단식</t>
        </is>
      </c>
      <c r="W532" s="0" t="inlineStr">
        <is>
          <t>65E</t>
        </is>
      </c>
      <c r="X532" s="0" t="n">
        <v>5</v>
      </c>
      <c r="Y532" s="0" t="n">
        <v>5</v>
      </c>
      <c r="Z532" s="0" t="inlineStr">
        <is>
          <t>https://new.land.naver.com/complexes/124468?tab=detail&amp;rf=Y</t>
        </is>
      </c>
      <c r="AA532" s="0" t="inlineStr">
        <is>
          <t>인천시 서구 당하동 1098-11</t>
        </is>
      </c>
      <c r="AB532" s="0" t="inlineStr">
        <is>
          <t>인천시</t>
        </is>
      </c>
      <c r="AC532" s="0" t="inlineStr">
        <is>
          <t>서구</t>
        </is>
      </c>
      <c r="AD532" s="0" t="inlineStr">
        <is>
          <t>당하동</t>
        </is>
      </c>
      <c r="AG532" s="0" t="inlineStr">
        <is>
          <t>인천시 서구 청마로 111</t>
        </is>
      </c>
      <c r="AH532" s="0" t="n">
        <v>0</v>
      </c>
      <c r="AI532" s="0" t="n">
        <v>0</v>
      </c>
      <c r="AJ532" s="0" t="n">
        <v>0</v>
      </c>
      <c r="AK532" s="0" t="n">
        <v>0</v>
      </c>
      <c r="AL532" s="0" t="n">
        <v>0</v>
      </c>
    </row>
    <row r="533">
      <c r="A533" s="0" t="inlineStr">
        <is>
          <t>[당하동]</t>
        </is>
      </c>
      <c r="B533" s="0" t="n">
        <v>124468</v>
      </c>
      <c r="C533" s="0" t="n">
        <v>5</v>
      </c>
      <c r="D533" s="0" t="inlineStr">
        <is>
          <t>디자인타운(도시형)</t>
        </is>
      </c>
      <c r="E533" s="0" t="inlineStr">
        <is>
          <t>2015.08.</t>
        </is>
      </c>
      <c r="F533" s="0" t="n">
        <v>35</v>
      </c>
      <c r="G533" s="0" t="n">
        <v>19.8</v>
      </c>
      <c r="H533" s="0" t="n">
        <v>65.47</v>
      </c>
      <c r="I533" s="0" t="n">
        <v>17.12</v>
      </c>
      <c r="J533" s="0" t="n">
        <v>56.6</v>
      </c>
      <c r="K533" s="0" t="n">
        <v>2</v>
      </c>
      <c r="T533" s="0" t="n">
        <v>3</v>
      </c>
      <c r="U533" s="0" t="n">
        <v>1</v>
      </c>
      <c r="V533" s="0" t="inlineStr">
        <is>
          <t>계단식</t>
        </is>
      </c>
      <c r="W533" s="0" t="inlineStr">
        <is>
          <t>65A</t>
        </is>
      </c>
      <c r="X533" s="0" t="n">
        <v>5</v>
      </c>
      <c r="Y533" s="0" t="n">
        <v>5</v>
      </c>
      <c r="Z533" s="0" t="inlineStr">
        <is>
          <t>https://new.land.naver.com/complexes/124468?tab=detail&amp;rf=Y</t>
        </is>
      </c>
      <c r="AA533" s="0" t="inlineStr">
        <is>
          <t>인천시 서구 당하동 1098-11</t>
        </is>
      </c>
      <c r="AB533" s="0" t="inlineStr">
        <is>
          <t>인천시</t>
        </is>
      </c>
      <c r="AC533" s="0" t="inlineStr">
        <is>
          <t>서구</t>
        </is>
      </c>
      <c r="AD533" s="0" t="inlineStr">
        <is>
          <t>당하동</t>
        </is>
      </c>
      <c r="AG533" s="0" t="inlineStr">
        <is>
          <t>인천시 서구 청마로 111</t>
        </is>
      </c>
      <c r="AH533" s="0" t="n">
        <v>0</v>
      </c>
      <c r="AI533" s="0" t="n">
        <v>0</v>
      </c>
      <c r="AJ533" s="0" t="n">
        <v>0</v>
      </c>
      <c r="AK533" s="0" t="n">
        <v>0</v>
      </c>
      <c r="AL533" s="0" t="n">
        <v>0</v>
      </c>
    </row>
    <row r="534">
      <c r="A534" s="0" t="inlineStr">
        <is>
          <t>[당하동]</t>
        </is>
      </c>
      <c r="B534" s="0" t="n">
        <v>124468</v>
      </c>
      <c r="C534" s="0" t="n">
        <v>6</v>
      </c>
      <c r="D534" s="0" t="inlineStr">
        <is>
          <t>디자인타운(도시형)</t>
        </is>
      </c>
      <c r="E534" s="0" t="inlineStr">
        <is>
          <t>2015.08.</t>
        </is>
      </c>
      <c r="F534" s="0" t="n">
        <v>35</v>
      </c>
      <c r="G534" s="0" t="n">
        <v>19.94</v>
      </c>
      <c r="H534" s="0" t="n">
        <v>65.93000000000001</v>
      </c>
      <c r="I534" s="0" t="n">
        <v>17.26</v>
      </c>
      <c r="J534" s="0" t="n">
        <v>57.07</v>
      </c>
      <c r="K534" s="0" t="n">
        <v>2</v>
      </c>
      <c r="T534" s="0" t="n">
        <v>3</v>
      </c>
      <c r="U534" s="0" t="n">
        <v>1</v>
      </c>
      <c r="V534" s="0" t="inlineStr">
        <is>
          <t>계단식</t>
        </is>
      </c>
      <c r="W534" s="0" t="inlineStr">
        <is>
          <t>65F</t>
        </is>
      </c>
      <c r="X534" s="0" t="n">
        <v>5</v>
      </c>
      <c r="Y534" s="0" t="n">
        <v>5</v>
      </c>
      <c r="Z534" s="0" t="inlineStr">
        <is>
          <t>https://new.land.naver.com/complexes/124468?tab=detail&amp;rf=Y</t>
        </is>
      </c>
      <c r="AA534" s="0" t="inlineStr">
        <is>
          <t>인천시 서구 당하동 1098-11</t>
        </is>
      </c>
      <c r="AB534" s="0" t="inlineStr">
        <is>
          <t>인천시</t>
        </is>
      </c>
      <c r="AC534" s="0" t="inlineStr">
        <is>
          <t>서구</t>
        </is>
      </c>
      <c r="AD534" s="0" t="inlineStr">
        <is>
          <t>당하동</t>
        </is>
      </c>
      <c r="AG534" s="0" t="inlineStr">
        <is>
          <t>인천시 서구 청마로 111</t>
        </is>
      </c>
      <c r="AH534" s="0" t="n">
        <v>0</v>
      </c>
      <c r="AI534" s="0" t="n">
        <v>0</v>
      </c>
      <c r="AJ534" s="0" t="n">
        <v>0</v>
      </c>
      <c r="AK534" s="0" t="n">
        <v>0</v>
      </c>
      <c r="AL534" s="0" t="n">
        <v>0</v>
      </c>
    </row>
    <row r="535">
      <c r="A535" s="0" t="inlineStr">
        <is>
          <t>[당하동]</t>
        </is>
      </c>
      <c r="B535" s="0" t="n">
        <v>124468</v>
      </c>
      <c r="C535" s="0" t="n">
        <v>7</v>
      </c>
      <c r="D535" s="0" t="inlineStr">
        <is>
          <t>디자인타운(도시형)</t>
        </is>
      </c>
      <c r="E535" s="0" t="inlineStr">
        <is>
          <t>2015.08.</t>
        </is>
      </c>
      <c r="F535" s="0" t="n">
        <v>35</v>
      </c>
      <c r="G535" s="0" t="n">
        <v>20.02</v>
      </c>
      <c r="H535" s="0" t="n">
        <v>66.20999999999999</v>
      </c>
      <c r="I535" s="0" t="n">
        <v>17.33</v>
      </c>
      <c r="J535" s="0" t="n">
        <v>57.31</v>
      </c>
      <c r="K535" s="0" t="n">
        <v>2</v>
      </c>
      <c r="T535" s="0" t="n">
        <v>3</v>
      </c>
      <c r="U535" s="0" t="n">
        <v>1</v>
      </c>
      <c r="V535" s="0" t="inlineStr">
        <is>
          <t>계단식</t>
        </is>
      </c>
      <c r="W535" s="0" t="inlineStr">
        <is>
          <t>66B</t>
        </is>
      </c>
      <c r="X535" s="0" t="n">
        <v>5</v>
      </c>
      <c r="Y535" s="0" t="n">
        <v>5</v>
      </c>
      <c r="Z535" s="0" t="inlineStr">
        <is>
          <t>https://new.land.naver.com/complexes/124468?tab=detail&amp;rf=Y</t>
        </is>
      </c>
      <c r="AA535" s="0" t="inlineStr">
        <is>
          <t>인천시 서구 당하동 1098-11</t>
        </is>
      </c>
      <c r="AB535" s="0" t="inlineStr">
        <is>
          <t>인천시</t>
        </is>
      </c>
      <c r="AC535" s="0" t="inlineStr">
        <is>
          <t>서구</t>
        </is>
      </c>
      <c r="AD535" s="0" t="inlineStr">
        <is>
          <t>당하동</t>
        </is>
      </c>
      <c r="AG535" s="0" t="inlineStr">
        <is>
          <t>인천시 서구 청마로 111</t>
        </is>
      </c>
      <c r="AH535" s="0" t="n">
        <v>0</v>
      </c>
      <c r="AI535" s="0" t="n">
        <v>0</v>
      </c>
      <c r="AJ535" s="0" t="n">
        <v>0</v>
      </c>
      <c r="AK535" s="0" t="n">
        <v>0</v>
      </c>
      <c r="AL535" s="0" t="n">
        <v>0</v>
      </c>
    </row>
    <row r="536">
      <c r="A536" s="0" t="inlineStr">
        <is>
          <t>[당하동]</t>
        </is>
      </c>
      <c r="B536" s="0" t="n">
        <v>124468</v>
      </c>
      <c r="C536" s="0" t="n">
        <v>8</v>
      </c>
      <c r="D536" s="0" t="inlineStr">
        <is>
          <t>디자인타운(도시형)</t>
        </is>
      </c>
      <c r="E536" s="0" t="inlineStr">
        <is>
          <t>2015.08.</t>
        </is>
      </c>
      <c r="F536" s="0" t="n">
        <v>35</v>
      </c>
      <c r="G536" s="0" t="n">
        <v>20.18</v>
      </c>
      <c r="H536" s="0" t="n">
        <v>66.72</v>
      </c>
      <c r="I536" s="0" t="n">
        <v>17.56</v>
      </c>
      <c r="J536" s="0" t="n">
        <v>58.05</v>
      </c>
      <c r="K536" s="0" t="n">
        <v>2</v>
      </c>
      <c r="T536" s="0" t="n">
        <v>3</v>
      </c>
      <c r="U536" s="0" t="n">
        <v>1</v>
      </c>
      <c r="V536" s="0" t="inlineStr">
        <is>
          <t>계단식</t>
        </is>
      </c>
      <c r="W536" s="0" t="inlineStr">
        <is>
          <t>66H</t>
        </is>
      </c>
      <c r="X536" s="0" t="n">
        <v>5</v>
      </c>
      <c r="Y536" s="0" t="n">
        <v>5</v>
      </c>
      <c r="Z536" s="0" t="inlineStr">
        <is>
          <t>https://new.land.naver.com/complexes/124468?tab=detail&amp;rf=Y</t>
        </is>
      </c>
      <c r="AA536" s="0" t="inlineStr">
        <is>
          <t>인천시 서구 당하동 1098-11</t>
        </is>
      </c>
      <c r="AB536" s="0" t="inlineStr">
        <is>
          <t>인천시</t>
        </is>
      </c>
      <c r="AC536" s="0" t="inlineStr">
        <is>
          <t>서구</t>
        </is>
      </c>
      <c r="AD536" s="0" t="inlineStr">
        <is>
          <t>당하동</t>
        </is>
      </c>
      <c r="AG536" s="0" t="inlineStr">
        <is>
          <t>인천시 서구 청마로 111</t>
        </is>
      </c>
      <c r="AH536" s="0" t="n">
        <v>0</v>
      </c>
      <c r="AI536" s="0" t="n">
        <v>0</v>
      </c>
      <c r="AJ536" s="0" t="n">
        <v>0</v>
      </c>
      <c r="AK536" s="0" t="n">
        <v>0</v>
      </c>
      <c r="AL536" s="0" t="n">
        <v>0</v>
      </c>
    </row>
    <row r="537">
      <c r="A537" s="0" t="inlineStr">
        <is>
          <t>[당하동]</t>
        </is>
      </c>
      <c r="B537" s="0" t="n">
        <v>124468</v>
      </c>
      <c r="C537" s="0" t="n">
        <v>9</v>
      </c>
      <c r="D537" s="0" t="inlineStr">
        <is>
          <t>디자인타운(도시형)</t>
        </is>
      </c>
      <c r="E537" s="0" t="inlineStr">
        <is>
          <t>2015.08.</t>
        </is>
      </c>
      <c r="F537" s="0" t="n">
        <v>35</v>
      </c>
      <c r="G537" s="0" t="n">
        <v>20.12</v>
      </c>
      <c r="H537" s="0" t="n">
        <v>66.52</v>
      </c>
      <c r="I537" s="0" t="n">
        <v>17.56</v>
      </c>
      <c r="J537" s="0" t="n">
        <v>58.05</v>
      </c>
      <c r="K537" s="0" t="n">
        <v>1</v>
      </c>
      <c r="T537" s="0" t="n">
        <v>3</v>
      </c>
      <c r="U537" s="0" t="n">
        <v>1</v>
      </c>
      <c r="V537" s="0" t="inlineStr">
        <is>
          <t>계단식</t>
        </is>
      </c>
      <c r="W537" s="0" t="inlineStr">
        <is>
          <t>66G</t>
        </is>
      </c>
      <c r="X537" s="0" t="n">
        <v>5</v>
      </c>
      <c r="Y537" s="0" t="n">
        <v>5</v>
      </c>
      <c r="Z537" s="0" t="inlineStr">
        <is>
          <t>https://new.land.naver.com/complexes/124468?tab=detail&amp;rf=Y</t>
        </is>
      </c>
      <c r="AA537" s="0" t="inlineStr">
        <is>
          <t>인천시 서구 당하동 1098-11</t>
        </is>
      </c>
      <c r="AB537" s="0" t="inlineStr">
        <is>
          <t>인천시</t>
        </is>
      </c>
      <c r="AC537" s="0" t="inlineStr">
        <is>
          <t>서구</t>
        </is>
      </c>
      <c r="AD537" s="0" t="inlineStr">
        <is>
          <t>당하동</t>
        </is>
      </c>
      <c r="AG537" s="0" t="inlineStr">
        <is>
          <t>인천시 서구 청마로 111</t>
        </is>
      </c>
      <c r="AH537" s="0" t="n">
        <v>0</v>
      </c>
      <c r="AI537" s="0" t="n">
        <v>0</v>
      </c>
      <c r="AJ537" s="0" t="n">
        <v>0</v>
      </c>
      <c r="AK537" s="0" t="n">
        <v>0</v>
      </c>
      <c r="AL537" s="0" t="n">
        <v>0</v>
      </c>
    </row>
    <row r="538">
      <c r="A538" s="0" t="inlineStr">
        <is>
          <t>[당하동]</t>
        </is>
      </c>
      <c r="B538" s="0" t="n">
        <v>124468</v>
      </c>
      <c r="C538" s="0" t="n">
        <v>10</v>
      </c>
      <c r="D538" s="0" t="inlineStr">
        <is>
          <t>디자인타운(도시형)</t>
        </is>
      </c>
      <c r="E538" s="0" t="inlineStr">
        <is>
          <t>2015.08.</t>
        </is>
      </c>
      <c r="F538" s="0" t="n">
        <v>35</v>
      </c>
      <c r="G538" s="0" t="n">
        <v>20.36</v>
      </c>
      <c r="H538" s="0" t="n">
        <v>67.31999999999999</v>
      </c>
      <c r="I538" s="0" t="n">
        <v>17.77</v>
      </c>
      <c r="J538" s="0" t="n">
        <v>58.75</v>
      </c>
      <c r="K538" s="0" t="n">
        <v>2</v>
      </c>
      <c r="T538" s="0" t="n">
        <v>3</v>
      </c>
      <c r="U538" s="0" t="n">
        <v>1</v>
      </c>
      <c r="V538" s="0" t="inlineStr">
        <is>
          <t>계단식</t>
        </is>
      </c>
      <c r="W538" s="0" t="inlineStr">
        <is>
          <t>67C</t>
        </is>
      </c>
      <c r="X538" s="0" t="n">
        <v>5</v>
      </c>
      <c r="Y538" s="0" t="n">
        <v>5</v>
      </c>
      <c r="Z538" s="0" t="inlineStr">
        <is>
          <t>https://new.land.naver.com/complexes/124468?tab=detail&amp;rf=Y</t>
        </is>
      </c>
      <c r="AA538" s="0" t="inlineStr">
        <is>
          <t>인천시 서구 당하동 1098-11</t>
        </is>
      </c>
      <c r="AB538" s="0" t="inlineStr">
        <is>
          <t>인천시</t>
        </is>
      </c>
      <c r="AC538" s="0" t="inlineStr">
        <is>
          <t>서구</t>
        </is>
      </c>
      <c r="AD538" s="0" t="inlineStr">
        <is>
          <t>당하동</t>
        </is>
      </c>
      <c r="AG538" s="0" t="inlineStr">
        <is>
          <t>인천시 서구 청마로 111</t>
        </is>
      </c>
      <c r="AH538" s="0" t="n">
        <v>0</v>
      </c>
      <c r="AI538" s="0" t="n">
        <v>0</v>
      </c>
      <c r="AJ538" s="0" t="n">
        <v>0</v>
      </c>
      <c r="AK538" s="0" t="n">
        <v>0</v>
      </c>
      <c r="AL538" s="0" t="n">
        <v>0</v>
      </c>
    </row>
    <row r="539">
      <c r="A539" s="0" t="inlineStr">
        <is>
          <t>[당하동]</t>
        </is>
      </c>
      <c r="B539" s="0" t="n">
        <v>124468</v>
      </c>
      <c r="C539" s="0" t="n">
        <v>11</v>
      </c>
      <c r="D539" s="0" t="inlineStr">
        <is>
          <t>디자인타운(도시형)</t>
        </is>
      </c>
      <c r="E539" s="0" t="inlineStr">
        <is>
          <t>2015.08.</t>
        </is>
      </c>
      <c r="F539" s="0" t="n">
        <v>35</v>
      </c>
      <c r="G539" s="0" t="n">
        <v>20.43</v>
      </c>
      <c r="H539" s="0" t="n">
        <v>67.56</v>
      </c>
      <c r="I539" s="0" t="n">
        <v>17.69</v>
      </c>
      <c r="J539" s="0" t="n">
        <v>58.48</v>
      </c>
      <c r="K539" s="0" t="n">
        <v>2</v>
      </c>
      <c r="T539" s="0" t="n">
        <v>3</v>
      </c>
      <c r="U539" s="0" t="n">
        <v>1</v>
      </c>
      <c r="V539" s="0" t="inlineStr">
        <is>
          <t>계단식</t>
        </is>
      </c>
      <c r="W539" s="0" t="inlineStr">
        <is>
          <t>67J</t>
        </is>
      </c>
      <c r="X539" s="0" t="n">
        <v>5</v>
      </c>
      <c r="Y539" s="0" t="n">
        <v>5</v>
      </c>
      <c r="Z539" s="0" t="inlineStr">
        <is>
          <t>https://new.land.naver.com/complexes/124468?tab=detail&amp;rf=Y</t>
        </is>
      </c>
      <c r="AA539" s="0" t="inlineStr">
        <is>
          <t>인천시 서구 당하동 1098-11</t>
        </is>
      </c>
      <c r="AB539" s="0" t="inlineStr">
        <is>
          <t>인천시</t>
        </is>
      </c>
      <c r="AC539" s="0" t="inlineStr">
        <is>
          <t>서구</t>
        </is>
      </c>
      <c r="AD539" s="0" t="inlineStr">
        <is>
          <t>당하동</t>
        </is>
      </c>
      <c r="AG539" s="0" t="inlineStr">
        <is>
          <t>인천시 서구 청마로 111</t>
        </is>
      </c>
      <c r="AH539" s="0" t="n">
        <v>0</v>
      </c>
      <c r="AI539" s="0" t="n">
        <v>0</v>
      </c>
      <c r="AJ539" s="0" t="n">
        <v>0</v>
      </c>
      <c r="AK539" s="0" t="n">
        <v>0</v>
      </c>
      <c r="AL539" s="0" t="n">
        <v>0</v>
      </c>
    </row>
    <row r="540">
      <c r="A540" s="0" t="inlineStr">
        <is>
          <t>[당하동]</t>
        </is>
      </c>
      <c r="B540" s="0" t="n">
        <v>124468</v>
      </c>
      <c r="C540" s="0" t="n">
        <v>12</v>
      </c>
      <c r="D540" s="0" t="inlineStr">
        <is>
          <t>디자인타운(도시형)</t>
        </is>
      </c>
      <c r="E540" s="0" t="inlineStr">
        <is>
          <t>2015.08.</t>
        </is>
      </c>
      <c r="F540" s="0" t="n">
        <v>35</v>
      </c>
      <c r="G540" s="0" t="n">
        <v>20.53</v>
      </c>
      <c r="H540" s="0" t="n">
        <v>67.88</v>
      </c>
      <c r="I540" s="0" t="n">
        <v>17.77</v>
      </c>
      <c r="J540" s="0" t="n">
        <v>58.75</v>
      </c>
      <c r="K540" s="0" t="n">
        <v>1</v>
      </c>
      <c r="T540" s="0" t="n">
        <v>3</v>
      </c>
      <c r="U540" s="0" t="n">
        <v>1</v>
      </c>
      <c r="V540" s="0" t="inlineStr">
        <is>
          <t>계단식</t>
        </is>
      </c>
      <c r="W540" s="0" t="inlineStr">
        <is>
          <t>67E</t>
        </is>
      </c>
      <c r="X540" s="0" t="n">
        <v>5</v>
      </c>
      <c r="Y540" s="0" t="n">
        <v>5</v>
      </c>
      <c r="Z540" s="0" t="inlineStr">
        <is>
          <t>https://new.land.naver.com/complexes/124468?tab=detail&amp;rf=Y</t>
        </is>
      </c>
      <c r="AA540" s="0" t="inlineStr">
        <is>
          <t>인천시 서구 당하동 1098-11</t>
        </is>
      </c>
      <c r="AB540" s="0" t="inlineStr">
        <is>
          <t>인천시</t>
        </is>
      </c>
      <c r="AC540" s="0" t="inlineStr">
        <is>
          <t>서구</t>
        </is>
      </c>
      <c r="AD540" s="0" t="inlineStr">
        <is>
          <t>당하동</t>
        </is>
      </c>
      <c r="AG540" s="0" t="inlineStr">
        <is>
          <t>인천시 서구 청마로 111</t>
        </is>
      </c>
      <c r="AH540" s="0" t="n">
        <v>0</v>
      </c>
      <c r="AI540" s="0" t="n">
        <v>0</v>
      </c>
      <c r="AJ540" s="0" t="n">
        <v>0</v>
      </c>
      <c r="AK540" s="0" t="n">
        <v>0</v>
      </c>
      <c r="AL540" s="0" t="n">
        <v>0</v>
      </c>
    </row>
    <row r="541">
      <c r="A541" s="0" t="inlineStr">
        <is>
          <t>[당하동]</t>
        </is>
      </c>
      <c r="B541" s="0" t="n">
        <v>124468</v>
      </c>
      <c r="C541" s="0" t="n">
        <v>13</v>
      </c>
      <c r="D541" s="0" t="inlineStr">
        <is>
          <t>디자인타운(도시형)</t>
        </is>
      </c>
      <c r="E541" s="0" t="inlineStr">
        <is>
          <t>2015.08.</t>
        </is>
      </c>
      <c r="F541" s="0" t="n">
        <v>35</v>
      </c>
      <c r="G541" s="0" t="n">
        <v>20.39</v>
      </c>
      <c r="H541" s="0" t="n">
        <v>67.43000000000001</v>
      </c>
      <c r="I541" s="0" t="n">
        <v>17.65</v>
      </c>
      <c r="J541" s="0" t="n">
        <v>58.37</v>
      </c>
      <c r="K541" s="0" t="n">
        <v>1</v>
      </c>
      <c r="T541" s="0" t="n">
        <v>3</v>
      </c>
      <c r="U541" s="0" t="n">
        <v>1</v>
      </c>
      <c r="V541" s="0" t="inlineStr">
        <is>
          <t>계단식</t>
        </is>
      </c>
      <c r="W541" s="0" t="inlineStr">
        <is>
          <t>67I</t>
        </is>
      </c>
      <c r="X541" s="0" t="n">
        <v>5</v>
      </c>
      <c r="Y541" s="0" t="n">
        <v>5</v>
      </c>
      <c r="Z541" s="0" t="inlineStr">
        <is>
          <t>https://new.land.naver.com/complexes/124468?tab=detail&amp;rf=Y</t>
        </is>
      </c>
      <c r="AA541" s="0" t="inlineStr">
        <is>
          <t>인천시 서구 당하동 1098-11</t>
        </is>
      </c>
      <c r="AB541" s="0" t="inlineStr">
        <is>
          <t>인천시</t>
        </is>
      </c>
      <c r="AC541" s="0" t="inlineStr">
        <is>
          <t>서구</t>
        </is>
      </c>
      <c r="AD541" s="0" t="inlineStr">
        <is>
          <t>당하동</t>
        </is>
      </c>
      <c r="AG541" s="0" t="inlineStr">
        <is>
          <t>인천시 서구 청마로 111</t>
        </is>
      </c>
      <c r="AH541" s="0" t="n">
        <v>0</v>
      </c>
      <c r="AI541" s="0" t="n">
        <v>0</v>
      </c>
      <c r="AJ541" s="0" t="n">
        <v>0</v>
      </c>
      <c r="AK541" s="0" t="n">
        <v>0</v>
      </c>
      <c r="AL541" s="0" t="n">
        <v>0</v>
      </c>
    </row>
    <row r="542">
      <c r="A542" s="0" t="inlineStr">
        <is>
          <t>[당하동]</t>
        </is>
      </c>
      <c r="B542" s="0" t="n">
        <v>124468</v>
      </c>
      <c r="C542" s="0" t="n">
        <v>14</v>
      </c>
      <c r="D542" s="0" t="inlineStr">
        <is>
          <t>디자인타운(도시형)</t>
        </is>
      </c>
      <c r="E542" s="0" t="inlineStr">
        <is>
          <t>2015.08.</t>
        </is>
      </c>
      <c r="F542" s="0" t="n">
        <v>35</v>
      </c>
      <c r="G542" s="0" t="n">
        <v>20.66</v>
      </c>
      <c r="H542" s="0" t="n">
        <v>68.33</v>
      </c>
      <c r="I542" s="0" t="n">
        <v>18.03</v>
      </c>
      <c r="J542" s="0" t="n">
        <v>59.63</v>
      </c>
      <c r="K542" s="0" t="n">
        <v>3</v>
      </c>
      <c r="T542" s="0" t="n">
        <v>3</v>
      </c>
      <c r="U542" s="0" t="n">
        <v>1</v>
      </c>
      <c r="V542" s="0" t="inlineStr">
        <is>
          <t>계단식</t>
        </is>
      </c>
      <c r="W542" s="0" t="inlineStr">
        <is>
          <t>68A</t>
        </is>
      </c>
      <c r="X542" s="0" t="n">
        <v>5</v>
      </c>
      <c r="Y542" s="0" t="n">
        <v>5</v>
      </c>
      <c r="Z542" s="0" t="inlineStr">
        <is>
          <t>https://new.land.naver.com/complexes/124468?tab=detail&amp;rf=Y</t>
        </is>
      </c>
      <c r="AA542" s="0" t="inlineStr">
        <is>
          <t>인천시 서구 당하동 1098-11</t>
        </is>
      </c>
      <c r="AB542" s="0" t="inlineStr">
        <is>
          <t>인천시</t>
        </is>
      </c>
      <c r="AC542" s="0" t="inlineStr">
        <is>
          <t>서구</t>
        </is>
      </c>
      <c r="AD542" s="0" t="inlineStr">
        <is>
          <t>당하동</t>
        </is>
      </c>
      <c r="AG542" s="0" t="inlineStr">
        <is>
          <t>인천시 서구 청마로 111</t>
        </is>
      </c>
      <c r="AH542" s="0" t="n">
        <v>0</v>
      </c>
      <c r="AI542" s="0" t="n">
        <v>0</v>
      </c>
      <c r="AJ542" s="0" t="n">
        <v>0</v>
      </c>
      <c r="AK542" s="0" t="n">
        <v>0</v>
      </c>
      <c r="AL542" s="0" t="n">
        <v>0</v>
      </c>
    </row>
    <row r="543">
      <c r="A543" s="0" t="inlineStr">
        <is>
          <t>[당하동]</t>
        </is>
      </c>
      <c r="B543" s="0" t="n">
        <v>124468</v>
      </c>
      <c r="C543" s="0" t="n">
        <v>15</v>
      </c>
      <c r="D543" s="0" t="inlineStr">
        <is>
          <t>디자인타운(도시형)</t>
        </is>
      </c>
      <c r="E543" s="0" t="inlineStr">
        <is>
          <t>2015.08.</t>
        </is>
      </c>
      <c r="F543" s="0" t="n">
        <v>35</v>
      </c>
      <c r="G543" s="0" t="n">
        <v>20.57</v>
      </c>
      <c r="H543" s="0" t="n">
        <v>68.03</v>
      </c>
      <c r="I543" s="0" t="n">
        <v>17.79</v>
      </c>
      <c r="J543" s="0" t="n">
        <v>58.81</v>
      </c>
      <c r="K543" s="0" t="n">
        <v>1</v>
      </c>
      <c r="T543" s="0" t="n">
        <v>3</v>
      </c>
      <c r="U543" s="0" t="n">
        <v>1</v>
      </c>
      <c r="V543" s="0" t="inlineStr">
        <is>
          <t>계단식</t>
        </is>
      </c>
      <c r="W543" s="0" t="inlineStr">
        <is>
          <t>68F</t>
        </is>
      </c>
      <c r="X543" s="0" t="n">
        <v>5</v>
      </c>
      <c r="Y543" s="0" t="n">
        <v>5</v>
      </c>
      <c r="Z543" s="0" t="inlineStr">
        <is>
          <t>https://new.land.naver.com/complexes/124468?tab=detail&amp;rf=Y</t>
        </is>
      </c>
      <c r="AA543" s="0" t="inlineStr">
        <is>
          <t>인천시 서구 당하동 1098-11</t>
        </is>
      </c>
      <c r="AB543" s="0" t="inlineStr">
        <is>
          <t>인천시</t>
        </is>
      </c>
      <c r="AC543" s="0" t="inlineStr">
        <is>
          <t>서구</t>
        </is>
      </c>
      <c r="AD543" s="0" t="inlineStr">
        <is>
          <t>당하동</t>
        </is>
      </c>
      <c r="AG543" s="0" t="inlineStr">
        <is>
          <t>인천시 서구 청마로 111</t>
        </is>
      </c>
      <c r="AH543" s="0" t="n">
        <v>0</v>
      </c>
      <c r="AI543" s="0" t="n">
        <v>0</v>
      </c>
      <c r="AJ543" s="0" t="n">
        <v>0</v>
      </c>
      <c r="AK543" s="0" t="n">
        <v>0</v>
      </c>
      <c r="AL543" s="0" t="n">
        <v>0</v>
      </c>
    </row>
    <row r="544">
      <c r="A544" s="0" t="inlineStr">
        <is>
          <t>[당하동]</t>
        </is>
      </c>
      <c r="B544" s="0" t="n">
        <v>124468</v>
      </c>
      <c r="C544" s="0" t="n">
        <v>16</v>
      </c>
      <c r="D544" s="0" t="inlineStr">
        <is>
          <t>디자인타운(도시형)</t>
        </is>
      </c>
      <c r="E544" s="0" t="inlineStr">
        <is>
          <t>2015.08.</t>
        </is>
      </c>
      <c r="F544" s="0" t="n">
        <v>35</v>
      </c>
      <c r="G544" s="0" t="n">
        <v>20.89</v>
      </c>
      <c r="H544" s="0" t="n">
        <v>69.06</v>
      </c>
      <c r="I544" s="0" t="n">
        <v>18.17</v>
      </c>
      <c r="J544" s="0" t="n">
        <v>60.08</v>
      </c>
      <c r="K544" s="0" t="n">
        <v>2</v>
      </c>
      <c r="T544" s="0" t="n">
        <v>3</v>
      </c>
      <c r="U544" s="0" t="n">
        <v>1</v>
      </c>
      <c r="V544" s="0" t="inlineStr">
        <is>
          <t>계단식</t>
        </is>
      </c>
      <c r="W544" s="0" t="inlineStr">
        <is>
          <t>69B</t>
        </is>
      </c>
      <c r="X544" s="0" t="n">
        <v>5</v>
      </c>
      <c r="Y544" s="0" t="n">
        <v>5</v>
      </c>
      <c r="Z544" s="0" t="inlineStr">
        <is>
          <t>https://new.land.naver.com/complexes/124468?tab=detail&amp;rf=Y</t>
        </is>
      </c>
      <c r="AA544" s="0" t="inlineStr">
        <is>
          <t>인천시 서구 당하동 1098-11</t>
        </is>
      </c>
      <c r="AB544" s="0" t="inlineStr">
        <is>
          <t>인천시</t>
        </is>
      </c>
      <c r="AC544" s="0" t="inlineStr">
        <is>
          <t>서구</t>
        </is>
      </c>
      <c r="AD544" s="0" t="inlineStr">
        <is>
          <t>당하동</t>
        </is>
      </c>
      <c r="AG544" s="0" t="inlineStr">
        <is>
          <t>인천시 서구 청마로 111</t>
        </is>
      </c>
      <c r="AH544" s="0" t="n">
        <v>0</v>
      </c>
      <c r="AI544" s="0" t="n">
        <v>0</v>
      </c>
      <c r="AJ544" s="0" t="n">
        <v>0</v>
      </c>
      <c r="AK544" s="0" t="n">
        <v>0</v>
      </c>
      <c r="AL544" s="0" t="n">
        <v>0</v>
      </c>
    </row>
    <row r="545">
      <c r="A545" s="0" t="inlineStr">
        <is>
          <t>[당하동]</t>
        </is>
      </c>
      <c r="B545" s="0" t="n">
        <v>124468</v>
      </c>
      <c r="C545" s="0" t="n">
        <v>17</v>
      </c>
      <c r="D545" s="0" t="inlineStr">
        <is>
          <t>디자인타운(도시형)</t>
        </is>
      </c>
      <c r="E545" s="0" t="inlineStr">
        <is>
          <t>2015.08.</t>
        </is>
      </c>
      <c r="F545" s="0" t="n">
        <v>35</v>
      </c>
      <c r="G545" s="0" t="n">
        <v>21.45</v>
      </c>
      <c r="H545" s="0" t="n">
        <v>70.93000000000001</v>
      </c>
      <c r="I545" s="0" t="n">
        <v>18.66</v>
      </c>
      <c r="J545" s="0" t="n">
        <v>61.71</v>
      </c>
      <c r="K545" s="0" t="n">
        <v>3</v>
      </c>
      <c r="T545" s="0" t="n">
        <v>3</v>
      </c>
      <c r="U545" s="0" t="n">
        <v>1</v>
      </c>
      <c r="V545" s="0" t="inlineStr">
        <is>
          <t>계단식</t>
        </is>
      </c>
      <c r="W545" s="0" t="inlineStr">
        <is>
          <t>70D</t>
        </is>
      </c>
      <c r="X545" s="0" t="n">
        <v>5</v>
      </c>
      <c r="Y545" s="0" t="n">
        <v>5</v>
      </c>
      <c r="Z545" s="0" t="inlineStr">
        <is>
          <t>https://new.land.naver.com/complexes/124468?tab=detail&amp;rf=Y</t>
        </is>
      </c>
      <c r="AA545" s="0" t="inlineStr">
        <is>
          <t>인천시 서구 당하동 1098-11</t>
        </is>
      </c>
      <c r="AB545" s="0" t="inlineStr">
        <is>
          <t>인천시</t>
        </is>
      </c>
      <c r="AC545" s="0" t="inlineStr">
        <is>
          <t>서구</t>
        </is>
      </c>
      <c r="AD545" s="0" t="inlineStr">
        <is>
          <t>당하동</t>
        </is>
      </c>
      <c r="AG545" s="0" t="inlineStr">
        <is>
          <t>인천시 서구 청마로 111</t>
        </is>
      </c>
      <c r="AH545" s="0" t="n">
        <v>0</v>
      </c>
      <c r="AI545" s="0" t="n">
        <v>0</v>
      </c>
      <c r="AJ545" s="0" t="n">
        <v>0</v>
      </c>
      <c r="AK545" s="0" t="n">
        <v>0</v>
      </c>
      <c r="AL545" s="0" t="n">
        <v>0</v>
      </c>
    </row>
    <row r="546">
      <c r="A546" s="0" t="inlineStr">
        <is>
          <t>[당하동]</t>
        </is>
      </c>
      <c r="B546" s="0" t="n">
        <v>124468</v>
      </c>
      <c r="C546" s="0" t="n">
        <v>18</v>
      </c>
      <c r="D546" s="0" t="inlineStr">
        <is>
          <t>디자인타운(도시형)</t>
        </is>
      </c>
      <c r="E546" s="0" t="inlineStr">
        <is>
          <t>2015.08.</t>
        </is>
      </c>
      <c r="F546" s="0" t="n">
        <v>35</v>
      </c>
      <c r="G546" s="0" t="n">
        <v>21.31</v>
      </c>
      <c r="H546" s="0" t="n">
        <v>70.45999999999999</v>
      </c>
      <c r="I546" s="0" t="n">
        <v>18.42</v>
      </c>
      <c r="J546" s="0" t="n">
        <v>60.92</v>
      </c>
      <c r="K546" s="0" t="n">
        <v>1</v>
      </c>
      <c r="T546" s="0" t="n">
        <v>3</v>
      </c>
      <c r="U546" s="0" t="n">
        <v>1</v>
      </c>
      <c r="V546" s="0" t="inlineStr">
        <is>
          <t>계단식</t>
        </is>
      </c>
      <c r="W546" s="0" t="inlineStr">
        <is>
          <t>70C</t>
        </is>
      </c>
      <c r="X546" s="0" t="n">
        <v>5</v>
      </c>
      <c r="Y546" s="0" t="n">
        <v>5</v>
      </c>
      <c r="Z546" s="0" t="inlineStr">
        <is>
          <t>https://new.land.naver.com/complexes/124468?tab=detail&amp;rf=Y</t>
        </is>
      </c>
      <c r="AA546" s="0" t="inlineStr">
        <is>
          <t>인천시 서구 당하동 1098-11</t>
        </is>
      </c>
      <c r="AB546" s="0" t="inlineStr">
        <is>
          <t>인천시</t>
        </is>
      </c>
      <c r="AC546" s="0" t="inlineStr">
        <is>
          <t>서구</t>
        </is>
      </c>
      <c r="AD546" s="0" t="inlineStr">
        <is>
          <t>당하동</t>
        </is>
      </c>
      <c r="AG546" s="0" t="inlineStr">
        <is>
          <t>인천시 서구 청마로 111</t>
        </is>
      </c>
      <c r="AH546" s="0" t="n">
        <v>0</v>
      </c>
      <c r="AI546" s="0" t="n">
        <v>0</v>
      </c>
      <c r="AJ546" s="0" t="n">
        <v>0</v>
      </c>
      <c r="AK546" s="0" t="n">
        <v>0</v>
      </c>
      <c r="AL546" s="0" t="n">
        <v>0</v>
      </c>
    </row>
    <row r="547">
      <c r="A547" s="0" t="inlineStr">
        <is>
          <t>[당하동]</t>
        </is>
      </c>
      <c r="B547" s="0" t="n">
        <v>124468</v>
      </c>
      <c r="C547" s="0" t="n">
        <v>19</v>
      </c>
      <c r="D547" s="0" t="inlineStr">
        <is>
          <t>디자인타운(도시형)</t>
        </is>
      </c>
      <c r="E547" s="0" t="inlineStr">
        <is>
          <t>2015.08.</t>
        </is>
      </c>
      <c r="F547" s="0" t="n">
        <v>35</v>
      </c>
      <c r="G547" s="0" t="n">
        <v>21.6</v>
      </c>
      <c r="H547" s="0" t="n">
        <v>71.42</v>
      </c>
      <c r="I547" s="0" t="n">
        <v>18.81</v>
      </c>
      <c r="J547" s="0" t="n">
        <v>62.2</v>
      </c>
      <c r="K547" s="0" t="n">
        <v>1</v>
      </c>
      <c r="T547" s="0" t="n">
        <v>3</v>
      </c>
      <c r="U547" s="0" t="n">
        <v>1</v>
      </c>
      <c r="V547" s="0" t="inlineStr">
        <is>
          <t>계단식</t>
        </is>
      </c>
      <c r="W547" s="0" t="inlineStr">
        <is>
          <t>71A</t>
        </is>
      </c>
      <c r="X547" s="0" t="n">
        <v>5</v>
      </c>
      <c r="Y547" s="0" t="n">
        <v>5</v>
      </c>
      <c r="Z547" s="0" t="inlineStr">
        <is>
          <t>https://new.land.naver.com/complexes/124468?tab=detail&amp;rf=Y</t>
        </is>
      </c>
      <c r="AA547" s="0" t="inlineStr">
        <is>
          <t>인천시 서구 당하동 1098-11</t>
        </is>
      </c>
      <c r="AB547" s="0" t="inlineStr">
        <is>
          <t>인천시</t>
        </is>
      </c>
      <c r="AC547" s="0" t="inlineStr">
        <is>
          <t>서구</t>
        </is>
      </c>
      <c r="AD547" s="0" t="inlineStr">
        <is>
          <t>당하동</t>
        </is>
      </c>
      <c r="AG547" s="0" t="inlineStr">
        <is>
          <t>인천시 서구 청마로 111</t>
        </is>
      </c>
      <c r="AH547" s="0" t="n">
        <v>0</v>
      </c>
      <c r="AI547" s="0" t="n">
        <v>0</v>
      </c>
      <c r="AJ547" s="0" t="n">
        <v>0</v>
      </c>
      <c r="AK547" s="0" t="n">
        <v>0</v>
      </c>
      <c r="AL547" s="0" t="n">
        <v>0</v>
      </c>
    </row>
    <row r="548">
      <c r="A548" s="0" t="inlineStr">
        <is>
          <t>[당하동]</t>
        </is>
      </c>
      <c r="B548" s="0" t="n">
        <v>124468</v>
      </c>
      <c r="C548" s="0" t="n">
        <v>20</v>
      </c>
      <c r="D548" s="0" t="inlineStr">
        <is>
          <t>디자인타운(도시형)</t>
        </is>
      </c>
      <c r="E548" s="0" t="inlineStr">
        <is>
          <t>2015.08.</t>
        </is>
      </c>
      <c r="F548" s="0" t="n">
        <v>35</v>
      </c>
      <c r="G548" s="0" t="n">
        <v>22.24</v>
      </c>
      <c r="H548" s="0" t="n">
        <v>73.54000000000001</v>
      </c>
      <c r="I548" s="0" t="n">
        <v>19.23</v>
      </c>
      <c r="J548" s="0" t="n">
        <v>63.58</v>
      </c>
      <c r="K548" s="0" t="n">
        <v>2</v>
      </c>
      <c r="T548" s="0" t="n">
        <v>3</v>
      </c>
      <c r="U548" s="0" t="n">
        <v>1</v>
      </c>
      <c r="V548" s="0" t="inlineStr">
        <is>
          <t>계단식</t>
        </is>
      </c>
      <c r="W548" s="0" t="inlineStr">
        <is>
          <t>73B</t>
        </is>
      </c>
      <c r="X548" s="0" t="n">
        <v>5</v>
      </c>
      <c r="Y548" s="0" t="n">
        <v>5</v>
      </c>
      <c r="Z548" s="0" t="inlineStr">
        <is>
          <t>https://new.land.naver.com/complexes/124468?tab=detail&amp;rf=Y</t>
        </is>
      </c>
      <c r="AA548" s="0" t="inlineStr">
        <is>
          <t>인천시 서구 당하동 1098-11</t>
        </is>
      </c>
      <c r="AB548" s="0" t="inlineStr">
        <is>
          <t>인천시</t>
        </is>
      </c>
      <c r="AC548" s="0" t="inlineStr">
        <is>
          <t>서구</t>
        </is>
      </c>
      <c r="AD548" s="0" t="inlineStr">
        <is>
          <t>당하동</t>
        </is>
      </c>
      <c r="AG548" s="0" t="inlineStr">
        <is>
          <t>인천시 서구 청마로 111</t>
        </is>
      </c>
      <c r="AH548" s="0" t="n">
        <v>0</v>
      </c>
      <c r="AI548" s="0" t="n">
        <v>0</v>
      </c>
      <c r="AJ548" s="0" t="n">
        <v>0</v>
      </c>
      <c r="AK548" s="0" t="n">
        <v>0</v>
      </c>
      <c r="AL548" s="0" t="n">
        <v>0</v>
      </c>
    </row>
    <row r="549">
      <c r="A549" s="0" t="inlineStr">
        <is>
          <t>[당하동]</t>
        </is>
      </c>
      <c r="B549" s="0" t="n">
        <v>124468</v>
      </c>
      <c r="C549" s="0" t="n">
        <v>21</v>
      </c>
      <c r="D549" s="0" t="inlineStr">
        <is>
          <t>디자인타운(도시형)</t>
        </is>
      </c>
      <c r="E549" s="0" t="inlineStr">
        <is>
          <t>2015.08.</t>
        </is>
      </c>
      <c r="F549" s="0" t="n">
        <v>35</v>
      </c>
      <c r="G549" s="0" t="n">
        <v>22.11</v>
      </c>
      <c r="H549" s="0" t="n">
        <v>73.12</v>
      </c>
      <c r="I549" s="0" t="n">
        <v>19.24</v>
      </c>
      <c r="J549" s="0" t="n">
        <v>63.61</v>
      </c>
      <c r="K549" s="0" t="n">
        <v>1</v>
      </c>
      <c r="T549" s="0" t="n">
        <v>3</v>
      </c>
      <c r="U549" s="0" t="n">
        <v>1</v>
      </c>
      <c r="V549" s="0" t="inlineStr">
        <is>
          <t>계단식</t>
        </is>
      </c>
      <c r="W549" s="0" t="inlineStr">
        <is>
          <t>73C</t>
        </is>
      </c>
      <c r="X549" s="0" t="n">
        <v>5</v>
      </c>
      <c r="Y549" s="0" t="n">
        <v>5</v>
      </c>
      <c r="Z549" s="0" t="inlineStr">
        <is>
          <t>https://new.land.naver.com/complexes/124468?tab=detail&amp;rf=Y</t>
        </is>
      </c>
      <c r="AA549" s="0" t="inlineStr">
        <is>
          <t>인천시 서구 당하동 1098-11</t>
        </is>
      </c>
      <c r="AB549" s="0" t="inlineStr">
        <is>
          <t>인천시</t>
        </is>
      </c>
      <c r="AC549" s="0" t="inlineStr">
        <is>
          <t>서구</t>
        </is>
      </c>
      <c r="AD549" s="0" t="inlineStr">
        <is>
          <t>당하동</t>
        </is>
      </c>
      <c r="AG549" s="0" t="inlineStr">
        <is>
          <t>인천시 서구 청마로 111</t>
        </is>
      </c>
      <c r="AH549" s="0" t="n">
        <v>0</v>
      </c>
      <c r="AI549" s="0" t="n">
        <v>0</v>
      </c>
      <c r="AJ549" s="0" t="n">
        <v>0</v>
      </c>
      <c r="AK549" s="0" t="n">
        <v>0</v>
      </c>
      <c r="AL549" s="0" t="n">
        <v>0</v>
      </c>
    </row>
    <row r="550">
      <c r="A550" s="0" t="inlineStr">
        <is>
          <t>[당하동]</t>
        </is>
      </c>
      <c r="B550" s="0" t="n">
        <v>104067</v>
      </c>
      <c r="C550" s="0" t="n">
        <v>1</v>
      </c>
      <c r="D550" s="0" t="inlineStr">
        <is>
          <t>검단힐스테이트6차</t>
        </is>
      </c>
      <c r="E550" s="0" t="inlineStr">
        <is>
          <t>2013.11.</t>
        </is>
      </c>
      <c r="F550" s="0" t="n">
        <v>454</v>
      </c>
      <c r="G550" s="0" t="n">
        <v>32.99</v>
      </c>
      <c r="H550" s="0" t="n">
        <v>109.09</v>
      </c>
      <c r="I550" s="0" t="n">
        <v>25.7</v>
      </c>
      <c r="J550" s="0" t="n">
        <v>84.98999999999999</v>
      </c>
      <c r="K550" s="0" t="n">
        <v>162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109A</t>
        </is>
      </c>
      <c r="X550" s="0" t="n">
        <v>15</v>
      </c>
      <c r="Y550" s="0" t="n">
        <v>11</v>
      </c>
      <c r="Z550" s="0" t="inlineStr">
        <is>
          <t>https://new.land.naver.com/complexes/104067?tab=detail&amp;rf=Y</t>
        </is>
      </c>
      <c r="AA550" s="0" t="inlineStr">
        <is>
          <t>인천시 서구 당하동 1080-1</t>
        </is>
      </c>
      <c r="AB550" s="0" t="inlineStr">
        <is>
          <t>인천시</t>
        </is>
      </c>
      <c r="AC550" s="0" t="inlineStr">
        <is>
          <t>서구</t>
        </is>
      </c>
      <c r="AD550" s="0" t="inlineStr">
        <is>
          <t>당하동</t>
        </is>
      </c>
      <c r="AG550" s="0" t="inlineStr">
        <is>
          <t>인천시 서구 청마로51번안길 11</t>
        </is>
      </c>
      <c r="AH550" s="0" t="n">
        <v>0</v>
      </c>
      <c r="AI550" s="0" t="n">
        <v>200</v>
      </c>
      <c r="AJ550" s="0" t="n">
        <v>21</v>
      </c>
      <c r="AK550" s="0" t="n">
        <v>584</v>
      </c>
      <c r="AL550" s="0" t="n">
        <v>1.29</v>
      </c>
    </row>
    <row r="551">
      <c r="A551" s="0" t="inlineStr">
        <is>
          <t>[당하동]</t>
        </is>
      </c>
      <c r="B551" s="0" t="n">
        <v>104067</v>
      </c>
      <c r="C551" s="0" t="n">
        <v>2</v>
      </c>
      <c r="D551" s="0" t="inlineStr">
        <is>
          <t>검단힐스테이트6차</t>
        </is>
      </c>
      <c r="E551" s="0" t="inlineStr">
        <is>
          <t>2013.11.</t>
        </is>
      </c>
      <c r="F551" s="0" t="n">
        <v>454</v>
      </c>
      <c r="G551" s="0" t="n">
        <v>33.49</v>
      </c>
      <c r="H551" s="0" t="n">
        <v>110.72</v>
      </c>
      <c r="I551" s="0" t="n">
        <v>25.7</v>
      </c>
      <c r="J551" s="0" t="n">
        <v>84.98</v>
      </c>
      <c r="K551" s="0" t="n">
        <v>123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110B</t>
        </is>
      </c>
      <c r="X551" s="0" t="n">
        <v>15</v>
      </c>
      <c r="Y551" s="0" t="n">
        <v>11</v>
      </c>
      <c r="Z551" s="0" t="inlineStr">
        <is>
          <t>https://new.land.naver.com/complexes/104067?tab=detail&amp;rf=Y</t>
        </is>
      </c>
      <c r="AA551" s="0" t="inlineStr">
        <is>
          <t>인천시 서구 당하동 1080-1</t>
        </is>
      </c>
      <c r="AB551" s="0" t="inlineStr">
        <is>
          <t>인천시</t>
        </is>
      </c>
      <c r="AC551" s="0" t="inlineStr">
        <is>
          <t>서구</t>
        </is>
      </c>
      <c r="AD551" s="0" t="inlineStr">
        <is>
          <t>당하동</t>
        </is>
      </c>
      <c r="AG551" s="0" t="inlineStr">
        <is>
          <t>인천시 서구 청마로51번안길 11</t>
        </is>
      </c>
      <c r="AH551" s="0" t="n">
        <v>0</v>
      </c>
      <c r="AI551" s="0" t="n">
        <v>200</v>
      </c>
      <c r="AJ551" s="0" t="n">
        <v>21</v>
      </c>
      <c r="AK551" s="0" t="n">
        <v>584</v>
      </c>
      <c r="AL551" s="0" t="n">
        <v>1.29</v>
      </c>
    </row>
    <row r="552">
      <c r="A552" s="0" t="inlineStr">
        <is>
          <t>[당하동]</t>
        </is>
      </c>
      <c r="B552" s="0" t="n">
        <v>104067</v>
      </c>
      <c r="C552" s="0" t="n">
        <v>3</v>
      </c>
      <c r="D552" s="0" t="inlineStr">
        <is>
          <t>검단힐스테이트6차</t>
        </is>
      </c>
      <c r="E552" s="0" t="inlineStr">
        <is>
          <t>2013.11.</t>
        </is>
      </c>
      <c r="F552" s="0" t="n">
        <v>454</v>
      </c>
      <c r="G552" s="0" t="n">
        <v>33.67</v>
      </c>
      <c r="H552" s="0" t="n">
        <v>111.32</v>
      </c>
      <c r="I552" s="0" t="n">
        <v>25.7</v>
      </c>
      <c r="J552" s="0" t="n">
        <v>84.98999999999999</v>
      </c>
      <c r="K552" s="0" t="n">
        <v>169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111C</t>
        </is>
      </c>
      <c r="X552" s="0" t="n">
        <v>15</v>
      </c>
      <c r="Y552" s="0" t="n">
        <v>11</v>
      </c>
      <c r="Z552" s="0" t="inlineStr">
        <is>
          <t>https://new.land.naver.com/complexes/104067?tab=detail&amp;rf=Y</t>
        </is>
      </c>
      <c r="AA552" s="0" t="inlineStr">
        <is>
          <t>인천시 서구 당하동 1080-1</t>
        </is>
      </c>
      <c r="AB552" s="0" t="inlineStr">
        <is>
          <t>인천시</t>
        </is>
      </c>
      <c r="AC552" s="0" t="inlineStr">
        <is>
          <t>서구</t>
        </is>
      </c>
      <c r="AD552" s="0" t="inlineStr">
        <is>
          <t>당하동</t>
        </is>
      </c>
      <c r="AG552" s="0" t="inlineStr">
        <is>
          <t>인천시 서구 청마로51번안길 11</t>
        </is>
      </c>
      <c r="AH552" s="0" t="n">
        <v>0</v>
      </c>
      <c r="AI552" s="0" t="n">
        <v>200</v>
      </c>
      <c r="AJ552" s="0" t="n">
        <v>21</v>
      </c>
      <c r="AK552" s="0" t="n">
        <v>584</v>
      </c>
      <c r="AL552" s="0" t="n">
        <v>1.29</v>
      </c>
    </row>
    <row r="553">
      <c r="A553" s="0" t="inlineStr">
        <is>
          <t>[당하동]</t>
        </is>
      </c>
      <c r="B553" s="0" t="n">
        <v>129724</v>
      </c>
      <c r="C553" s="0" t="n">
        <v>1</v>
      </c>
      <c r="D553" s="0" t="inlineStr">
        <is>
          <t>디자인타운빌(도시형)</t>
        </is>
      </c>
      <c r="E553" s="0" t="inlineStr">
        <is>
          <t>2018.01.</t>
        </is>
      </c>
      <c r="F553" s="0" t="n">
        <v>64</v>
      </c>
      <c r="G553" s="0" t="n">
        <v>23.41</v>
      </c>
      <c r="H553" s="0" t="n">
        <v>77.41</v>
      </c>
      <c r="I553" s="0" t="n">
        <v>20.46</v>
      </c>
      <c r="J553" s="0" t="n">
        <v>67.66</v>
      </c>
      <c r="K553" s="0" t="n">
        <v>40</v>
      </c>
      <c r="T553" s="0" t="n">
        <v>3</v>
      </c>
      <c r="U553" s="0" t="n">
        <v>1</v>
      </c>
      <c r="V553" s="0" t="inlineStr">
        <is>
          <t>계단식</t>
        </is>
      </c>
      <c r="W553" s="0" t="n">
        <v>77</v>
      </c>
      <c r="X553" s="0" t="n">
        <v>4</v>
      </c>
      <c r="Y553" s="0" t="n">
        <v>4</v>
      </c>
      <c r="Z553" s="0" t="inlineStr">
        <is>
          <t>https://new.land.naver.com/complexes/129724?tab=detail&amp;rf=Y</t>
        </is>
      </c>
      <c r="AA553" s="0" t="inlineStr">
        <is>
          <t>인천시 서구 당하동 943-16</t>
        </is>
      </c>
      <c r="AB553" s="0" t="inlineStr">
        <is>
          <t>인천시</t>
        </is>
      </c>
      <c r="AC553" s="0" t="inlineStr">
        <is>
          <t>서구</t>
        </is>
      </c>
      <c r="AD553" s="0" t="inlineStr">
        <is>
          <t>당하동</t>
        </is>
      </c>
      <c r="AG553" s="0" t="inlineStr">
        <is>
          <t>인천시 서구 드림로305번길 62</t>
        </is>
      </c>
      <c r="AH553" s="0" t="n">
        <v>0</v>
      </c>
      <c r="AI553" s="0" t="n">
        <v>0</v>
      </c>
      <c r="AJ553" s="0" t="n">
        <v>0</v>
      </c>
      <c r="AK553" s="0" t="n">
        <v>64</v>
      </c>
      <c r="AL553" s="0" t="n">
        <v>1</v>
      </c>
    </row>
    <row r="554">
      <c r="A554" s="0" t="inlineStr">
        <is>
          <t>[당하동]</t>
        </is>
      </c>
      <c r="B554" s="0" t="n">
        <v>129724</v>
      </c>
      <c r="C554" s="0" t="n">
        <v>2</v>
      </c>
      <c r="D554" s="0" t="inlineStr">
        <is>
          <t>디자인타운빌(도시형)</t>
        </is>
      </c>
      <c r="E554" s="0" t="inlineStr">
        <is>
          <t>2018.01.</t>
        </is>
      </c>
      <c r="F554" s="0" t="n">
        <v>64</v>
      </c>
      <c r="G554" s="0" t="n">
        <v>27.25</v>
      </c>
      <c r="H554" s="0" t="n">
        <v>90.09999999999999</v>
      </c>
      <c r="I554" s="0" t="n">
        <v>20.46</v>
      </c>
      <c r="J554" s="0" t="n">
        <v>67.66</v>
      </c>
      <c r="K554" s="0" t="n">
        <v>24</v>
      </c>
      <c r="T554" s="0" t="n">
        <v>3</v>
      </c>
      <c r="U554" s="0" t="n">
        <v>2</v>
      </c>
      <c r="V554" s="0" t="inlineStr">
        <is>
          <t>계단식</t>
        </is>
      </c>
      <c r="W554" s="0" t="n">
        <v>90</v>
      </c>
      <c r="X554" s="0" t="n">
        <v>4</v>
      </c>
      <c r="Y554" s="0" t="n">
        <v>4</v>
      </c>
      <c r="Z554" s="0" t="inlineStr">
        <is>
          <t>https://new.land.naver.com/complexes/129724?tab=detail&amp;rf=Y</t>
        </is>
      </c>
      <c r="AA554" s="0" t="inlineStr">
        <is>
          <t>인천시 서구 당하동 943-16</t>
        </is>
      </c>
      <c r="AB554" s="0" t="inlineStr">
        <is>
          <t>인천시</t>
        </is>
      </c>
      <c r="AC554" s="0" t="inlineStr">
        <is>
          <t>서구</t>
        </is>
      </c>
      <c r="AD554" s="0" t="inlineStr">
        <is>
          <t>당하동</t>
        </is>
      </c>
      <c r="AG554" s="0" t="inlineStr">
        <is>
          <t>인천시 서구 드림로305번길 62</t>
        </is>
      </c>
      <c r="AH554" s="0" t="n">
        <v>0</v>
      </c>
      <c r="AI554" s="0" t="n">
        <v>0</v>
      </c>
      <c r="AJ554" s="0" t="n">
        <v>0</v>
      </c>
      <c r="AK554" s="0" t="n">
        <v>64</v>
      </c>
      <c r="AL554" s="0" t="n">
        <v>1</v>
      </c>
    </row>
    <row r="555">
      <c r="A555" s="0" t="inlineStr">
        <is>
          <t>[당하동]</t>
        </is>
      </c>
      <c r="B555" s="0" t="n">
        <v>128276</v>
      </c>
      <c r="C555" s="0" t="n">
        <v>1</v>
      </c>
      <c r="D555" s="0" t="inlineStr">
        <is>
          <t>인천검단신도시신안인스빌어반퍼스트</t>
        </is>
      </c>
      <c r="E555" s="0" t="inlineStr">
        <is>
          <t>2022.07.</t>
        </is>
      </c>
      <c r="F555" s="0" t="n">
        <v>1073</v>
      </c>
      <c r="G555" s="0" t="n">
        <v>33.03</v>
      </c>
      <c r="H555" s="0" t="n">
        <v>109.2</v>
      </c>
      <c r="I555" s="0" t="n">
        <v>25.63</v>
      </c>
      <c r="J555" s="0" t="n">
        <v>84.73</v>
      </c>
      <c r="K555" s="0" t="n">
        <v>748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109</v>
      </c>
      <c r="X555" s="0" t="n">
        <v>25</v>
      </c>
      <c r="Y555" s="0" t="n">
        <v>20</v>
      </c>
      <c r="Z555" s="0" t="inlineStr">
        <is>
          <t>https://new.land.naver.com/complexes/128276?tab=detail&amp;rf=Y</t>
        </is>
      </c>
      <c r="AA555" s="0" t="inlineStr">
        <is>
          <t>인천시 서구 당하동 검단신도시 AB2블록</t>
        </is>
      </c>
      <c r="AB555" s="0" t="inlineStr">
        <is>
          <t>인천시</t>
        </is>
      </c>
      <c r="AC555" s="0" t="inlineStr">
        <is>
          <t>서구</t>
        </is>
      </c>
      <c r="AD555" s="0" t="inlineStr">
        <is>
          <t>당하동</t>
        </is>
      </c>
      <c r="AG555" s="0" t="inlineStr">
        <is>
          <t>인천시 서구</t>
        </is>
      </c>
      <c r="AH555" s="0" t="n">
        <v>0</v>
      </c>
      <c r="AI555" s="0" t="n">
        <v>0</v>
      </c>
      <c r="AJ555" s="0" t="n">
        <v>0</v>
      </c>
      <c r="AK555" s="0" t="n">
        <v>1530</v>
      </c>
      <c r="AL555" s="0" t="n">
        <v>1.43</v>
      </c>
    </row>
    <row r="556">
      <c r="A556" s="0" t="inlineStr">
        <is>
          <t>[당하동]</t>
        </is>
      </c>
      <c r="B556" s="0" t="n">
        <v>128276</v>
      </c>
      <c r="C556" s="0" t="n">
        <v>2</v>
      </c>
      <c r="D556" s="0" t="inlineStr">
        <is>
          <t>인천검단신도시신안인스빌어반퍼스트</t>
        </is>
      </c>
      <c r="E556" s="0" t="inlineStr">
        <is>
          <t>2022.07.</t>
        </is>
      </c>
      <c r="F556" s="0" t="n">
        <v>1073</v>
      </c>
      <c r="G556" s="0" t="n">
        <v>36.91</v>
      </c>
      <c r="H556" s="0" t="n">
        <v>122.03</v>
      </c>
      <c r="I556" s="0" t="n">
        <v>28.72</v>
      </c>
      <c r="J556" s="0" t="n">
        <v>94.95</v>
      </c>
      <c r="K556" s="0" t="n">
        <v>325</v>
      </c>
      <c r="T556" s="0" t="n">
        <v>3</v>
      </c>
      <c r="U556" s="0" t="n">
        <v>2</v>
      </c>
      <c r="V556" s="0" t="inlineStr">
        <is>
          <t>계단식</t>
        </is>
      </c>
      <c r="W556" s="0" t="n">
        <v>122</v>
      </c>
      <c r="X556" s="0" t="n">
        <v>25</v>
      </c>
      <c r="Y556" s="0" t="n">
        <v>20</v>
      </c>
      <c r="Z556" s="0" t="inlineStr">
        <is>
          <t>https://new.land.naver.com/complexes/128276?tab=detail&amp;rf=Y</t>
        </is>
      </c>
      <c r="AA556" s="0" t="inlineStr">
        <is>
          <t>인천시 서구 당하동 검단신도시 AB2블록</t>
        </is>
      </c>
      <c r="AB556" s="0" t="inlineStr">
        <is>
          <t>인천시</t>
        </is>
      </c>
      <c r="AC556" s="0" t="inlineStr">
        <is>
          <t>서구</t>
        </is>
      </c>
      <c r="AD556" s="0" t="inlineStr">
        <is>
          <t>당하동</t>
        </is>
      </c>
      <c r="AG556" s="0" t="inlineStr">
        <is>
          <t>인천시 서구</t>
        </is>
      </c>
      <c r="AH556" s="0" t="n">
        <v>0</v>
      </c>
      <c r="AI556" s="0" t="n">
        <v>0</v>
      </c>
      <c r="AJ556" s="0" t="n">
        <v>0</v>
      </c>
      <c r="AK556" s="0" t="n">
        <v>1530</v>
      </c>
      <c r="AL556" s="0" t="n">
        <v>1.43</v>
      </c>
    </row>
    <row r="557">
      <c r="A557" s="0" t="inlineStr">
        <is>
          <t>[당하동]</t>
        </is>
      </c>
      <c r="B557" s="0" t="n">
        <v>11389</v>
      </c>
      <c r="C557" s="0" t="n">
        <v>1</v>
      </c>
      <c r="D557" s="0" t="inlineStr">
        <is>
          <t>당하푸르지오</t>
        </is>
      </c>
      <c r="E557" s="0" t="inlineStr">
        <is>
          <t>2005.01.</t>
        </is>
      </c>
      <c r="F557" s="0" t="n">
        <v>719</v>
      </c>
      <c r="G557" s="0" t="n">
        <v>28.86</v>
      </c>
      <c r="H557" s="0" t="n">
        <v>95.42</v>
      </c>
      <c r="I557" s="0" t="n">
        <v>22.33</v>
      </c>
      <c r="J557" s="0" t="n">
        <v>73.81999999999999</v>
      </c>
      <c r="K557" s="0" t="n">
        <v>159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95B</t>
        </is>
      </c>
      <c r="X557" s="0" t="n">
        <v>20</v>
      </c>
      <c r="Y557" s="0" t="n">
        <v>16</v>
      </c>
      <c r="Z557" s="0" t="inlineStr">
        <is>
          <t>https://new.land.naver.com/complexes/11389?tab=detail&amp;rf=Y</t>
        </is>
      </c>
      <c r="AA557" s="0" t="inlineStr">
        <is>
          <t>인천시 서구 당하동 1099-2</t>
        </is>
      </c>
      <c r="AB557" s="0" t="inlineStr">
        <is>
          <t>인천시</t>
        </is>
      </c>
      <c r="AC557" s="0" t="inlineStr">
        <is>
          <t>서구</t>
        </is>
      </c>
      <c r="AD557" s="0" t="inlineStr">
        <is>
          <t>당하동</t>
        </is>
      </c>
      <c r="AG557" s="0" t="inlineStr">
        <is>
          <t>인천시 서구 청마로 170</t>
        </is>
      </c>
      <c r="AH557" s="0" t="n">
        <v>0</v>
      </c>
      <c r="AI557" s="0" t="n">
        <v>248</v>
      </c>
      <c r="AJ557" s="0" t="n">
        <v>0</v>
      </c>
      <c r="AK557" s="0" t="n">
        <v>760</v>
      </c>
      <c r="AL557" s="0" t="n">
        <v>1.06</v>
      </c>
    </row>
    <row r="558">
      <c r="A558" s="0" t="inlineStr">
        <is>
          <t>[당하동]</t>
        </is>
      </c>
      <c r="B558" s="0" t="n">
        <v>11389</v>
      </c>
      <c r="C558" s="0" t="n">
        <v>2</v>
      </c>
      <c r="D558" s="0" t="inlineStr">
        <is>
          <t>당하푸르지오</t>
        </is>
      </c>
      <c r="E558" s="0" t="inlineStr">
        <is>
          <t>2005.01.</t>
        </is>
      </c>
      <c r="F558" s="0" t="n">
        <v>719</v>
      </c>
      <c r="G558" s="0" t="n">
        <v>28.86</v>
      </c>
      <c r="H558" s="0" t="n">
        <v>95.42</v>
      </c>
      <c r="I558" s="0" t="n">
        <v>22.33</v>
      </c>
      <c r="J558" s="0" t="n">
        <v>73.81999999999999</v>
      </c>
      <c r="K558" s="0" t="n">
        <v>76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95A</t>
        </is>
      </c>
      <c r="X558" s="0" t="n">
        <v>20</v>
      </c>
      <c r="Y558" s="0" t="n">
        <v>16</v>
      </c>
      <c r="Z558" s="0" t="inlineStr">
        <is>
          <t>https://new.land.naver.com/complexes/11389?tab=detail&amp;rf=Y</t>
        </is>
      </c>
      <c r="AA558" s="0" t="inlineStr">
        <is>
          <t>인천시 서구 당하동 1099-2</t>
        </is>
      </c>
      <c r="AB558" s="0" t="inlineStr">
        <is>
          <t>인천시</t>
        </is>
      </c>
      <c r="AC558" s="0" t="inlineStr">
        <is>
          <t>서구</t>
        </is>
      </c>
      <c r="AD558" s="0" t="inlineStr">
        <is>
          <t>당하동</t>
        </is>
      </c>
      <c r="AG558" s="0" t="inlineStr">
        <is>
          <t>인천시 서구 청마로 170</t>
        </is>
      </c>
      <c r="AH558" s="0" t="n">
        <v>0</v>
      </c>
      <c r="AI558" s="0" t="n">
        <v>248</v>
      </c>
      <c r="AJ558" s="0" t="n">
        <v>0</v>
      </c>
      <c r="AK558" s="0" t="n">
        <v>760</v>
      </c>
      <c r="AL558" s="0" t="n">
        <v>1.06</v>
      </c>
    </row>
    <row r="559">
      <c r="A559" s="0" t="inlineStr">
        <is>
          <t>[당하동]</t>
        </is>
      </c>
      <c r="B559" s="0" t="n">
        <v>11389</v>
      </c>
      <c r="C559" s="0" t="n">
        <v>3</v>
      </c>
      <c r="D559" s="0" t="inlineStr">
        <is>
          <t>당하푸르지오</t>
        </is>
      </c>
      <c r="E559" s="0" t="inlineStr">
        <is>
          <t>2005.01.</t>
        </is>
      </c>
      <c r="F559" s="0" t="n">
        <v>719</v>
      </c>
      <c r="G559" s="0" t="n">
        <v>32.65</v>
      </c>
      <c r="H559" s="0" t="n">
        <v>107.94</v>
      </c>
      <c r="I559" s="0" t="n">
        <v>25.69</v>
      </c>
      <c r="J559" s="0" t="n">
        <v>84.94</v>
      </c>
      <c r="K559" s="0" t="n">
        <v>331</v>
      </c>
      <c r="T559" s="0" t="n">
        <v>3</v>
      </c>
      <c r="U559" s="0" t="n">
        <v>2</v>
      </c>
      <c r="V559" s="0" t="inlineStr">
        <is>
          <t>계단식</t>
        </is>
      </c>
      <c r="W559" s="0" t="n">
        <v>107</v>
      </c>
      <c r="X559" s="0" t="n">
        <v>20</v>
      </c>
      <c r="Y559" s="0" t="n">
        <v>16</v>
      </c>
      <c r="Z559" s="0" t="inlineStr">
        <is>
          <t>https://new.land.naver.com/complexes/11389?tab=detail&amp;rf=Y</t>
        </is>
      </c>
      <c r="AA559" s="0" t="inlineStr">
        <is>
          <t>인천시 서구 당하동 1099-2</t>
        </is>
      </c>
      <c r="AB559" s="0" t="inlineStr">
        <is>
          <t>인천시</t>
        </is>
      </c>
      <c r="AC559" s="0" t="inlineStr">
        <is>
          <t>서구</t>
        </is>
      </c>
      <c r="AD559" s="0" t="inlineStr">
        <is>
          <t>당하동</t>
        </is>
      </c>
      <c r="AG559" s="0" t="inlineStr">
        <is>
          <t>인천시 서구 청마로 170</t>
        </is>
      </c>
      <c r="AH559" s="0" t="n">
        <v>0</v>
      </c>
      <c r="AI559" s="0" t="n">
        <v>248</v>
      </c>
      <c r="AJ559" s="0" t="n">
        <v>0</v>
      </c>
      <c r="AK559" s="0" t="n">
        <v>760</v>
      </c>
      <c r="AL559" s="0" t="n">
        <v>1.06</v>
      </c>
    </row>
    <row r="560">
      <c r="A560" s="0" t="inlineStr">
        <is>
          <t>[당하동]</t>
        </is>
      </c>
      <c r="B560" s="0" t="n">
        <v>11389</v>
      </c>
      <c r="C560" s="0" t="n">
        <v>4</v>
      </c>
      <c r="D560" s="0" t="inlineStr">
        <is>
          <t>당하푸르지오</t>
        </is>
      </c>
      <c r="E560" s="0" t="inlineStr">
        <is>
          <t>2005.01.</t>
        </is>
      </c>
      <c r="F560" s="0" t="n">
        <v>719</v>
      </c>
      <c r="G560" s="0" t="n">
        <v>39.87</v>
      </c>
      <c r="H560" s="0" t="n">
        <v>131.83</v>
      </c>
      <c r="I560" s="0" t="n">
        <v>30.73</v>
      </c>
      <c r="J560" s="0" t="n">
        <v>101.61</v>
      </c>
      <c r="K560" s="0" t="n">
        <v>153</v>
      </c>
      <c r="T560" s="0" t="n">
        <v>3</v>
      </c>
      <c r="U560" s="0" t="n">
        <v>2</v>
      </c>
      <c r="V560" s="0" t="inlineStr">
        <is>
          <t>계단식</t>
        </is>
      </c>
      <c r="W560" s="0" t="n">
        <v>131</v>
      </c>
      <c r="X560" s="0" t="n">
        <v>20</v>
      </c>
      <c r="Y560" s="0" t="n">
        <v>16</v>
      </c>
      <c r="Z560" s="0" t="inlineStr">
        <is>
          <t>https://new.land.naver.com/complexes/11389?tab=detail&amp;rf=Y</t>
        </is>
      </c>
      <c r="AA560" s="0" t="inlineStr">
        <is>
          <t>인천시 서구 당하동 1099-2</t>
        </is>
      </c>
      <c r="AB560" s="0" t="inlineStr">
        <is>
          <t>인천시</t>
        </is>
      </c>
      <c r="AC560" s="0" t="inlineStr">
        <is>
          <t>서구</t>
        </is>
      </c>
      <c r="AD560" s="0" t="inlineStr">
        <is>
          <t>당하동</t>
        </is>
      </c>
      <c r="AG560" s="0" t="inlineStr">
        <is>
          <t>인천시 서구 청마로 170</t>
        </is>
      </c>
      <c r="AH560" s="0" t="n">
        <v>0</v>
      </c>
      <c r="AI560" s="0" t="n">
        <v>248</v>
      </c>
      <c r="AJ560" s="0" t="n">
        <v>0</v>
      </c>
      <c r="AK560" s="0" t="n">
        <v>760</v>
      </c>
      <c r="AL560" s="0" t="n">
        <v>1.06</v>
      </c>
    </row>
    <row r="561">
      <c r="A561" s="0" t="inlineStr">
        <is>
          <t>[대곡동]</t>
        </is>
      </c>
      <c r="B561" s="0" t="n">
        <v>25923</v>
      </c>
      <c r="C561" s="0" t="n">
        <v>1</v>
      </c>
      <c r="D561" s="0" t="inlineStr">
        <is>
          <t>삼라마이다스</t>
        </is>
      </c>
      <c r="E561" s="0" t="inlineStr">
        <is>
          <t>2007.06.</t>
        </is>
      </c>
      <c r="F561" s="0" t="n">
        <v>117</v>
      </c>
      <c r="G561" s="0" t="n">
        <v>29.56</v>
      </c>
      <c r="H561" s="0" t="n">
        <v>97.73</v>
      </c>
      <c r="I561" s="0" t="n">
        <v>21.91</v>
      </c>
      <c r="J561" s="0" t="n">
        <v>72.43000000000001</v>
      </c>
      <c r="K561" s="0" t="n">
        <v>2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97</v>
      </c>
      <c r="X561" s="0" t="n">
        <v>16</v>
      </c>
      <c r="Y561" s="0" t="n">
        <v>12</v>
      </c>
      <c r="Z561" s="0" t="inlineStr">
        <is>
          <t>https://new.land.naver.com/complexes/25923?tab=detail&amp;rf=Y</t>
        </is>
      </c>
      <c r="AA561" s="0" t="inlineStr">
        <is>
          <t>인천시 서구 대곡동 720-3</t>
        </is>
      </c>
      <c r="AB561" s="0" t="inlineStr">
        <is>
          <t>인천시</t>
        </is>
      </c>
      <c r="AC561" s="0" t="inlineStr">
        <is>
          <t>서구</t>
        </is>
      </c>
      <c r="AD561" s="0" t="inlineStr">
        <is>
          <t>대곡동</t>
        </is>
      </c>
      <c r="AG561" s="0" t="inlineStr">
        <is>
          <t>인천시 서구 검단로 653</t>
        </is>
      </c>
      <c r="AH561" s="0" t="n">
        <v>0</v>
      </c>
      <c r="AI561" s="0" t="n">
        <v>196</v>
      </c>
      <c r="AJ561" s="0" t="n">
        <v>16</v>
      </c>
      <c r="AK561" s="0" t="n">
        <v>119</v>
      </c>
      <c r="AL561" s="0" t="n">
        <v>1.02</v>
      </c>
    </row>
    <row r="562">
      <c r="A562" s="0" t="inlineStr">
        <is>
          <t>[대곡동]</t>
        </is>
      </c>
      <c r="B562" s="0" t="n">
        <v>25923</v>
      </c>
      <c r="C562" s="0" t="n">
        <v>2</v>
      </c>
      <c r="D562" s="0" t="inlineStr">
        <is>
          <t>삼라마이다스</t>
        </is>
      </c>
      <c r="E562" s="0" t="inlineStr">
        <is>
          <t>2007.06.</t>
        </is>
      </c>
      <c r="F562" s="0" t="n">
        <v>117</v>
      </c>
      <c r="G562" s="0" t="n">
        <v>34.34</v>
      </c>
      <c r="H562" s="0" t="n">
        <v>113.54</v>
      </c>
      <c r="I562" s="0" t="n">
        <v>25.7</v>
      </c>
      <c r="J562" s="0" t="n">
        <v>84.95999999999999</v>
      </c>
      <c r="K562" s="0" t="n">
        <v>85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113A</t>
        </is>
      </c>
      <c r="X562" s="0" t="n">
        <v>16</v>
      </c>
      <c r="Y562" s="0" t="n">
        <v>12</v>
      </c>
      <c r="Z562" s="0" t="inlineStr">
        <is>
          <t>https://new.land.naver.com/complexes/25923?tab=detail&amp;rf=Y</t>
        </is>
      </c>
      <c r="AA562" s="0" t="inlineStr">
        <is>
          <t>인천시 서구 대곡동 720-3</t>
        </is>
      </c>
      <c r="AB562" s="0" t="inlineStr">
        <is>
          <t>인천시</t>
        </is>
      </c>
      <c r="AC562" s="0" t="inlineStr">
        <is>
          <t>서구</t>
        </is>
      </c>
      <c r="AD562" s="0" t="inlineStr">
        <is>
          <t>대곡동</t>
        </is>
      </c>
      <c r="AG562" s="0" t="inlineStr">
        <is>
          <t>인천시 서구 검단로 653</t>
        </is>
      </c>
      <c r="AH562" s="0" t="n">
        <v>0</v>
      </c>
      <c r="AI562" s="0" t="n">
        <v>196</v>
      </c>
      <c r="AJ562" s="0" t="n">
        <v>16</v>
      </c>
      <c r="AK562" s="0" t="n">
        <v>119</v>
      </c>
      <c r="AL562" s="0" t="n">
        <v>1.02</v>
      </c>
    </row>
    <row r="563">
      <c r="A563" s="0" t="inlineStr">
        <is>
          <t>[대곡동]</t>
        </is>
      </c>
      <c r="B563" s="0" t="n">
        <v>25923</v>
      </c>
      <c r="C563" s="0" t="n">
        <v>3</v>
      </c>
      <c r="D563" s="0" t="inlineStr">
        <is>
          <t>삼라마이다스</t>
        </is>
      </c>
      <c r="E563" s="0" t="inlineStr">
        <is>
          <t>2007.06.</t>
        </is>
      </c>
      <c r="F563" s="0" t="n">
        <v>117</v>
      </c>
      <c r="G563" s="0" t="n">
        <v>35.07</v>
      </c>
      <c r="H563" s="0" t="n">
        <v>115.94</v>
      </c>
      <c r="I563" s="0" t="n">
        <v>25.7</v>
      </c>
      <c r="J563" s="0" t="n">
        <v>84.97</v>
      </c>
      <c r="K563" s="0" t="n">
        <v>30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115B</t>
        </is>
      </c>
      <c r="X563" s="0" t="n">
        <v>16</v>
      </c>
      <c r="Y563" s="0" t="n">
        <v>12</v>
      </c>
      <c r="Z563" s="0" t="inlineStr">
        <is>
          <t>https://new.land.naver.com/complexes/25923?tab=detail&amp;rf=Y</t>
        </is>
      </c>
      <c r="AA563" s="0" t="inlineStr">
        <is>
          <t>인천시 서구 대곡동 720-3</t>
        </is>
      </c>
      <c r="AB563" s="0" t="inlineStr">
        <is>
          <t>인천시</t>
        </is>
      </c>
      <c r="AC563" s="0" t="inlineStr">
        <is>
          <t>서구</t>
        </is>
      </c>
      <c r="AD563" s="0" t="inlineStr">
        <is>
          <t>대곡동</t>
        </is>
      </c>
      <c r="AG563" s="0" t="inlineStr">
        <is>
          <t>인천시 서구 검단로 653</t>
        </is>
      </c>
      <c r="AH563" s="0" t="n">
        <v>0</v>
      </c>
      <c r="AI563" s="0" t="n">
        <v>196</v>
      </c>
      <c r="AJ563" s="0" t="n">
        <v>16</v>
      </c>
      <c r="AK563" s="0" t="n">
        <v>119</v>
      </c>
      <c r="AL563" s="0" t="n">
        <v>1.02</v>
      </c>
    </row>
    <row r="564">
      <c r="A564" s="0" t="inlineStr">
        <is>
          <t>[마전동]</t>
        </is>
      </c>
      <c r="B564" s="0" t="n">
        <v>10257</v>
      </c>
      <c r="C564" s="0" t="n">
        <v>1</v>
      </c>
      <c r="D564" s="0" t="inlineStr">
        <is>
          <t>당하풍림아이원2차</t>
        </is>
      </c>
      <c r="E564" s="0" t="inlineStr">
        <is>
          <t>2004.10.</t>
        </is>
      </c>
      <c r="F564" s="0" t="n">
        <v>400</v>
      </c>
      <c r="G564" s="0" t="n">
        <v>25.27</v>
      </c>
      <c r="H564" s="0" t="n">
        <v>83.56999999999999</v>
      </c>
      <c r="I564" s="0" t="n">
        <v>18.11</v>
      </c>
      <c r="J564" s="0" t="n">
        <v>59.9</v>
      </c>
      <c r="K564" s="0" t="n">
        <v>80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83</v>
      </c>
      <c r="X564" s="0" t="n">
        <v>20</v>
      </c>
      <c r="Y564" s="0" t="n">
        <v>20</v>
      </c>
      <c r="Z564" s="0" t="inlineStr">
        <is>
          <t>https://new.land.naver.com/complexes/10257?tab=detail&amp;rf=Y</t>
        </is>
      </c>
      <c r="AA564" s="0" t="inlineStr">
        <is>
          <t>인천시 서구 마전동 1053-1</t>
        </is>
      </c>
      <c r="AB564" s="0" t="inlineStr">
        <is>
          <t>인천시</t>
        </is>
      </c>
      <c r="AC564" s="0" t="inlineStr">
        <is>
          <t>서구</t>
        </is>
      </c>
      <c r="AD564" s="0" t="inlineStr">
        <is>
          <t>마전동</t>
        </is>
      </c>
      <c r="AG564" s="0" t="inlineStr">
        <is>
          <t>인천시 서구 원당대로685번길 30</t>
        </is>
      </c>
      <c r="AH564" s="0" t="n">
        <v>0</v>
      </c>
      <c r="AI564" s="0" t="n">
        <v>0</v>
      </c>
      <c r="AJ564" s="0" t="n">
        <v>0</v>
      </c>
      <c r="AK564" s="0" t="n">
        <v>400</v>
      </c>
      <c r="AL564" s="0" t="n">
        <v>1</v>
      </c>
    </row>
    <row r="565">
      <c r="A565" s="0" t="inlineStr">
        <is>
          <t>[마전동]</t>
        </is>
      </c>
      <c r="B565" s="0" t="n">
        <v>10257</v>
      </c>
      <c r="C565" s="0" t="n">
        <v>2</v>
      </c>
      <c r="D565" s="0" t="inlineStr">
        <is>
          <t>당하풍림아이원2차</t>
        </is>
      </c>
      <c r="E565" s="0" t="inlineStr">
        <is>
          <t>2004.10.</t>
        </is>
      </c>
      <c r="F565" s="0" t="n">
        <v>400</v>
      </c>
      <c r="G565" s="0" t="n">
        <v>33.6</v>
      </c>
      <c r="H565" s="0" t="n">
        <v>111.1</v>
      </c>
      <c r="I565" s="0" t="n">
        <v>25.7</v>
      </c>
      <c r="J565" s="0" t="n">
        <v>84.98</v>
      </c>
      <c r="K565" s="0" t="n">
        <v>320</v>
      </c>
      <c r="T565" s="0" t="n">
        <v>3</v>
      </c>
      <c r="U565" s="0" t="n">
        <v>2</v>
      </c>
      <c r="V565" s="0" t="inlineStr">
        <is>
          <t>계단식</t>
        </is>
      </c>
      <c r="W565" s="0" t="n">
        <v>111</v>
      </c>
      <c r="X565" s="0" t="n">
        <v>20</v>
      </c>
      <c r="Y565" s="0" t="n">
        <v>20</v>
      </c>
      <c r="Z565" s="0" t="inlineStr">
        <is>
          <t>https://new.land.naver.com/complexes/10257?tab=detail&amp;rf=Y</t>
        </is>
      </c>
      <c r="AA565" s="0" t="inlineStr">
        <is>
          <t>인천시 서구 마전동 1053-1</t>
        </is>
      </c>
      <c r="AB565" s="0" t="inlineStr">
        <is>
          <t>인천시</t>
        </is>
      </c>
      <c r="AC565" s="0" t="inlineStr">
        <is>
          <t>서구</t>
        </is>
      </c>
      <c r="AD565" s="0" t="inlineStr">
        <is>
          <t>마전동</t>
        </is>
      </c>
      <c r="AG565" s="0" t="inlineStr">
        <is>
          <t>인천시 서구 원당대로685번길 30</t>
        </is>
      </c>
      <c r="AH565" s="0" t="n">
        <v>0</v>
      </c>
      <c r="AI565" s="0" t="n">
        <v>0</v>
      </c>
      <c r="AJ565" s="0" t="n">
        <v>0</v>
      </c>
      <c r="AK565" s="0" t="n">
        <v>400</v>
      </c>
      <c r="AL565" s="0" t="n">
        <v>1</v>
      </c>
    </row>
    <row r="566">
      <c r="A566" s="0" t="inlineStr">
        <is>
          <t>[마전동]</t>
        </is>
      </c>
      <c r="B566" s="0" t="n">
        <v>18918</v>
      </c>
      <c r="C566" s="0" t="n">
        <v>1</v>
      </c>
      <c r="D566" s="0" t="inlineStr">
        <is>
          <t>검단I-PARK</t>
        </is>
      </c>
      <c r="E566" s="0" t="inlineStr">
        <is>
          <t>2007.01.</t>
        </is>
      </c>
      <c r="F566" s="0" t="n">
        <v>573</v>
      </c>
      <c r="G566" s="0" t="n">
        <v>28.51</v>
      </c>
      <c r="H566" s="0" t="n">
        <v>94.26000000000001</v>
      </c>
      <c r="I566" s="0" t="n">
        <v>21.12</v>
      </c>
      <c r="J566" s="0" t="n">
        <v>69.81999999999999</v>
      </c>
      <c r="K566" s="0" t="n">
        <v>30</v>
      </c>
      <c r="T566" s="0" t="n">
        <v>3</v>
      </c>
      <c r="U566" s="0" t="n">
        <v>2</v>
      </c>
      <c r="V566" s="0" t="inlineStr">
        <is>
          <t>계단식</t>
        </is>
      </c>
      <c r="W566" s="0" t="n">
        <v>94</v>
      </c>
      <c r="X566" s="0" t="n">
        <v>15</v>
      </c>
      <c r="Y566" s="0" t="n">
        <v>9</v>
      </c>
      <c r="Z566" s="0" t="inlineStr">
        <is>
          <t>https://new.land.naver.com/complexes/18918?tab=detail&amp;rf=Y</t>
        </is>
      </c>
      <c r="AA566" s="0" t="inlineStr">
        <is>
          <t>인천시 서구 마전동 998-1</t>
        </is>
      </c>
      <c r="AB566" s="0" t="inlineStr">
        <is>
          <t>인천시</t>
        </is>
      </c>
      <c r="AC566" s="0" t="inlineStr">
        <is>
          <t>서구</t>
        </is>
      </c>
      <c r="AD566" s="0" t="inlineStr">
        <is>
          <t>마전동</t>
        </is>
      </c>
      <c r="AG566" s="0" t="inlineStr">
        <is>
          <t>인천시 서구 완정로92번길 28</t>
        </is>
      </c>
      <c r="AH566" s="0" t="n">
        <v>0</v>
      </c>
      <c r="AI566" s="0" t="n">
        <v>216</v>
      </c>
      <c r="AJ566" s="0" t="n">
        <v>0</v>
      </c>
      <c r="AK566" s="0" t="n">
        <v>0</v>
      </c>
      <c r="AL566" s="0" t="n">
        <v>0</v>
      </c>
    </row>
    <row r="567">
      <c r="A567" s="0" t="inlineStr">
        <is>
          <t>[마전동]</t>
        </is>
      </c>
      <c r="B567" s="0" t="n">
        <v>18918</v>
      </c>
      <c r="C567" s="0" t="n">
        <v>2</v>
      </c>
      <c r="D567" s="0" t="inlineStr">
        <is>
          <t>검단I-PARK</t>
        </is>
      </c>
      <c r="E567" s="0" t="inlineStr">
        <is>
          <t>2007.01.</t>
        </is>
      </c>
      <c r="F567" s="0" t="n">
        <v>573</v>
      </c>
      <c r="G567" s="0" t="n">
        <v>33.76</v>
      </c>
      <c r="H567" s="0" t="n">
        <v>111.61</v>
      </c>
      <c r="I567" s="0" t="n">
        <v>25.49</v>
      </c>
      <c r="J567" s="0" t="n">
        <v>84.28</v>
      </c>
      <c r="K567" s="0" t="n">
        <v>492</v>
      </c>
      <c r="T567" s="0" t="n">
        <v>3</v>
      </c>
      <c r="U567" s="0" t="n">
        <v>2</v>
      </c>
      <c r="V567" s="0" t="inlineStr">
        <is>
          <t>계단식</t>
        </is>
      </c>
      <c r="W567" s="0" t="n">
        <v>111</v>
      </c>
      <c r="X567" s="0" t="n">
        <v>15</v>
      </c>
      <c r="Y567" s="0" t="n">
        <v>9</v>
      </c>
      <c r="Z567" s="0" t="inlineStr">
        <is>
          <t>https://new.land.naver.com/complexes/18918?tab=detail&amp;rf=Y</t>
        </is>
      </c>
      <c r="AA567" s="0" t="inlineStr">
        <is>
          <t>인천시 서구 마전동 998-1</t>
        </is>
      </c>
      <c r="AB567" s="0" t="inlineStr">
        <is>
          <t>인천시</t>
        </is>
      </c>
      <c r="AC567" s="0" t="inlineStr">
        <is>
          <t>서구</t>
        </is>
      </c>
      <c r="AD567" s="0" t="inlineStr">
        <is>
          <t>마전동</t>
        </is>
      </c>
      <c r="AG567" s="0" t="inlineStr">
        <is>
          <t>인천시 서구 완정로92번길 28</t>
        </is>
      </c>
      <c r="AH567" s="0" t="n">
        <v>0</v>
      </c>
      <c r="AI567" s="0" t="n">
        <v>216</v>
      </c>
      <c r="AJ567" s="0" t="n">
        <v>0</v>
      </c>
      <c r="AK567" s="0" t="n">
        <v>0</v>
      </c>
      <c r="AL567" s="0" t="n">
        <v>0</v>
      </c>
    </row>
    <row r="568">
      <c r="A568" s="0" t="inlineStr">
        <is>
          <t>[마전동]</t>
        </is>
      </c>
      <c r="B568" s="0" t="n">
        <v>18918</v>
      </c>
      <c r="C568" s="0" t="n">
        <v>3</v>
      </c>
      <c r="D568" s="0" t="inlineStr">
        <is>
          <t>검단I-PARK</t>
        </is>
      </c>
      <c r="E568" s="0" t="inlineStr">
        <is>
          <t>2007.01.</t>
        </is>
      </c>
      <c r="F568" s="0" t="n">
        <v>573</v>
      </c>
      <c r="G568" s="0" t="n">
        <v>45.13</v>
      </c>
      <c r="H568" s="0" t="n">
        <v>149.21</v>
      </c>
      <c r="I568" s="0" t="n">
        <v>35.44</v>
      </c>
      <c r="J568" s="0" t="n">
        <v>117.19</v>
      </c>
      <c r="K568" s="0" t="n">
        <v>51</v>
      </c>
      <c r="T568" s="0" t="n">
        <v>4</v>
      </c>
      <c r="U568" s="0" t="n">
        <v>2</v>
      </c>
      <c r="V568" s="0" t="inlineStr">
        <is>
          <t>계단식</t>
        </is>
      </c>
      <c r="W568" s="0" t="n">
        <v>149</v>
      </c>
      <c r="X568" s="0" t="n">
        <v>15</v>
      </c>
      <c r="Y568" s="0" t="n">
        <v>9</v>
      </c>
      <c r="Z568" s="0" t="inlineStr">
        <is>
          <t>https://new.land.naver.com/complexes/18918?tab=detail&amp;rf=Y</t>
        </is>
      </c>
      <c r="AA568" s="0" t="inlineStr">
        <is>
          <t>인천시 서구 마전동 998-1</t>
        </is>
      </c>
      <c r="AB568" s="0" t="inlineStr">
        <is>
          <t>인천시</t>
        </is>
      </c>
      <c r="AC568" s="0" t="inlineStr">
        <is>
          <t>서구</t>
        </is>
      </c>
      <c r="AD568" s="0" t="inlineStr">
        <is>
          <t>마전동</t>
        </is>
      </c>
      <c r="AG568" s="0" t="inlineStr">
        <is>
          <t>인천시 서구 완정로92번길 28</t>
        </is>
      </c>
      <c r="AH568" s="0" t="n">
        <v>0</v>
      </c>
      <c r="AI568" s="0" t="n">
        <v>216</v>
      </c>
      <c r="AJ568" s="0" t="n">
        <v>0</v>
      </c>
      <c r="AK568" s="0" t="n">
        <v>0</v>
      </c>
      <c r="AL568" s="0" t="n">
        <v>0</v>
      </c>
    </row>
    <row r="569">
      <c r="A569" s="0" t="inlineStr">
        <is>
          <t>[마전동]</t>
        </is>
      </c>
      <c r="B569" s="0" t="n">
        <v>18917</v>
      </c>
      <c r="C569" s="0" t="n">
        <v>1</v>
      </c>
      <c r="D569" s="0" t="inlineStr">
        <is>
          <t>검단힐스테이트1차</t>
        </is>
      </c>
      <c r="E569" s="0" t="inlineStr">
        <is>
          <t>2007.01.</t>
        </is>
      </c>
      <c r="F569" s="0" t="n">
        <v>465</v>
      </c>
      <c r="G569" s="0" t="n">
        <v>28.51</v>
      </c>
      <c r="H569" s="0" t="n">
        <v>94.28</v>
      </c>
      <c r="I569" s="0" t="n">
        <v>21.12</v>
      </c>
      <c r="J569" s="0" t="n">
        <v>69.81999999999999</v>
      </c>
      <c r="K569" s="0" t="n">
        <v>110</v>
      </c>
      <c r="T569" s="0" t="n">
        <v>3</v>
      </c>
      <c r="U569" s="0" t="n">
        <v>2</v>
      </c>
      <c r="V569" s="0" t="inlineStr">
        <is>
          <t>계단식</t>
        </is>
      </c>
      <c r="W569" s="0" t="n">
        <v>94</v>
      </c>
      <c r="X569" s="0" t="n">
        <v>15</v>
      </c>
      <c r="Y569" s="0" t="n">
        <v>13</v>
      </c>
      <c r="Z569" s="0" t="inlineStr">
        <is>
          <t>https://new.land.naver.com/complexes/18917?tab=detail&amp;rf=Y</t>
        </is>
      </c>
      <c r="AA569" s="0" t="inlineStr">
        <is>
          <t>인천시 서구 마전동 997-3</t>
        </is>
      </c>
      <c r="AB569" s="0" t="inlineStr">
        <is>
          <t>인천시</t>
        </is>
      </c>
      <c r="AC569" s="0" t="inlineStr">
        <is>
          <t>서구</t>
        </is>
      </c>
      <c r="AD569" s="0" t="inlineStr">
        <is>
          <t>마전동</t>
        </is>
      </c>
      <c r="AG569" s="0" t="inlineStr">
        <is>
          <t>인천시 서구 완정로92번길 11</t>
        </is>
      </c>
      <c r="AH569" s="0" t="n">
        <v>0</v>
      </c>
      <c r="AI569" s="0" t="n">
        <v>209</v>
      </c>
      <c r="AJ569" s="0" t="n">
        <v>0</v>
      </c>
      <c r="AK569" s="0" t="n">
        <v>512</v>
      </c>
      <c r="AL569" s="0" t="n">
        <v>1.1</v>
      </c>
    </row>
    <row r="570">
      <c r="A570" s="0" t="inlineStr">
        <is>
          <t>[마전동]</t>
        </is>
      </c>
      <c r="B570" s="0" t="n">
        <v>18917</v>
      </c>
      <c r="C570" s="0" t="n">
        <v>2</v>
      </c>
      <c r="D570" s="0" t="inlineStr">
        <is>
          <t>검단힐스테이트1차</t>
        </is>
      </c>
      <c r="E570" s="0" t="inlineStr">
        <is>
          <t>2007.01.</t>
        </is>
      </c>
      <c r="F570" s="0" t="n">
        <v>465</v>
      </c>
      <c r="G570" s="0" t="n">
        <v>33.25</v>
      </c>
      <c r="H570" s="0" t="n">
        <v>109.93</v>
      </c>
      <c r="I570" s="0" t="n">
        <v>25.49</v>
      </c>
      <c r="J570" s="0" t="n">
        <v>84.28</v>
      </c>
      <c r="K570" s="0" t="n">
        <v>297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109</v>
      </c>
      <c r="X570" s="0" t="n">
        <v>15</v>
      </c>
      <c r="Y570" s="0" t="n">
        <v>13</v>
      </c>
      <c r="Z570" s="0" t="inlineStr">
        <is>
          <t>https://new.land.naver.com/complexes/18917?tab=detail&amp;rf=Y</t>
        </is>
      </c>
      <c r="AA570" s="0" t="inlineStr">
        <is>
          <t>인천시 서구 마전동 997-3</t>
        </is>
      </c>
      <c r="AB570" s="0" t="inlineStr">
        <is>
          <t>인천시</t>
        </is>
      </c>
      <c r="AC570" s="0" t="inlineStr">
        <is>
          <t>서구</t>
        </is>
      </c>
      <c r="AD570" s="0" t="inlineStr">
        <is>
          <t>마전동</t>
        </is>
      </c>
      <c r="AG570" s="0" t="inlineStr">
        <is>
          <t>인천시 서구 완정로92번길 11</t>
        </is>
      </c>
      <c r="AH570" s="0" t="n">
        <v>0</v>
      </c>
      <c r="AI570" s="0" t="n">
        <v>209</v>
      </c>
      <c r="AJ570" s="0" t="n">
        <v>0</v>
      </c>
      <c r="AK570" s="0" t="n">
        <v>512</v>
      </c>
      <c r="AL570" s="0" t="n">
        <v>1.1</v>
      </c>
    </row>
    <row r="571">
      <c r="A571" s="0" t="inlineStr">
        <is>
          <t>[마전동]</t>
        </is>
      </c>
      <c r="B571" s="0" t="n">
        <v>18917</v>
      </c>
      <c r="C571" s="0" t="n">
        <v>3</v>
      </c>
      <c r="D571" s="0" t="inlineStr">
        <is>
          <t>검단힐스테이트1차</t>
        </is>
      </c>
      <c r="E571" s="0" t="inlineStr">
        <is>
          <t>2007.01.</t>
        </is>
      </c>
      <c r="F571" s="0" t="n">
        <v>465</v>
      </c>
      <c r="G571" s="0" t="n">
        <v>45.03</v>
      </c>
      <c r="H571" s="0" t="n">
        <v>148.88</v>
      </c>
      <c r="I571" s="0" t="n">
        <v>35.44</v>
      </c>
      <c r="J571" s="0" t="n">
        <v>117.19</v>
      </c>
      <c r="K571" s="0" t="n">
        <v>58</v>
      </c>
      <c r="T571" s="0" t="n">
        <v>4</v>
      </c>
      <c r="U571" s="0" t="n">
        <v>2</v>
      </c>
      <c r="V571" s="0" t="inlineStr">
        <is>
          <t>계단식</t>
        </is>
      </c>
      <c r="W571" s="0" t="n">
        <v>148</v>
      </c>
      <c r="X571" s="0" t="n">
        <v>15</v>
      </c>
      <c r="Y571" s="0" t="n">
        <v>13</v>
      </c>
      <c r="Z571" s="0" t="inlineStr">
        <is>
          <t>https://new.land.naver.com/complexes/18917?tab=detail&amp;rf=Y</t>
        </is>
      </c>
      <c r="AA571" s="0" t="inlineStr">
        <is>
          <t>인천시 서구 마전동 997-3</t>
        </is>
      </c>
      <c r="AB571" s="0" t="inlineStr">
        <is>
          <t>인천시</t>
        </is>
      </c>
      <c r="AC571" s="0" t="inlineStr">
        <is>
          <t>서구</t>
        </is>
      </c>
      <c r="AD571" s="0" t="inlineStr">
        <is>
          <t>마전동</t>
        </is>
      </c>
      <c r="AG571" s="0" t="inlineStr">
        <is>
          <t>인천시 서구 완정로92번길 11</t>
        </is>
      </c>
      <c r="AH571" s="0" t="n">
        <v>0</v>
      </c>
      <c r="AI571" s="0" t="n">
        <v>209</v>
      </c>
      <c r="AJ571" s="0" t="n">
        <v>0</v>
      </c>
      <c r="AK571" s="0" t="n">
        <v>512</v>
      </c>
      <c r="AL571" s="0" t="n">
        <v>1.1</v>
      </c>
    </row>
    <row r="572">
      <c r="A572" s="0" t="inlineStr">
        <is>
          <t>[마전동]</t>
        </is>
      </c>
      <c r="B572" s="0" t="n">
        <v>8827</v>
      </c>
      <c r="C572" s="0" t="n">
        <v>1</v>
      </c>
      <c r="D572" s="0" t="inlineStr">
        <is>
          <t>동아</t>
        </is>
      </c>
      <c r="E572" s="0" t="inlineStr">
        <is>
          <t>1999.01.</t>
        </is>
      </c>
      <c r="F572" s="0" t="n">
        <v>1351</v>
      </c>
      <c r="G572" s="0" t="n">
        <v>24.29</v>
      </c>
      <c r="H572" s="0" t="n">
        <v>80.3</v>
      </c>
      <c r="I572" s="0" t="n">
        <v>18.14</v>
      </c>
      <c r="J572" s="0" t="n">
        <v>59.98</v>
      </c>
      <c r="K572" s="0" t="n">
        <v>478</v>
      </c>
      <c r="T572" s="0" t="n">
        <v>3</v>
      </c>
      <c r="U572" s="0" t="n">
        <v>1</v>
      </c>
      <c r="V572" s="0" t="inlineStr">
        <is>
          <t>계단식</t>
        </is>
      </c>
      <c r="W572" s="0" t="n">
        <v>80</v>
      </c>
      <c r="X572" s="0" t="n">
        <v>20</v>
      </c>
      <c r="Y572" s="0" t="n">
        <v>11</v>
      </c>
      <c r="Z572" s="0" t="inlineStr">
        <is>
          <t>https://new.land.naver.com/complexes/8827?tab=detail&amp;rf=Y</t>
        </is>
      </c>
      <c r="AA572" s="0" t="inlineStr">
        <is>
          <t>인천시 서구 마전동 1003-1</t>
        </is>
      </c>
      <c r="AB572" s="0" t="inlineStr">
        <is>
          <t>인천시</t>
        </is>
      </c>
      <c r="AC572" s="0" t="inlineStr">
        <is>
          <t>서구</t>
        </is>
      </c>
      <c r="AD572" s="0" t="inlineStr">
        <is>
          <t>마전동</t>
        </is>
      </c>
      <c r="AG572" s="0" t="inlineStr">
        <is>
          <t>인천시 서구 완정로34번길 20</t>
        </is>
      </c>
      <c r="AH572" s="0" t="n">
        <v>0</v>
      </c>
      <c r="AI572" s="0" t="n">
        <v>258</v>
      </c>
      <c r="AJ572" s="0" t="n">
        <v>17</v>
      </c>
      <c r="AK572" s="0" t="n">
        <v>1468</v>
      </c>
      <c r="AL572" s="0" t="n">
        <v>1.09</v>
      </c>
    </row>
    <row r="573">
      <c r="A573" s="0" t="inlineStr">
        <is>
          <t>[마전동]</t>
        </is>
      </c>
      <c r="B573" s="0" t="n">
        <v>8827</v>
      </c>
      <c r="C573" s="0" t="n">
        <v>2</v>
      </c>
      <c r="D573" s="0" t="inlineStr">
        <is>
          <t>동아</t>
        </is>
      </c>
      <c r="E573" s="0" t="inlineStr">
        <is>
          <t>1999.01.</t>
        </is>
      </c>
      <c r="F573" s="0" t="n">
        <v>1351</v>
      </c>
      <c r="G573" s="0" t="n">
        <v>32.41</v>
      </c>
      <c r="H573" s="0" t="n">
        <v>107.15</v>
      </c>
      <c r="I573" s="0" t="n">
        <v>25.68</v>
      </c>
      <c r="J573" s="0" t="n">
        <v>84.90000000000001</v>
      </c>
      <c r="K573" s="0" t="n">
        <v>633</v>
      </c>
      <c r="T573" s="0" t="n">
        <v>3</v>
      </c>
      <c r="U573" s="0" t="n">
        <v>2</v>
      </c>
      <c r="V573" s="0" t="inlineStr">
        <is>
          <t>계단식</t>
        </is>
      </c>
      <c r="W573" s="0" t="n">
        <v>107</v>
      </c>
      <c r="X573" s="0" t="n">
        <v>20</v>
      </c>
      <c r="Y573" s="0" t="n">
        <v>11</v>
      </c>
      <c r="Z573" s="0" t="inlineStr">
        <is>
          <t>https://new.land.naver.com/complexes/8827?tab=detail&amp;rf=Y</t>
        </is>
      </c>
      <c r="AA573" s="0" t="inlineStr">
        <is>
          <t>인천시 서구 마전동 1003-1</t>
        </is>
      </c>
      <c r="AB573" s="0" t="inlineStr">
        <is>
          <t>인천시</t>
        </is>
      </c>
      <c r="AC573" s="0" t="inlineStr">
        <is>
          <t>서구</t>
        </is>
      </c>
      <c r="AD573" s="0" t="inlineStr">
        <is>
          <t>마전동</t>
        </is>
      </c>
      <c r="AG573" s="0" t="inlineStr">
        <is>
          <t>인천시 서구 완정로34번길 20</t>
        </is>
      </c>
      <c r="AH573" s="0" t="n">
        <v>0</v>
      </c>
      <c r="AI573" s="0" t="n">
        <v>258</v>
      </c>
      <c r="AJ573" s="0" t="n">
        <v>17</v>
      </c>
      <c r="AK573" s="0" t="n">
        <v>1468</v>
      </c>
      <c r="AL573" s="0" t="n">
        <v>1.09</v>
      </c>
    </row>
    <row r="574">
      <c r="A574" s="0" t="inlineStr">
        <is>
          <t>[마전동]</t>
        </is>
      </c>
      <c r="B574" s="0" t="n">
        <v>8827</v>
      </c>
      <c r="C574" s="0" t="n">
        <v>3</v>
      </c>
      <c r="D574" s="0" t="inlineStr">
        <is>
          <t>동아</t>
        </is>
      </c>
      <c r="E574" s="0" t="inlineStr">
        <is>
          <t>1999.01.</t>
        </is>
      </c>
      <c r="F574" s="0" t="n">
        <v>1351</v>
      </c>
      <c r="G574" s="0" t="n">
        <v>48.91</v>
      </c>
      <c r="H574" s="0" t="n">
        <v>161.7</v>
      </c>
      <c r="I574" s="0" t="n">
        <v>40.82</v>
      </c>
      <c r="J574" s="0" t="n">
        <v>134.97</v>
      </c>
      <c r="K574" s="0" t="n">
        <v>240</v>
      </c>
      <c r="T574" s="0" t="n">
        <v>4</v>
      </c>
      <c r="U574" s="0" t="n">
        <v>2</v>
      </c>
      <c r="V574" s="0" t="inlineStr">
        <is>
          <t>계단식</t>
        </is>
      </c>
      <c r="W574" s="0" t="n">
        <v>161</v>
      </c>
      <c r="X574" s="0" t="n">
        <v>20</v>
      </c>
      <c r="Y574" s="0" t="n">
        <v>11</v>
      </c>
      <c r="Z574" s="0" t="inlineStr">
        <is>
          <t>https://new.land.naver.com/complexes/8827?tab=detail&amp;rf=Y</t>
        </is>
      </c>
      <c r="AA574" s="0" t="inlineStr">
        <is>
          <t>인천시 서구 마전동 1003-1</t>
        </is>
      </c>
      <c r="AB574" s="0" t="inlineStr">
        <is>
          <t>인천시</t>
        </is>
      </c>
      <c r="AC574" s="0" t="inlineStr">
        <is>
          <t>서구</t>
        </is>
      </c>
      <c r="AD574" s="0" t="inlineStr">
        <is>
          <t>마전동</t>
        </is>
      </c>
      <c r="AG574" s="0" t="inlineStr">
        <is>
          <t>인천시 서구 완정로34번길 20</t>
        </is>
      </c>
      <c r="AH574" s="0" t="n">
        <v>0</v>
      </c>
      <c r="AI574" s="0" t="n">
        <v>258</v>
      </c>
      <c r="AJ574" s="0" t="n">
        <v>17</v>
      </c>
      <c r="AK574" s="0" t="n">
        <v>1468</v>
      </c>
      <c r="AL574" s="0" t="n">
        <v>1.09</v>
      </c>
    </row>
    <row r="575">
      <c r="A575" s="0" t="inlineStr">
        <is>
          <t>[마전동]</t>
        </is>
      </c>
      <c r="B575" s="0" t="n">
        <v>144263</v>
      </c>
      <c r="C575" s="0" t="n">
        <v>1</v>
      </c>
      <c r="D575" s="0" t="inlineStr">
        <is>
          <t>정명쉐르빌</t>
        </is>
      </c>
      <c r="E575" s="0" t="inlineStr">
        <is>
          <t>2015.09.</t>
        </is>
      </c>
      <c r="F575" s="0" t="n">
        <v>4</v>
      </c>
      <c r="G575" s="0" t="n">
        <v>15.96</v>
      </c>
      <c r="H575" s="0" t="n">
        <v>52.79</v>
      </c>
      <c r="I575" s="0" t="n">
        <v>14.13</v>
      </c>
      <c r="J575" s="0" t="n">
        <v>46.72</v>
      </c>
      <c r="K575" s="0" t="n">
        <v>1</v>
      </c>
      <c r="T575" s="0" t="n">
        <v>2</v>
      </c>
      <c r="U575" s="0" t="n">
        <v>1</v>
      </c>
      <c r="V575" s="0" t="inlineStr">
        <is>
          <t>계단식</t>
        </is>
      </c>
      <c r="W575" s="0" t="n">
        <v>52</v>
      </c>
      <c r="X575" s="0" t="n">
        <v>7</v>
      </c>
      <c r="Y575" s="0" t="n">
        <v>7</v>
      </c>
      <c r="Z575" s="0" t="inlineStr">
        <is>
          <t>https://new.land.naver.com/complexes/144263?tab=detail&amp;rf=Y</t>
        </is>
      </c>
      <c r="AA575" s="0" t="inlineStr">
        <is>
          <t>인천시 서구 마전동 904-9</t>
        </is>
      </c>
      <c r="AB575" s="0" t="inlineStr">
        <is>
          <t>인천시</t>
        </is>
      </c>
      <c r="AC575" s="0" t="inlineStr">
        <is>
          <t>서구</t>
        </is>
      </c>
      <c r="AD575" s="0" t="inlineStr">
        <is>
          <t>마전동</t>
        </is>
      </c>
      <c r="AG575" s="0" t="inlineStr">
        <is>
          <t>인천시 서구 완정로202번길 4</t>
        </is>
      </c>
      <c r="AH575" s="0" t="n">
        <v>0</v>
      </c>
      <c r="AI575" s="0" t="n">
        <v>349</v>
      </c>
      <c r="AJ575" s="0" t="n">
        <v>59</v>
      </c>
      <c r="AK575" s="0" t="n">
        <v>4</v>
      </c>
      <c r="AL575" s="0" t="n">
        <v>1</v>
      </c>
    </row>
    <row r="576">
      <c r="A576" s="0" t="inlineStr">
        <is>
          <t>[마전동]</t>
        </is>
      </c>
      <c r="B576" s="0" t="n">
        <v>144263</v>
      </c>
      <c r="C576" s="0" t="n">
        <v>2</v>
      </c>
      <c r="D576" s="0" t="inlineStr">
        <is>
          <t>정명쉐르빌</t>
        </is>
      </c>
      <c r="E576" s="0" t="inlineStr">
        <is>
          <t>2015.09.</t>
        </is>
      </c>
      <c r="F576" s="0" t="n">
        <v>4</v>
      </c>
      <c r="G576" s="0" t="n">
        <v>16.55</v>
      </c>
      <c r="H576" s="0" t="n">
        <v>54.73</v>
      </c>
      <c r="I576" s="0" t="n">
        <v>14.65</v>
      </c>
      <c r="J576" s="0" t="n">
        <v>48.44</v>
      </c>
      <c r="K576" s="0" t="n">
        <v>1</v>
      </c>
      <c r="T576" s="0" t="n">
        <v>2</v>
      </c>
      <c r="U576" s="0" t="n">
        <v>1</v>
      </c>
      <c r="V576" s="0" t="inlineStr">
        <is>
          <t>계단식</t>
        </is>
      </c>
      <c r="W576" s="0" t="inlineStr">
        <is>
          <t>54A</t>
        </is>
      </c>
      <c r="X576" s="0" t="n">
        <v>7</v>
      </c>
      <c r="Y576" s="0" t="n">
        <v>7</v>
      </c>
      <c r="Z576" s="0" t="inlineStr">
        <is>
          <t>https://new.land.naver.com/complexes/144263?tab=detail&amp;rf=Y</t>
        </is>
      </c>
      <c r="AA576" s="0" t="inlineStr">
        <is>
          <t>인천시 서구 마전동 904-9</t>
        </is>
      </c>
      <c r="AB576" s="0" t="inlineStr">
        <is>
          <t>인천시</t>
        </is>
      </c>
      <c r="AC576" s="0" t="inlineStr">
        <is>
          <t>서구</t>
        </is>
      </c>
      <c r="AD576" s="0" t="inlineStr">
        <is>
          <t>마전동</t>
        </is>
      </c>
      <c r="AG576" s="0" t="inlineStr">
        <is>
          <t>인천시 서구 완정로202번길 4</t>
        </is>
      </c>
      <c r="AH576" s="0" t="n">
        <v>0</v>
      </c>
      <c r="AI576" s="0" t="n">
        <v>349</v>
      </c>
      <c r="AJ576" s="0" t="n">
        <v>59</v>
      </c>
      <c r="AK576" s="0" t="n">
        <v>4</v>
      </c>
      <c r="AL576" s="0" t="n">
        <v>1</v>
      </c>
    </row>
    <row r="577">
      <c r="A577" s="0" t="inlineStr">
        <is>
          <t>[마전동]</t>
        </is>
      </c>
      <c r="B577" s="0" t="n">
        <v>144263</v>
      </c>
      <c r="C577" s="0" t="n">
        <v>3</v>
      </c>
      <c r="D577" s="0" t="inlineStr">
        <is>
          <t>정명쉐르빌</t>
        </is>
      </c>
      <c r="E577" s="0" t="inlineStr">
        <is>
          <t>2015.09.</t>
        </is>
      </c>
      <c r="F577" s="0" t="n">
        <v>4</v>
      </c>
      <c r="G577" s="0" t="n">
        <v>17.25</v>
      </c>
      <c r="H577" s="0" t="n">
        <v>57.04</v>
      </c>
      <c r="I577" s="0" t="n">
        <v>15.27</v>
      </c>
      <c r="J577" s="0" t="n">
        <v>50.48</v>
      </c>
      <c r="K577" s="0" t="n">
        <v>1</v>
      </c>
      <c r="T577" s="0" t="n">
        <v>2</v>
      </c>
      <c r="U577" s="0" t="n">
        <v>1</v>
      </c>
      <c r="V577" s="0" t="inlineStr">
        <is>
          <t>계단식</t>
        </is>
      </c>
      <c r="W577" s="0" t="inlineStr">
        <is>
          <t>57B</t>
        </is>
      </c>
      <c r="X577" s="0" t="n">
        <v>7</v>
      </c>
      <c r="Y577" s="0" t="n">
        <v>7</v>
      </c>
      <c r="Z577" s="0" t="inlineStr">
        <is>
          <t>https://new.land.naver.com/complexes/144263?tab=detail&amp;rf=Y</t>
        </is>
      </c>
      <c r="AA577" s="0" t="inlineStr">
        <is>
          <t>인천시 서구 마전동 904-9</t>
        </is>
      </c>
      <c r="AB577" s="0" t="inlineStr">
        <is>
          <t>인천시</t>
        </is>
      </c>
      <c r="AC577" s="0" t="inlineStr">
        <is>
          <t>서구</t>
        </is>
      </c>
      <c r="AD577" s="0" t="inlineStr">
        <is>
          <t>마전동</t>
        </is>
      </c>
      <c r="AG577" s="0" t="inlineStr">
        <is>
          <t>인천시 서구 완정로202번길 4</t>
        </is>
      </c>
      <c r="AH577" s="0" t="n">
        <v>0</v>
      </c>
      <c r="AI577" s="0" t="n">
        <v>349</v>
      </c>
      <c r="AJ577" s="0" t="n">
        <v>59</v>
      </c>
      <c r="AK577" s="0" t="n">
        <v>4</v>
      </c>
      <c r="AL577" s="0" t="n">
        <v>1</v>
      </c>
    </row>
    <row r="578">
      <c r="A578" s="0" t="inlineStr">
        <is>
          <t>[마전동]</t>
        </is>
      </c>
      <c r="B578" s="0" t="n">
        <v>144263</v>
      </c>
      <c r="C578" s="0" t="n">
        <v>4</v>
      </c>
      <c r="D578" s="0" t="inlineStr">
        <is>
          <t>정명쉐르빌</t>
        </is>
      </c>
      <c r="E578" s="0" t="inlineStr">
        <is>
          <t>2015.09.</t>
        </is>
      </c>
      <c r="F578" s="0" t="n">
        <v>4</v>
      </c>
      <c r="G578" s="0" t="n">
        <v>17.25</v>
      </c>
      <c r="H578" s="0" t="n">
        <v>57.04</v>
      </c>
      <c r="I578" s="0" t="n">
        <v>15.27</v>
      </c>
      <c r="J578" s="0" t="n">
        <v>50.48</v>
      </c>
      <c r="K578" s="0" t="n">
        <v>1</v>
      </c>
      <c r="T578" s="0" t="n">
        <v>2</v>
      </c>
      <c r="U578" s="0" t="n">
        <v>1</v>
      </c>
      <c r="V578" s="0" t="inlineStr">
        <is>
          <t>계단식</t>
        </is>
      </c>
      <c r="W578" s="0" t="inlineStr">
        <is>
          <t>57C</t>
        </is>
      </c>
      <c r="X578" s="0" t="n">
        <v>7</v>
      </c>
      <c r="Y578" s="0" t="n">
        <v>7</v>
      </c>
      <c r="Z578" s="0" t="inlineStr">
        <is>
          <t>https://new.land.naver.com/complexes/144263?tab=detail&amp;rf=Y</t>
        </is>
      </c>
      <c r="AA578" s="0" t="inlineStr">
        <is>
          <t>인천시 서구 마전동 904-9</t>
        </is>
      </c>
      <c r="AB578" s="0" t="inlineStr">
        <is>
          <t>인천시</t>
        </is>
      </c>
      <c r="AC578" s="0" t="inlineStr">
        <is>
          <t>서구</t>
        </is>
      </c>
      <c r="AD578" s="0" t="inlineStr">
        <is>
          <t>마전동</t>
        </is>
      </c>
      <c r="AG578" s="0" t="inlineStr">
        <is>
          <t>인천시 서구 완정로202번길 4</t>
        </is>
      </c>
      <c r="AH578" s="0" t="n">
        <v>0</v>
      </c>
      <c r="AI578" s="0" t="n">
        <v>349</v>
      </c>
      <c r="AJ578" s="0" t="n">
        <v>59</v>
      </c>
      <c r="AK578" s="0" t="n">
        <v>4</v>
      </c>
      <c r="AL578" s="0" t="n">
        <v>1</v>
      </c>
    </row>
    <row r="579">
      <c r="A579" s="0" t="inlineStr">
        <is>
          <t>[마전동]</t>
        </is>
      </c>
      <c r="B579" s="0" t="n">
        <v>118790</v>
      </c>
      <c r="C579" s="0" t="n">
        <v>1</v>
      </c>
      <c r="D579" s="0" t="inlineStr">
        <is>
          <t>창우아이빌(1027-1,도시형)</t>
        </is>
      </c>
      <c r="E579" s="0" t="inlineStr">
        <is>
          <t>2011.04.</t>
        </is>
      </c>
      <c r="F579" s="0" t="n">
        <v>52</v>
      </c>
      <c r="G579" s="0" t="n">
        <v>19.73</v>
      </c>
      <c r="H579" s="0" t="n">
        <v>65.23</v>
      </c>
      <c r="I579" s="0" t="n">
        <v>17.11</v>
      </c>
      <c r="J579" s="0" t="n">
        <v>56.58</v>
      </c>
      <c r="K579" s="0" t="n">
        <v>4</v>
      </c>
      <c r="T579" s="0" t="n">
        <v>3</v>
      </c>
      <c r="U579" s="0" t="n">
        <v>1</v>
      </c>
      <c r="V579" s="0" t="inlineStr">
        <is>
          <t>계단식</t>
        </is>
      </c>
      <c r="W579" s="0" t="n">
        <v>65</v>
      </c>
      <c r="X579" s="0" t="n">
        <v>5</v>
      </c>
      <c r="Y579" s="0" t="n">
        <v>5</v>
      </c>
      <c r="Z579" s="0" t="inlineStr">
        <is>
          <t>https://new.land.naver.com/complexes/118790?tab=detail&amp;rf=Y</t>
        </is>
      </c>
      <c r="AA579" s="0" t="inlineStr">
        <is>
          <t>인천시 서구 마전동 1027-1</t>
        </is>
      </c>
      <c r="AB579" s="0" t="inlineStr">
        <is>
          <t>인천시</t>
        </is>
      </c>
      <c r="AC579" s="0" t="inlineStr">
        <is>
          <t>서구</t>
        </is>
      </c>
      <c r="AD579" s="0" t="inlineStr">
        <is>
          <t>마전동</t>
        </is>
      </c>
      <c r="AG579" s="0" t="inlineStr">
        <is>
          <t>인천시 서구 완정로45번길 15</t>
        </is>
      </c>
      <c r="AH579" s="0" t="n">
        <v>0</v>
      </c>
      <c r="AI579" s="0" t="n">
        <v>0</v>
      </c>
      <c r="AJ579" s="0" t="n">
        <v>0</v>
      </c>
      <c r="AK579" s="0" t="n">
        <v>52</v>
      </c>
      <c r="AL579" s="0" t="n">
        <v>1</v>
      </c>
    </row>
    <row r="580">
      <c r="A580" s="0" t="inlineStr">
        <is>
          <t>[마전동]</t>
        </is>
      </c>
      <c r="B580" s="0" t="n">
        <v>118790</v>
      </c>
      <c r="C580" s="0" t="n">
        <v>2</v>
      </c>
      <c r="D580" s="0" t="inlineStr">
        <is>
          <t>창우아이빌(1027-1,도시형)</t>
        </is>
      </c>
      <c r="E580" s="0" t="inlineStr">
        <is>
          <t>2011.04.</t>
        </is>
      </c>
      <c r="F580" s="0" t="n">
        <v>52</v>
      </c>
      <c r="G580" s="0" t="n">
        <v>20.99</v>
      </c>
      <c r="H580" s="0" t="n">
        <v>69.42</v>
      </c>
      <c r="I580" s="0" t="n">
        <v>18.66</v>
      </c>
      <c r="J580" s="0" t="n">
        <v>61.71</v>
      </c>
      <c r="K580" s="0" t="n">
        <v>4</v>
      </c>
      <c r="T580" s="0" t="n">
        <v>3</v>
      </c>
      <c r="U580" s="0" t="n">
        <v>1</v>
      </c>
      <c r="V580" s="0" t="inlineStr">
        <is>
          <t>계단식</t>
        </is>
      </c>
      <c r="W580" s="0" t="inlineStr">
        <is>
          <t>69A</t>
        </is>
      </c>
      <c r="X580" s="0" t="n">
        <v>5</v>
      </c>
      <c r="Y580" s="0" t="n">
        <v>5</v>
      </c>
      <c r="Z580" s="0" t="inlineStr">
        <is>
          <t>https://new.land.naver.com/complexes/118790?tab=detail&amp;rf=Y</t>
        </is>
      </c>
      <c r="AA580" s="0" t="inlineStr">
        <is>
          <t>인천시 서구 마전동 1027-1</t>
        </is>
      </c>
      <c r="AB580" s="0" t="inlineStr">
        <is>
          <t>인천시</t>
        </is>
      </c>
      <c r="AC580" s="0" t="inlineStr">
        <is>
          <t>서구</t>
        </is>
      </c>
      <c r="AD580" s="0" t="inlineStr">
        <is>
          <t>마전동</t>
        </is>
      </c>
      <c r="AG580" s="0" t="inlineStr">
        <is>
          <t>인천시 서구 완정로45번길 15</t>
        </is>
      </c>
      <c r="AH580" s="0" t="n">
        <v>0</v>
      </c>
      <c r="AI580" s="0" t="n">
        <v>0</v>
      </c>
      <c r="AJ580" s="0" t="n">
        <v>0</v>
      </c>
      <c r="AK580" s="0" t="n">
        <v>52</v>
      </c>
      <c r="AL580" s="0" t="n">
        <v>1</v>
      </c>
    </row>
    <row r="581">
      <c r="A581" s="0" t="inlineStr">
        <is>
          <t>[마전동]</t>
        </is>
      </c>
      <c r="B581" s="0" t="n">
        <v>118790</v>
      </c>
      <c r="C581" s="0" t="n">
        <v>3</v>
      </c>
      <c r="D581" s="0" t="inlineStr">
        <is>
          <t>창우아이빌(1027-1,도시형)</t>
        </is>
      </c>
      <c r="E581" s="0" t="inlineStr">
        <is>
          <t>2011.04.</t>
        </is>
      </c>
      <c r="F581" s="0" t="n">
        <v>52</v>
      </c>
      <c r="G581" s="0" t="n">
        <v>21.12</v>
      </c>
      <c r="H581" s="0" t="n">
        <v>69.83</v>
      </c>
      <c r="I581" s="0" t="n">
        <v>18.77</v>
      </c>
      <c r="J581" s="0" t="n">
        <v>62.08</v>
      </c>
      <c r="K581" s="0" t="n">
        <v>4</v>
      </c>
      <c r="T581" s="0" t="n">
        <v>3</v>
      </c>
      <c r="U581" s="0" t="n">
        <v>1</v>
      </c>
      <c r="V581" s="0" t="inlineStr">
        <is>
          <t>계단식</t>
        </is>
      </c>
      <c r="W581" s="0" t="inlineStr">
        <is>
          <t>69B</t>
        </is>
      </c>
      <c r="X581" s="0" t="n">
        <v>5</v>
      </c>
      <c r="Y581" s="0" t="n">
        <v>5</v>
      </c>
      <c r="Z581" s="0" t="inlineStr">
        <is>
          <t>https://new.land.naver.com/complexes/118790?tab=detail&amp;rf=Y</t>
        </is>
      </c>
      <c r="AA581" s="0" t="inlineStr">
        <is>
          <t>인천시 서구 마전동 1027-1</t>
        </is>
      </c>
      <c r="AB581" s="0" t="inlineStr">
        <is>
          <t>인천시</t>
        </is>
      </c>
      <c r="AC581" s="0" t="inlineStr">
        <is>
          <t>서구</t>
        </is>
      </c>
      <c r="AD581" s="0" t="inlineStr">
        <is>
          <t>마전동</t>
        </is>
      </c>
      <c r="AG581" s="0" t="inlineStr">
        <is>
          <t>인천시 서구 완정로45번길 15</t>
        </is>
      </c>
      <c r="AH581" s="0" t="n">
        <v>0</v>
      </c>
      <c r="AI581" s="0" t="n">
        <v>0</v>
      </c>
      <c r="AJ581" s="0" t="n">
        <v>0</v>
      </c>
      <c r="AK581" s="0" t="n">
        <v>52</v>
      </c>
      <c r="AL581" s="0" t="n">
        <v>1</v>
      </c>
    </row>
    <row r="582">
      <c r="A582" s="0" t="inlineStr">
        <is>
          <t>[마전동]</t>
        </is>
      </c>
      <c r="B582" s="0" t="n">
        <v>118790</v>
      </c>
      <c r="C582" s="0" t="n">
        <v>4</v>
      </c>
      <c r="D582" s="0" t="inlineStr">
        <is>
          <t>창우아이빌(1027-1,도시형)</t>
        </is>
      </c>
      <c r="E582" s="0" t="inlineStr">
        <is>
          <t>2011.04.</t>
        </is>
      </c>
      <c r="F582" s="0" t="n">
        <v>52</v>
      </c>
      <c r="G582" s="0" t="n">
        <v>21.27</v>
      </c>
      <c r="H582" s="0" t="n">
        <v>70.31999999999999</v>
      </c>
      <c r="I582" s="0" t="n">
        <v>18.44</v>
      </c>
      <c r="J582" s="0" t="n">
        <v>60.99</v>
      </c>
      <c r="K582" s="0" t="n">
        <v>4</v>
      </c>
      <c r="T582" s="0" t="n">
        <v>3</v>
      </c>
      <c r="U582" s="0" t="n">
        <v>1</v>
      </c>
      <c r="V582" s="0" t="inlineStr">
        <is>
          <t>계단식</t>
        </is>
      </c>
      <c r="W582" s="0" t="inlineStr">
        <is>
          <t>70C</t>
        </is>
      </c>
      <c r="X582" s="0" t="n">
        <v>5</v>
      </c>
      <c r="Y582" s="0" t="n">
        <v>5</v>
      </c>
      <c r="Z582" s="0" t="inlineStr">
        <is>
          <t>https://new.land.naver.com/complexes/118790?tab=detail&amp;rf=Y</t>
        </is>
      </c>
      <c r="AA582" s="0" t="inlineStr">
        <is>
          <t>인천시 서구 마전동 1027-1</t>
        </is>
      </c>
      <c r="AB582" s="0" t="inlineStr">
        <is>
          <t>인천시</t>
        </is>
      </c>
      <c r="AC582" s="0" t="inlineStr">
        <is>
          <t>서구</t>
        </is>
      </c>
      <c r="AD582" s="0" t="inlineStr">
        <is>
          <t>마전동</t>
        </is>
      </c>
      <c r="AG582" s="0" t="inlineStr">
        <is>
          <t>인천시 서구 완정로45번길 15</t>
        </is>
      </c>
      <c r="AH582" s="0" t="n">
        <v>0</v>
      </c>
      <c r="AI582" s="0" t="n">
        <v>0</v>
      </c>
      <c r="AJ582" s="0" t="n">
        <v>0</v>
      </c>
      <c r="AK582" s="0" t="n">
        <v>52</v>
      </c>
      <c r="AL582" s="0" t="n">
        <v>1</v>
      </c>
    </row>
    <row r="583">
      <c r="A583" s="0" t="inlineStr">
        <is>
          <t>[마전동]</t>
        </is>
      </c>
      <c r="B583" s="0" t="n">
        <v>118790</v>
      </c>
      <c r="C583" s="0" t="n">
        <v>5</v>
      </c>
      <c r="D583" s="0" t="inlineStr">
        <is>
          <t>창우아이빌(1027-1,도시형)</t>
        </is>
      </c>
      <c r="E583" s="0" t="inlineStr">
        <is>
          <t>2011.04.</t>
        </is>
      </c>
      <c r="F583" s="0" t="n">
        <v>52</v>
      </c>
      <c r="G583" s="0" t="n">
        <v>22.96</v>
      </c>
      <c r="H583" s="0" t="n">
        <v>75.91</v>
      </c>
      <c r="I583" s="0" t="n">
        <v>20.41</v>
      </c>
      <c r="J583" s="0" t="n">
        <v>67.48</v>
      </c>
      <c r="K583" s="0" t="n">
        <v>4</v>
      </c>
      <c r="T583" s="0" t="n">
        <v>3</v>
      </c>
      <c r="U583" s="0" t="n">
        <v>1</v>
      </c>
      <c r="V583" s="0" t="inlineStr">
        <is>
          <t>계단식</t>
        </is>
      </c>
      <c r="W583" s="0" t="n">
        <v>75</v>
      </c>
      <c r="X583" s="0" t="n">
        <v>5</v>
      </c>
      <c r="Y583" s="0" t="n">
        <v>5</v>
      </c>
      <c r="Z583" s="0" t="inlineStr">
        <is>
          <t>https://new.land.naver.com/complexes/118790?tab=detail&amp;rf=Y</t>
        </is>
      </c>
      <c r="AA583" s="0" t="inlineStr">
        <is>
          <t>인천시 서구 마전동 1027-1</t>
        </is>
      </c>
      <c r="AB583" s="0" t="inlineStr">
        <is>
          <t>인천시</t>
        </is>
      </c>
      <c r="AC583" s="0" t="inlineStr">
        <is>
          <t>서구</t>
        </is>
      </c>
      <c r="AD583" s="0" t="inlineStr">
        <is>
          <t>마전동</t>
        </is>
      </c>
      <c r="AG583" s="0" t="inlineStr">
        <is>
          <t>인천시 서구 완정로45번길 15</t>
        </is>
      </c>
      <c r="AH583" s="0" t="n">
        <v>0</v>
      </c>
      <c r="AI583" s="0" t="n">
        <v>0</v>
      </c>
      <c r="AJ583" s="0" t="n">
        <v>0</v>
      </c>
      <c r="AK583" s="0" t="n">
        <v>52</v>
      </c>
      <c r="AL583" s="0" t="n">
        <v>1</v>
      </c>
    </row>
    <row r="584">
      <c r="A584" s="0" t="inlineStr">
        <is>
          <t>[마전동]</t>
        </is>
      </c>
      <c r="B584" s="0" t="n">
        <v>118790</v>
      </c>
      <c r="C584" s="0" t="n">
        <v>6</v>
      </c>
      <c r="D584" s="0" t="inlineStr">
        <is>
          <t>창우아이빌(1027-1,도시형)</t>
        </is>
      </c>
      <c r="E584" s="0" t="inlineStr">
        <is>
          <t>2011.04.</t>
        </is>
      </c>
      <c r="F584" s="0" t="n">
        <v>52</v>
      </c>
      <c r="G584" s="0" t="n">
        <v>24.63</v>
      </c>
      <c r="H584" s="0" t="n">
        <v>81.44</v>
      </c>
      <c r="I584" s="0" t="n">
        <v>21.9</v>
      </c>
      <c r="J584" s="0" t="n">
        <v>72.40000000000001</v>
      </c>
      <c r="K584" s="0" t="n">
        <v>4</v>
      </c>
      <c r="T584" s="0" t="n">
        <v>3</v>
      </c>
      <c r="U584" s="0" t="n">
        <v>2</v>
      </c>
      <c r="V584" s="0" t="inlineStr">
        <is>
          <t>계단식</t>
        </is>
      </c>
      <c r="W584" s="0" t="inlineStr">
        <is>
          <t>81A</t>
        </is>
      </c>
      <c r="X584" s="0" t="n">
        <v>5</v>
      </c>
      <c r="Y584" s="0" t="n">
        <v>5</v>
      </c>
      <c r="Z584" s="0" t="inlineStr">
        <is>
          <t>https://new.land.naver.com/complexes/118790?tab=detail&amp;rf=Y</t>
        </is>
      </c>
      <c r="AA584" s="0" t="inlineStr">
        <is>
          <t>인천시 서구 마전동 1027-1</t>
        </is>
      </c>
      <c r="AB584" s="0" t="inlineStr">
        <is>
          <t>인천시</t>
        </is>
      </c>
      <c r="AC584" s="0" t="inlineStr">
        <is>
          <t>서구</t>
        </is>
      </c>
      <c r="AD584" s="0" t="inlineStr">
        <is>
          <t>마전동</t>
        </is>
      </c>
      <c r="AG584" s="0" t="inlineStr">
        <is>
          <t>인천시 서구 완정로45번길 15</t>
        </is>
      </c>
      <c r="AH584" s="0" t="n">
        <v>0</v>
      </c>
      <c r="AI584" s="0" t="n">
        <v>0</v>
      </c>
      <c r="AJ584" s="0" t="n">
        <v>0</v>
      </c>
      <c r="AK584" s="0" t="n">
        <v>52</v>
      </c>
      <c r="AL584" s="0" t="n">
        <v>1</v>
      </c>
    </row>
    <row r="585">
      <c r="A585" s="0" t="inlineStr">
        <is>
          <t>[마전동]</t>
        </is>
      </c>
      <c r="B585" s="0" t="n">
        <v>118790</v>
      </c>
      <c r="C585" s="0" t="n">
        <v>7</v>
      </c>
      <c r="D585" s="0" t="inlineStr">
        <is>
          <t>창우아이빌(1027-1,도시형)</t>
        </is>
      </c>
      <c r="E585" s="0" t="inlineStr">
        <is>
          <t>2011.04.</t>
        </is>
      </c>
      <c r="F585" s="0" t="n">
        <v>52</v>
      </c>
      <c r="G585" s="0" t="n">
        <v>24.69</v>
      </c>
      <c r="H585" s="0" t="n">
        <v>81.65000000000001</v>
      </c>
      <c r="I585" s="0" t="n">
        <v>21.42</v>
      </c>
      <c r="J585" s="0" t="n">
        <v>70.81999999999999</v>
      </c>
      <c r="K585" s="0" t="n">
        <v>4</v>
      </c>
      <c r="T585" s="0" t="n">
        <v>3</v>
      </c>
      <c r="U585" s="0" t="n">
        <v>2</v>
      </c>
      <c r="V585" s="0" t="inlineStr">
        <is>
          <t>계단식</t>
        </is>
      </c>
      <c r="W585" s="0" t="inlineStr">
        <is>
          <t>81B</t>
        </is>
      </c>
      <c r="X585" s="0" t="n">
        <v>5</v>
      </c>
      <c r="Y585" s="0" t="n">
        <v>5</v>
      </c>
      <c r="Z585" s="0" t="inlineStr">
        <is>
          <t>https://new.land.naver.com/complexes/118790?tab=detail&amp;rf=Y</t>
        </is>
      </c>
      <c r="AA585" s="0" t="inlineStr">
        <is>
          <t>인천시 서구 마전동 1027-1</t>
        </is>
      </c>
      <c r="AB585" s="0" t="inlineStr">
        <is>
          <t>인천시</t>
        </is>
      </c>
      <c r="AC585" s="0" t="inlineStr">
        <is>
          <t>서구</t>
        </is>
      </c>
      <c r="AD585" s="0" t="inlineStr">
        <is>
          <t>마전동</t>
        </is>
      </c>
      <c r="AG585" s="0" t="inlineStr">
        <is>
          <t>인천시 서구 완정로45번길 15</t>
        </is>
      </c>
      <c r="AH585" s="0" t="n">
        <v>0</v>
      </c>
      <c r="AI585" s="0" t="n">
        <v>0</v>
      </c>
      <c r="AJ585" s="0" t="n">
        <v>0</v>
      </c>
      <c r="AK585" s="0" t="n">
        <v>52</v>
      </c>
      <c r="AL585" s="0" t="n">
        <v>1</v>
      </c>
    </row>
    <row r="586">
      <c r="A586" s="0" t="inlineStr">
        <is>
          <t>[마전동]</t>
        </is>
      </c>
      <c r="B586" s="0" t="n">
        <v>118790</v>
      </c>
      <c r="C586" s="0" t="n">
        <v>8</v>
      </c>
      <c r="D586" s="0" t="inlineStr">
        <is>
          <t>창우아이빌(1027-1,도시형)</t>
        </is>
      </c>
      <c r="E586" s="0" t="inlineStr">
        <is>
          <t>2011.04.</t>
        </is>
      </c>
      <c r="F586" s="0" t="n">
        <v>52</v>
      </c>
      <c r="G586" s="0" t="n">
        <v>25.97</v>
      </c>
      <c r="H586" s="0" t="n">
        <v>85.86</v>
      </c>
      <c r="I586" s="0" t="n">
        <v>23.08</v>
      </c>
      <c r="J586" s="0" t="n">
        <v>76.33</v>
      </c>
      <c r="K586" s="0" t="n">
        <v>4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85</v>
      </c>
      <c r="X586" s="0" t="n">
        <v>5</v>
      </c>
      <c r="Y586" s="0" t="n">
        <v>5</v>
      </c>
      <c r="Z586" s="0" t="inlineStr">
        <is>
          <t>https://new.land.naver.com/complexes/118790?tab=detail&amp;rf=Y</t>
        </is>
      </c>
      <c r="AA586" s="0" t="inlineStr">
        <is>
          <t>인천시 서구 마전동 1027-1</t>
        </is>
      </c>
      <c r="AB586" s="0" t="inlineStr">
        <is>
          <t>인천시</t>
        </is>
      </c>
      <c r="AC586" s="0" t="inlineStr">
        <is>
          <t>서구</t>
        </is>
      </c>
      <c r="AD586" s="0" t="inlineStr">
        <is>
          <t>마전동</t>
        </is>
      </c>
      <c r="AG586" s="0" t="inlineStr">
        <is>
          <t>인천시 서구 완정로45번길 15</t>
        </is>
      </c>
      <c r="AH586" s="0" t="n">
        <v>0</v>
      </c>
      <c r="AI586" s="0" t="n">
        <v>0</v>
      </c>
      <c r="AJ586" s="0" t="n">
        <v>0</v>
      </c>
      <c r="AK586" s="0" t="n">
        <v>52</v>
      </c>
      <c r="AL586" s="0" t="n">
        <v>1</v>
      </c>
    </row>
    <row r="587">
      <c r="A587" s="0" t="inlineStr">
        <is>
          <t>[마전동]</t>
        </is>
      </c>
      <c r="B587" s="0" t="n">
        <v>118790</v>
      </c>
      <c r="C587" s="0" t="n">
        <v>9</v>
      </c>
      <c r="D587" s="0" t="inlineStr">
        <is>
          <t>창우아이빌(1027-1,도시형)</t>
        </is>
      </c>
      <c r="E587" s="0" t="inlineStr">
        <is>
          <t>2011.04.</t>
        </is>
      </c>
      <c r="F587" s="0" t="n">
        <v>52</v>
      </c>
      <c r="G587" s="0" t="n">
        <v>26.64</v>
      </c>
      <c r="H587" s="0" t="n">
        <v>88.09</v>
      </c>
      <c r="I587" s="0" t="n">
        <v>23.68</v>
      </c>
      <c r="J587" s="0" t="n">
        <v>78.31</v>
      </c>
      <c r="K587" s="0" t="n">
        <v>4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88A</t>
        </is>
      </c>
      <c r="X587" s="0" t="n">
        <v>5</v>
      </c>
      <c r="Y587" s="0" t="n">
        <v>5</v>
      </c>
      <c r="Z587" s="0" t="inlineStr">
        <is>
          <t>https://new.land.naver.com/complexes/118790?tab=detail&amp;rf=Y</t>
        </is>
      </c>
      <c r="AA587" s="0" t="inlineStr">
        <is>
          <t>인천시 서구 마전동 1027-1</t>
        </is>
      </c>
      <c r="AB587" s="0" t="inlineStr">
        <is>
          <t>인천시</t>
        </is>
      </c>
      <c r="AC587" s="0" t="inlineStr">
        <is>
          <t>서구</t>
        </is>
      </c>
      <c r="AD587" s="0" t="inlineStr">
        <is>
          <t>마전동</t>
        </is>
      </c>
      <c r="AG587" s="0" t="inlineStr">
        <is>
          <t>인천시 서구 완정로45번길 15</t>
        </is>
      </c>
      <c r="AH587" s="0" t="n">
        <v>0</v>
      </c>
      <c r="AI587" s="0" t="n">
        <v>0</v>
      </c>
      <c r="AJ587" s="0" t="n">
        <v>0</v>
      </c>
      <c r="AK587" s="0" t="n">
        <v>52</v>
      </c>
      <c r="AL587" s="0" t="n">
        <v>1</v>
      </c>
    </row>
    <row r="588">
      <c r="A588" s="0" t="inlineStr">
        <is>
          <t>[마전동]</t>
        </is>
      </c>
      <c r="B588" s="0" t="n">
        <v>118790</v>
      </c>
      <c r="C588" s="0" t="n">
        <v>10</v>
      </c>
      <c r="D588" s="0" t="inlineStr">
        <is>
          <t>창우아이빌(1027-1,도시형)</t>
        </is>
      </c>
      <c r="E588" s="0" t="inlineStr">
        <is>
          <t>2011.04.</t>
        </is>
      </c>
      <c r="F588" s="0" t="n">
        <v>52</v>
      </c>
      <c r="G588" s="0" t="n">
        <v>26.71</v>
      </c>
      <c r="H588" s="0" t="n">
        <v>88.3</v>
      </c>
      <c r="I588" s="0" t="n">
        <v>23.16</v>
      </c>
      <c r="J588" s="0" t="n">
        <v>76.59</v>
      </c>
      <c r="K588" s="0" t="n">
        <v>4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88C</t>
        </is>
      </c>
      <c r="X588" s="0" t="n">
        <v>5</v>
      </c>
      <c r="Y588" s="0" t="n">
        <v>5</v>
      </c>
      <c r="Z588" s="0" t="inlineStr">
        <is>
          <t>https://new.land.naver.com/complexes/118790?tab=detail&amp;rf=Y</t>
        </is>
      </c>
      <c r="AA588" s="0" t="inlineStr">
        <is>
          <t>인천시 서구 마전동 1027-1</t>
        </is>
      </c>
      <c r="AB588" s="0" t="inlineStr">
        <is>
          <t>인천시</t>
        </is>
      </c>
      <c r="AC588" s="0" t="inlineStr">
        <is>
          <t>서구</t>
        </is>
      </c>
      <c r="AD588" s="0" t="inlineStr">
        <is>
          <t>마전동</t>
        </is>
      </c>
      <c r="AG588" s="0" t="inlineStr">
        <is>
          <t>인천시 서구 완정로45번길 15</t>
        </is>
      </c>
      <c r="AH588" s="0" t="n">
        <v>0</v>
      </c>
      <c r="AI588" s="0" t="n">
        <v>0</v>
      </c>
      <c r="AJ588" s="0" t="n">
        <v>0</v>
      </c>
      <c r="AK588" s="0" t="n">
        <v>52</v>
      </c>
      <c r="AL588" s="0" t="n">
        <v>1</v>
      </c>
    </row>
    <row r="589">
      <c r="A589" s="0" t="inlineStr">
        <is>
          <t>[마전동]</t>
        </is>
      </c>
      <c r="B589" s="0" t="n">
        <v>118790</v>
      </c>
      <c r="C589" s="0" t="n">
        <v>11</v>
      </c>
      <c r="D589" s="0" t="inlineStr">
        <is>
          <t>창우아이빌(1027-1,도시형)</t>
        </is>
      </c>
      <c r="E589" s="0" t="inlineStr">
        <is>
          <t>2011.04.</t>
        </is>
      </c>
      <c r="F589" s="0" t="n">
        <v>52</v>
      </c>
      <c r="G589" s="0" t="n">
        <v>26.95</v>
      </c>
      <c r="H589" s="0" t="n">
        <v>89.12</v>
      </c>
      <c r="I589" s="0" t="n">
        <v>23.96</v>
      </c>
      <c r="J589" s="0" t="n">
        <v>79.22</v>
      </c>
      <c r="K589" s="0" t="n">
        <v>4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89B</t>
        </is>
      </c>
      <c r="X589" s="0" t="n">
        <v>5</v>
      </c>
      <c r="Y589" s="0" t="n">
        <v>5</v>
      </c>
      <c r="Z589" s="0" t="inlineStr">
        <is>
          <t>https://new.land.naver.com/complexes/118790?tab=detail&amp;rf=Y</t>
        </is>
      </c>
      <c r="AA589" s="0" t="inlineStr">
        <is>
          <t>인천시 서구 마전동 1027-1</t>
        </is>
      </c>
      <c r="AB589" s="0" t="inlineStr">
        <is>
          <t>인천시</t>
        </is>
      </c>
      <c r="AC589" s="0" t="inlineStr">
        <is>
          <t>서구</t>
        </is>
      </c>
      <c r="AD589" s="0" t="inlineStr">
        <is>
          <t>마전동</t>
        </is>
      </c>
      <c r="AG589" s="0" t="inlineStr">
        <is>
          <t>인천시 서구 완정로45번길 15</t>
        </is>
      </c>
      <c r="AH589" s="0" t="n">
        <v>0</v>
      </c>
      <c r="AI589" s="0" t="n">
        <v>0</v>
      </c>
      <c r="AJ589" s="0" t="n">
        <v>0</v>
      </c>
      <c r="AK589" s="0" t="n">
        <v>52</v>
      </c>
      <c r="AL589" s="0" t="n">
        <v>1</v>
      </c>
    </row>
    <row r="590">
      <c r="A590" s="0" t="inlineStr">
        <is>
          <t>[마전동]</t>
        </is>
      </c>
      <c r="B590" s="0" t="n">
        <v>118790</v>
      </c>
      <c r="C590" s="0" t="n">
        <v>12</v>
      </c>
      <c r="D590" s="0" t="inlineStr">
        <is>
          <t>창우아이빌(1027-1,도시형)</t>
        </is>
      </c>
      <c r="E590" s="0" t="inlineStr">
        <is>
          <t>2011.04.</t>
        </is>
      </c>
      <c r="F590" s="0" t="n">
        <v>52</v>
      </c>
      <c r="G590" s="0" t="n">
        <v>29.08</v>
      </c>
      <c r="H590" s="0" t="n">
        <v>96.15000000000001</v>
      </c>
      <c r="I590" s="0" t="n">
        <v>25.22</v>
      </c>
      <c r="J590" s="0" t="n">
        <v>83.39</v>
      </c>
      <c r="K590" s="0" t="n">
        <v>4</v>
      </c>
      <c r="T590" s="0" t="n">
        <v>3</v>
      </c>
      <c r="U590" s="0" t="n">
        <v>2</v>
      </c>
      <c r="V590" s="0" t="inlineStr">
        <is>
          <t>계단식</t>
        </is>
      </c>
      <c r="W590" s="0" t="n">
        <v>96</v>
      </c>
      <c r="X590" s="0" t="n">
        <v>5</v>
      </c>
      <c r="Y590" s="0" t="n">
        <v>5</v>
      </c>
      <c r="Z590" s="0" t="inlineStr">
        <is>
          <t>https://new.land.naver.com/complexes/118790?tab=detail&amp;rf=Y</t>
        </is>
      </c>
      <c r="AA590" s="0" t="inlineStr">
        <is>
          <t>인천시 서구 마전동 1027-1</t>
        </is>
      </c>
      <c r="AB590" s="0" t="inlineStr">
        <is>
          <t>인천시</t>
        </is>
      </c>
      <c r="AC590" s="0" t="inlineStr">
        <is>
          <t>서구</t>
        </is>
      </c>
      <c r="AD590" s="0" t="inlineStr">
        <is>
          <t>마전동</t>
        </is>
      </c>
      <c r="AG590" s="0" t="inlineStr">
        <is>
          <t>인천시 서구 완정로45번길 15</t>
        </is>
      </c>
      <c r="AH590" s="0" t="n">
        <v>0</v>
      </c>
      <c r="AI590" s="0" t="n">
        <v>0</v>
      </c>
      <c r="AJ590" s="0" t="n">
        <v>0</v>
      </c>
      <c r="AK590" s="0" t="n">
        <v>52</v>
      </c>
      <c r="AL590" s="0" t="n">
        <v>1</v>
      </c>
    </row>
    <row r="591">
      <c r="A591" s="0" t="inlineStr">
        <is>
          <t>[마전동]</t>
        </is>
      </c>
      <c r="B591" s="0" t="n">
        <v>118790</v>
      </c>
      <c r="C591" s="0" t="n">
        <v>13</v>
      </c>
      <c r="D591" s="0" t="inlineStr">
        <is>
          <t>창우아이빌(1027-1,도시형)</t>
        </is>
      </c>
      <c r="E591" s="0" t="inlineStr">
        <is>
          <t>2011.04.</t>
        </is>
      </c>
      <c r="F591" s="0" t="n">
        <v>52</v>
      </c>
      <c r="G591" s="0" t="n">
        <v>29.63</v>
      </c>
      <c r="H591" s="0" t="n">
        <v>97.97</v>
      </c>
      <c r="I591" s="0" t="n">
        <v>25.7</v>
      </c>
      <c r="J591" s="0" t="n">
        <v>84.97</v>
      </c>
      <c r="K591" s="0" t="n">
        <v>4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97</v>
      </c>
      <c r="X591" s="0" t="n">
        <v>5</v>
      </c>
      <c r="Y591" s="0" t="n">
        <v>5</v>
      </c>
      <c r="Z591" s="0" t="inlineStr">
        <is>
          <t>https://new.land.naver.com/complexes/118790?tab=detail&amp;rf=Y</t>
        </is>
      </c>
      <c r="AA591" s="0" t="inlineStr">
        <is>
          <t>인천시 서구 마전동 1027-1</t>
        </is>
      </c>
      <c r="AB591" s="0" t="inlineStr">
        <is>
          <t>인천시</t>
        </is>
      </c>
      <c r="AC591" s="0" t="inlineStr">
        <is>
          <t>서구</t>
        </is>
      </c>
      <c r="AD591" s="0" t="inlineStr">
        <is>
          <t>마전동</t>
        </is>
      </c>
      <c r="AG591" s="0" t="inlineStr">
        <is>
          <t>인천시 서구 완정로45번길 15</t>
        </is>
      </c>
      <c r="AH591" s="0" t="n">
        <v>0</v>
      </c>
      <c r="AI591" s="0" t="n">
        <v>0</v>
      </c>
      <c r="AJ591" s="0" t="n">
        <v>0</v>
      </c>
      <c r="AK591" s="0" t="n">
        <v>52</v>
      </c>
      <c r="AL591" s="0" t="n">
        <v>1</v>
      </c>
    </row>
    <row r="592">
      <c r="A592" s="0" t="inlineStr">
        <is>
          <t>[마전동]</t>
        </is>
      </c>
      <c r="B592" s="0" t="n">
        <v>2516</v>
      </c>
      <c r="C592" s="0" t="n">
        <v>1</v>
      </c>
      <c r="D592" s="0" t="inlineStr">
        <is>
          <t>한일</t>
        </is>
      </c>
      <c r="E592" s="0" t="inlineStr">
        <is>
          <t>1991.10.</t>
        </is>
      </c>
      <c r="F592" s="0" t="n">
        <v>252</v>
      </c>
      <c r="G592" s="0" t="n">
        <v>22.55</v>
      </c>
      <c r="H592" s="0" t="n">
        <v>74.56999999999999</v>
      </c>
      <c r="I592" s="0" t="n">
        <v>17.87</v>
      </c>
      <c r="J592" s="0" t="n">
        <v>59.1</v>
      </c>
      <c r="K592" s="0" t="n">
        <v>144</v>
      </c>
      <c r="T592" s="0" t="n">
        <v>3</v>
      </c>
      <c r="U592" s="0" t="n">
        <v>1</v>
      </c>
      <c r="V592" s="0" t="inlineStr">
        <is>
          <t>계단식</t>
        </is>
      </c>
      <c r="W592" s="0" t="n">
        <v>74</v>
      </c>
      <c r="X592" s="0" t="n">
        <v>6</v>
      </c>
      <c r="Y592" s="0" t="n">
        <v>6</v>
      </c>
      <c r="Z592" s="0" t="inlineStr">
        <is>
          <t>https://new.land.naver.com/complexes/2516?tab=detail&amp;rf=Y</t>
        </is>
      </c>
      <c r="AA592" s="0" t="inlineStr">
        <is>
          <t>인천시 서구 마전동 917-1</t>
        </is>
      </c>
      <c r="AB592" s="0" t="inlineStr">
        <is>
          <t>인천시</t>
        </is>
      </c>
      <c r="AC592" s="0" t="inlineStr">
        <is>
          <t>서구</t>
        </is>
      </c>
      <c r="AD592" s="0" t="inlineStr">
        <is>
          <t>마전동</t>
        </is>
      </c>
      <c r="AG592" s="0" t="inlineStr">
        <is>
          <t>인천시 서구 검단로501번길 44</t>
        </is>
      </c>
      <c r="AH592" s="0" t="n">
        <v>0</v>
      </c>
      <c r="AI592" s="0" t="n">
        <v>183</v>
      </c>
      <c r="AJ592" s="0" t="n">
        <v>31</v>
      </c>
      <c r="AK592" s="0" t="n">
        <v>0</v>
      </c>
      <c r="AL592" s="0" t="n">
        <v>0</v>
      </c>
    </row>
    <row r="593">
      <c r="A593" s="0" t="inlineStr">
        <is>
          <t>[마전동]</t>
        </is>
      </c>
      <c r="B593" s="0" t="n">
        <v>2516</v>
      </c>
      <c r="C593" s="0" t="n">
        <v>2</v>
      </c>
      <c r="D593" s="0" t="inlineStr">
        <is>
          <t>한일</t>
        </is>
      </c>
      <c r="E593" s="0" t="inlineStr">
        <is>
          <t>1991.10.</t>
        </is>
      </c>
      <c r="F593" s="0" t="n">
        <v>252</v>
      </c>
      <c r="G593" s="0" t="n">
        <v>28.86</v>
      </c>
      <c r="H593" s="0" t="n">
        <v>95.43000000000001</v>
      </c>
      <c r="I593" s="0" t="n">
        <v>23.34</v>
      </c>
      <c r="J593" s="0" t="n">
        <v>77.18000000000001</v>
      </c>
      <c r="K593" s="0" t="n">
        <v>60</v>
      </c>
      <c r="T593" s="0" t="n">
        <v>3</v>
      </c>
      <c r="U593" s="0" t="n">
        <v>1</v>
      </c>
      <c r="V593" s="0" t="inlineStr">
        <is>
          <t>계단식</t>
        </is>
      </c>
      <c r="W593" s="0" t="n">
        <v>95</v>
      </c>
      <c r="X593" s="0" t="n">
        <v>6</v>
      </c>
      <c r="Y593" s="0" t="n">
        <v>6</v>
      </c>
      <c r="Z593" s="0" t="inlineStr">
        <is>
          <t>https://new.land.naver.com/complexes/2516?tab=detail&amp;rf=Y</t>
        </is>
      </c>
      <c r="AA593" s="0" t="inlineStr">
        <is>
          <t>인천시 서구 마전동 917-1</t>
        </is>
      </c>
      <c r="AB593" s="0" t="inlineStr">
        <is>
          <t>인천시</t>
        </is>
      </c>
      <c r="AC593" s="0" t="inlineStr">
        <is>
          <t>서구</t>
        </is>
      </c>
      <c r="AD593" s="0" t="inlineStr">
        <is>
          <t>마전동</t>
        </is>
      </c>
      <c r="AG593" s="0" t="inlineStr">
        <is>
          <t>인천시 서구 검단로501번길 44</t>
        </is>
      </c>
      <c r="AH593" s="0" t="n">
        <v>0</v>
      </c>
      <c r="AI593" s="0" t="n">
        <v>183</v>
      </c>
      <c r="AJ593" s="0" t="n">
        <v>31</v>
      </c>
      <c r="AK593" s="0" t="n">
        <v>0</v>
      </c>
      <c r="AL593" s="0" t="n">
        <v>0</v>
      </c>
    </row>
    <row r="594">
      <c r="A594" s="0" t="inlineStr">
        <is>
          <t>[마전동]</t>
        </is>
      </c>
      <c r="B594" s="0" t="n">
        <v>2516</v>
      </c>
      <c r="C594" s="0" t="n">
        <v>3</v>
      </c>
      <c r="D594" s="0" t="inlineStr">
        <is>
          <t>한일</t>
        </is>
      </c>
      <c r="E594" s="0" t="inlineStr">
        <is>
          <t>1991.10.</t>
        </is>
      </c>
      <c r="F594" s="0" t="n">
        <v>252</v>
      </c>
      <c r="G594" s="0" t="n">
        <v>31.03</v>
      </c>
      <c r="H594" s="0" t="n">
        <v>102.58</v>
      </c>
      <c r="I594" s="0" t="n">
        <v>25.22</v>
      </c>
      <c r="J594" s="0" t="n">
        <v>83.38</v>
      </c>
      <c r="K594" s="0" t="n">
        <v>48</v>
      </c>
      <c r="T594" s="0" t="n">
        <v>3</v>
      </c>
      <c r="U594" s="0" t="n">
        <v>1</v>
      </c>
      <c r="V594" s="0" t="inlineStr">
        <is>
          <t>계단식</t>
        </is>
      </c>
      <c r="W594" s="0" t="n">
        <v>102</v>
      </c>
      <c r="X594" s="0" t="n">
        <v>6</v>
      </c>
      <c r="Y594" s="0" t="n">
        <v>6</v>
      </c>
      <c r="Z594" s="0" t="inlineStr">
        <is>
          <t>https://new.land.naver.com/complexes/2516?tab=detail&amp;rf=Y</t>
        </is>
      </c>
      <c r="AA594" s="0" t="inlineStr">
        <is>
          <t>인천시 서구 마전동 917-1</t>
        </is>
      </c>
      <c r="AB594" s="0" t="inlineStr">
        <is>
          <t>인천시</t>
        </is>
      </c>
      <c r="AC594" s="0" t="inlineStr">
        <is>
          <t>서구</t>
        </is>
      </c>
      <c r="AD594" s="0" t="inlineStr">
        <is>
          <t>마전동</t>
        </is>
      </c>
      <c r="AG594" s="0" t="inlineStr">
        <is>
          <t>인천시 서구 검단로501번길 44</t>
        </is>
      </c>
      <c r="AH594" s="0" t="n">
        <v>0</v>
      </c>
      <c r="AI594" s="0" t="n">
        <v>183</v>
      </c>
      <c r="AJ594" s="0" t="n">
        <v>31</v>
      </c>
      <c r="AK594" s="0" t="n">
        <v>0</v>
      </c>
      <c r="AL594" s="0" t="n">
        <v>0</v>
      </c>
    </row>
    <row r="595">
      <c r="A595" s="0" t="inlineStr">
        <is>
          <t>[마전동]</t>
        </is>
      </c>
      <c r="B595" s="0" t="n">
        <v>11043</v>
      </c>
      <c r="C595" s="0" t="n">
        <v>1</v>
      </c>
      <c r="D595" s="0" t="inlineStr">
        <is>
          <t>마전풍림아이원1차</t>
        </is>
      </c>
      <c r="E595" s="0" t="inlineStr">
        <is>
          <t>2004.07.</t>
        </is>
      </c>
      <c r="F595" s="0" t="n">
        <v>286</v>
      </c>
      <c r="G595" s="0" t="n">
        <v>25.99</v>
      </c>
      <c r="H595" s="0" t="n">
        <v>85.94</v>
      </c>
      <c r="I595" s="0" t="n">
        <v>19.94</v>
      </c>
      <c r="J595" s="0" t="n">
        <v>65.94</v>
      </c>
      <c r="K595" s="0" t="n">
        <v>3</v>
      </c>
      <c r="T595" s="0" t="n">
        <v>2</v>
      </c>
      <c r="U595" s="0" t="n">
        <v>1</v>
      </c>
      <c r="V595" s="0" t="inlineStr">
        <is>
          <t>계단식</t>
        </is>
      </c>
      <c r="W595" s="0" t="n">
        <v>85</v>
      </c>
      <c r="X595" s="0" t="n">
        <v>14</v>
      </c>
      <c r="Y595" s="0" t="n">
        <v>11</v>
      </c>
      <c r="Z595" s="0" t="inlineStr">
        <is>
          <t>https://new.land.naver.com/complexes/11043?tab=detail&amp;rf=Y</t>
        </is>
      </c>
      <c r="AA595" s="0" t="inlineStr">
        <is>
          <t>인천시 서구 마전동 1147-1</t>
        </is>
      </c>
      <c r="AB595" s="0" t="inlineStr">
        <is>
          <t>인천시</t>
        </is>
      </c>
      <c r="AC595" s="0" t="inlineStr">
        <is>
          <t>서구</t>
        </is>
      </c>
      <c r="AD595" s="0" t="inlineStr">
        <is>
          <t>마전동</t>
        </is>
      </c>
      <c r="AG595" s="0" t="inlineStr">
        <is>
          <t>인천시 서구 가현로 7</t>
        </is>
      </c>
      <c r="AH595" s="0" t="n">
        <v>0</v>
      </c>
      <c r="AI595" s="0" t="n">
        <v>228</v>
      </c>
      <c r="AJ595" s="0" t="n">
        <v>24</v>
      </c>
      <c r="AK595" s="0" t="n">
        <v>291</v>
      </c>
      <c r="AL595" s="0" t="n">
        <v>1.02</v>
      </c>
    </row>
    <row r="596">
      <c r="A596" s="0" t="inlineStr">
        <is>
          <t>[마전동]</t>
        </is>
      </c>
      <c r="B596" s="0" t="n">
        <v>11043</v>
      </c>
      <c r="C596" s="0" t="n">
        <v>2</v>
      </c>
      <c r="D596" s="0" t="inlineStr">
        <is>
          <t>마전풍림아이원1차</t>
        </is>
      </c>
      <c r="E596" s="0" t="inlineStr">
        <is>
          <t>2004.07.</t>
        </is>
      </c>
      <c r="F596" s="0" t="n">
        <v>286</v>
      </c>
      <c r="G596" s="0" t="n">
        <v>33.33</v>
      </c>
      <c r="H596" s="0" t="n">
        <v>110.19</v>
      </c>
      <c r="I596" s="0" t="n">
        <v>25.64</v>
      </c>
      <c r="J596" s="0" t="n">
        <v>84.78</v>
      </c>
      <c r="K596" s="0" t="n">
        <v>283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110</v>
      </c>
      <c r="X596" s="0" t="n">
        <v>14</v>
      </c>
      <c r="Y596" s="0" t="n">
        <v>11</v>
      </c>
      <c r="Z596" s="0" t="inlineStr">
        <is>
          <t>https://new.land.naver.com/complexes/11043?tab=detail&amp;rf=Y</t>
        </is>
      </c>
      <c r="AA596" s="0" t="inlineStr">
        <is>
          <t>인천시 서구 마전동 1147-1</t>
        </is>
      </c>
      <c r="AB596" s="0" t="inlineStr">
        <is>
          <t>인천시</t>
        </is>
      </c>
      <c r="AC596" s="0" t="inlineStr">
        <is>
          <t>서구</t>
        </is>
      </c>
      <c r="AD596" s="0" t="inlineStr">
        <is>
          <t>마전동</t>
        </is>
      </c>
      <c r="AG596" s="0" t="inlineStr">
        <is>
          <t>인천시 서구 가현로 7</t>
        </is>
      </c>
      <c r="AH596" s="0" t="n">
        <v>0</v>
      </c>
      <c r="AI596" s="0" t="n">
        <v>228</v>
      </c>
      <c r="AJ596" s="0" t="n">
        <v>24</v>
      </c>
      <c r="AK596" s="0" t="n">
        <v>291</v>
      </c>
      <c r="AL596" s="0" t="n">
        <v>1.02</v>
      </c>
    </row>
    <row r="597">
      <c r="A597" s="0" t="inlineStr">
        <is>
          <t>[마전동]</t>
        </is>
      </c>
      <c r="B597" s="0" t="n">
        <v>11756</v>
      </c>
      <c r="C597" s="0" t="n">
        <v>1</v>
      </c>
      <c r="D597" s="0" t="inlineStr">
        <is>
          <t>마전대주파크빌</t>
        </is>
      </c>
      <c r="E597" s="0" t="inlineStr">
        <is>
          <t>2005.03.</t>
        </is>
      </c>
      <c r="F597" s="0" t="n">
        <v>346</v>
      </c>
      <c r="G597" s="0" t="n">
        <v>28.81</v>
      </c>
      <c r="H597" s="0" t="n">
        <v>95.25</v>
      </c>
      <c r="I597" s="0" t="n">
        <v>21.47</v>
      </c>
      <c r="J597" s="0" t="n">
        <v>70.98</v>
      </c>
      <c r="K597" s="0" t="n">
        <v>82</v>
      </c>
      <c r="T597" s="0" t="n">
        <v>3</v>
      </c>
      <c r="U597" s="0" t="n">
        <v>2</v>
      </c>
      <c r="V597" s="0" t="inlineStr">
        <is>
          <t>계단식</t>
        </is>
      </c>
      <c r="W597" s="0" t="n">
        <v>95</v>
      </c>
      <c r="X597" s="0" t="n">
        <v>15</v>
      </c>
      <c r="Y597" s="0" t="n">
        <v>11</v>
      </c>
      <c r="Z597" s="0" t="inlineStr">
        <is>
          <t>https://new.land.naver.com/complexes/11756?tab=detail&amp;rf=Y</t>
        </is>
      </c>
      <c r="AA597" s="0" t="inlineStr">
        <is>
          <t>인천시 서구 마전동 마전지구13블럭1로트</t>
        </is>
      </c>
      <c r="AB597" s="0" t="inlineStr">
        <is>
          <t>인천시</t>
        </is>
      </c>
      <c r="AC597" s="0" t="inlineStr">
        <is>
          <t>서구</t>
        </is>
      </c>
      <c r="AD597" s="0" t="inlineStr">
        <is>
          <t>마전동</t>
        </is>
      </c>
      <c r="AG597" s="0" t="inlineStr">
        <is>
          <t>인천시 서구 마전로99번길 8</t>
        </is>
      </c>
      <c r="AH597" s="0" t="n">
        <v>0</v>
      </c>
      <c r="AI597" s="0" t="n">
        <v>229</v>
      </c>
      <c r="AJ597" s="0" t="n">
        <v>0</v>
      </c>
      <c r="AK597" s="0" t="n">
        <v>519</v>
      </c>
      <c r="AL597" s="0" t="n">
        <v>1.5</v>
      </c>
    </row>
    <row r="598">
      <c r="A598" s="0" t="inlineStr">
        <is>
          <t>[마전동]</t>
        </is>
      </c>
      <c r="B598" s="0" t="n">
        <v>11756</v>
      </c>
      <c r="C598" s="0" t="n">
        <v>2</v>
      </c>
      <c r="D598" s="0" t="inlineStr">
        <is>
          <t>마전대주파크빌</t>
        </is>
      </c>
      <c r="E598" s="0" t="inlineStr">
        <is>
          <t>2005.03.</t>
        </is>
      </c>
      <c r="F598" s="0" t="n">
        <v>346</v>
      </c>
      <c r="G598" s="0" t="n">
        <v>34.59</v>
      </c>
      <c r="H598" s="0" t="n">
        <v>114.38</v>
      </c>
      <c r="I598" s="0" t="n">
        <v>25.69</v>
      </c>
      <c r="J598" s="0" t="n">
        <v>84.95</v>
      </c>
      <c r="K598" s="0" t="n">
        <v>206</v>
      </c>
      <c r="T598" s="0" t="n">
        <v>3</v>
      </c>
      <c r="U598" s="0" t="n">
        <v>2</v>
      </c>
      <c r="V598" s="0" t="inlineStr">
        <is>
          <t>계단식</t>
        </is>
      </c>
      <c r="W598" s="0" t="n">
        <v>114</v>
      </c>
      <c r="X598" s="0" t="n">
        <v>15</v>
      </c>
      <c r="Y598" s="0" t="n">
        <v>11</v>
      </c>
      <c r="Z598" s="0" t="inlineStr">
        <is>
          <t>https://new.land.naver.com/complexes/11756?tab=detail&amp;rf=Y</t>
        </is>
      </c>
      <c r="AA598" s="0" t="inlineStr">
        <is>
          <t>인천시 서구 마전동 마전지구13블럭1로트</t>
        </is>
      </c>
      <c r="AB598" s="0" t="inlineStr">
        <is>
          <t>인천시</t>
        </is>
      </c>
      <c r="AC598" s="0" t="inlineStr">
        <is>
          <t>서구</t>
        </is>
      </c>
      <c r="AD598" s="0" t="inlineStr">
        <is>
          <t>마전동</t>
        </is>
      </c>
      <c r="AG598" s="0" t="inlineStr">
        <is>
          <t>인천시 서구 마전로99번길 8</t>
        </is>
      </c>
      <c r="AH598" s="0" t="n">
        <v>0</v>
      </c>
      <c r="AI598" s="0" t="n">
        <v>229</v>
      </c>
      <c r="AJ598" s="0" t="n">
        <v>0</v>
      </c>
      <c r="AK598" s="0" t="n">
        <v>519</v>
      </c>
      <c r="AL598" s="0" t="n">
        <v>1.5</v>
      </c>
    </row>
    <row r="599">
      <c r="A599" s="0" t="inlineStr">
        <is>
          <t>[마전동]</t>
        </is>
      </c>
      <c r="B599" s="0" t="n">
        <v>11756</v>
      </c>
      <c r="C599" s="0" t="n">
        <v>3</v>
      </c>
      <c r="D599" s="0" t="inlineStr">
        <is>
          <t>마전대주파크빌</t>
        </is>
      </c>
      <c r="E599" s="0" t="inlineStr">
        <is>
          <t>2005.03.</t>
        </is>
      </c>
      <c r="F599" s="0" t="n">
        <v>346</v>
      </c>
      <c r="G599" s="0" t="n">
        <v>37.35</v>
      </c>
      <c r="H599" s="0" t="n">
        <v>123.48</v>
      </c>
      <c r="I599" s="0" t="n">
        <v>25.7</v>
      </c>
      <c r="J599" s="0" t="n">
        <v>84.95999999999999</v>
      </c>
      <c r="K599" s="0" t="n">
        <v>58</v>
      </c>
      <c r="T599" s="0" t="n">
        <v>3</v>
      </c>
      <c r="U599" s="0" t="n">
        <v>2</v>
      </c>
      <c r="V599" s="0" t="inlineStr">
        <is>
          <t>계단식</t>
        </is>
      </c>
      <c r="W599" s="0" t="n">
        <v>123</v>
      </c>
      <c r="X599" s="0" t="n">
        <v>15</v>
      </c>
      <c r="Y599" s="0" t="n">
        <v>11</v>
      </c>
      <c r="Z599" s="0" t="inlineStr">
        <is>
          <t>https://new.land.naver.com/complexes/11756?tab=detail&amp;rf=Y</t>
        </is>
      </c>
      <c r="AA599" s="0" t="inlineStr">
        <is>
          <t>인천시 서구 마전동 마전지구13블럭1로트</t>
        </is>
      </c>
      <c r="AB599" s="0" t="inlineStr">
        <is>
          <t>인천시</t>
        </is>
      </c>
      <c r="AC599" s="0" t="inlineStr">
        <is>
          <t>서구</t>
        </is>
      </c>
      <c r="AD599" s="0" t="inlineStr">
        <is>
          <t>마전동</t>
        </is>
      </c>
      <c r="AG599" s="0" t="inlineStr">
        <is>
          <t>인천시 서구 마전로99번길 8</t>
        </is>
      </c>
      <c r="AH599" s="0" t="n">
        <v>0</v>
      </c>
      <c r="AI599" s="0" t="n">
        <v>229</v>
      </c>
      <c r="AJ599" s="0" t="n">
        <v>0</v>
      </c>
      <c r="AK599" s="0" t="n">
        <v>519</v>
      </c>
      <c r="AL599" s="0" t="n">
        <v>1.5</v>
      </c>
    </row>
    <row r="600">
      <c r="A600" s="0" t="inlineStr">
        <is>
          <t>[마전동]</t>
        </is>
      </c>
      <c r="B600" s="0" t="n">
        <v>11363</v>
      </c>
      <c r="C600" s="0" t="n">
        <v>1</v>
      </c>
      <c r="D600" s="0" t="inlineStr">
        <is>
          <t>대원레스피아1단지</t>
        </is>
      </c>
      <c r="E600" s="0" t="inlineStr">
        <is>
          <t>2004.11.</t>
        </is>
      </c>
      <c r="F600" s="0" t="n">
        <v>423</v>
      </c>
      <c r="G600" s="0" t="n">
        <v>24.28</v>
      </c>
      <c r="H600" s="0" t="n">
        <v>80.28</v>
      </c>
      <c r="I600" s="0" t="n">
        <v>18.07</v>
      </c>
      <c r="J600" s="0" t="n">
        <v>59.74</v>
      </c>
      <c r="K600" s="0" t="n">
        <v>68</v>
      </c>
      <c r="T600" s="0" t="n">
        <v>3</v>
      </c>
      <c r="U600" s="0" t="n">
        <v>2</v>
      </c>
      <c r="V600" s="0" t="inlineStr">
        <is>
          <t>계단식</t>
        </is>
      </c>
      <c r="W600" s="0" t="n">
        <v>80</v>
      </c>
      <c r="X600" s="0" t="n">
        <v>20</v>
      </c>
      <c r="Y600" s="0" t="n">
        <v>17</v>
      </c>
      <c r="Z600" s="0" t="inlineStr">
        <is>
          <t>https://new.land.naver.com/complexes/11363?tab=detail&amp;rf=Y</t>
        </is>
      </c>
      <c r="AA600" s="0" t="inlineStr">
        <is>
          <t>인천시 서구 마전동 1148-3</t>
        </is>
      </c>
      <c r="AB600" s="0" t="inlineStr">
        <is>
          <t>인천시</t>
        </is>
      </c>
      <c r="AC600" s="0" t="inlineStr">
        <is>
          <t>서구</t>
        </is>
      </c>
      <c r="AD600" s="0" t="inlineStr">
        <is>
          <t>마전동</t>
        </is>
      </c>
      <c r="AG600" s="0" t="inlineStr">
        <is>
          <t>인천시 서구 가현로 41</t>
        </is>
      </c>
      <c r="AH600" s="0" t="n">
        <v>0</v>
      </c>
      <c r="AI600" s="0" t="n">
        <v>237</v>
      </c>
      <c r="AJ600" s="0" t="n">
        <v>17</v>
      </c>
      <c r="AK600" s="0" t="n">
        <v>427</v>
      </c>
      <c r="AL600" s="0" t="n">
        <v>1.01</v>
      </c>
    </row>
    <row r="601">
      <c r="A601" s="0" t="inlineStr">
        <is>
          <t>[마전동]</t>
        </is>
      </c>
      <c r="B601" s="0" t="n">
        <v>11363</v>
      </c>
      <c r="C601" s="0" t="n">
        <v>2</v>
      </c>
      <c r="D601" s="0" t="inlineStr">
        <is>
          <t>대원레스피아1단지</t>
        </is>
      </c>
      <c r="E601" s="0" t="inlineStr">
        <is>
          <t>2004.11.</t>
        </is>
      </c>
      <c r="F601" s="0" t="n">
        <v>423</v>
      </c>
      <c r="G601" s="0" t="n">
        <v>33.86</v>
      </c>
      <c r="H601" s="0" t="n">
        <v>111.95</v>
      </c>
      <c r="I601" s="0" t="n">
        <v>25.7</v>
      </c>
      <c r="J601" s="0" t="n">
        <v>84.98999999999999</v>
      </c>
      <c r="K601" s="0" t="n">
        <v>209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111A</t>
        </is>
      </c>
      <c r="X601" s="0" t="n">
        <v>20</v>
      </c>
      <c r="Y601" s="0" t="n">
        <v>17</v>
      </c>
      <c r="Z601" s="0" t="inlineStr">
        <is>
          <t>https://new.land.naver.com/complexes/11363?tab=detail&amp;rf=Y</t>
        </is>
      </c>
      <c r="AA601" s="0" t="inlineStr">
        <is>
          <t>인천시 서구 마전동 1148-3</t>
        </is>
      </c>
      <c r="AB601" s="0" t="inlineStr">
        <is>
          <t>인천시</t>
        </is>
      </c>
      <c r="AC601" s="0" t="inlineStr">
        <is>
          <t>서구</t>
        </is>
      </c>
      <c r="AD601" s="0" t="inlineStr">
        <is>
          <t>마전동</t>
        </is>
      </c>
      <c r="AG601" s="0" t="inlineStr">
        <is>
          <t>인천시 서구 가현로 41</t>
        </is>
      </c>
      <c r="AH601" s="0" t="n">
        <v>0</v>
      </c>
      <c r="AI601" s="0" t="n">
        <v>237</v>
      </c>
      <c r="AJ601" s="0" t="n">
        <v>17</v>
      </c>
      <c r="AK601" s="0" t="n">
        <v>427</v>
      </c>
      <c r="AL601" s="0" t="n">
        <v>1.01</v>
      </c>
    </row>
    <row r="602">
      <c r="A602" s="0" t="inlineStr">
        <is>
          <t>[마전동]</t>
        </is>
      </c>
      <c r="B602" s="0" t="n">
        <v>11363</v>
      </c>
      <c r="C602" s="0" t="n">
        <v>3</v>
      </c>
      <c r="D602" s="0" t="inlineStr">
        <is>
          <t>대원레스피아1단지</t>
        </is>
      </c>
      <c r="E602" s="0" t="inlineStr">
        <is>
          <t>2004.11.</t>
        </is>
      </c>
      <c r="F602" s="0" t="n">
        <v>423</v>
      </c>
      <c r="G602" s="0" t="n">
        <v>33.8</v>
      </c>
      <c r="H602" s="0" t="n">
        <v>111.76</v>
      </c>
      <c r="I602" s="0" t="n">
        <v>25.66</v>
      </c>
      <c r="J602" s="0" t="n">
        <v>84.84</v>
      </c>
      <c r="K602" s="0" t="n">
        <v>146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111B</t>
        </is>
      </c>
      <c r="X602" s="0" t="n">
        <v>20</v>
      </c>
      <c r="Y602" s="0" t="n">
        <v>17</v>
      </c>
      <c r="Z602" s="0" t="inlineStr">
        <is>
          <t>https://new.land.naver.com/complexes/11363?tab=detail&amp;rf=Y</t>
        </is>
      </c>
      <c r="AA602" s="0" t="inlineStr">
        <is>
          <t>인천시 서구 마전동 1148-3</t>
        </is>
      </c>
      <c r="AB602" s="0" t="inlineStr">
        <is>
          <t>인천시</t>
        </is>
      </c>
      <c r="AC602" s="0" t="inlineStr">
        <is>
          <t>서구</t>
        </is>
      </c>
      <c r="AD602" s="0" t="inlineStr">
        <is>
          <t>마전동</t>
        </is>
      </c>
      <c r="AG602" s="0" t="inlineStr">
        <is>
          <t>인천시 서구 가현로 41</t>
        </is>
      </c>
      <c r="AH602" s="0" t="n">
        <v>0</v>
      </c>
      <c r="AI602" s="0" t="n">
        <v>237</v>
      </c>
      <c r="AJ602" s="0" t="n">
        <v>17</v>
      </c>
      <c r="AK602" s="0" t="n">
        <v>427</v>
      </c>
      <c r="AL602" s="0" t="n">
        <v>1.01</v>
      </c>
    </row>
    <row r="603">
      <c r="A603" s="0" t="inlineStr">
        <is>
          <t>[마전동]</t>
        </is>
      </c>
      <c r="B603" s="0" t="n">
        <v>118807</v>
      </c>
      <c r="C603" s="0" t="n">
        <v>1</v>
      </c>
      <c r="D603" s="0" t="inlineStr">
        <is>
          <t>창우아이빌(1026-5,도시형)</t>
        </is>
      </c>
      <c r="E603" s="0" t="inlineStr">
        <is>
          <t>2012.01.</t>
        </is>
      </c>
      <c r="F603" s="0" t="n">
        <v>32</v>
      </c>
      <c r="G603" s="0" t="n">
        <v>20.78</v>
      </c>
      <c r="H603" s="0" t="n">
        <v>68.72</v>
      </c>
      <c r="I603" s="0" t="n">
        <v>17.91</v>
      </c>
      <c r="J603" s="0" t="n">
        <v>59.22</v>
      </c>
      <c r="K603" s="0" t="n">
        <v>32</v>
      </c>
      <c r="T603" s="0" t="n">
        <v>3</v>
      </c>
      <c r="U603" s="0" t="n">
        <v>1</v>
      </c>
      <c r="V603" s="0" t="inlineStr">
        <is>
          <t>계단식</t>
        </is>
      </c>
      <c r="W603" s="0" t="n">
        <v>68</v>
      </c>
      <c r="X603" s="0" t="n">
        <v>5</v>
      </c>
      <c r="Y603" s="0" t="n">
        <v>5</v>
      </c>
      <c r="Z603" s="0" t="inlineStr">
        <is>
          <t>https://new.land.naver.com/complexes/118807?tab=detail&amp;rf=Y</t>
        </is>
      </c>
      <c r="AA603" s="0" t="inlineStr">
        <is>
          <t>인천시 서구 마전동 1026-5</t>
        </is>
      </c>
      <c r="AB603" s="0" t="inlineStr">
        <is>
          <t>인천시</t>
        </is>
      </c>
      <c r="AC603" s="0" t="inlineStr">
        <is>
          <t>서구</t>
        </is>
      </c>
      <c r="AD603" s="0" t="inlineStr">
        <is>
          <t>마전동</t>
        </is>
      </c>
      <c r="AG603" s="0" t="inlineStr">
        <is>
          <t>인천시 서구 완정로45번안길 1</t>
        </is>
      </c>
      <c r="AH603" s="0" t="n">
        <v>0</v>
      </c>
      <c r="AI603" s="0" t="n">
        <v>0</v>
      </c>
      <c r="AJ603" s="0" t="n">
        <v>0</v>
      </c>
      <c r="AK603" s="0" t="n">
        <v>0</v>
      </c>
      <c r="AL603" s="0" t="n">
        <v>0</v>
      </c>
    </row>
    <row r="604">
      <c r="A604" s="0" t="inlineStr">
        <is>
          <t>[마전동]</t>
        </is>
      </c>
      <c r="B604" s="0" t="n">
        <v>100099</v>
      </c>
      <c r="C604" s="0" t="n">
        <v>1</v>
      </c>
      <c r="D604" s="0" t="inlineStr">
        <is>
          <t>인천검단힐스테이트2차</t>
        </is>
      </c>
      <c r="E604" s="0" t="inlineStr">
        <is>
          <t>2010.03.</t>
        </is>
      </c>
      <c r="F604" s="0" t="n">
        <v>309</v>
      </c>
      <c r="G604" s="0" t="n">
        <v>45.5</v>
      </c>
      <c r="H604" s="0" t="n">
        <v>150.42</v>
      </c>
      <c r="I604" s="0" t="n">
        <v>37.27</v>
      </c>
      <c r="J604" s="0" t="n">
        <v>123.21</v>
      </c>
      <c r="K604" s="0" t="n">
        <v>15</v>
      </c>
      <c r="T604" s="0" t="n">
        <v>4</v>
      </c>
      <c r="U604" s="0" t="n">
        <v>2</v>
      </c>
      <c r="V604" s="0" t="inlineStr">
        <is>
          <t>계단식</t>
        </is>
      </c>
      <c r="W604" s="0" t="inlineStr">
        <is>
          <t>150B</t>
        </is>
      </c>
      <c r="X604" s="0" t="n">
        <v>15</v>
      </c>
      <c r="Y604" s="0" t="n">
        <v>12</v>
      </c>
      <c r="Z604" s="0" t="inlineStr">
        <is>
          <t>https://new.land.naver.com/complexes/100099?tab=detail&amp;rf=Y</t>
        </is>
      </c>
      <c r="AA604" s="0" t="inlineStr">
        <is>
          <t>인천시 서구 마전동 997-1</t>
        </is>
      </c>
      <c r="AB604" s="0" t="inlineStr">
        <is>
          <t>인천시</t>
        </is>
      </c>
      <c r="AC604" s="0" t="inlineStr">
        <is>
          <t>서구</t>
        </is>
      </c>
      <c r="AD604" s="0" t="inlineStr">
        <is>
          <t>마전동</t>
        </is>
      </c>
      <c r="AG604" s="0" t="inlineStr">
        <is>
          <t>인천시 서구 완정로92번길 41</t>
        </is>
      </c>
      <c r="AH604" s="0" t="n">
        <v>0</v>
      </c>
      <c r="AI604" s="0" t="n">
        <v>225</v>
      </c>
      <c r="AJ604" s="0" t="n">
        <v>21</v>
      </c>
      <c r="AK604" s="0" t="n">
        <v>587</v>
      </c>
      <c r="AL604" s="0" t="n">
        <v>1.9</v>
      </c>
    </row>
    <row r="605">
      <c r="A605" s="0" t="inlineStr">
        <is>
          <t>[마전동]</t>
        </is>
      </c>
      <c r="B605" s="0" t="n">
        <v>100099</v>
      </c>
      <c r="C605" s="0" t="n">
        <v>2</v>
      </c>
      <c r="D605" s="0" t="inlineStr">
        <is>
          <t>인천검단힐스테이트2차</t>
        </is>
      </c>
      <c r="E605" s="0" t="inlineStr">
        <is>
          <t>2010.03.</t>
        </is>
      </c>
      <c r="F605" s="0" t="n">
        <v>309</v>
      </c>
      <c r="G605" s="0" t="n">
        <v>45.7</v>
      </c>
      <c r="H605" s="0" t="n">
        <v>151.09</v>
      </c>
      <c r="I605" s="0" t="n">
        <v>37.25</v>
      </c>
      <c r="J605" s="0" t="n">
        <v>123.15</v>
      </c>
      <c r="K605" s="0" t="n">
        <v>179</v>
      </c>
      <c r="T605" s="0" t="n">
        <v>4</v>
      </c>
      <c r="U605" s="0" t="n">
        <v>2</v>
      </c>
      <c r="V605" s="0" t="inlineStr">
        <is>
          <t>계단식</t>
        </is>
      </c>
      <c r="W605" s="0" t="inlineStr">
        <is>
          <t>151A</t>
        </is>
      </c>
      <c r="X605" s="0" t="n">
        <v>15</v>
      </c>
      <c r="Y605" s="0" t="n">
        <v>12</v>
      </c>
      <c r="Z605" s="0" t="inlineStr">
        <is>
          <t>https://new.land.naver.com/complexes/100099?tab=detail&amp;rf=Y</t>
        </is>
      </c>
      <c r="AA605" s="0" t="inlineStr">
        <is>
          <t>인천시 서구 마전동 997-1</t>
        </is>
      </c>
      <c r="AB605" s="0" t="inlineStr">
        <is>
          <t>인천시</t>
        </is>
      </c>
      <c r="AC605" s="0" t="inlineStr">
        <is>
          <t>서구</t>
        </is>
      </c>
      <c r="AD605" s="0" t="inlineStr">
        <is>
          <t>마전동</t>
        </is>
      </c>
      <c r="AG605" s="0" t="inlineStr">
        <is>
          <t>인천시 서구 완정로92번길 41</t>
        </is>
      </c>
      <c r="AH605" s="0" t="n">
        <v>0</v>
      </c>
      <c r="AI605" s="0" t="n">
        <v>225</v>
      </c>
      <c r="AJ605" s="0" t="n">
        <v>21</v>
      </c>
      <c r="AK605" s="0" t="n">
        <v>587</v>
      </c>
      <c r="AL605" s="0" t="n">
        <v>1.9</v>
      </c>
    </row>
    <row r="606">
      <c r="A606" s="0" t="inlineStr">
        <is>
          <t>[마전동]</t>
        </is>
      </c>
      <c r="B606" s="0" t="n">
        <v>100099</v>
      </c>
      <c r="C606" s="0" t="n">
        <v>3</v>
      </c>
      <c r="D606" s="0" t="inlineStr">
        <is>
          <t>인천검단힐스테이트2차</t>
        </is>
      </c>
      <c r="E606" s="0" t="inlineStr">
        <is>
          <t>2010.03.</t>
        </is>
      </c>
      <c r="F606" s="0" t="n">
        <v>309</v>
      </c>
      <c r="G606" s="0" t="n">
        <v>46.23</v>
      </c>
      <c r="H606" s="0" t="n">
        <v>152.85</v>
      </c>
      <c r="I606" s="0" t="n">
        <v>37.96</v>
      </c>
      <c r="J606" s="0" t="n">
        <v>125.52</v>
      </c>
      <c r="K606" s="0" t="n">
        <v>11</v>
      </c>
      <c r="T606" s="0" t="n">
        <v>4</v>
      </c>
      <c r="U606" s="0" t="n">
        <v>2</v>
      </c>
      <c r="V606" s="0" t="inlineStr">
        <is>
          <t>계단식</t>
        </is>
      </c>
      <c r="W606" s="0" t="inlineStr">
        <is>
          <t>152C</t>
        </is>
      </c>
      <c r="X606" s="0" t="n">
        <v>15</v>
      </c>
      <c r="Y606" s="0" t="n">
        <v>12</v>
      </c>
      <c r="Z606" s="0" t="inlineStr">
        <is>
          <t>https://new.land.naver.com/complexes/100099?tab=detail&amp;rf=Y</t>
        </is>
      </c>
      <c r="AA606" s="0" t="inlineStr">
        <is>
          <t>인천시 서구 마전동 997-1</t>
        </is>
      </c>
      <c r="AB606" s="0" t="inlineStr">
        <is>
          <t>인천시</t>
        </is>
      </c>
      <c r="AC606" s="0" t="inlineStr">
        <is>
          <t>서구</t>
        </is>
      </c>
      <c r="AD606" s="0" t="inlineStr">
        <is>
          <t>마전동</t>
        </is>
      </c>
      <c r="AG606" s="0" t="inlineStr">
        <is>
          <t>인천시 서구 완정로92번길 41</t>
        </is>
      </c>
      <c r="AH606" s="0" t="n">
        <v>0</v>
      </c>
      <c r="AI606" s="0" t="n">
        <v>225</v>
      </c>
      <c r="AJ606" s="0" t="n">
        <v>21</v>
      </c>
      <c r="AK606" s="0" t="n">
        <v>587</v>
      </c>
      <c r="AL606" s="0" t="n">
        <v>1.9</v>
      </c>
    </row>
    <row r="607">
      <c r="A607" s="0" t="inlineStr">
        <is>
          <t>[마전동]</t>
        </is>
      </c>
      <c r="B607" s="0" t="n">
        <v>100099</v>
      </c>
      <c r="C607" s="0" t="n">
        <v>4</v>
      </c>
      <c r="D607" s="0" t="inlineStr">
        <is>
          <t>인천검단힐스테이트2차</t>
        </is>
      </c>
      <c r="E607" s="0" t="inlineStr">
        <is>
          <t>2010.03.</t>
        </is>
      </c>
      <c r="F607" s="0" t="n">
        <v>309</v>
      </c>
      <c r="G607" s="0" t="n">
        <v>47.22</v>
      </c>
      <c r="H607" s="0" t="n">
        <v>156.13</v>
      </c>
      <c r="I607" s="0" t="n">
        <v>39.14</v>
      </c>
      <c r="J607" s="0" t="n">
        <v>129.41</v>
      </c>
      <c r="K607" s="0" t="n">
        <v>1</v>
      </c>
      <c r="T607" s="0" t="n">
        <v>4</v>
      </c>
      <c r="U607" s="0" t="n">
        <v>2</v>
      </c>
      <c r="V607" s="0" t="inlineStr">
        <is>
          <t>계단식</t>
        </is>
      </c>
      <c r="W607" s="0" t="n">
        <v>156</v>
      </c>
      <c r="X607" s="0" t="n">
        <v>15</v>
      </c>
      <c r="Y607" s="0" t="n">
        <v>12</v>
      </c>
      <c r="Z607" s="0" t="inlineStr">
        <is>
          <t>https://new.land.naver.com/complexes/100099?tab=detail&amp;rf=Y</t>
        </is>
      </c>
      <c r="AA607" s="0" t="inlineStr">
        <is>
          <t>인천시 서구 마전동 997-1</t>
        </is>
      </c>
      <c r="AB607" s="0" t="inlineStr">
        <is>
          <t>인천시</t>
        </is>
      </c>
      <c r="AC607" s="0" t="inlineStr">
        <is>
          <t>서구</t>
        </is>
      </c>
      <c r="AD607" s="0" t="inlineStr">
        <is>
          <t>마전동</t>
        </is>
      </c>
      <c r="AG607" s="0" t="inlineStr">
        <is>
          <t>인천시 서구 완정로92번길 41</t>
        </is>
      </c>
      <c r="AH607" s="0" t="n">
        <v>0</v>
      </c>
      <c r="AI607" s="0" t="n">
        <v>225</v>
      </c>
      <c r="AJ607" s="0" t="n">
        <v>21</v>
      </c>
      <c r="AK607" s="0" t="n">
        <v>587</v>
      </c>
      <c r="AL607" s="0" t="n">
        <v>1.9</v>
      </c>
    </row>
    <row r="608">
      <c r="A608" s="0" t="inlineStr">
        <is>
          <t>[마전동]</t>
        </is>
      </c>
      <c r="B608" s="0" t="n">
        <v>100099</v>
      </c>
      <c r="C608" s="0" t="n">
        <v>5</v>
      </c>
      <c r="D608" s="0" t="inlineStr">
        <is>
          <t>인천검단힐스테이트2차</t>
        </is>
      </c>
      <c r="E608" s="0" t="inlineStr">
        <is>
          <t>2010.03.</t>
        </is>
      </c>
      <c r="F608" s="0" t="n">
        <v>309</v>
      </c>
      <c r="G608" s="0" t="n">
        <v>51.14</v>
      </c>
      <c r="H608" s="0" t="n">
        <v>169.07</v>
      </c>
      <c r="I608" s="0" t="n">
        <v>42.46</v>
      </c>
      <c r="J608" s="0" t="n">
        <v>140.39</v>
      </c>
      <c r="K608" s="0" t="n">
        <v>89</v>
      </c>
      <c r="T608" s="0" t="n">
        <v>4</v>
      </c>
      <c r="U608" s="0" t="n">
        <v>3</v>
      </c>
      <c r="V608" s="0" t="inlineStr">
        <is>
          <t>계단식</t>
        </is>
      </c>
      <c r="W608" s="0" t="inlineStr">
        <is>
          <t>169A</t>
        </is>
      </c>
      <c r="X608" s="0" t="n">
        <v>15</v>
      </c>
      <c r="Y608" s="0" t="n">
        <v>12</v>
      </c>
      <c r="Z608" s="0" t="inlineStr">
        <is>
          <t>https://new.land.naver.com/complexes/100099?tab=detail&amp;rf=Y</t>
        </is>
      </c>
      <c r="AA608" s="0" t="inlineStr">
        <is>
          <t>인천시 서구 마전동 997-1</t>
        </is>
      </c>
      <c r="AB608" s="0" t="inlineStr">
        <is>
          <t>인천시</t>
        </is>
      </c>
      <c r="AC608" s="0" t="inlineStr">
        <is>
          <t>서구</t>
        </is>
      </c>
      <c r="AD608" s="0" t="inlineStr">
        <is>
          <t>마전동</t>
        </is>
      </c>
      <c r="AG608" s="0" t="inlineStr">
        <is>
          <t>인천시 서구 완정로92번길 41</t>
        </is>
      </c>
      <c r="AH608" s="0" t="n">
        <v>0</v>
      </c>
      <c r="AI608" s="0" t="n">
        <v>225</v>
      </c>
      <c r="AJ608" s="0" t="n">
        <v>21</v>
      </c>
      <c r="AK608" s="0" t="n">
        <v>587</v>
      </c>
      <c r="AL608" s="0" t="n">
        <v>1.9</v>
      </c>
    </row>
    <row r="609">
      <c r="A609" s="0" t="inlineStr">
        <is>
          <t>[마전동]</t>
        </is>
      </c>
      <c r="B609" s="0" t="n">
        <v>100099</v>
      </c>
      <c r="C609" s="0" t="n">
        <v>6</v>
      </c>
      <c r="D609" s="0" t="inlineStr">
        <is>
          <t>인천검단힐스테이트2차</t>
        </is>
      </c>
      <c r="E609" s="0" t="inlineStr">
        <is>
          <t>2010.03.</t>
        </is>
      </c>
      <c r="F609" s="0" t="n">
        <v>309</v>
      </c>
      <c r="G609" s="0" t="n">
        <v>51.46</v>
      </c>
      <c r="H609" s="0" t="n">
        <v>170.13</v>
      </c>
      <c r="I609" s="0" t="n">
        <v>42.17</v>
      </c>
      <c r="J609" s="0" t="n">
        <v>139.41</v>
      </c>
      <c r="K609" s="0" t="n">
        <v>12</v>
      </c>
      <c r="T609" s="0" t="n">
        <v>4</v>
      </c>
      <c r="U609" s="0" t="n">
        <v>3</v>
      </c>
      <c r="V609" s="0" t="inlineStr">
        <is>
          <t>계단식</t>
        </is>
      </c>
      <c r="W609" s="0" t="inlineStr">
        <is>
          <t>170B</t>
        </is>
      </c>
      <c r="X609" s="0" t="n">
        <v>15</v>
      </c>
      <c r="Y609" s="0" t="n">
        <v>12</v>
      </c>
      <c r="Z609" s="0" t="inlineStr">
        <is>
          <t>https://new.land.naver.com/complexes/100099?tab=detail&amp;rf=Y</t>
        </is>
      </c>
      <c r="AA609" s="0" t="inlineStr">
        <is>
          <t>인천시 서구 마전동 997-1</t>
        </is>
      </c>
      <c r="AB609" s="0" t="inlineStr">
        <is>
          <t>인천시</t>
        </is>
      </c>
      <c r="AC609" s="0" t="inlineStr">
        <is>
          <t>서구</t>
        </is>
      </c>
      <c r="AD609" s="0" t="inlineStr">
        <is>
          <t>마전동</t>
        </is>
      </c>
      <c r="AG609" s="0" t="inlineStr">
        <is>
          <t>인천시 서구 완정로92번길 41</t>
        </is>
      </c>
      <c r="AH609" s="0" t="n">
        <v>0</v>
      </c>
      <c r="AI609" s="0" t="n">
        <v>225</v>
      </c>
      <c r="AJ609" s="0" t="n">
        <v>21</v>
      </c>
      <c r="AK609" s="0" t="n">
        <v>587</v>
      </c>
      <c r="AL609" s="0" t="n">
        <v>1.9</v>
      </c>
    </row>
    <row r="610">
      <c r="A610" s="0" t="inlineStr">
        <is>
          <t>[마전동]</t>
        </is>
      </c>
      <c r="B610" s="0" t="n">
        <v>100099</v>
      </c>
      <c r="C610" s="0" t="n">
        <v>7</v>
      </c>
      <c r="D610" s="0" t="inlineStr">
        <is>
          <t>인천검단힐스테이트2차</t>
        </is>
      </c>
      <c r="E610" s="0" t="inlineStr">
        <is>
          <t>2010.03.</t>
        </is>
      </c>
      <c r="F610" s="0" t="n">
        <v>309</v>
      </c>
      <c r="G610" s="0" t="n">
        <v>81.55</v>
      </c>
      <c r="H610" s="0" t="n">
        <v>269.6</v>
      </c>
      <c r="I610" s="0" t="n">
        <v>66.61</v>
      </c>
      <c r="J610" s="0" t="n">
        <v>220.21</v>
      </c>
      <c r="K610" s="0" t="n">
        <v>1</v>
      </c>
      <c r="T610" s="0" t="n">
        <v>5</v>
      </c>
      <c r="U610" s="0" t="n">
        <v>4</v>
      </c>
      <c r="V610" s="0" t="inlineStr">
        <is>
          <t>계단식</t>
        </is>
      </c>
      <c r="W610" s="0" t="inlineStr">
        <is>
          <t>269A</t>
        </is>
      </c>
      <c r="X610" s="0" t="n">
        <v>15</v>
      </c>
      <c r="Y610" s="0" t="n">
        <v>12</v>
      </c>
      <c r="Z610" s="0" t="inlineStr">
        <is>
          <t>https://new.land.naver.com/complexes/100099?tab=detail&amp;rf=Y</t>
        </is>
      </c>
      <c r="AA610" s="0" t="inlineStr">
        <is>
          <t>인천시 서구 마전동 997-1</t>
        </is>
      </c>
      <c r="AB610" s="0" t="inlineStr">
        <is>
          <t>인천시</t>
        </is>
      </c>
      <c r="AC610" s="0" t="inlineStr">
        <is>
          <t>서구</t>
        </is>
      </c>
      <c r="AD610" s="0" t="inlineStr">
        <is>
          <t>마전동</t>
        </is>
      </c>
      <c r="AG610" s="0" t="inlineStr">
        <is>
          <t>인천시 서구 완정로92번길 41</t>
        </is>
      </c>
      <c r="AH610" s="0" t="n">
        <v>0</v>
      </c>
      <c r="AI610" s="0" t="n">
        <v>225</v>
      </c>
      <c r="AJ610" s="0" t="n">
        <v>21</v>
      </c>
      <c r="AK610" s="0" t="n">
        <v>587</v>
      </c>
      <c r="AL610" s="0" t="n">
        <v>1.9</v>
      </c>
    </row>
    <row r="611">
      <c r="A611" s="0" t="inlineStr">
        <is>
          <t>[마전동]</t>
        </is>
      </c>
      <c r="B611" s="0" t="n">
        <v>100099</v>
      </c>
      <c r="C611" s="0" t="n">
        <v>8</v>
      </c>
      <c r="D611" s="0" t="inlineStr">
        <is>
          <t>인천검단힐스테이트2차</t>
        </is>
      </c>
      <c r="E611" s="0" t="inlineStr">
        <is>
          <t>2010.03.</t>
        </is>
      </c>
      <c r="F611" s="0" t="n">
        <v>309</v>
      </c>
      <c r="G611" s="0" t="n">
        <v>82</v>
      </c>
      <c r="H611" s="0" t="n">
        <v>271.08</v>
      </c>
      <c r="I611" s="0" t="n">
        <v>66.36</v>
      </c>
      <c r="J611" s="0" t="n">
        <v>219.4</v>
      </c>
      <c r="K611" s="0" t="n">
        <v>1</v>
      </c>
      <c r="T611" s="0" t="n">
        <v>5</v>
      </c>
      <c r="U611" s="0" t="n">
        <v>4</v>
      </c>
      <c r="V611" s="0" t="inlineStr">
        <is>
          <t>계단식</t>
        </is>
      </c>
      <c r="W611" s="0" t="inlineStr">
        <is>
          <t>271B</t>
        </is>
      </c>
      <c r="X611" s="0" t="n">
        <v>15</v>
      </c>
      <c r="Y611" s="0" t="n">
        <v>12</v>
      </c>
      <c r="Z611" s="0" t="inlineStr">
        <is>
          <t>https://new.land.naver.com/complexes/100099?tab=detail&amp;rf=Y</t>
        </is>
      </c>
      <c r="AA611" s="0" t="inlineStr">
        <is>
          <t>인천시 서구 마전동 997-1</t>
        </is>
      </c>
      <c r="AB611" s="0" t="inlineStr">
        <is>
          <t>인천시</t>
        </is>
      </c>
      <c r="AC611" s="0" t="inlineStr">
        <is>
          <t>서구</t>
        </is>
      </c>
      <c r="AD611" s="0" t="inlineStr">
        <is>
          <t>마전동</t>
        </is>
      </c>
      <c r="AG611" s="0" t="inlineStr">
        <is>
          <t>인천시 서구 완정로92번길 41</t>
        </is>
      </c>
      <c r="AH611" s="0" t="n">
        <v>0</v>
      </c>
      <c r="AI611" s="0" t="n">
        <v>225</v>
      </c>
      <c r="AJ611" s="0" t="n">
        <v>21</v>
      </c>
      <c r="AK611" s="0" t="n">
        <v>587</v>
      </c>
      <c r="AL611" s="0" t="n">
        <v>1.9</v>
      </c>
    </row>
    <row r="612">
      <c r="A612" s="0" t="inlineStr">
        <is>
          <t>[마전동]</t>
        </is>
      </c>
      <c r="B612" s="0" t="n">
        <v>9233</v>
      </c>
      <c r="C612" s="0" t="n">
        <v>1</v>
      </c>
      <c r="D612" s="0" t="inlineStr">
        <is>
          <t>하나</t>
        </is>
      </c>
      <c r="E612" s="0" t="inlineStr">
        <is>
          <t>2001.08.</t>
        </is>
      </c>
      <c r="F612" s="0" t="n">
        <v>477</v>
      </c>
      <c r="G612" s="0" t="n">
        <v>23.54</v>
      </c>
      <c r="H612" s="0" t="n">
        <v>77.83</v>
      </c>
      <c r="I612" s="0" t="n">
        <v>18.13</v>
      </c>
      <c r="J612" s="0" t="n">
        <v>59.94</v>
      </c>
      <c r="K612" s="0" t="n">
        <v>48</v>
      </c>
      <c r="T612" s="0" t="n">
        <v>3</v>
      </c>
      <c r="U612" s="0" t="n">
        <v>1</v>
      </c>
      <c r="V612" s="0" t="inlineStr">
        <is>
          <t>계단식</t>
        </is>
      </c>
      <c r="W612" s="0" t="inlineStr">
        <is>
          <t>77A</t>
        </is>
      </c>
      <c r="X612" s="0" t="n">
        <v>18</v>
      </c>
      <c r="Y612" s="0" t="n">
        <v>11</v>
      </c>
      <c r="Z612" s="0" t="inlineStr">
        <is>
          <t>https://new.land.naver.com/complexes/9233?tab=detail&amp;rf=Y</t>
        </is>
      </c>
      <c r="AA612" s="0" t="inlineStr">
        <is>
          <t>인천시 서구 마전동 892</t>
        </is>
      </c>
      <c r="AB612" s="0" t="inlineStr">
        <is>
          <t>인천시</t>
        </is>
      </c>
      <c r="AC612" s="0" t="inlineStr">
        <is>
          <t>서구</t>
        </is>
      </c>
      <c r="AD612" s="0" t="inlineStr">
        <is>
          <t>마전동</t>
        </is>
      </c>
      <c r="AG612" s="0" t="inlineStr">
        <is>
          <t>인천시 서구 검단로 622</t>
        </is>
      </c>
      <c r="AH612" s="0" t="n">
        <v>0</v>
      </c>
      <c r="AI612" s="0" t="n">
        <v>198</v>
      </c>
      <c r="AJ612" s="0" t="n">
        <v>14</v>
      </c>
      <c r="AK612" s="0" t="n">
        <v>489</v>
      </c>
      <c r="AL612" s="0" t="n">
        <v>1.03</v>
      </c>
    </row>
    <row r="613">
      <c r="A613" s="0" t="inlineStr">
        <is>
          <t>[마전동]</t>
        </is>
      </c>
      <c r="B613" s="0" t="n">
        <v>9233</v>
      </c>
      <c r="C613" s="0" t="n">
        <v>2</v>
      </c>
      <c r="D613" s="0" t="inlineStr">
        <is>
          <t>하나</t>
        </is>
      </c>
      <c r="E613" s="0" t="inlineStr">
        <is>
          <t>2001.08.</t>
        </is>
      </c>
      <c r="F613" s="0" t="n">
        <v>477</v>
      </c>
      <c r="G613" s="0" t="n">
        <v>24.47</v>
      </c>
      <c r="H613" s="0" t="n">
        <v>80.91</v>
      </c>
      <c r="I613" s="0" t="n">
        <v>18.13</v>
      </c>
      <c r="J613" s="0" t="n">
        <v>59.94</v>
      </c>
      <c r="K613" s="0" t="n">
        <v>108</v>
      </c>
      <c r="T613" s="0" t="n">
        <v>3</v>
      </c>
      <c r="U613" s="0" t="n">
        <v>1</v>
      </c>
      <c r="V613" s="0" t="inlineStr">
        <is>
          <t>계단식</t>
        </is>
      </c>
      <c r="W613" s="0" t="inlineStr">
        <is>
          <t>80B</t>
        </is>
      </c>
      <c r="X613" s="0" t="n">
        <v>18</v>
      </c>
      <c r="Y613" s="0" t="n">
        <v>11</v>
      </c>
      <c r="Z613" s="0" t="inlineStr">
        <is>
          <t>https://new.land.naver.com/complexes/9233?tab=detail&amp;rf=Y</t>
        </is>
      </c>
      <c r="AA613" s="0" t="inlineStr">
        <is>
          <t>인천시 서구 마전동 892</t>
        </is>
      </c>
      <c r="AB613" s="0" t="inlineStr">
        <is>
          <t>인천시</t>
        </is>
      </c>
      <c r="AC613" s="0" t="inlineStr">
        <is>
          <t>서구</t>
        </is>
      </c>
      <c r="AD613" s="0" t="inlineStr">
        <is>
          <t>마전동</t>
        </is>
      </c>
      <c r="AG613" s="0" t="inlineStr">
        <is>
          <t>인천시 서구 검단로 622</t>
        </is>
      </c>
      <c r="AH613" s="0" t="n">
        <v>0</v>
      </c>
      <c r="AI613" s="0" t="n">
        <v>198</v>
      </c>
      <c r="AJ613" s="0" t="n">
        <v>14</v>
      </c>
      <c r="AK613" s="0" t="n">
        <v>489</v>
      </c>
      <c r="AL613" s="0" t="n">
        <v>1.03</v>
      </c>
    </row>
    <row r="614">
      <c r="A614" s="0" t="inlineStr">
        <is>
          <t>[마전동]</t>
        </is>
      </c>
      <c r="B614" s="0" t="n">
        <v>9233</v>
      </c>
      <c r="C614" s="0" t="n">
        <v>3</v>
      </c>
      <c r="D614" s="0" t="inlineStr">
        <is>
          <t>하나</t>
        </is>
      </c>
      <c r="E614" s="0" t="inlineStr">
        <is>
          <t>2001.08.</t>
        </is>
      </c>
      <c r="F614" s="0" t="n">
        <v>477</v>
      </c>
      <c r="G614" s="0" t="n">
        <v>32.6</v>
      </c>
      <c r="H614" s="0" t="n">
        <v>107.79</v>
      </c>
      <c r="I614" s="0" t="n">
        <v>25.53</v>
      </c>
      <c r="J614" s="0" t="n">
        <v>84.40000000000001</v>
      </c>
      <c r="K614" s="0" t="n">
        <v>231</v>
      </c>
      <c r="T614" s="0" t="n">
        <v>3</v>
      </c>
      <c r="U614" s="0" t="n">
        <v>2</v>
      </c>
      <c r="V614" s="0" t="inlineStr">
        <is>
          <t>계단식</t>
        </is>
      </c>
      <c r="W614" s="0" t="n">
        <v>107</v>
      </c>
      <c r="X614" s="0" t="n">
        <v>18</v>
      </c>
      <c r="Y614" s="0" t="n">
        <v>11</v>
      </c>
      <c r="Z614" s="0" t="inlineStr">
        <is>
          <t>https://new.land.naver.com/complexes/9233?tab=detail&amp;rf=Y</t>
        </is>
      </c>
      <c r="AA614" s="0" t="inlineStr">
        <is>
          <t>인천시 서구 마전동 892</t>
        </is>
      </c>
      <c r="AB614" s="0" t="inlineStr">
        <is>
          <t>인천시</t>
        </is>
      </c>
      <c r="AC614" s="0" t="inlineStr">
        <is>
          <t>서구</t>
        </is>
      </c>
      <c r="AD614" s="0" t="inlineStr">
        <is>
          <t>마전동</t>
        </is>
      </c>
      <c r="AG614" s="0" t="inlineStr">
        <is>
          <t>인천시 서구 검단로 622</t>
        </is>
      </c>
      <c r="AH614" s="0" t="n">
        <v>0</v>
      </c>
      <c r="AI614" s="0" t="n">
        <v>198</v>
      </c>
      <c r="AJ614" s="0" t="n">
        <v>14</v>
      </c>
      <c r="AK614" s="0" t="n">
        <v>489</v>
      </c>
      <c r="AL614" s="0" t="n">
        <v>1.03</v>
      </c>
    </row>
    <row r="615">
      <c r="A615" s="0" t="inlineStr">
        <is>
          <t>[마전동]</t>
        </is>
      </c>
      <c r="B615" s="0" t="n">
        <v>9233</v>
      </c>
      <c r="C615" s="0" t="n">
        <v>4</v>
      </c>
      <c r="D615" s="0" t="inlineStr">
        <is>
          <t>하나</t>
        </is>
      </c>
      <c r="E615" s="0" t="inlineStr">
        <is>
          <t>2001.08.</t>
        </is>
      </c>
      <c r="F615" s="0" t="n">
        <v>477</v>
      </c>
      <c r="G615" s="0" t="n">
        <v>40.97</v>
      </c>
      <c r="H615" s="0" t="n">
        <v>135.44</v>
      </c>
      <c r="I615" s="0" t="n">
        <v>33.14</v>
      </c>
      <c r="J615" s="0" t="n">
        <v>109.56</v>
      </c>
      <c r="K615" s="0" t="n">
        <v>54</v>
      </c>
      <c r="T615" s="0" t="n">
        <v>4</v>
      </c>
      <c r="U615" s="0" t="n">
        <v>2</v>
      </c>
      <c r="V615" s="0" t="inlineStr">
        <is>
          <t>계단식</t>
        </is>
      </c>
      <c r="W615" s="0" t="n">
        <v>135</v>
      </c>
      <c r="X615" s="0" t="n">
        <v>18</v>
      </c>
      <c r="Y615" s="0" t="n">
        <v>11</v>
      </c>
      <c r="Z615" s="0" t="inlineStr">
        <is>
          <t>https://new.land.naver.com/complexes/9233?tab=detail&amp;rf=Y</t>
        </is>
      </c>
      <c r="AA615" s="0" t="inlineStr">
        <is>
          <t>인천시 서구 마전동 892</t>
        </is>
      </c>
      <c r="AB615" s="0" t="inlineStr">
        <is>
          <t>인천시</t>
        </is>
      </c>
      <c r="AC615" s="0" t="inlineStr">
        <is>
          <t>서구</t>
        </is>
      </c>
      <c r="AD615" s="0" t="inlineStr">
        <is>
          <t>마전동</t>
        </is>
      </c>
      <c r="AG615" s="0" t="inlineStr">
        <is>
          <t>인천시 서구 검단로 622</t>
        </is>
      </c>
      <c r="AH615" s="0" t="n">
        <v>0</v>
      </c>
      <c r="AI615" s="0" t="n">
        <v>198</v>
      </c>
      <c r="AJ615" s="0" t="n">
        <v>14</v>
      </c>
      <c r="AK615" s="0" t="n">
        <v>489</v>
      </c>
      <c r="AL615" s="0" t="n">
        <v>1.03</v>
      </c>
    </row>
    <row r="616">
      <c r="A616" s="0" t="inlineStr">
        <is>
          <t>[마전동]</t>
        </is>
      </c>
      <c r="B616" s="0" t="n">
        <v>9233</v>
      </c>
      <c r="C616" s="0" t="n">
        <v>5</v>
      </c>
      <c r="D616" s="0" t="inlineStr">
        <is>
          <t>하나</t>
        </is>
      </c>
      <c r="E616" s="0" t="inlineStr">
        <is>
          <t>2001.08.</t>
        </is>
      </c>
      <c r="F616" s="0" t="n">
        <v>477</v>
      </c>
      <c r="G616" s="0" t="n">
        <v>44.11</v>
      </c>
      <c r="H616" s="0" t="n">
        <v>145.83</v>
      </c>
      <c r="I616" s="0" t="n">
        <v>36</v>
      </c>
      <c r="J616" s="0" t="n">
        <v>119.01</v>
      </c>
      <c r="K616" s="0" t="n">
        <v>36</v>
      </c>
      <c r="T616" s="0" t="n">
        <v>4</v>
      </c>
      <c r="U616" s="0" t="n">
        <v>2</v>
      </c>
      <c r="V616" s="0" t="inlineStr">
        <is>
          <t>계단식</t>
        </is>
      </c>
      <c r="W616" s="0" t="n">
        <v>145</v>
      </c>
      <c r="X616" s="0" t="n">
        <v>18</v>
      </c>
      <c r="Y616" s="0" t="n">
        <v>11</v>
      </c>
      <c r="Z616" s="0" t="inlineStr">
        <is>
          <t>https://new.land.naver.com/complexes/9233?tab=detail&amp;rf=Y</t>
        </is>
      </c>
      <c r="AA616" s="0" t="inlineStr">
        <is>
          <t>인천시 서구 마전동 892</t>
        </is>
      </c>
      <c r="AB616" s="0" t="inlineStr">
        <is>
          <t>인천시</t>
        </is>
      </c>
      <c r="AC616" s="0" t="inlineStr">
        <is>
          <t>서구</t>
        </is>
      </c>
      <c r="AD616" s="0" t="inlineStr">
        <is>
          <t>마전동</t>
        </is>
      </c>
      <c r="AG616" s="0" t="inlineStr">
        <is>
          <t>인천시 서구 검단로 622</t>
        </is>
      </c>
      <c r="AH616" s="0" t="n">
        <v>0</v>
      </c>
      <c r="AI616" s="0" t="n">
        <v>198</v>
      </c>
      <c r="AJ616" s="0" t="n">
        <v>14</v>
      </c>
      <c r="AK616" s="0" t="n">
        <v>489</v>
      </c>
      <c r="AL616" s="0" t="n">
        <v>1.03</v>
      </c>
    </row>
    <row r="617">
      <c r="A617" s="0" t="inlineStr">
        <is>
          <t>[마전동]</t>
        </is>
      </c>
      <c r="B617" s="0" t="n">
        <v>112114</v>
      </c>
      <c r="C617" s="0" t="n">
        <v>1</v>
      </c>
      <c r="D617" s="0" t="inlineStr">
        <is>
          <t>창우아이빌(1018-2,도시형)</t>
        </is>
      </c>
      <c r="E617" s="0" t="inlineStr">
        <is>
          <t>2012.05.</t>
        </is>
      </c>
      <c r="F617" s="0" t="n">
        <v>57</v>
      </c>
      <c r="G617" s="0" t="n">
        <v>22.01</v>
      </c>
      <c r="H617" s="0" t="n">
        <v>72.78</v>
      </c>
      <c r="I617" s="0" t="n">
        <v>19.83</v>
      </c>
      <c r="J617" s="0" t="n">
        <v>65.58</v>
      </c>
      <c r="K617" s="0" t="n">
        <v>4</v>
      </c>
      <c r="T617" s="0" t="n">
        <v>3</v>
      </c>
      <c r="U617" s="0" t="n">
        <v>2</v>
      </c>
      <c r="V617" s="0" t="inlineStr">
        <is>
          <t>계단식</t>
        </is>
      </c>
      <c r="W617" s="0" t="inlineStr">
        <is>
          <t>72A</t>
        </is>
      </c>
      <c r="X617" s="0" t="n">
        <v>6</v>
      </c>
      <c r="Y617" s="0" t="n">
        <v>5</v>
      </c>
      <c r="Z617" s="0" t="inlineStr">
        <is>
          <t>https://new.land.naver.com/complexes/112114?tab=detail&amp;rf=Y</t>
        </is>
      </c>
      <c r="AA617" s="0" t="inlineStr">
        <is>
          <t>인천시 서구 마전동 1018-2</t>
        </is>
      </c>
      <c r="AB617" s="0" t="inlineStr">
        <is>
          <t>인천시</t>
        </is>
      </c>
      <c r="AC617" s="0" t="inlineStr">
        <is>
          <t>서구</t>
        </is>
      </c>
      <c r="AD617" s="0" t="inlineStr">
        <is>
          <t>마전동</t>
        </is>
      </c>
      <c r="AG617" s="0" t="inlineStr">
        <is>
          <t>인천시 서구 완정로7번길 20</t>
        </is>
      </c>
      <c r="AH617" s="0" t="n">
        <v>0</v>
      </c>
      <c r="AI617" s="0" t="n">
        <v>0</v>
      </c>
      <c r="AJ617" s="0" t="n">
        <v>0</v>
      </c>
      <c r="AK617" s="0" t="n">
        <v>0</v>
      </c>
      <c r="AL617" s="0" t="n">
        <v>0</v>
      </c>
    </row>
    <row r="618">
      <c r="A618" s="0" t="inlineStr">
        <is>
          <t>[마전동]</t>
        </is>
      </c>
      <c r="B618" s="0" t="n">
        <v>112114</v>
      </c>
      <c r="C618" s="0" t="n">
        <v>2</v>
      </c>
      <c r="D618" s="0" t="inlineStr">
        <is>
          <t>창우아이빌(1018-2,도시형)</t>
        </is>
      </c>
      <c r="E618" s="0" t="inlineStr">
        <is>
          <t>2012.05.</t>
        </is>
      </c>
      <c r="F618" s="0" t="n">
        <v>57</v>
      </c>
      <c r="G618" s="0" t="n">
        <v>22.46</v>
      </c>
      <c r="H618" s="0" t="n">
        <v>74.26000000000001</v>
      </c>
      <c r="I618" s="0" t="n">
        <v>20.24</v>
      </c>
      <c r="J618" s="0" t="n">
        <v>66.91</v>
      </c>
      <c r="K618" s="0" t="n">
        <v>4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74B</t>
        </is>
      </c>
      <c r="X618" s="0" t="n">
        <v>6</v>
      </c>
      <c r="Y618" s="0" t="n">
        <v>5</v>
      </c>
      <c r="Z618" s="0" t="inlineStr">
        <is>
          <t>https://new.land.naver.com/complexes/112114?tab=detail&amp;rf=Y</t>
        </is>
      </c>
      <c r="AA618" s="0" t="inlineStr">
        <is>
          <t>인천시 서구 마전동 1018-2</t>
        </is>
      </c>
      <c r="AB618" s="0" t="inlineStr">
        <is>
          <t>인천시</t>
        </is>
      </c>
      <c r="AC618" s="0" t="inlineStr">
        <is>
          <t>서구</t>
        </is>
      </c>
      <c r="AD618" s="0" t="inlineStr">
        <is>
          <t>마전동</t>
        </is>
      </c>
      <c r="AG618" s="0" t="inlineStr">
        <is>
          <t>인천시 서구 완정로7번길 20</t>
        </is>
      </c>
      <c r="AH618" s="0" t="n">
        <v>0</v>
      </c>
      <c r="AI618" s="0" t="n">
        <v>0</v>
      </c>
      <c r="AJ618" s="0" t="n">
        <v>0</v>
      </c>
      <c r="AK618" s="0" t="n">
        <v>0</v>
      </c>
      <c r="AL618" s="0" t="n">
        <v>0</v>
      </c>
    </row>
    <row r="619">
      <c r="A619" s="0" t="inlineStr">
        <is>
          <t>[마전동]</t>
        </is>
      </c>
      <c r="B619" s="0" t="n">
        <v>112114</v>
      </c>
      <c r="C619" s="0" t="n">
        <v>3</v>
      </c>
      <c r="D619" s="0" t="inlineStr">
        <is>
          <t>창우아이빌(1018-2,도시형)</t>
        </is>
      </c>
      <c r="E619" s="0" t="inlineStr">
        <is>
          <t>2012.05.</t>
        </is>
      </c>
      <c r="F619" s="0" t="n">
        <v>57</v>
      </c>
      <c r="G619" s="0" t="n">
        <v>23.1</v>
      </c>
      <c r="H619" s="0" t="n">
        <v>76.38</v>
      </c>
      <c r="I619" s="0" t="n">
        <v>20.81</v>
      </c>
      <c r="J619" s="0" t="n">
        <v>68.81999999999999</v>
      </c>
      <c r="K619" s="0" t="n">
        <v>4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76B</t>
        </is>
      </c>
      <c r="X619" s="0" t="n">
        <v>6</v>
      </c>
      <c r="Y619" s="0" t="n">
        <v>5</v>
      </c>
      <c r="Z619" s="0" t="inlineStr">
        <is>
          <t>https://new.land.naver.com/complexes/112114?tab=detail&amp;rf=Y</t>
        </is>
      </c>
      <c r="AA619" s="0" t="inlineStr">
        <is>
          <t>인천시 서구 마전동 1018-2</t>
        </is>
      </c>
      <c r="AB619" s="0" t="inlineStr">
        <is>
          <t>인천시</t>
        </is>
      </c>
      <c r="AC619" s="0" t="inlineStr">
        <is>
          <t>서구</t>
        </is>
      </c>
      <c r="AD619" s="0" t="inlineStr">
        <is>
          <t>마전동</t>
        </is>
      </c>
      <c r="AG619" s="0" t="inlineStr">
        <is>
          <t>인천시 서구 완정로7번길 20</t>
        </is>
      </c>
      <c r="AH619" s="0" t="n">
        <v>0</v>
      </c>
      <c r="AI619" s="0" t="n">
        <v>0</v>
      </c>
      <c r="AJ619" s="0" t="n">
        <v>0</v>
      </c>
      <c r="AK619" s="0" t="n">
        <v>0</v>
      </c>
      <c r="AL619" s="0" t="n">
        <v>0</v>
      </c>
    </row>
    <row r="620">
      <c r="A620" s="0" t="inlineStr">
        <is>
          <t>[마전동]</t>
        </is>
      </c>
      <c r="B620" s="0" t="n">
        <v>112114</v>
      </c>
      <c r="C620" s="0" t="n">
        <v>4</v>
      </c>
      <c r="D620" s="0" t="inlineStr">
        <is>
          <t>창우아이빌(1018-2,도시형)</t>
        </is>
      </c>
      <c r="E620" s="0" t="inlineStr">
        <is>
          <t>2012.05.</t>
        </is>
      </c>
      <c r="F620" s="0" t="n">
        <v>57</v>
      </c>
      <c r="G620" s="0" t="n">
        <v>23.42</v>
      </c>
      <c r="H620" s="0" t="n">
        <v>77.45</v>
      </c>
      <c r="I620" s="0" t="n">
        <v>20.73</v>
      </c>
      <c r="J620" s="0" t="n">
        <v>68.55</v>
      </c>
      <c r="K620" s="0" t="n">
        <v>5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77A</t>
        </is>
      </c>
      <c r="X620" s="0" t="n">
        <v>6</v>
      </c>
      <c r="Y620" s="0" t="n">
        <v>5</v>
      </c>
      <c r="Z620" s="0" t="inlineStr">
        <is>
          <t>https://new.land.naver.com/complexes/112114?tab=detail&amp;rf=Y</t>
        </is>
      </c>
      <c r="AA620" s="0" t="inlineStr">
        <is>
          <t>인천시 서구 마전동 1018-2</t>
        </is>
      </c>
      <c r="AB620" s="0" t="inlineStr">
        <is>
          <t>인천시</t>
        </is>
      </c>
      <c r="AC620" s="0" t="inlineStr">
        <is>
          <t>서구</t>
        </is>
      </c>
      <c r="AD620" s="0" t="inlineStr">
        <is>
          <t>마전동</t>
        </is>
      </c>
      <c r="AG620" s="0" t="inlineStr">
        <is>
          <t>인천시 서구 완정로7번길 20</t>
        </is>
      </c>
      <c r="AH620" s="0" t="n">
        <v>0</v>
      </c>
      <c r="AI620" s="0" t="n">
        <v>0</v>
      </c>
      <c r="AJ620" s="0" t="n">
        <v>0</v>
      </c>
      <c r="AK620" s="0" t="n">
        <v>0</v>
      </c>
      <c r="AL620" s="0" t="n">
        <v>0</v>
      </c>
    </row>
    <row r="621">
      <c r="A621" s="0" t="inlineStr">
        <is>
          <t>[마전동]</t>
        </is>
      </c>
      <c r="B621" s="0" t="n">
        <v>112114</v>
      </c>
      <c r="C621" s="0" t="n">
        <v>5</v>
      </c>
      <c r="D621" s="0" t="inlineStr">
        <is>
          <t>창우아이빌(1018-2,도시형)</t>
        </is>
      </c>
      <c r="E621" s="0" t="inlineStr">
        <is>
          <t>2012.05.</t>
        </is>
      </c>
      <c r="F621" s="0" t="n">
        <v>57</v>
      </c>
      <c r="G621" s="0" t="n">
        <v>23.4</v>
      </c>
      <c r="H621" s="0" t="n">
        <v>77.38</v>
      </c>
      <c r="I621" s="0" t="n">
        <v>21.09</v>
      </c>
      <c r="J621" s="0" t="n">
        <v>69.73</v>
      </c>
      <c r="K621" s="0" t="n">
        <v>4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77B</t>
        </is>
      </c>
      <c r="X621" s="0" t="n">
        <v>6</v>
      </c>
      <c r="Y621" s="0" t="n">
        <v>5</v>
      </c>
      <c r="Z621" s="0" t="inlineStr">
        <is>
          <t>https://new.land.naver.com/complexes/112114?tab=detail&amp;rf=Y</t>
        </is>
      </c>
      <c r="AA621" s="0" t="inlineStr">
        <is>
          <t>인천시 서구 마전동 1018-2</t>
        </is>
      </c>
      <c r="AB621" s="0" t="inlineStr">
        <is>
          <t>인천시</t>
        </is>
      </c>
      <c r="AC621" s="0" t="inlineStr">
        <is>
          <t>서구</t>
        </is>
      </c>
      <c r="AD621" s="0" t="inlineStr">
        <is>
          <t>마전동</t>
        </is>
      </c>
      <c r="AG621" s="0" t="inlineStr">
        <is>
          <t>인천시 서구 완정로7번길 20</t>
        </is>
      </c>
      <c r="AH621" s="0" t="n">
        <v>0</v>
      </c>
      <c r="AI621" s="0" t="n">
        <v>0</v>
      </c>
      <c r="AJ621" s="0" t="n">
        <v>0</v>
      </c>
      <c r="AK621" s="0" t="n">
        <v>0</v>
      </c>
      <c r="AL621" s="0" t="n">
        <v>0</v>
      </c>
    </row>
    <row r="622">
      <c r="A622" s="0" t="inlineStr">
        <is>
          <t>[마전동]</t>
        </is>
      </c>
      <c r="B622" s="0" t="n">
        <v>112114</v>
      </c>
      <c r="C622" s="0" t="n">
        <v>6</v>
      </c>
      <c r="D622" s="0" t="inlineStr">
        <is>
          <t>창우아이빌(1018-2,도시형)</t>
        </is>
      </c>
      <c r="E622" s="0" t="inlineStr">
        <is>
          <t>2012.05.</t>
        </is>
      </c>
      <c r="F622" s="0" t="n">
        <v>57</v>
      </c>
      <c r="G622" s="0" t="n">
        <v>23.46</v>
      </c>
      <c r="H622" s="0" t="n">
        <v>77.56</v>
      </c>
      <c r="I622" s="0" t="n">
        <v>21.14</v>
      </c>
      <c r="J622" s="0" t="n">
        <v>69.89</v>
      </c>
      <c r="K622" s="0" t="n">
        <v>4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77C</t>
        </is>
      </c>
      <c r="X622" s="0" t="n">
        <v>6</v>
      </c>
      <c r="Y622" s="0" t="n">
        <v>5</v>
      </c>
      <c r="Z622" s="0" t="inlineStr">
        <is>
          <t>https://new.land.naver.com/complexes/112114?tab=detail&amp;rf=Y</t>
        </is>
      </c>
      <c r="AA622" s="0" t="inlineStr">
        <is>
          <t>인천시 서구 마전동 1018-2</t>
        </is>
      </c>
      <c r="AB622" s="0" t="inlineStr">
        <is>
          <t>인천시</t>
        </is>
      </c>
      <c r="AC622" s="0" t="inlineStr">
        <is>
          <t>서구</t>
        </is>
      </c>
      <c r="AD622" s="0" t="inlineStr">
        <is>
          <t>마전동</t>
        </is>
      </c>
      <c r="AG622" s="0" t="inlineStr">
        <is>
          <t>인천시 서구 완정로7번길 20</t>
        </is>
      </c>
      <c r="AH622" s="0" t="n">
        <v>0</v>
      </c>
      <c r="AI622" s="0" t="n">
        <v>0</v>
      </c>
      <c r="AJ622" s="0" t="n">
        <v>0</v>
      </c>
      <c r="AK622" s="0" t="n">
        <v>0</v>
      </c>
      <c r="AL622" s="0" t="n">
        <v>0</v>
      </c>
    </row>
    <row r="623">
      <c r="A623" s="0" t="inlineStr">
        <is>
          <t>[마전동]</t>
        </is>
      </c>
      <c r="B623" s="0" t="n">
        <v>112114</v>
      </c>
      <c r="C623" s="0" t="n">
        <v>7</v>
      </c>
      <c r="D623" s="0" t="inlineStr">
        <is>
          <t>창우아이빌(1018-2,도시형)</t>
        </is>
      </c>
      <c r="E623" s="0" t="inlineStr">
        <is>
          <t>2012.05.</t>
        </is>
      </c>
      <c r="F623" s="0" t="n">
        <v>57</v>
      </c>
      <c r="G623" s="0" t="n">
        <v>23.42</v>
      </c>
      <c r="H623" s="0" t="n">
        <v>77.43000000000001</v>
      </c>
      <c r="I623" s="0" t="n">
        <v>21.1</v>
      </c>
      <c r="J623" s="0" t="n">
        <v>69.77</v>
      </c>
      <c r="K623" s="0" t="n">
        <v>4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77D</t>
        </is>
      </c>
      <c r="X623" s="0" t="n">
        <v>6</v>
      </c>
      <c r="Y623" s="0" t="n">
        <v>5</v>
      </c>
      <c r="Z623" s="0" t="inlineStr">
        <is>
          <t>https://new.land.naver.com/complexes/112114?tab=detail&amp;rf=Y</t>
        </is>
      </c>
      <c r="AA623" s="0" t="inlineStr">
        <is>
          <t>인천시 서구 마전동 1018-2</t>
        </is>
      </c>
      <c r="AB623" s="0" t="inlineStr">
        <is>
          <t>인천시</t>
        </is>
      </c>
      <c r="AC623" s="0" t="inlineStr">
        <is>
          <t>서구</t>
        </is>
      </c>
      <c r="AD623" s="0" t="inlineStr">
        <is>
          <t>마전동</t>
        </is>
      </c>
      <c r="AG623" s="0" t="inlineStr">
        <is>
          <t>인천시 서구 완정로7번길 20</t>
        </is>
      </c>
      <c r="AH623" s="0" t="n">
        <v>0</v>
      </c>
      <c r="AI623" s="0" t="n">
        <v>0</v>
      </c>
      <c r="AJ623" s="0" t="n">
        <v>0</v>
      </c>
      <c r="AK623" s="0" t="n">
        <v>0</v>
      </c>
      <c r="AL623" s="0" t="n">
        <v>0</v>
      </c>
    </row>
    <row r="624">
      <c r="A624" s="0" t="inlineStr">
        <is>
          <t>[마전동]</t>
        </is>
      </c>
      <c r="B624" s="0" t="n">
        <v>112114</v>
      </c>
      <c r="C624" s="0" t="n">
        <v>8</v>
      </c>
      <c r="D624" s="0" t="inlineStr">
        <is>
          <t>창우아이빌(1018-2,도시형)</t>
        </is>
      </c>
      <c r="E624" s="0" t="inlineStr">
        <is>
          <t>2012.05.</t>
        </is>
      </c>
      <c r="F624" s="0" t="n">
        <v>57</v>
      </c>
      <c r="G624" s="0" t="n">
        <v>23.81</v>
      </c>
      <c r="H624" s="0" t="n">
        <v>78.72</v>
      </c>
      <c r="I624" s="0" t="n">
        <v>21.07</v>
      </c>
      <c r="J624" s="0" t="n">
        <v>69.67</v>
      </c>
      <c r="K624" s="0" t="n">
        <v>5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78A</t>
        </is>
      </c>
      <c r="X624" s="0" t="n">
        <v>6</v>
      </c>
      <c r="Y624" s="0" t="n">
        <v>5</v>
      </c>
      <c r="Z624" s="0" t="inlineStr">
        <is>
          <t>https://new.land.naver.com/complexes/112114?tab=detail&amp;rf=Y</t>
        </is>
      </c>
      <c r="AA624" s="0" t="inlineStr">
        <is>
          <t>인천시 서구 마전동 1018-2</t>
        </is>
      </c>
      <c r="AB624" s="0" t="inlineStr">
        <is>
          <t>인천시</t>
        </is>
      </c>
      <c r="AC624" s="0" t="inlineStr">
        <is>
          <t>서구</t>
        </is>
      </c>
      <c r="AD624" s="0" t="inlineStr">
        <is>
          <t>마전동</t>
        </is>
      </c>
      <c r="AG624" s="0" t="inlineStr">
        <is>
          <t>인천시 서구 완정로7번길 20</t>
        </is>
      </c>
      <c r="AH624" s="0" t="n">
        <v>0</v>
      </c>
      <c r="AI624" s="0" t="n">
        <v>0</v>
      </c>
      <c r="AJ624" s="0" t="n">
        <v>0</v>
      </c>
      <c r="AK624" s="0" t="n">
        <v>0</v>
      </c>
      <c r="AL624" s="0" t="n">
        <v>0</v>
      </c>
    </row>
    <row r="625">
      <c r="A625" s="0" t="inlineStr">
        <is>
          <t>[마전동]</t>
        </is>
      </c>
      <c r="B625" s="0" t="n">
        <v>112114</v>
      </c>
      <c r="C625" s="0" t="n">
        <v>9</v>
      </c>
      <c r="D625" s="0" t="inlineStr">
        <is>
          <t>창우아이빌(1018-2,도시형)</t>
        </is>
      </c>
      <c r="E625" s="0" t="inlineStr">
        <is>
          <t>2012.05.</t>
        </is>
      </c>
      <c r="F625" s="0" t="n">
        <v>57</v>
      </c>
      <c r="G625" s="0" t="n">
        <v>23.86</v>
      </c>
      <c r="H625" s="0" t="n">
        <v>78.88</v>
      </c>
      <c r="I625" s="0" t="n">
        <v>21.11</v>
      </c>
      <c r="J625" s="0" t="n">
        <v>69.81</v>
      </c>
      <c r="K625" s="0" t="n">
        <v>5</v>
      </c>
      <c r="T625" s="0" t="n">
        <v>3</v>
      </c>
      <c r="U625" s="0" t="n">
        <v>2</v>
      </c>
      <c r="V625" s="0" t="inlineStr">
        <is>
          <t>계단식</t>
        </is>
      </c>
      <c r="W625" s="0" t="inlineStr">
        <is>
          <t>78F</t>
        </is>
      </c>
      <c r="X625" s="0" t="n">
        <v>6</v>
      </c>
      <c r="Y625" s="0" t="n">
        <v>5</v>
      </c>
      <c r="Z625" s="0" t="inlineStr">
        <is>
          <t>https://new.land.naver.com/complexes/112114?tab=detail&amp;rf=Y</t>
        </is>
      </c>
      <c r="AA625" s="0" t="inlineStr">
        <is>
          <t>인천시 서구 마전동 1018-2</t>
        </is>
      </c>
      <c r="AB625" s="0" t="inlineStr">
        <is>
          <t>인천시</t>
        </is>
      </c>
      <c r="AC625" s="0" t="inlineStr">
        <is>
          <t>서구</t>
        </is>
      </c>
      <c r="AD625" s="0" t="inlineStr">
        <is>
          <t>마전동</t>
        </is>
      </c>
      <c r="AG625" s="0" t="inlineStr">
        <is>
          <t>인천시 서구 완정로7번길 20</t>
        </is>
      </c>
      <c r="AH625" s="0" t="n">
        <v>0</v>
      </c>
      <c r="AI625" s="0" t="n">
        <v>0</v>
      </c>
      <c r="AJ625" s="0" t="n">
        <v>0</v>
      </c>
      <c r="AK625" s="0" t="n">
        <v>0</v>
      </c>
      <c r="AL625" s="0" t="n">
        <v>0</v>
      </c>
    </row>
    <row r="626">
      <c r="A626" s="0" t="inlineStr">
        <is>
          <t>[마전동]</t>
        </is>
      </c>
      <c r="B626" s="0" t="n">
        <v>112114</v>
      </c>
      <c r="C626" s="0" t="n">
        <v>10</v>
      </c>
      <c r="D626" s="0" t="inlineStr">
        <is>
          <t>창우아이빌(1018-2,도시형)</t>
        </is>
      </c>
      <c r="E626" s="0" t="inlineStr">
        <is>
          <t>2012.05.</t>
        </is>
      </c>
      <c r="F626" s="0" t="n">
        <v>57</v>
      </c>
      <c r="G626" s="0" t="n">
        <v>23.68</v>
      </c>
      <c r="H626" s="0" t="n">
        <v>78.29000000000001</v>
      </c>
      <c r="I626" s="0" t="n">
        <v>21.34</v>
      </c>
      <c r="J626" s="0" t="n">
        <v>70.55</v>
      </c>
      <c r="K626" s="0" t="n">
        <v>4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78J</t>
        </is>
      </c>
      <c r="X626" s="0" t="n">
        <v>6</v>
      </c>
      <c r="Y626" s="0" t="n">
        <v>5</v>
      </c>
      <c r="Z626" s="0" t="inlineStr">
        <is>
          <t>https://new.land.naver.com/complexes/112114?tab=detail&amp;rf=Y</t>
        </is>
      </c>
      <c r="AA626" s="0" t="inlineStr">
        <is>
          <t>인천시 서구 마전동 1018-2</t>
        </is>
      </c>
      <c r="AB626" s="0" t="inlineStr">
        <is>
          <t>인천시</t>
        </is>
      </c>
      <c r="AC626" s="0" t="inlineStr">
        <is>
          <t>서구</t>
        </is>
      </c>
      <c r="AD626" s="0" t="inlineStr">
        <is>
          <t>마전동</t>
        </is>
      </c>
      <c r="AG626" s="0" t="inlineStr">
        <is>
          <t>인천시 서구 완정로7번길 20</t>
        </is>
      </c>
      <c r="AH626" s="0" t="n">
        <v>0</v>
      </c>
      <c r="AI626" s="0" t="n">
        <v>0</v>
      </c>
      <c r="AJ626" s="0" t="n">
        <v>0</v>
      </c>
      <c r="AK626" s="0" t="n">
        <v>0</v>
      </c>
      <c r="AL626" s="0" t="n">
        <v>0</v>
      </c>
    </row>
    <row r="627">
      <c r="A627" s="0" t="inlineStr">
        <is>
          <t>[마전동]</t>
        </is>
      </c>
      <c r="B627" s="0" t="n">
        <v>112114</v>
      </c>
      <c r="C627" s="0" t="n">
        <v>11</v>
      </c>
      <c r="D627" s="0" t="inlineStr">
        <is>
          <t>창우아이빌(1018-2,도시형)</t>
        </is>
      </c>
      <c r="E627" s="0" t="inlineStr">
        <is>
          <t>2012.05.</t>
        </is>
      </c>
      <c r="F627" s="0" t="n">
        <v>57</v>
      </c>
      <c r="G627" s="0" t="n">
        <v>23.83</v>
      </c>
      <c r="H627" s="0" t="n">
        <v>78.8</v>
      </c>
      <c r="I627" s="0" t="n">
        <v>21.09</v>
      </c>
      <c r="J627" s="0" t="n">
        <v>69.73999999999999</v>
      </c>
      <c r="K627" s="0" t="n">
        <v>1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78C</t>
        </is>
      </c>
      <c r="X627" s="0" t="n">
        <v>6</v>
      </c>
      <c r="Y627" s="0" t="n">
        <v>5</v>
      </c>
      <c r="Z627" s="0" t="inlineStr">
        <is>
          <t>https://new.land.naver.com/complexes/112114?tab=detail&amp;rf=Y</t>
        </is>
      </c>
      <c r="AA627" s="0" t="inlineStr">
        <is>
          <t>인천시 서구 마전동 1018-2</t>
        </is>
      </c>
      <c r="AB627" s="0" t="inlineStr">
        <is>
          <t>인천시</t>
        </is>
      </c>
      <c r="AC627" s="0" t="inlineStr">
        <is>
          <t>서구</t>
        </is>
      </c>
      <c r="AD627" s="0" t="inlineStr">
        <is>
          <t>마전동</t>
        </is>
      </c>
      <c r="AG627" s="0" t="inlineStr">
        <is>
          <t>인천시 서구 완정로7번길 20</t>
        </is>
      </c>
      <c r="AH627" s="0" t="n">
        <v>0</v>
      </c>
      <c r="AI627" s="0" t="n">
        <v>0</v>
      </c>
      <c r="AJ627" s="0" t="n">
        <v>0</v>
      </c>
      <c r="AK627" s="0" t="n">
        <v>0</v>
      </c>
      <c r="AL627" s="0" t="n">
        <v>0</v>
      </c>
    </row>
    <row r="628">
      <c r="A628" s="0" t="inlineStr">
        <is>
          <t>[마전동]</t>
        </is>
      </c>
      <c r="B628" s="0" t="n">
        <v>112114</v>
      </c>
      <c r="C628" s="0" t="n">
        <v>12</v>
      </c>
      <c r="D628" s="0" t="inlineStr">
        <is>
          <t>창우아이빌(1018-2,도시형)</t>
        </is>
      </c>
      <c r="E628" s="0" t="inlineStr">
        <is>
          <t>2012.05.</t>
        </is>
      </c>
      <c r="F628" s="0" t="n">
        <v>57</v>
      </c>
      <c r="G628" s="0" t="n">
        <v>23.85</v>
      </c>
      <c r="H628" s="0" t="n">
        <v>78.86</v>
      </c>
      <c r="I628" s="0" t="n">
        <v>21.11</v>
      </c>
      <c r="J628" s="0" t="n">
        <v>69.8</v>
      </c>
      <c r="K628" s="0" t="n">
        <v>1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78E</t>
        </is>
      </c>
      <c r="X628" s="0" t="n">
        <v>6</v>
      </c>
      <c r="Y628" s="0" t="n">
        <v>5</v>
      </c>
      <c r="Z628" s="0" t="inlineStr">
        <is>
          <t>https://new.land.naver.com/complexes/112114?tab=detail&amp;rf=Y</t>
        </is>
      </c>
      <c r="AA628" s="0" t="inlineStr">
        <is>
          <t>인천시 서구 마전동 1018-2</t>
        </is>
      </c>
      <c r="AB628" s="0" t="inlineStr">
        <is>
          <t>인천시</t>
        </is>
      </c>
      <c r="AC628" s="0" t="inlineStr">
        <is>
          <t>서구</t>
        </is>
      </c>
      <c r="AD628" s="0" t="inlineStr">
        <is>
          <t>마전동</t>
        </is>
      </c>
      <c r="AG628" s="0" t="inlineStr">
        <is>
          <t>인천시 서구 완정로7번길 20</t>
        </is>
      </c>
      <c r="AH628" s="0" t="n">
        <v>0</v>
      </c>
      <c r="AI628" s="0" t="n">
        <v>0</v>
      </c>
      <c r="AJ628" s="0" t="n">
        <v>0</v>
      </c>
      <c r="AK628" s="0" t="n">
        <v>0</v>
      </c>
      <c r="AL628" s="0" t="n">
        <v>0</v>
      </c>
    </row>
    <row r="629">
      <c r="A629" s="0" t="inlineStr">
        <is>
          <t>[마전동]</t>
        </is>
      </c>
      <c r="B629" s="0" t="n">
        <v>112114</v>
      </c>
      <c r="C629" s="0" t="n">
        <v>13</v>
      </c>
      <c r="D629" s="0" t="inlineStr">
        <is>
          <t>창우아이빌(1018-2,도시형)</t>
        </is>
      </c>
      <c r="E629" s="0" t="inlineStr">
        <is>
          <t>2012.05.</t>
        </is>
      </c>
      <c r="F629" s="0" t="n">
        <v>57</v>
      </c>
      <c r="G629" s="0" t="n">
        <v>23.91</v>
      </c>
      <c r="H629" s="0" t="n">
        <v>79.06999999999999</v>
      </c>
      <c r="I629" s="0" t="n">
        <v>21.16</v>
      </c>
      <c r="J629" s="0" t="n">
        <v>69.98</v>
      </c>
      <c r="K629" s="0" t="n">
        <v>6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79I</t>
        </is>
      </c>
      <c r="X629" s="0" t="n">
        <v>6</v>
      </c>
      <c r="Y629" s="0" t="n">
        <v>5</v>
      </c>
      <c r="Z629" s="0" t="inlineStr">
        <is>
          <t>https://new.land.naver.com/complexes/112114?tab=detail&amp;rf=Y</t>
        </is>
      </c>
      <c r="AA629" s="0" t="inlineStr">
        <is>
          <t>인천시 서구 마전동 1018-2</t>
        </is>
      </c>
      <c r="AB629" s="0" t="inlineStr">
        <is>
          <t>인천시</t>
        </is>
      </c>
      <c r="AC629" s="0" t="inlineStr">
        <is>
          <t>서구</t>
        </is>
      </c>
      <c r="AD629" s="0" t="inlineStr">
        <is>
          <t>마전동</t>
        </is>
      </c>
      <c r="AG629" s="0" t="inlineStr">
        <is>
          <t>인천시 서구 완정로7번길 20</t>
        </is>
      </c>
      <c r="AH629" s="0" t="n">
        <v>0</v>
      </c>
      <c r="AI629" s="0" t="n">
        <v>0</v>
      </c>
      <c r="AJ629" s="0" t="n">
        <v>0</v>
      </c>
      <c r="AK629" s="0" t="n">
        <v>0</v>
      </c>
      <c r="AL629" s="0" t="n">
        <v>0</v>
      </c>
    </row>
    <row r="630">
      <c r="A630" s="0" t="inlineStr">
        <is>
          <t>[마전동]</t>
        </is>
      </c>
      <c r="B630" s="0" t="n">
        <v>112114</v>
      </c>
      <c r="C630" s="0" t="n">
        <v>14</v>
      </c>
      <c r="D630" s="0" t="inlineStr">
        <is>
          <t>창우아이빌(1018-2,도시형)</t>
        </is>
      </c>
      <c r="E630" s="0" t="inlineStr">
        <is>
          <t>2012.05.</t>
        </is>
      </c>
      <c r="F630" s="0" t="n">
        <v>57</v>
      </c>
      <c r="G630" s="0" t="n">
        <v>23.9</v>
      </c>
      <c r="H630" s="0" t="n">
        <v>79.02</v>
      </c>
      <c r="I630" s="0" t="n">
        <v>21.15</v>
      </c>
      <c r="J630" s="0" t="n">
        <v>69.94</v>
      </c>
      <c r="K630" s="0" t="n">
        <v>5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79G</t>
        </is>
      </c>
      <c r="X630" s="0" t="n">
        <v>6</v>
      </c>
      <c r="Y630" s="0" t="n">
        <v>5</v>
      </c>
      <c r="Z630" s="0" t="inlineStr">
        <is>
          <t>https://new.land.naver.com/complexes/112114?tab=detail&amp;rf=Y</t>
        </is>
      </c>
      <c r="AA630" s="0" t="inlineStr">
        <is>
          <t>인천시 서구 마전동 1018-2</t>
        </is>
      </c>
      <c r="AB630" s="0" t="inlineStr">
        <is>
          <t>인천시</t>
        </is>
      </c>
      <c r="AC630" s="0" t="inlineStr">
        <is>
          <t>서구</t>
        </is>
      </c>
      <c r="AD630" s="0" t="inlineStr">
        <is>
          <t>마전동</t>
        </is>
      </c>
      <c r="AG630" s="0" t="inlineStr">
        <is>
          <t>인천시 서구 완정로7번길 20</t>
        </is>
      </c>
      <c r="AH630" s="0" t="n">
        <v>0</v>
      </c>
      <c r="AI630" s="0" t="n">
        <v>0</v>
      </c>
      <c r="AJ630" s="0" t="n">
        <v>0</v>
      </c>
      <c r="AK630" s="0" t="n">
        <v>0</v>
      </c>
      <c r="AL630" s="0" t="n">
        <v>0</v>
      </c>
    </row>
    <row r="631">
      <c r="A631" s="0" t="inlineStr">
        <is>
          <t>[마전동]</t>
        </is>
      </c>
      <c r="B631" s="0" t="n">
        <v>112114</v>
      </c>
      <c r="C631" s="0" t="n">
        <v>15</v>
      </c>
      <c r="D631" s="0" t="inlineStr">
        <is>
          <t>창우아이빌(1018-2,도시형)</t>
        </is>
      </c>
      <c r="E631" s="0" t="inlineStr">
        <is>
          <t>2012.05.</t>
        </is>
      </c>
      <c r="F631" s="0" t="n">
        <v>57</v>
      </c>
      <c r="G631" s="0" t="n">
        <v>23.91</v>
      </c>
      <c r="H631" s="0" t="n">
        <v>79.06</v>
      </c>
      <c r="I631" s="0" t="n">
        <v>21.16</v>
      </c>
      <c r="J631" s="0" t="n">
        <v>69.97</v>
      </c>
      <c r="K631" s="0" t="n">
        <v>1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79H</t>
        </is>
      </c>
      <c r="X631" s="0" t="n">
        <v>6</v>
      </c>
      <c r="Y631" s="0" t="n">
        <v>5</v>
      </c>
      <c r="Z631" s="0" t="inlineStr">
        <is>
          <t>https://new.land.naver.com/complexes/112114?tab=detail&amp;rf=Y</t>
        </is>
      </c>
      <c r="AA631" s="0" t="inlineStr">
        <is>
          <t>인천시 서구 마전동 1018-2</t>
        </is>
      </c>
      <c r="AB631" s="0" t="inlineStr">
        <is>
          <t>인천시</t>
        </is>
      </c>
      <c r="AC631" s="0" t="inlineStr">
        <is>
          <t>서구</t>
        </is>
      </c>
      <c r="AD631" s="0" t="inlineStr">
        <is>
          <t>마전동</t>
        </is>
      </c>
      <c r="AG631" s="0" t="inlineStr">
        <is>
          <t>인천시 서구 완정로7번길 20</t>
        </is>
      </c>
      <c r="AH631" s="0" t="n">
        <v>0</v>
      </c>
      <c r="AI631" s="0" t="n">
        <v>0</v>
      </c>
      <c r="AJ631" s="0" t="n">
        <v>0</v>
      </c>
      <c r="AK631" s="0" t="n">
        <v>0</v>
      </c>
      <c r="AL631" s="0" t="n">
        <v>0</v>
      </c>
    </row>
    <row r="632">
      <c r="A632" s="0" t="inlineStr">
        <is>
          <t>[마전동]</t>
        </is>
      </c>
      <c r="B632" s="0" t="n">
        <v>18919</v>
      </c>
      <c r="C632" s="0" t="n">
        <v>1</v>
      </c>
      <c r="D632" s="0" t="inlineStr">
        <is>
          <t>검단1차피오레</t>
        </is>
      </c>
      <c r="E632" s="0" t="inlineStr">
        <is>
          <t>2007.01.</t>
        </is>
      </c>
      <c r="F632" s="0" t="n">
        <v>917</v>
      </c>
      <c r="G632" s="0" t="n">
        <v>30.21</v>
      </c>
      <c r="H632" s="0" t="n">
        <v>99.90000000000001</v>
      </c>
      <c r="I632" s="0" t="n">
        <v>23.4</v>
      </c>
      <c r="J632" s="0" t="n">
        <v>77.36</v>
      </c>
      <c r="K632" s="0" t="n">
        <v>45</v>
      </c>
      <c r="T632" s="0" t="n">
        <v>3</v>
      </c>
      <c r="U632" s="0" t="n">
        <v>2</v>
      </c>
      <c r="V632" s="0" t="inlineStr">
        <is>
          <t>계단식</t>
        </is>
      </c>
      <c r="W632" s="0" t="inlineStr">
        <is>
          <t>99A</t>
        </is>
      </c>
      <c r="X632" s="0" t="n">
        <v>15</v>
      </c>
      <c r="Y632" s="0" t="n">
        <v>10</v>
      </c>
      <c r="Z632" s="0" t="inlineStr">
        <is>
          <t>https://new.land.naver.com/complexes/18919?tab=detail&amp;rf=Y</t>
        </is>
      </c>
      <c r="AA632" s="0" t="inlineStr">
        <is>
          <t>인천시 서구 마전동 1029-2</t>
        </is>
      </c>
      <c r="AB632" s="0" t="inlineStr">
        <is>
          <t>인천시</t>
        </is>
      </c>
      <c r="AC632" s="0" t="inlineStr">
        <is>
          <t>서구</t>
        </is>
      </c>
      <c r="AD632" s="0" t="inlineStr">
        <is>
          <t>마전동</t>
        </is>
      </c>
      <c r="AG632" s="0" t="inlineStr">
        <is>
          <t>인천시 서구 완정로65번안길 10</t>
        </is>
      </c>
      <c r="AH632" s="0" t="n">
        <v>0</v>
      </c>
      <c r="AI632" s="0" t="n">
        <v>233</v>
      </c>
      <c r="AJ632" s="0" t="n">
        <v>20</v>
      </c>
      <c r="AK632" s="0" t="n">
        <v>1060</v>
      </c>
      <c r="AL632" s="0" t="n">
        <v>1.16</v>
      </c>
    </row>
    <row r="633">
      <c r="A633" s="0" t="inlineStr">
        <is>
          <t>[마전동]</t>
        </is>
      </c>
      <c r="B633" s="0" t="n">
        <v>18919</v>
      </c>
      <c r="C633" s="0" t="n">
        <v>2</v>
      </c>
      <c r="D633" s="0" t="inlineStr">
        <is>
          <t>검단1차피오레</t>
        </is>
      </c>
      <c r="E633" s="0" t="inlineStr">
        <is>
          <t>2007.01.</t>
        </is>
      </c>
      <c r="F633" s="0" t="n">
        <v>917</v>
      </c>
      <c r="G633" s="0" t="n">
        <v>30.21</v>
      </c>
      <c r="H633" s="0" t="n">
        <v>99.90000000000001</v>
      </c>
      <c r="I633" s="0" t="n">
        <v>23.4</v>
      </c>
      <c r="J633" s="0" t="n">
        <v>77.36</v>
      </c>
      <c r="K633" s="0" t="n">
        <v>15</v>
      </c>
      <c r="T633" s="0" t="n">
        <v>3</v>
      </c>
      <c r="U633" s="0" t="n">
        <v>2</v>
      </c>
      <c r="V633" s="0" t="inlineStr">
        <is>
          <t>계단식</t>
        </is>
      </c>
      <c r="W633" s="0" t="inlineStr">
        <is>
          <t>99B</t>
        </is>
      </c>
      <c r="X633" s="0" t="n">
        <v>15</v>
      </c>
      <c r="Y633" s="0" t="n">
        <v>10</v>
      </c>
      <c r="Z633" s="0" t="inlineStr">
        <is>
          <t>https://new.land.naver.com/complexes/18919?tab=detail&amp;rf=Y</t>
        </is>
      </c>
      <c r="AA633" s="0" t="inlineStr">
        <is>
          <t>인천시 서구 마전동 1029-2</t>
        </is>
      </c>
      <c r="AB633" s="0" t="inlineStr">
        <is>
          <t>인천시</t>
        </is>
      </c>
      <c r="AC633" s="0" t="inlineStr">
        <is>
          <t>서구</t>
        </is>
      </c>
      <c r="AD633" s="0" t="inlineStr">
        <is>
          <t>마전동</t>
        </is>
      </c>
      <c r="AG633" s="0" t="inlineStr">
        <is>
          <t>인천시 서구 완정로65번안길 10</t>
        </is>
      </c>
      <c r="AH633" s="0" t="n">
        <v>0</v>
      </c>
      <c r="AI633" s="0" t="n">
        <v>233</v>
      </c>
      <c r="AJ633" s="0" t="n">
        <v>20</v>
      </c>
      <c r="AK633" s="0" t="n">
        <v>1060</v>
      </c>
      <c r="AL633" s="0" t="n">
        <v>1.16</v>
      </c>
    </row>
    <row r="634">
      <c r="A634" s="0" t="inlineStr">
        <is>
          <t>[마전동]</t>
        </is>
      </c>
      <c r="B634" s="0" t="n">
        <v>18919</v>
      </c>
      <c r="C634" s="0" t="n">
        <v>3</v>
      </c>
      <c r="D634" s="0" t="inlineStr">
        <is>
          <t>검단1차피오레</t>
        </is>
      </c>
      <c r="E634" s="0" t="inlineStr">
        <is>
          <t>2007.01.</t>
        </is>
      </c>
      <c r="F634" s="0" t="n">
        <v>917</v>
      </c>
      <c r="G634" s="0" t="n">
        <v>34.27</v>
      </c>
      <c r="H634" s="0" t="n">
        <v>113.29</v>
      </c>
      <c r="I634" s="0" t="n">
        <v>25.7</v>
      </c>
      <c r="J634" s="0" t="n">
        <v>84.97</v>
      </c>
      <c r="K634" s="0" t="n">
        <v>681</v>
      </c>
      <c r="T634" s="0" t="n">
        <v>3</v>
      </c>
      <c r="U634" s="0" t="n">
        <v>2</v>
      </c>
      <c r="V634" s="0" t="inlineStr">
        <is>
          <t>계단식</t>
        </is>
      </c>
      <c r="W634" s="0" t="n">
        <v>113</v>
      </c>
      <c r="X634" s="0" t="n">
        <v>15</v>
      </c>
      <c r="Y634" s="0" t="n">
        <v>10</v>
      </c>
      <c r="Z634" s="0" t="inlineStr">
        <is>
          <t>https://new.land.naver.com/complexes/18919?tab=detail&amp;rf=Y</t>
        </is>
      </c>
      <c r="AA634" s="0" t="inlineStr">
        <is>
          <t>인천시 서구 마전동 1029-2</t>
        </is>
      </c>
      <c r="AB634" s="0" t="inlineStr">
        <is>
          <t>인천시</t>
        </is>
      </c>
      <c r="AC634" s="0" t="inlineStr">
        <is>
          <t>서구</t>
        </is>
      </c>
      <c r="AD634" s="0" t="inlineStr">
        <is>
          <t>마전동</t>
        </is>
      </c>
      <c r="AG634" s="0" t="inlineStr">
        <is>
          <t>인천시 서구 완정로65번안길 10</t>
        </is>
      </c>
      <c r="AH634" s="0" t="n">
        <v>0</v>
      </c>
      <c r="AI634" s="0" t="n">
        <v>233</v>
      </c>
      <c r="AJ634" s="0" t="n">
        <v>20</v>
      </c>
      <c r="AK634" s="0" t="n">
        <v>1060</v>
      </c>
      <c r="AL634" s="0" t="n">
        <v>1.16</v>
      </c>
    </row>
    <row r="635">
      <c r="A635" s="0" t="inlineStr">
        <is>
          <t>[마전동]</t>
        </is>
      </c>
      <c r="B635" s="0" t="n">
        <v>18919</v>
      </c>
      <c r="C635" s="0" t="n">
        <v>4</v>
      </c>
      <c r="D635" s="0" t="inlineStr">
        <is>
          <t>검단1차피오레</t>
        </is>
      </c>
      <c r="E635" s="0" t="inlineStr">
        <is>
          <t>2007.01.</t>
        </is>
      </c>
      <c r="F635" s="0" t="n">
        <v>917</v>
      </c>
      <c r="G635" s="0" t="n">
        <v>47.28</v>
      </c>
      <c r="H635" s="0" t="n">
        <v>156.3</v>
      </c>
      <c r="I635" s="0" t="n">
        <v>37.31</v>
      </c>
      <c r="J635" s="0" t="n">
        <v>123.36</v>
      </c>
      <c r="K635" s="0" t="n">
        <v>176</v>
      </c>
      <c r="T635" s="0" t="n">
        <v>4</v>
      </c>
      <c r="U635" s="0" t="n">
        <v>2</v>
      </c>
      <c r="V635" s="0" t="inlineStr">
        <is>
          <t>계단식</t>
        </is>
      </c>
      <c r="W635" s="0" t="n">
        <v>156</v>
      </c>
      <c r="X635" s="0" t="n">
        <v>15</v>
      </c>
      <c r="Y635" s="0" t="n">
        <v>10</v>
      </c>
      <c r="Z635" s="0" t="inlineStr">
        <is>
          <t>https://new.land.naver.com/complexes/18919?tab=detail&amp;rf=Y</t>
        </is>
      </c>
      <c r="AA635" s="0" t="inlineStr">
        <is>
          <t>인천시 서구 마전동 1029-2</t>
        </is>
      </c>
      <c r="AB635" s="0" t="inlineStr">
        <is>
          <t>인천시</t>
        </is>
      </c>
      <c r="AC635" s="0" t="inlineStr">
        <is>
          <t>서구</t>
        </is>
      </c>
      <c r="AD635" s="0" t="inlineStr">
        <is>
          <t>마전동</t>
        </is>
      </c>
      <c r="AG635" s="0" t="inlineStr">
        <is>
          <t>인천시 서구 완정로65번안길 10</t>
        </is>
      </c>
      <c r="AH635" s="0" t="n">
        <v>0</v>
      </c>
      <c r="AI635" s="0" t="n">
        <v>233</v>
      </c>
      <c r="AJ635" s="0" t="n">
        <v>20</v>
      </c>
      <c r="AK635" s="0" t="n">
        <v>1060</v>
      </c>
      <c r="AL635" s="0" t="n">
        <v>1.16</v>
      </c>
    </row>
    <row r="636">
      <c r="A636" s="0" t="inlineStr">
        <is>
          <t>[마전동]</t>
        </is>
      </c>
      <c r="B636" s="0" t="n">
        <v>18908</v>
      </c>
      <c r="C636" s="0" t="n">
        <v>1</v>
      </c>
      <c r="D636" s="0" t="inlineStr">
        <is>
          <t>마전풍림아이원3차</t>
        </is>
      </c>
      <c r="E636" s="0" t="inlineStr">
        <is>
          <t>2005.07.</t>
        </is>
      </c>
      <c r="F636" s="0" t="n">
        <v>309</v>
      </c>
      <c r="G636" s="0" t="n">
        <v>33.03</v>
      </c>
      <c r="H636" s="0" t="n">
        <v>109.21</v>
      </c>
      <c r="I636" s="0" t="n">
        <v>25.6</v>
      </c>
      <c r="J636" s="0" t="n">
        <v>84.66</v>
      </c>
      <c r="K636" s="0" t="n">
        <v>309</v>
      </c>
      <c r="T636" s="0" t="n">
        <v>3</v>
      </c>
      <c r="U636" s="0" t="n">
        <v>2</v>
      </c>
      <c r="V636" s="0" t="inlineStr">
        <is>
          <t>계단식</t>
        </is>
      </c>
      <c r="W636" s="0" t="n">
        <v>109</v>
      </c>
      <c r="X636" s="0" t="n">
        <v>12</v>
      </c>
      <c r="Y636" s="0" t="n">
        <v>9</v>
      </c>
      <c r="Z636" s="0" t="inlineStr">
        <is>
          <t>https://new.land.naver.com/complexes/18908?tab=detail&amp;rf=Y</t>
        </is>
      </c>
      <c r="AA636" s="0" t="inlineStr">
        <is>
          <t>인천시 서구 마전동 마전지구48블럭10롯트</t>
        </is>
      </c>
      <c r="AB636" s="0" t="inlineStr">
        <is>
          <t>인천시</t>
        </is>
      </c>
      <c r="AC636" s="0" t="inlineStr">
        <is>
          <t>서구</t>
        </is>
      </c>
      <c r="AD636" s="0" t="inlineStr">
        <is>
          <t>마전동</t>
        </is>
      </c>
      <c r="AG636" s="0" t="inlineStr">
        <is>
          <t>인천시 서구 가현로42번길 49</t>
        </is>
      </c>
      <c r="AH636" s="0" t="n">
        <v>0</v>
      </c>
      <c r="AI636" s="0" t="n">
        <v>183</v>
      </c>
      <c r="AJ636" s="0" t="n">
        <v>0</v>
      </c>
      <c r="AK636" s="0" t="n">
        <v>0</v>
      </c>
      <c r="AL636" s="0" t="n">
        <v>0</v>
      </c>
    </row>
    <row r="637">
      <c r="A637" s="0" t="inlineStr">
        <is>
          <t>[마전동]</t>
        </is>
      </c>
      <c r="B637" s="0" t="n">
        <v>100663</v>
      </c>
      <c r="C637" s="0" t="n">
        <v>1</v>
      </c>
      <c r="D637" s="0" t="inlineStr">
        <is>
          <t>이지2차미래지향1단지</t>
        </is>
      </c>
      <c r="E637" s="0" t="inlineStr">
        <is>
          <t>2009.11.</t>
        </is>
      </c>
      <c r="F637" s="0" t="n">
        <v>79</v>
      </c>
      <c r="G637" s="0" t="n">
        <v>34.16</v>
      </c>
      <c r="H637" s="0" t="n">
        <v>112.95</v>
      </c>
      <c r="I637" s="0" t="n">
        <v>25.7</v>
      </c>
      <c r="J637" s="0" t="n">
        <v>84.98</v>
      </c>
      <c r="K637" s="0" t="n">
        <v>63</v>
      </c>
      <c r="T637" s="0" t="n">
        <v>3</v>
      </c>
      <c r="U637" s="0" t="n">
        <v>2</v>
      </c>
      <c r="V637" s="0" t="inlineStr">
        <is>
          <t>계단식</t>
        </is>
      </c>
      <c r="W637" s="0" t="inlineStr">
        <is>
          <t>112A</t>
        </is>
      </c>
      <c r="X637" s="0" t="n">
        <v>10</v>
      </c>
      <c r="Y637" s="0" t="n">
        <v>10</v>
      </c>
      <c r="Z637" s="0" t="inlineStr">
        <is>
          <t>https://new.land.naver.com/complexes/100663?tab=detail&amp;rf=Y</t>
        </is>
      </c>
      <c r="AA637" s="0" t="inlineStr">
        <is>
          <t>인천시 서구 마전동 929-2</t>
        </is>
      </c>
      <c r="AB637" s="0" t="inlineStr">
        <is>
          <t>인천시</t>
        </is>
      </c>
      <c r="AC637" s="0" t="inlineStr">
        <is>
          <t>서구</t>
        </is>
      </c>
      <c r="AD637" s="0" t="inlineStr">
        <is>
          <t>마전동</t>
        </is>
      </c>
      <c r="AG637" s="0" t="inlineStr">
        <is>
          <t>인천시 서구 검단로511번길 24</t>
        </is>
      </c>
      <c r="AH637" s="0" t="n">
        <v>0</v>
      </c>
      <c r="AI637" s="0" t="n">
        <v>199</v>
      </c>
      <c r="AJ637" s="0" t="n">
        <v>29</v>
      </c>
      <c r="AK637" s="0" t="n">
        <v>83</v>
      </c>
      <c r="AL637" s="0" t="n">
        <v>1.05</v>
      </c>
    </row>
    <row r="638">
      <c r="A638" s="0" t="inlineStr">
        <is>
          <t>[마전동]</t>
        </is>
      </c>
      <c r="B638" s="0" t="n">
        <v>100663</v>
      </c>
      <c r="C638" s="0" t="n">
        <v>2</v>
      </c>
      <c r="D638" s="0" t="inlineStr">
        <is>
          <t>이지2차미래지향1단지</t>
        </is>
      </c>
      <c r="E638" s="0" t="inlineStr">
        <is>
          <t>2009.11.</t>
        </is>
      </c>
      <c r="F638" s="0" t="n">
        <v>79</v>
      </c>
      <c r="G638" s="0" t="n">
        <v>34.16</v>
      </c>
      <c r="H638" s="0" t="n">
        <v>112.93</v>
      </c>
      <c r="I638" s="0" t="n">
        <v>25.7</v>
      </c>
      <c r="J638" s="0" t="n">
        <v>84.95999999999999</v>
      </c>
      <c r="K638" s="0" t="n">
        <v>9</v>
      </c>
      <c r="T638" s="0" t="n">
        <v>3</v>
      </c>
      <c r="U638" s="0" t="n">
        <v>2</v>
      </c>
      <c r="V638" s="0" t="inlineStr">
        <is>
          <t>계단식</t>
        </is>
      </c>
      <c r="W638" s="0" t="inlineStr">
        <is>
          <t>112C</t>
        </is>
      </c>
      <c r="X638" s="0" t="n">
        <v>10</v>
      </c>
      <c r="Y638" s="0" t="n">
        <v>10</v>
      </c>
      <c r="Z638" s="0" t="inlineStr">
        <is>
          <t>https://new.land.naver.com/complexes/100663?tab=detail&amp;rf=Y</t>
        </is>
      </c>
      <c r="AA638" s="0" t="inlineStr">
        <is>
          <t>인천시 서구 마전동 929-2</t>
        </is>
      </c>
      <c r="AB638" s="0" t="inlineStr">
        <is>
          <t>인천시</t>
        </is>
      </c>
      <c r="AC638" s="0" t="inlineStr">
        <is>
          <t>서구</t>
        </is>
      </c>
      <c r="AD638" s="0" t="inlineStr">
        <is>
          <t>마전동</t>
        </is>
      </c>
      <c r="AG638" s="0" t="inlineStr">
        <is>
          <t>인천시 서구 검단로511번길 24</t>
        </is>
      </c>
      <c r="AH638" s="0" t="n">
        <v>0</v>
      </c>
      <c r="AI638" s="0" t="n">
        <v>199</v>
      </c>
      <c r="AJ638" s="0" t="n">
        <v>29</v>
      </c>
      <c r="AK638" s="0" t="n">
        <v>83</v>
      </c>
      <c r="AL638" s="0" t="n">
        <v>1.05</v>
      </c>
    </row>
    <row r="639">
      <c r="A639" s="0" t="inlineStr">
        <is>
          <t>[마전동]</t>
        </is>
      </c>
      <c r="B639" s="0" t="n">
        <v>100663</v>
      </c>
      <c r="C639" s="0" t="n">
        <v>3</v>
      </c>
      <c r="D639" s="0" t="inlineStr">
        <is>
          <t>이지2차미래지향1단지</t>
        </is>
      </c>
      <c r="E639" s="0" t="inlineStr">
        <is>
          <t>2009.11.</t>
        </is>
      </c>
      <c r="F639" s="0" t="n">
        <v>79</v>
      </c>
      <c r="G639" s="0" t="n">
        <v>34.16</v>
      </c>
      <c r="H639" s="0" t="n">
        <v>112.95</v>
      </c>
      <c r="I639" s="0" t="n">
        <v>25.7</v>
      </c>
      <c r="J639" s="0" t="n">
        <v>84.98</v>
      </c>
      <c r="K639" s="0" t="n">
        <v>7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112B</t>
        </is>
      </c>
      <c r="X639" s="0" t="n">
        <v>10</v>
      </c>
      <c r="Y639" s="0" t="n">
        <v>10</v>
      </c>
      <c r="Z639" s="0" t="inlineStr">
        <is>
          <t>https://new.land.naver.com/complexes/100663?tab=detail&amp;rf=Y</t>
        </is>
      </c>
      <c r="AA639" s="0" t="inlineStr">
        <is>
          <t>인천시 서구 마전동 929-2</t>
        </is>
      </c>
      <c r="AB639" s="0" t="inlineStr">
        <is>
          <t>인천시</t>
        </is>
      </c>
      <c r="AC639" s="0" t="inlineStr">
        <is>
          <t>서구</t>
        </is>
      </c>
      <c r="AD639" s="0" t="inlineStr">
        <is>
          <t>마전동</t>
        </is>
      </c>
      <c r="AG639" s="0" t="inlineStr">
        <is>
          <t>인천시 서구 검단로511번길 24</t>
        </is>
      </c>
      <c r="AH639" s="0" t="n">
        <v>0</v>
      </c>
      <c r="AI639" s="0" t="n">
        <v>199</v>
      </c>
      <c r="AJ639" s="0" t="n">
        <v>29</v>
      </c>
      <c r="AK639" s="0" t="n">
        <v>83</v>
      </c>
      <c r="AL639" s="0" t="n">
        <v>1.05</v>
      </c>
    </row>
    <row r="640">
      <c r="A640" s="0" t="inlineStr">
        <is>
          <t>[마전동]</t>
        </is>
      </c>
      <c r="B640" s="0" t="n">
        <v>134144</v>
      </c>
      <c r="C640" s="0" t="n">
        <v>1</v>
      </c>
      <c r="D640" s="0" t="inlineStr">
        <is>
          <t>라임캐슬(도시형)</t>
        </is>
      </c>
      <c r="E640" s="0" t="inlineStr">
        <is>
          <t>2018.06.</t>
        </is>
      </c>
      <c r="F640" s="0" t="n">
        <v>16</v>
      </c>
      <c r="G640" s="0" t="n">
        <v>21.39</v>
      </c>
      <c r="H640" s="0" t="n">
        <v>70.73999999999999</v>
      </c>
      <c r="I640" s="0" t="n">
        <v>17.93</v>
      </c>
      <c r="J640" s="0" t="n">
        <v>59.3</v>
      </c>
      <c r="K640" s="0" t="n">
        <v>2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70</v>
      </c>
      <c r="X640" s="0" t="n">
        <v>7</v>
      </c>
      <c r="Y640" s="0" t="n">
        <v>7</v>
      </c>
      <c r="Z640" s="0" t="inlineStr">
        <is>
          <t>https://new.land.naver.com/complexes/134144?tab=detail&amp;rf=Y</t>
        </is>
      </c>
      <c r="AA640" s="0" t="inlineStr">
        <is>
          <t>인천시 서구 마전동 1016-4</t>
        </is>
      </c>
      <c r="AB640" s="0" t="inlineStr">
        <is>
          <t>인천시</t>
        </is>
      </c>
      <c r="AC640" s="0" t="inlineStr">
        <is>
          <t>서구</t>
        </is>
      </c>
      <c r="AD640" s="0" t="inlineStr">
        <is>
          <t>마전동</t>
        </is>
      </c>
      <c r="AG640" s="0" t="inlineStr">
        <is>
          <t>인천시 서구 완정로 25</t>
        </is>
      </c>
      <c r="AH640" s="0" t="n">
        <v>0</v>
      </c>
      <c r="AI640" s="0" t="n">
        <v>349</v>
      </c>
      <c r="AJ640" s="0" t="n">
        <v>59</v>
      </c>
      <c r="AK640" s="0" t="n">
        <v>14</v>
      </c>
      <c r="AL640" s="0" t="n">
        <v>0.88</v>
      </c>
    </row>
    <row r="641">
      <c r="A641" s="0" t="inlineStr">
        <is>
          <t>[마전동]</t>
        </is>
      </c>
      <c r="B641" s="0" t="n">
        <v>134144</v>
      </c>
      <c r="C641" s="0" t="n">
        <v>2</v>
      </c>
      <c r="D641" s="0" t="inlineStr">
        <is>
          <t>라임캐슬(도시형)</t>
        </is>
      </c>
      <c r="E641" s="0" t="inlineStr">
        <is>
          <t>2018.06.</t>
        </is>
      </c>
      <c r="F641" s="0" t="n">
        <v>16</v>
      </c>
      <c r="G641" s="0" t="n">
        <v>22.73</v>
      </c>
      <c r="H641" s="0" t="n">
        <v>75.16</v>
      </c>
      <c r="I641" s="0" t="n">
        <v>19.21</v>
      </c>
      <c r="J641" s="0" t="n">
        <v>63.51</v>
      </c>
      <c r="K641" s="0" t="n">
        <v>2</v>
      </c>
      <c r="T641" s="0" t="n">
        <v>3</v>
      </c>
      <c r="U641" s="0" t="n">
        <v>2</v>
      </c>
      <c r="V641" s="0" t="inlineStr">
        <is>
          <t>계단식</t>
        </is>
      </c>
      <c r="W641" s="0" t="n">
        <v>75</v>
      </c>
      <c r="X641" s="0" t="n">
        <v>7</v>
      </c>
      <c r="Y641" s="0" t="n">
        <v>7</v>
      </c>
      <c r="Z641" s="0" t="inlineStr">
        <is>
          <t>https://new.land.naver.com/complexes/134144?tab=detail&amp;rf=Y</t>
        </is>
      </c>
      <c r="AA641" s="0" t="inlineStr">
        <is>
          <t>인천시 서구 마전동 1016-4</t>
        </is>
      </c>
      <c r="AB641" s="0" t="inlineStr">
        <is>
          <t>인천시</t>
        </is>
      </c>
      <c r="AC641" s="0" t="inlineStr">
        <is>
          <t>서구</t>
        </is>
      </c>
      <c r="AD641" s="0" t="inlineStr">
        <is>
          <t>마전동</t>
        </is>
      </c>
      <c r="AG641" s="0" t="inlineStr">
        <is>
          <t>인천시 서구 완정로 25</t>
        </is>
      </c>
      <c r="AH641" s="0" t="n">
        <v>0</v>
      </c>
      <c r="AI641" s="0" t="n">
        <v>349</v>
      </c>
      <c r="AJ641" s="0" t="n">
        <v>59</v>
      </c>
      <c r="AK641" s="0" t="n">
        <v>14</v>
      </c>
      <c r="AL641" s="0" t="n">
        <v>0.88</v>
      </c>
    </row>
    <row r="642">
      <c r="A642" s="0" t="inlineStr">
        <is>
          <t>[마전동]</t>
        </is>
      </c>
      <c r="B642" s="0" t="n">
        <v>134144</v>
      </c>
      <c r="C642" s="0" t="n">
        <v>3</v>
      </c>
      <c r="D642" s="0" t="inlineStr">
        <is>
          <t>라임캐슬(도시형)</t>
        </is>
      </c>
      <c r="E642" s="0" t="inlineStr">
        <is>
          <t>2018.06.</t>
        </is>
      </c>
      <c r="F642" s="0" t="n">
        <v>16</v>
      </c>
      <c r="G642" s="0" t="n">
        <v>24.05</v>
      </c>
      <c r="H642" s="0" t="n">
        <v>79.51000000000001</v>
      </c>
      <c r="I642" s="0" t="n">
        <v>20.33</v>
      </c>
      <c r="J642" s="0" t="n">
        <v>67.22</v>
      </c>
      <c r="K642" s="0" t="n">
        <v>2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79A</t>
        </is>
      </c>
      <c r="X642" s="0" t="n">
        <v>7</v>
      </c>
      <c r="Y642" s="0" t="n">
        <v>7</v>
      </c>
      <c r="Z642" s="0" t="inlineStr">
        <is>
          <t>https://new.land.naver.com/complexes/134144?tab=detail&amp;rf=Y</t>
        </is>
      </c>
      <c r="AA642" s="0" t="inlineStr">
        <is>
          <t>인천시 서구 마전동 1016-4</t>
        </is>
      </c>
      <c r="AB642" s="0" t="inlineStr">
        <is>
          <t>인천시</t>
        </is>
      </c>
      <c r="AC642" s="0" t="inlineStr">
        <is>
          <t>서구</t>
        </is>
      </c>
      <c r="AD642" s="0" t="inlineStr">
        <is>
          <t>마전동</t>
        </is>
      </c>
      <c r="AG642" s="0" t="inlineStr">
        <is>
          <t>인천시 서구 완정로 25</t>
        </is>
      </c>
      <c r="AH642" s="0" t="n">
        <v>0</v>
      </c>
      <c r="AI642" s="0" t="n">
        <v>349</v>
      </c>
      <c r="AJ642" s="0" t="n">
        <v>59</v>
      </c>
      <c r="AK642" s="0" t="n">
        <v>14</v>
      </c>
      <c r="AL642" s="0" t="n">
        <v>0.88</v>
      </c>
    </row>
    <row r="643">
      <c r="A643" s="0" t="inlineStr">
        <is>
          <t>[마전동]</t>
        </is>
      </c>
      <c r="B643" s="0" t="n">
        <v>134144</v>
      </c>
      <c r="C643" s="0" t="n">
        <v>4</v>
      </c>
      <c r="D643" s="0" t="inlineStr">
        <is>
          <t>라임캐슬(도시형)</t>
        </is>
      </c>
      <c r="E643" s="0" t="inlineStr">
        <is>
          <t>2018.06.</t>
        </is>
      </c>
      <c r="F643" s="0" t="n">
        <v>16</v>
      </c>
      <c r="G643" s="0" t="n">
        <v>24.05</v>
      </c>
      <c r="H643" s="0" t="n">
        <v>79.52</v>
      </c>
      <c r="I643" s="0" t="n">
        <v>20.33</v>
      </c>
      <c r="J643" s="0" t="n">
        <v>67.22</v>
      </c>
      <c r="K643" s="0" t="n">
        <v>2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79B</t>
        </is>
      </c>
      <c r="X643" s="0" t="n">
        <v>7</v>
      </c>
      <c r="Y643" s="0" t="n">
        <v>7</v>
      </c>
      <c r="Z643" s="0" t="inlineStr">
        <is>
          <t>https://new.land.naver.com/complexes/134144?tab=detail&amp;rf=Y</t>
        </is>
      </c>
      <c r="AA643" s="0" t="inlineStr">
        <is>
          <t>인천시 서구 마전동 1016-4</t>
        </is>
      </c>
      <c r="AB643" s="0" t="inlineStr">
        <is>
          <t>인천시</t>
        </is>
      </c>
      <c r="AC643" s="0" t="inlineStr">
        <is>
          <t>서구</t>
        </is>
      </c>
      <c r="AD643" s="0" t="inlineStr">
        <is>
          <t>마전동</t>
        </is>
      </c>
      <c r="AG643" s="0" t="inlineStr">
        <is>
          <t>인천시 서구 완정로 25</t>
        </is>
      </c>
      <c r="AH643" s="0" t="n">
        <v>0</v>
      </c>
      <c r="AI643" s="0" t="n">
        <v>349</v>
      </c>
      <c r="AJ643" s="0" t="n">
        <v>59</v>
      </c>
      <c r="AK643" s="0" t="n">
        <v>14</v>
      </c>
      <c r="AL643" s="0" t="n">
        <v>0.88</v>
      </c>
    </row>
    <row r="644">
      <c r="A644" s="0" t="inlineStr">
        <is>
          <t>[마전동]</t>
        </is>
      </c>
      <c r="B644" s="0" t="n">
        <v>134144</v>
      </c>
      <c r="C644" s="0" t="n">
        <v>5</v>
      </c>
      <c r="D644" s="0" t="inlineStr">
        <is>
          <t>라임캐슬(도시형)</t>
        </is>
      </c>
      <c r="E644" s="0" t="inlineStr">
        <is>
          <t>2018.06.</t>
        </is>
      </c>
      <c r="F644" s="0" t="n">
        <v>16</v>
      </c>
      <c r="G644" s="0" t="n">
        <v>25.51</v>
      </c>
      <c r="H644" s="0" t="n">
        <v>84.34</v>
      </c>
      <c r="I644" s="0" t="n">
        <v>21.32</v>
      </c>
      <c r="J644" s="0" t="n">
        <v>70.5</v>
      </c>
      <c r="K644" s="0" t="n">
        <v>1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84A</t>
        </is>
      </c>
      <c r="X644" s="0" t="n">
        <v>7</v>
      </c>
      <c r="Y644" s="0" t="n">
        <v>7</v>
      </c>
      <c r="Z644" s="0" t="inlineStr">
        <is>
          <t>https://new.land.naver.com/complexes/134144?tab=detail&amp;rf=Y</t>
        </is>
      </c>
      <c r="AA644" s="0" t="inlineStr">
        <is>
          <t>인천시 서구 마전동 1016-4</t>
        </is>
      </c>
      <c r="AB644" s="0" t="inlineStr">
        <is>
          <t>인천시</t>
        </is>
      </c>
      <c r="AC644" s="0" t="inlineStr">
        <is>
          <t>서구</t>
        </is>
      </c>
      <c r="AD644" s="0" t="inlineStr">
        <is>
          <t>마전동</t>
        </is>
      </c>
      <c r="AG644" s="0" t="inlineStr">
        <is>
          <t>인천시 서구 완정로 25</t>
        </is>
      </c>
      <c r="AH644" s="0" t="n">
        <v>0</v>
      </c>
      <c r="AI644" s="0" t="n">
        <v>349</v>
      </c>
      <c r="AJ644" s="0" t="n">
        <v>59</v>
      </c>
      <c r="AK644" s="0" t="n">
        <v>14</v>
      </c>
      <c r="AL644" s="0" t="n">
        <v>0.88</v>
      </c>
    </row>
    <row r="645">
      <c r="A645" s="0" t="inlineStr">
        <is>
          <t>[마전동]</t>
        </is>
      </c>
      <c r="B645" s="0" t="n">
        <v>134144</v>
      </c>
      <c r="C645" s="0" t="n">
        <v>6</v>
      </c>
      <c r="D645" s="0" t="inlineStr">
        <is>
          <t>라임캐슬(도시형)</t>
        </is>
      </c>
      <c r="E645" s="0" t="inlineStr">
        <is>
          <t>2018.06.</t>
        </is>
      </c>
      <c r="F645" s="0" t="n">
        <v>16</v>
      </c>
      <c r="G645" s="0" t="n">
        <v>25.87</v>
      </c>
      <c r="H645" s="0" t="n">
        <v>85.55</v>
      </c>
      <c r="I645" s="0" t="n">
        <v>21.57</v>
      </c>
      <c r="J645" s="0" t="n">
        <v>71.31</v>
      </c>
      <c r="K645" s="0" t="n">
        <v>1</v>
      </c>
      <c r="T645" s="0" t="n">
        <v>3</v>
      </c>
      <c r="U645" s="0" t="n">
        <v>2</v>
      </c>
      <c r="V645" s="0" t="inlineStr">
        <is>
          <t>계단식</t>
        </is>
      </c>
      <c r="W645" s="0" t="inlineStr">
        <is>
          <t>85B</t>
        </is>
      </c>
      <c r="X645" s="0" t="n">
        <v>7</v>
      </c>
      <c r="Y645" s="0" t="n">
        <v>7</v>
      </c>
      <c r="Z645" s="0" t="inlineStr">
        <is>
          <t>https://new.land.naver.com/complexes/134144?tab=detail&amp;rf=Y</t>
        </is>
      </c>
      <c r="AA645" s="0" t="inlineStr">
        <is>
          <t>인천시 서구 마전동 1016-4</t>
        </is>
      </c>
      <c r="AB645" s="0" t="inlineStr">
        <is>
          <t>인천시</t>
        </is>
      </c>
      <c r="AC645" s="0" t="inlineStr">
        <is>
          <t>서구</t>
        </is>
      </c>
      <c r="AD645" s="0" t="inlineStr">
        <is>
          <t>마전동</t>
        </is>
      </c>
      <c r="AG645" s="0" t="inlineStr">
        <is>
          <t>인천시 서구 완정로 25</t>
        </is>
      </c>
      <c r="AH645" s="0" t="n">
        <v>0</v>
      </c>
      <c r="AI645" s="0" t="n">
        <v>349</v>
      </c>
      <c r="AJ645" s="0" t="n">
        <v>59</v>
      </c>
      <c r="AK645" s="0" t="n">
        <v>14</v>
      </c>
      <c r="AL645" s="0" t="n">
        <v>0.88</v>
      </c>
    </row>
    <row r="646">
      <c r="A646" s="0" t="inlineStr">
        <is>
          <t>[마전동]</t>
        </is>
      </c>
      <c r="B646" s="0" t="n">
        <v>134144</v>
      </c>
      <c r="C646" s="0" t="n">
        <v>7</v>
      </c>
      <c r="D646" s="0" t="inlineStr">
        <is>
          <t>라임캐슬(도시형)</t>
        </is>
      </c>
      <c r="E646" s="0" t="inlineStr">
        <is>
          <t>2018.06.</t>
        </is>
      </c>
      <c r="F646" s="0" t="n">
        <v>16</v>
      </c>
      <c r="G646" s="0" t="n">
        <v>26.56</v>
      </c>
      <c r="H646" s="0" t="n">
        <v>87.83</v>
      </c>
      <c r="I646" s="0" t="n">
        <v>22.31</v>
      </c>
      <c r="J646" s="0" t="n">
        <v>73.76000000000001</v>
      </c>
      <c r="K646" s="0" t="n">
        <v>1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87A</t>
        </is>
      </c>
      <c r="X646" s="0" t="n">
        <v>7</v>
      </c>
      <c r="Y646" s="0" t="n">
        <v>7</v>
      </c>
      <c r="Z646" s="0" t="inlineStr">
        <is>
          <t>https://new.land.naver.com/complexes/134144?tab=detail&amp;rf=Y</t>
        </is>
      </c>
      <c r="AA646" s="0" t="inlineStr">
        <is>
          <t>인천시 서구 마전동 1016-4</t>
        </is>
      </c>
      <c r="AB646" s="0" t="inlineStr">
        <is>
          <t>인천시</t>
        </is>
      </c>
      <c r="AC646" s="0" t="inlineStr">
        <is>
          <t>서구</t>
        </is>
      </c>
      <c r="AD646" s="0" t="inlineStr">
        <is>
          <t>마전동</t>
        </is>
      </c>
      <c r="AG646" s="0" t="inlineStr">
        <is>
          <t>인천시 서구 완정로 25</t>
        </is>
      </c>
      <c r="AH646" s="0" t="n">
        <v>0</v>
      </c>
      <c r="AI646" s="0" t="n">
        <v>349</v>
      </c>
      <c r="AJ646" s="0" t="n">
        <v>59</v>
      </c>
      <c r="AK646" s="0" t="n">
        <v>14</v>
      </c>
      <c r="AL646" s="0" t="n">
        <v>0.88</v>
      </c>
    </row>
    <row r="647">
      <c r="A647" s="0" t="inlineStr">
        <is>
          <t>[마전동]</t>
        </is>
      </c>
      <c r="B647" s="0" t="n">
        <v>134144</v>
      </c>
      <c r="C647" s="0" t="n">
        <v>8</v>
      </c>
      <c r="D647" s="0" t="inlineStr">
        <is>
          <t>라임캐슬(도시형)</t>
        </is>
      </c>
      <c r="E647" s="0" t="inlineStr">
        <is>
          <t>2018.06.</t>
        </is>
      </c>
      <c r="F647" s="0" t="n">
        <v>16</v>
      </c>
      <c r="G647" s="0" t="n">
        <v>26.93</v>
      </c>
      <c r="H647" s="0" t="n">
        <v>89.03</v>
      </c>
      <c r="I647" s="0" t="n">
        <v>22.55</v>
      </c>
      <c r="J647" s="0" t="n">
        <v>74.56999999999999</v>
      </c>
      <c r="K647" s="0" t="n">
        <v>1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89B</t>
        </is>
      </c>
      <c r="X647" s="0" t="n">
        <v>7</v>
      </c>
      <c r="Y647" s="0" t="n">
        <v>7</v>
      </c>
      <c r="Z647" s="0" t="inlineStr">
        <is>
          <t>https://new.land.naver.com/complexes/134144?tab=detail&amp;rf=Y</t>
        </is>
      </c>
      <c r="AA647" s="0" t="inlineStr">
        <is>
          <t>인천시 서구 마전동 1016-4</t>
        </is>
      </c>
      <c r="AB647" s="0" t="inlineStr">
        <is>
          <t>인천시</t>
        </is>
      </c>
      <c r="AC647" s="0" t="inlineStr">
        <is>
          <t>서구</t>
        </is>
      </c>
      <c r="AD647" s="0" t="inlineStr">
        <is>
          <t>마전동</t>
        </is>
      </c>
      <c r="AG647" s="0" t="inlineStr">
        <is>
          <t>인천시 서구 완정로 25</t>
        </is>
      </c>
      <c r="AH647" s="0" t="n">
        <v>0</v>
      </c>
      <c r="AI647" s="0" t="n">
        <v>349</v>
      </c>
      <c r="AJ647" s="0" t="n">
        <v>59</v>
      </c>
      <c r="AK647" s="0" t="n">
        <v>14</v>
      </c>
      <c r="AL647" s="0" t="n">
        <v>0.88</v>
      </c>
    </row>
    <row r="648">
      <c r="A648" s="0" t="inlineStr">
        <is>
          <t>[마전동]</t>
        </is>
      </c>
      <c r="B648" s="0" t="n">
        <v>134144</v>
      </c>
      <c r="C648" s="0" t="n">
        <v>9</v>
      </c>
      <c r="D648" s="0" t="inlineStr">
        <is>
          <t>라임캐슬(도시형)</t>
        </is>
      </c>
      <c r="E648" s="0" t="inlineStr">
        <is>
          <t>2018.06.</t>
        </is>
      </c>
      <c r="F648" s="0" t="n">
        <v>16</v>
      </c>
      <c r="G648" s="0" t="n">
        <v>28.23</v>
      </c>
      <c r="H648" s="0" t="n">
        <v>93.34999999999999</v>
      </c>
      <c r="I648" s="0" t="n">
        <v>23.84</v>
      </c>
      <c r="J648" s="0" t="n">
        <v>78.81</v>
      </c>
      <c r="K648" s="0" t="n">
        <v>1</v>
      </c>
      <c r="T648" s="0" t="n">
        <v>3</v>
      </c>
      <c r="U648" s="0" t="n">
        <v>2</v>
      </c>
      <c r="V648" s="0" t="inlineStr">
        <is>
          <t>계단식</t>
        </is>
      </c>
      <c r="W648" s="0" t="inlineStr">
        <is>
          <t>93A</t>
        </is>
      </c>
      <c r="X648" s="0" t="n">
        <v>7</v>
      </c>
      <c r="Y648" s="0" t="n">
        <v>7</v>
      </c>
      <c r="Z648" s="0" t="inlineStr">
        <is>
          <t>https://new.land.naver.com/complexes/134144?tab=detail&amp;rf=Y</t>
        </is>
      </c>
      <c r="AA648" s="0" t="inlineStr">
        <is>
          <t>인천시 서구 마전동 1016-4</t>
        </is>
      </c>
      <c r="AB648" s="0" t="inlineStr">
        <is>
          <t>인천시</t>
        </is>
      </c>
      <c r="AC648" s="0" t="inlineStr">
        <is>
          <t>서구</t>
        </is>
      </c>
      <c r="AD648" s="0" t="inlineStr">
        <is>
          <t>마전동</t>
        </is>
      </c>
      <c r="AG648" s="0" t="inlineStr">
        <is>
          <t>인천시 서구 완정로 25</t>
        </is>
      </c>
      <c r="AH648" s="0" t="n">
        <v>0</v>
      </c>
      <c r="AI648" s="0" t="n">
        <v>349</v>
      </c>
      <c r="AJ648" s="0" t="n">
        <v>59</v>
      </c>
      <c r="AK648" s="0" t="n">
        <v>14</v>
      </c>
      <c r="AL648" s="0" t="n">
        <v>0.88</v>
      </c>
    </row>
    <row r="649">
      <c r="A649" s="0" t="inlineStr">
        <is>
          <t>[마전동]</t>
        </is>
      </c>
      <c r="B649" s="0" t="n">
        <v>134144</v>
      </c>
      <c r="C649" s="0" t="n">
        <v>10</v>
      </c>
      <c r="D649" s="0" t="inlineStr">
        <is>
          <t>라임캐슬(도시형)</t>
        </is>
      </c>
      <c r="E649" s="0" t="inlineStr">
        <is>
          <t>2018.06.</t>
        </is>
      </c>
      <c r="F649" s="0" t="n">
        <v>16</v>
      </c>
      <c r="G649" s="0" t="n">
        <v>28.24</v>
      </c>
      <c r="H649" s="0" t="n">
        <v>93.36</v>
      </c>
      <c r="I649" s="0" t="n">
        <v>23.84</v>
      </c>
      <c r="J649" s="0" t="n">
        <v>78.81</v>
      </c>
      <c r="K649" s="0" t="n">
        <v>1</v>
      </c>
      <c r="T649" s="0" t="n">
        <v>3</v>
      </c>
      <c r="U649" s="0" t="n">
        <v>2</v>
      </c>
      <c r="V649" s="0" t="inlineStr">
        <is>
          <t>계단식</t>
        </is>
      </c>
      <c r="W649" s="0" t="inlineStr">
        <is>
          <t>93B</t>
        </is>
      </c>
      <c r="X649" s="0" t="n">
        <v>7</v>
      </c>
      <c r="Y649" s="0" t="n">
        <v>7</v>
      </c>
      <c r="Z649" s="0" t="inlineStr">
        <is>
          <t>https://new.land.naver.com/complexes/134144?tab=detail&amp;rf=Y</t>
        </is>
      </c>
      <c r="AA649" s="0" t="inlineStr">
        <is>
          <t>인천시 서구 마전동 1016-4</t>
        </is>
      </c>
      <c r="AB649" s="0" t="inlineStr">
        <is>
          <t>인천시</t>
        </is>
      </c>
      <c r="AC649" s="0" t="inlineStr">
        <is>
          <t>서구</t>
        </is>
      </c>
      <c r="AD649" s="0" t="inlineStr">
        <is>
          <t>마전동</t>
        </is>
      </c>
      <c r="AG649" s="0" t="inlineStr">
        <is>
          <t>인천시 서구 완정로 25</t>
        </is>
      </c>
      <c r="AH649" s="0" t="n">
        <v>0</v>
      </c>
      <c r="AI649" s="0" t="n">
        <v>349</v>
      </c>
      <c r="AJ649" s="0" t="n">
        <v>59</v>
      </c>
      <c r="AK649" s="0" t="n">
        <v>14</v>
      </c>
      <c r="AL649" s="0" t="n">
        <v>0.88</v>
      </c>
    </row>
    <row r="650">
      <c r="A650" s="0" t="inlineStr">
        <is>
          <t>[마전동]</t>
        </is>
      </c>
      <c r="B650" s="0" t="n">
        <v>134144</v>
      </c>
      <c r="C650" s="0" t="n">
        <v>11</v>
      </c>
      <c r="D650" s="0" t="inlineStr">
        <is>
          <t>라임캐슬(도시형)</t>
        </is>
      </c>
      <c r="E650" s="0" t="inlineStr">
        <is>
          <t>2018.06.</t>
        </is>
      </c>
      <c r="F650" s="0" t="n">
        <v>16</v>
      </c>
      <c r="G650" s="0" t="n">
        <v>28.5</v>
      </c>
      <c r="H650" s="0" t="n">
        <v>94.22</v>
      </c>
      <c r="I650" s="0" t="n">
        <v>23.95</v>
      </c>
      <c r="J650" s="0" t="n">
        <v>79.18000000000001</v>
      </c>
      <c r="K650" s="0" t="n">
        <v>1</v>
      </c>
      <c r="T650" s="0" t="n">
        <v>3</v>
      </c>
      <c r="U650" s="0" t="n">
        <v>2</v>
      </c>
      <c r="V650" s="0" t="inlineStr">
        <is>
          <t>계단식</t>
        </is>
      </c>
      <c r="W650" s="0" t="inlineStr">
        <is>
          <t>94A</t>
        </is>
      </c>
      <c r="X650" s="0" t="n">
        <v>7</v>
      </c>
      <c r="Y650" s="0" t="n">
        <v>7</v>
      </c>
      <c r="Z650" s="0" t="inlineStr">
        <is>
          <t>https://new.land.naver.com/complexes/134144?tab=detail&amp;rf=Y</t>
        </is>
      </c>
      <c r="AA650" s="0" t="inlineStr">
        <is>
          <t>인천시 서구 마전동 1016-4</t>
        </is>
      </c>
      <c r="AB650" s="0" t="inlineStr">
        <is>
          <t>인천시</t>
        </is>
      </c>
      <c r="AC650" s="0" t="inlineStr">
        <is>
          <t>서구</t>
        </is>
      </c>
      <c r="AD650" s="0" t="inlineStr">
        <is>
          <t>마전동</t>
        </is>
      </c>
      <c r="AG650" s="0" t="inlineStr">
        <is>
          <t>인천시 서구 완정로 25</t>
        </is>
      </c>
      <c r="AH650" s="0" t="n">
        <v>0</v>
      </c>
      <c r="AI650" s="0" t="n">
        <v>349</v>
      </c>
      <c r="AJ650" s="0" t="n">
        <v>59</v>
      </c>
      <c r="AK650" s="0" t="n">
        <v>14</v>
      </c>
      <c r="AL650" s="0" t="n">
        <v>0.88</v>
      </c>
    </row>
    <row r="651">
      <c r="A651" s="0" t="inlineStr">
        <is>
          <t>[마전동]</t>
        </is>
      </c>
      <c r="B651" s="0" t="n">
        <v>134144</v>
      </c>
      <c r="C651" s="0" t="n">
        <v>12</v>
      </c>
      <c r="D651" s="0" t="inlineStr">
        <is>
          <t>라임캐슬(도시형)</t>
        </is>
      </c>
      <c r="E651" s="0" t="inlineStr">
        <is>
          <t>2018.06.</t>
        </is>
      </c>
      <c r="F651" s="0" t="n">
        <v>16</v>
      </c>
      <c r="G651" s="0" t="n">
        <v>28.71</v>
      </c>
      <c r="H651" s="0" t="n">
        <v>94.94</v>
      </c>
      <c r="I651" s="0" t="n">
        <v>24.19</v>
      </c>
      <c r="J651" s="0" t="n">
        <v>79.98999999999999</v>
      </c>
      <c r="K651" s="0" t="n">
        <v>1</v>
      </c>
      <c r="T651" s="0" t="n">
        <v>3</v>
      </c>
      <c r="U651" s="0" t="n">
        <v>2</v>
      </c>
      <c r="V651" s="0" t="inlineStr">
        <is>
          <t>계단식</t>
        </is>
      </c>
      <c r="W651" s="0" t="inlineStr">
        <is>
          <t>94B</t>
        </is>
      </c>
      <c r="X651" s="0" t="n">
        <v>7</v>
      </c>
      <c r="Y651" s="0" t="n">
        <v>7</v>
      </c>
      <c r="Z651" s="0" t="inlineStr">
        <is>
          <t>https://new.land.naver.com/complexes/134144?tab=detail&amp;rf=Y</t>
        </is>
      </c>
      <c r="AA651" s="0" t="inlineStr">
        <is>
          <t>인천시 서구 마전동 1016-4</t>
        </is>
      </c>
      <c r="AB651" s="0" t="inlineStr">
        <is>
          <t>인천시</t>
        </is>
      </c>
      <c r="AC651" s="0" t="inlineStr">
        <is>
          <t>서구</t>
        </is>
      </c>
      <c r="AD651" s="0" t="inlineStr">
        <is>
          <t>마전동</t>
        </is>
      </c>
      <c r="AG651" s="0" t="inlineStr">
        <is>
          <t>인천시 서구 완정로 25</t>
        </is>
      </c>
      <c r="AH651" s="0" t="n">
        <v>0</v>
      </c>
      <c r="AI651" s="0" t="n">
        <v>349</v>
      </c>
      <c r="AJ651" s="0" t="n">
        <v>59</v>
      </c>
      <c r="AK651" s="0" t="n">
        <v>14</v>
      </c>
      <c r="AL651" s="0" t="n">
        <v>0.88</v>
      </c>
    </row>
    <row r="652">
      <c r="A652" s="0" t="inlineStr">
        <is>
          <t>[마전동]</t>
        </is>
      </c>
      <c r="B652" s="0" t="n">
        <v>2298</v>
      </c>
      <c r="C652" s="0" t="n">
        <v>1</v>
      </c>
      <c r="D652" s="0" t="inlineStr">
        <is>
          <t>서해</t>
        </is>
      </c>
      <c r="E652" s="0" t="inlineStr">
        <is>
          <t>1992.12.</t>
        </is>
      </c>
      <c r="F652" s="0" t="n">
        <v>464</v>
      </c>
      <c r="G652" s="0" t="n">
        <v>18.14</v>
      </c>
      <c r="H652" s="0" t="n">
        <v>59.97</v>
      </c>
      <c r="I652" s="0" t="n">
        <v>13.74</v>
      </c>
      <c r="J652" s="0" t="n">
        <v>45.45</v>
      </c>
      <c r="K652" s="0" t="n">
        <v>27</v>
      </c>
      <c r="T652" s="0" t="n">
        <v>2</v>
      </c>
      <c r="U652" s="0" t="n">
        <v>1</v>
      </c>
      <c r="V652" s="0" t="inlineStr">
        <is>
          <t>계단식</t>
        </is>
      </c>
      <c r="W652" s="0" t="n">
        <v>59</v>
      </c>
      <c r="X652" s="0" t="n">
        <v>6</v>
      </c>
      <c r="Y652" s="0" t="n">
        <v>5</v>
      </c>
      <c r="Z652" s="0" t="inlineStr">
        <is>
          <t>https://new.land.naver.com/complexes/2298?tab=detail&amp;rf=Y</t>
        </is>
      </c>
      <c r="AA652" s="0" t="inlineStr">
        <is>
          <t>인천시 서구 마전동 925</t>
        </is>
      </c>
      <c r="AB652" s="0" t="inlineStr">
        <is>
          <t>인천시</t>
        </is>
      </c>
      <c r="AC652" s="0" t="inlineStr">
        <is>
          <t>서구</t>
        </is>
      </c>
      <c r="AD652" s="0" t="inlineStr">
        <is>
          <t>마전동</t>
        </is>
      </c>
      <c r="AG652" s="0" t="inlineStr">
        <is>
          <t>인천시 서구 검단로487번길 44</t>
        </is>
      </c>
      <c r="AH652" s="0" t="n">
        <v>0</v>
      </c>
      <c r="AI652" s="0" t="n">
        <v>177</v>
      </c>
      <c r="AJ652" s="0" t="n">
        <v>36</v>
      </c>
      <c r="AK652" s="0" t="n">
        <v>0</v>
      </c>
      <c r="AL652" s="0" t="n">
        <v>0</v>
      </c>
    </row>
    <row r="653">
      <c r="A653" s="0" t="inlineStr">
        <is>
          <t>[마전동]</t>
        </is>
      </c>
      <c r="B653" s="0" t="n">
        <v>2298</v>
      </c>
      <c r="C653" s="0" t="n">
        <v>2</v>
      </c>
      <c r="D653" s="0" t="inlineStr">
        <is>
          <t>서해</t>
        </is>
      </c>
      <c r="E653" s="0" t="inlineStr">
        <is>
          <t>1992.12.</t>
        </is>
      </c>
      <c r="F653" s="0" t="n">
        <v>464</v>
      </c>
      <c r="G653" s="0" t="n">
        <v>19.99</v>
      </c>
      <c r="H653" s="0" t="n">
        <v>66.09</v>
      </c>
      <c r="I653" s="0" t="n">
        <v>15.19</v>
      </c>
      <c r="J653" s="0" t="n">
        <v>50.22</v>
      </c>
      <c r="K653" s="0" t="n">
        <v>30</v>
      </c>
      <c r="T653" s="0" t="n">
        <v>3</v>
      </c>
      <c r="U653" s="0" t="n">
        <v>1</v>
      </c>
      <c r="V653" s="0" t="inlineStr">
        <is>
          <t>계단식</t>
        </is>
      </c>
      <c r="W653" s="0" t="n">
        <v>66</v>
      </c>
      <c r="X653" s="0" t="n">
        <v>6</v>
      </c>
      <c r="Y653" s="0" t="n">
        <v>5</v>
      </c>
      <c r="Z653" s="0" t="inlineStr">
        <is>
          <t>https://new.land.naver.com/complexes/2298?tab=detail&amp;rf=Y</t>
        </is>
      </c>
      <c r="AA653" s="0" t="inlineStr">
        <is>
          <t>인천시 서구 마전동 925</t>
        </is>
      </c>
      <c r="AB653" s="0" t="inlineStr">
        <is>
          <t>인천시</t>
        </is>
      </c>
      <c r="AC653" s="0" t="inlineStr">
        <is>
          <t>서구</t>
        </is>
      </c>
      <c r="AD653" s="0" t="inlineStr">
        <is>
          <t>마전동</t>
        </is>
      </c>
      <c r="AG653" s="0" t="inlineStr">
        <is>
          <t>인천시 서구 검단로487번길 44</t>
        </is>
      </c>
      <c r="AH653" s="0" t="n">
        <v>0</v>
      </c>
      <c r="AI653" s="0" t="n">
        <v>177</v>
      </c>
      <c r="AJ653" s="0" t="n">
        <v>36</v>
      </c>
      <c r="AK653" s="0" t="n">
        <v>0</v>
      </c>
      <c r="AL653" s="0" t="n">
        <v>0</v>
      </c>
    </row>
    <row r="654">
      <c r="A654" s="0" t="inlineStr">
        <is>
          <t>[마전동]</t>
        </is>
      </c>
      <c r="B654" s="0" t="n">
        <v>2298</v>
      </c>
      <c r="C654" s="0" t="n">
        <v>3</v>
      </c>
      <c r="D654" s="0" t="inlineStr">
        <is>
          <t>서해</t>
        </is>
      </c>
      <c r="E654" s="0" t="inlineStr">
        <is>
          <t>1992.12.</t>
        </is>
      </c>
      <c r="F654" s="0" t="n">
        <v>464</v>
      </c>
      <c r="G654" s="0" t="n">
        <v>21.07</v>
      </c>
      <c r="H654" s="0" t="n">
        <v>69.68000000000001</v>
      </c>
      <c r="I654" s="0" t="n">
        <v>16.05</v>
      </c>
      <c r="J654" s="0" t="n">
        <v>53.07</v>
      </c>
      <c r="K654" s="0" t="n">
        <v>70</v>
      </c>
      <c r="T654" s="0" t="n">
        <v>3</v>
      </c>
      <c r="U654" s="0" t="n">
        <v>1</v>
      </c>
      <c r="V654" s="0" t="inlineStr">
        <is>
          <t>계단식</t>
        </is>
      </c>
      <c r="W654" s="0" t="n">
        <v>69</v>
      </c>
      <c r="X654" s="0" t="n">
        <v>6</v>
      </c>
      <c r="Y654" s="0" t="n">
        <v>5</v>
      </c>
      <c r="Z654" s="0" t="inlineStr">
        <is>
          <t>https://new.land.naver.com/complexes/2298?tab=detail&amp;rf=Y</t>
        </is>
      </c>
      <c r="AA654" s="0" t="inlineStr">
        <is>
          <t>인천시 서구 마전동 925</t>
        </is>
      </c>
      <c r="AB654" s="0" t="inlineStr">
        <is>
          <t>인천시</t>
        </is>
      </c>
      <c r="AC654" s="0" t="inlineStr">
        <is>
          <t>서구</t>
        </is>
      </c>
      <c r="AD654" s="0" t="inlineStr">
        <is>
          <t>마전동</t>
        </is>
      </c>
      <c r="AG654" s="0" t="inlineStr">
        <is>
          <t>인천시 서구 검단로487번길 44</t>
        </is>
      </c>
      <c r="AH654" s="0" t="n">
        <v>0</v>
      </c>
      <c r="AI654" s="0" t="n">
        <v>177</v>
      </c>
      <c r="AJ654" s="0" t="n">
        <v>36</v>
      </c>
      <c r="AK654" s="0" t="n">
        <v>0</v>
      </c>
      <c r="AL654" s="0" t="n">
        <v>0</v>
      </c>
    </row>
    <row r="655">
      <c r="A655" s="0" t="inlineStr">
        <is>
          <t>[마전동]</t>
        </is>
      </c>
      <c r="B655" s="0" t="n">
        <v>2298</v>
      </c>
      <c r="C655" s="0" t="n">
        <v>4</v>
      </c>
      <c r="D655" s="0" t="inlineStr">
        <is>
          <t>서해</t>
        </is>
      </c>
      <c r="E655" s="0" t="inlineStr">
        <is>
          <t>1992.12.</t>
        </is>
      </c>
      <c r="F655" s="0" t="n">
        <v>464</v>
      </c>
      <c r="G655" s="0" t="n">
        <v>22.89</v>
      </c>
      <c r="H655" s="0" t="n">
        <v>75.68000000000001</v>
      </c>
      <c r="I655" s="0" t="n">
        <v>18.13</v>
      </c>
      <c r="J655" s="0" t="n">
        <v>59.94</v>
      </c>
      <c r="K655" s="0" t="n">
        <v>72</v>
      </c>
      <c r="T655" s="0" t="n">
        <v>3</v>
      </c>
      <c r="U655" s="0" t="n">
        <v>1</v>
      </c>
      <c r="V655" s="0" t="inlineStr">
        <is>
          <t>계단식</t>
        </is>
      </c>
      <c r="W655" s="0" t="inlineStr">
        <is>
          <t>75B</t>
        </is>
      </c>
      <c r="X655" s="0" t="n">
        <v>6</v>
      </c>
      <c r="Y655" s="0" t="n">
        <v>5</v>
      </c>
      <c r="Z655" s="0" t="inlineStr">
        <is>
          <t>https://new.land.naver.com/complexes/2298?tab=detail&amp;rf=Y</t>
        </is>
      </c>
      <c r="AA655" s="0" t="inlineStr">
        <is>
          <t>인천시 서구 마전동 925</t>
        </is>
      </c>
      <c r="AB655" s="0" t="inlineStr">
        <is>
          <t>인천시</t>
        </is>
      </c>
      <c r="AC655" s="0" t="inlineStr">
        <is>
          <t>서구</t>
        </is>
      </c>
      <c r="AD655" s="0" t="inlineStr">
        <is>
          <t>마전동</t>
        </is>
      </c>
      <c r="AG655" s="0" t="inlineStr">
        <is>
          <t>인천시 서구 검단로487번길 44</t>
        </is>
      </c>
      <c r="AH655" s="0" t="n">
        <v>0</v>
      </c>
      <c r="AI655" s="0" t="n">
        <v>177</v>
      </c>
      <c r="AJ655" s="0" t="n">
        <v>36</v>
      </c>
      <c r="AK655" s="0" t="n">
        <v>0</v>
      </c>
      <c r="AL655" s="0" t="n">
        <v>0</v>
      </c>
    </row>
    <row r="656">
      <c r="A656" s="0" t="inlineStr">
        <is>
          <t>[마전동]</t>
        </is>
      </c>
      <c r="B656" s="0" t="n">
        <v>2298</v>
      </c>
      <c r="C656" s="0" t="n">
        <v>5</v>
      </c>
      <c r="D656" s="0" t="inlineStr">
        <is>
          <t>서해</t>
        </is>
      </c>
      <c r="E656" s="0" t="inlineStr">
        <is>
          <t>1992.12.</t>
        </is>
      </c>
      <c r="F656" s="0" t="n">
        <v>464</v>
      </c>
      <c r="G656" s="0" t="n">
        <v>22.85</v>
      </c>
      <c r="H656" s="0" t="n">
        <v>75.56999999999999</v>
      </c>
      <c r="I656" s="0" t="n">
        <v>18.05</v>
      </c>
      <c r="J656" s="0" t="n">
        <v>59.67</v>
      </c>
      <c r="K656" s="0" t="n">
        <v>60</v>
      </c>
      <c r="T656" s="0" t="n">
        <v>3</v>
      </c>
      <c r="U656" s="0" t="n">
        <v>1</v>
      </c>
      <c r="V656" s="0" t="inlineStr">
        <is>
          <t>계단식</t>
        </is>
      </c>
      <c r="W656" s="0" t="inlineStr">
        <is>
          <t>75A</t>
        </is>
      </c>
      <c r="X656" s="0" t="n">
        <v>6</v>
      </c>
      <c r="Y656" s="0" t="n">
        <v>5</v>
      </c>
      <c r="Z656" s="0" t="inlineStr">
        <is>
          <t>https://new.land.naver.com/complexes/2298?tab=detail&amp;rf=Y</t>
        </is>
      </c>
      <c r="AA656" s="0" t="inlineStr">
        <is>
          <t>인천시 서구 마전동 925</t>
        </is>
      </c>
      <c r="AB656" s="0" t="inlineStr">
        <is>
          <t>인천시</t>
        </is>
      </c>
      <c r="AC656" s="0" t="inlineStr">
        <is>
          <t>서구</t>
        </is>
      </c>
      <c r="AD656" s="0" t="inlineStr">
        <is>
          <t>마전동</t>
        </is>
      </c>
      <c r="AG656" s="0" t="inlineStr">
        <is>
          <t>인천시 서구 검단로487번길 44</t>
        </is>
      </c>
      <c r="AH656" s="0" t="n">
        <v>0</v>
      </c>
      <c r="AI656" s="0" t="n">
        <v>177</v>
      </c>
      <c r="AJ656" s="0" t="n">
        <v>36</v>
      </c>
      <c r="AK656" s="0" t="n">
        <v>0</v>
      </c>
      <c r="AL656" s="0" t="n">
        <v>0</v>
      </c>
    </row>
    <row r="657">
      <c r="A657" s="0" t="inlineStr">
        <is>
          <t>[마전동]</t>
        </is>
      </c>
      <c r="B657" s="0" t="n">
        <v>2298</v>
      </c>
      <c r="C657" s="0" t="n">
        <v>6</v>
      </c>
      <c r="D657" s="0" t="inlineStr">
        <is>
          <t>서해</t>
        </is>
      </c>
      <c r="E657" s="0" t="inlineStr">
        <is>
          <t>1992.12.</t>
        </is>
      </c>
      <c r="F657" s="0" t="n">
        <v>464</v>
      </c>
      <c r="G657" s="0" t="n">
        <v>23</v>
      </c>
      <c r="H657" s="0" t="n">
        <v>76.04000000000001</v>
      </c>
      <c r="I657" s="0" t="n">
        <v>17.83</v>
      </c>
      <c r="J657" s="0" t="n">
        <v>58.95</v>
      </c>
      <c r="K657" s="0" t="n">
        <v>75</v>
      </c>
      <c r="T657" s="0" t="n">
        <v>3</v>
      </c>
      <c r="U657" s="0" t="n">
        <v>1</v>
      </c>
      <c r="V657" s="0" t="inlineStr">
        <is>
          <t>계단식</t>
        </is>
      </c>
      <c r="W657" s="0" t="inlineStr">
        <is>
          <t>76A-1</t>
        </is>
      </c>
      <c r="X657" s="0" t="n">
        <v>6</v>
      </c>
      <c r="Y657" s="0" t="n">
        <v>5</v>
      </c>
      <c r="Z657" s="0" t="inlineStr">
        <is>
          <t>https://new.land.naver.com/complexes/2298?tab=detail&amp;rf=Y</t>
        </is>
      </c>
      <c r="AA657" s="0" t="inlineStr">
        <is>
          <t>인천시 서구 마전동 925</t>
        </is>
      </c>
      <c r="AB657" s="0" t="inlineStr">
        <is>
          <t>인천시</t>
        </is>
      </c>
      <c r="AC657" s="0" t="inlineStr">
        <is>
          <t>서구</t>
        </is>
      </c>
      <c r="AD657" s="0" t="inlineStr">
        <is>
          <t>마전동</t>
        </is>
      </c>
      <c r="AG657" s="0" t="inlineStr">
        <is>
          <t>인천시 서구 검단로487번길 44</t>
        </is>
      </c>
      <c r="AH657" s="0" t="n">
        <v>0</v>
      </c>
      <c r="AI657" s="0" t="n">
        <v>177</v>
      </c>
      <c r="AJ657" s="0" t="n">
        <v>36</v>
      </c>
      <c r="AK657" s="0" t="n">
        <v>0</v>
      </c>
      <c r="AL657" s="0" t="n">
        <v>0</v>
      </c>
    </row>
    <row r="658">
      <c r="A658" s="0" t="inlineStr">
        <is>
          <t>[마전동]</t>
        </is>
      </c>
      <c r="B658" s="0" t="n">
        <v>2298</v>
      </c>
      <c r="C658" s="0" t="n">
        <v>7</v>
      </c>
      <c r="D658" s="0" t="inlineStr">
        <is>
          <t>서해</t>
        </is>
      </c>
      <c r="E658" s="0" t="inlineStr">
        <is>
          <t>1992.12.</t>
        </is>
      </c>
      <c r="F658" s="0" t="n">
        <v>464</v>
      </c>
      <c r="G658" s="0" t="n">
        <v>23.58</v>
      </c>
      <c r="H658" s="0" t="n">
        <v>77.98</v>
      </c>
      <c r="I658" s="0" t="n">
        <v>18.14</v>
      </c>
      <c r="J658" s="0" t="n">
        <v>59.97</v>
      </c>
      <c r="K658" s="0" t="n">
        <v>110</v>
      </c>
      <c r="T658" s="0" t="n">
        <v>3</v>
      </c>
      <c r="U658" s="0" t="n">
        <v>1</v>
      </c>
      <c r="V658" s="0" t="inlineStr">
        <is>
          <t>계단식</t>
        </is>
      </c>
      <c r="W658" s="0" t="inlineStr">
        <is>
          <t>77C</t>
        </is>
      </c>
      <c r="X658" s="0" t="n">
        <v>6</v>
      </c>
      <c r="Y658" s="0" t="n">
        <v>5</v>
      </c>
      <c r="Z658" s="0" t="inlineStr">
        <is>
          <t>https://new.land.naver.com/complexes/2298?tab=detail&amp;rf=Y</t>
        </is>
      </c>
      <c r="AA658" s="0" t="inlineStr">
        <is>
          <t>인천시 서구 마전동 925</t>
        </is>
      </c>
      <c r="AB658" s="0" t="inlineStr">
        <is>
          <t>인천시</t>
        </is>
      </c>
      <c r="AC658" s="0" t="inlineStr">
        <is>
          <t>서구</t>
        </is>
      </c>
      <c r="AD658" s="0" t="inlineStr">
        <is>
          <t>마전동</t>
        </is>
      </c>
      <c r="AG658" s="0" t="inlineStr">
        <is>
          <t>인천시 서구 검단로487번길 44</t>
        </is>
      </c>
      <c r="AH658" s="0" t="n">
        <v>0</v>
      </c>
      <c r="AI658" s="0" t="n">
        <v>177</v>
      </c>
      <c r="AJ658" s="0" t="n">
        <v>36</v>
      </c>
      <c r="AK658" s="0" t="n">
        <v>0</v>
      </c>
      <c r="AL658" s="0" t="n">
        <v>0</v>
      </c>
    </row>
    <row r="659">
      <c r="A659" s="0" t="inlineStr">
        <is>
          <t>[마전동]</t>
        </is>
      </c>
      <c r="B659" s="0" t="n">
        <v>2298</v>
      </c>
      <c r="C659" s="0" t="n">
        <v>8</v>
      </c>
      <c r="D659" s="0" t="inlineStr">
        <is>
          <t>서해</t>
        </is>
      </c>
      <c r="E659" s="0" t="inlineStr">
        <is>
          <t>1992.12.</t>
        </is>
      </c>
      <c r="F659" s="0" t="n">
        <v>464</v>
      </c>
      <c r="G659" s="0" t="n">
        <v>23.42</v>
      </c>
      <c r="H659" s="0" t="n">
        <v>77.44</v>
      </c>
      <c r="I659" s="0" t="n">
        <v>18.08</v>
      </c>
      <c r="J659" s="0" t="n">
        <v>59.77</v>
      </c>
      <c r="K659" s="0" t="n">
        <v>20</v>
      </c>
      <c r="T659" s="0" t="n">
        <v>3</v>
      </c>
      <c r="U659" s="0" t="n">
        <v>1</v>
      </c>
      <c r="V659" s="0" t="inlineStr">
        <is>
          <t>계단식</t>
        </is>
      </c>
      <c r="W659" s="0" t="inlineStr">
        <is>
          <t>77B-2</t>
        </is>
      </c>
      <c r="X659" s="0" t="n">
        <v>6</v>
      </c>
      <c r="Y659" s="0" t="n">
        <v>5</v>
      </c>
      <c r="Z659" s="0" t="inlineStr">
        <is>
          <t>https://new.land.naver.com/complexes/2298?tab=detail&amp;rf=Y</t>
        </is>
      </c>
      <c r="AA659" s="0" t="inlineStr">
        <is>
          <t>인천시 서구 마전동 925</t>
        </is>
      </c>
      <c r="AB659" s="0" t="inlineStr">
        <is>
          <t>인천시</t>
        </is>
      </c>
      <c r="AC659" s="0" t="inlineStr">
        <is>
          <t>서구</t>
        </is>
      </c>
      <c r="AD659" s="0" t="inlineStr">
        <is>
          <t>마전동</t>
        </is>
      </c>
      <c r="AG659" s="0" t="inlineStr">
        <is>
          <t>인천시 서구 검단로487번길 44</t>
        </is>
      </c>
      <c r="AH659" s="0" t="n">
        <v>0</v>
      </c>
      <c r="AI659" s="0" t="n">
        <v>177</v>
      </c>
      <c r="AJ659" s="0" t="n">
        <v>36</v>
      </c>
      <c r="AK659" s="0" t="n">
        <v>0</v>
      </c>
      <c r="AL659" s="0" t="n">
        <v>0</v>
      </c>
    </row>
    <row r="660">
      <c r="A660" s="0" t="inlineStr">
        <is>
          <t>[마전동]</t>
        </is>
      </c>
      <c r="B660" s="0" t="n">
        <v>142376</v>
      </c>
      <c r="C660" s="0" t="n">
        <v>1</v>
      </c>
      <c r="D660" s="0" t="inlineStr">
        <is>
          <t>마전양우내안애퍼스트힐</t>
        </is>
      </c>
      <c r="E660" s="0" t="inlineStr">
        <is>
          <t>2022.02.</t>
        </is>
      </c>
      <c r="F660" s="0" t="n">
        <v>545</v>
      </c>
      <c r="G660" s="0" t="n">
        <v>23.8</v>
      </c>
      <c r="H660" s="0" t="n">
        <v>78.70999999999999</v>
      </c>
      <c r="I660" s="0" t="n">
        <v>18.05</v>
      </c>
      <c r="J660" s="0" t="n">
        <v>59.69</v>
      </c>
      <c r="K660" s="0" t="n">
        <v>111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78B</t>
        </is>
      </c>
      <c r="X660" s="0" t="n">
        <v>18</v>
      </c>
      <c r="Y660" s="0" t="n">
        <v>8</v>
      </c>
      <c r="Z660" s="0" t="inlineStr">
        <is>
          <t>https://new.land.naver.com/complexes/142376?tab=detail&amp;rf=Y</t>
        </is>
      </c>
      <c r="AA660" s="0" t="inlineStr">
        <is>
          <t>인천시 서구 마전동 마전지구 17BL-2LOT 외 4필지</t>
        </is>
      </c>
      <c r="AB660" s="0" t="inlineStr">
        <is>
          <t>인천시</t>
        </is>
      </c>
      <c r="AC660" s="0" t="inlineStr">
        <is>
          <t>서구</t>
        </is>
      </c>
      <c r="AD660" s="0" t="inlineStr">
        <is>
          <t>마전동</t>
        </is>
      </c>
      <c r="AG660" s="0" t="inlineStr">
        <is>
          <t>인천시 서구</t>
        </is>
      </c>
      <c r="AH660" s="0" t="n">
        <v>0</v>
      </c>
      <c r="AI660" s="0" t="n">
        <v>0</v>
      </c>
      <c r="AJ660" s="0" t="n">
        <v>0</v>
      </c>
      <c r="AK660" s="0" t="n">
        <v>650</v>
      </c>
      <c r="AL660" s="0" t="n">
        <v>1.19</v>
      </c>
    </row>
    <row r="661">
      <c r="A661" s="0" t="inlineStr">
        <is>
          <t>[마전동]</t>
        </is>
      </c>
      <c r="B661" s="0" t="n">
        <v>142376</v>
      </c>
      <c r="C661" s="0" t="n">
        <v>2</v>
      </c>
      <c r="D661" s="0" t="inlineStr">
        <is>
          <t>마전양우내안애퍼스트힐</t>
        </is>
      </c>
      <c r="E661" s="0" t="inlineStr">
        <is>
          <t>2022.02.</t>
        </is>
      </c>
      <c r="F661" s="0" t="n">
        <v>545</v>
      </c>
      <c r="G661" s="0" t="n">
        <v>24.06</v>
      </c>
      <c r="H661" s="0" t="n">
        <v>79.56999999999999</v>
      </c>
      <c r="I661" s="0" t="n">
        <v>18.13</v>
      </c>
      <c r="J661" s="0" t="n">
        <v>59.95</v>
      </c>
      <c r="K661" s="0" t="n">
        <v>162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79A</t>
        </is>
      </c>
      <c r="X661" s="0" t="n">
        <v>18</v>
      </c>
      <c r="Y661" s="0" t="n">
        <v>8</v>
      </c>
      <c r="Z661" s="0" t="inlineStr">
        <is>
          <t>https://new.land.naver.com/complexes/142376?tab=detail&amp;rf=Y</t>
        </is>
      </c>
      <c r="AA661" s="0" t="inlineStr">
        <is>
          <t>인천시 서구 마전동 마전지구 17BL-2LOT 외 4필지</t>
        </is>
      </c>
      <c r="AB661" s="0" t="inlineStr">
        <is>
          <t>인천시</t>
        </is>
      </c>
      <c r="AC661" s="0" t="inlineStr">
        <is>
          <t>서구</t>
        </is>
      </c>
      <c r="AD661" s="0" t="inlineStr">
        <is>
          <t>마전동</t>
        </is>
      </c>
      <c r="AG661" s="0" t="inlineStr">
        <is>
          <t>인천시 서구</t>
        </is>
      </c>
      <c r="AH661" s="0" t="n">
        <v>0</v>
      </c>
      <c r="AI661" s="0" t="n">
        <v>0</v>
      </c>
      <c r="AJ661" s="0" t="n">
        <v>0</v>
      </c>
      <c r="AK661" s="0" t="n">
        <v>650</v>
      </c>
      <c r="AL661" s="0" t="n">
        <v>1.19</v>
      </c>
    </row>
    <row r="662">
      <c r="A662" s="0" t="inlineStr">
        <is>
          <t>[마전동]</t>
        </is>
      </c>
      <c r="B662" s="0" t="n">
        <v>142376</v>
      </c>
      <c r="C662" s="0" t="n">
        <v>3</v>
      </c>
      <c r="D662" s="0" t="inlineStr">
        <is>
          <t>마전양우내안애퍼스트힐</t>
        </is>
      </c>
      <c r="E662" s="0" t="inlineStr">
        <is>
          <t>2022.02.</t>
        </is>
      </c>
      <c r="F662" s="0" t="n">
        <v>545</v>
      </c>
      <c r="G662" s="0" t="n">
        <v>28.39</v>
      </c>
      <c r="H662" s="0" t="n">
        <v>93.86</v>
      </c>
      <c r="I662" s="0" t="n">
        <v>21.76</v>
      </c>
      <c r="J662" s="0" t="n">
        <v>71.95</v>
      </c>
      <c r="K662" s="0" t="n">
        <v>32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93</v>
      </c>
      <c r="X662" s="0" t="n">
        <v>18</v>
      </c>
      <c r="Y662" s="0" t="n">
        <v>8</v>
      </c>
      <c r="Z662" s="0" t="inlineStr">
        <is>
          <t>https://new.land.naver.com/complexes/142376?tab=detail&amp;rf=Y</t>
        </is>
      </c>
      <c r="AA662" s="0" t="inlineStr">
        <is>
          <t>인천시 서구 마전동 마전지구 17BL-2LOT 외 4필지</t>
        </is>
      </c>
      <c r="AB662" s="0" t="inlineStr">
        <is>
          <t>인천시</t>
        </is>
      </c>
      <c r="AC662" s="0" t="inlineStr">
        <is>
          <t>서구</t>
        </is>
      </c>
      <c r="AD662" s="0" t="inlineStr">
        <is>
          <t>마전동</t>
        </is>
      </c>
      <c r="AG662" s="0" t="inlineStr">
        <is>
          <t>인천시 서구</t>
        </is>
      </c>
      <c r="AH662" s="0" t="n">
        <v>0</v>
      </c>
      <c r="AI662" s="0" t="n">
        <v>0</v>
      </c>
      <c r="AJ662" s="0" t="n">
        <v>0</v>
      </c>
      <c r="AK662" s="0" t="n">
        <v>650</v>
      </c>
      <c r="AL662" s="0" t="n">
        <v>1.19</v>
      </c>
    </row>
    <row r="663">
      <c r="A663" s="0" t="inlineStr">
        <is>
          <t>[마전동]</t>
        </is>
      </c>
      <c r="B663" s="0" t="n">
        <v>142376</v>
      </c>
      <c r="C663" s="0" t="n">
        <v>4</v>
      </c>
      <c r="D663" s="0" t="inlineStr">
        <is>
          <t>마전양우내안애퍼스트힐</t>
        </is>
      </c>
      <c r="E663" s="0" t="inlineStr">
        <is>
          <t>2022.02.</t>
        </is>
      </c>
      <c r="F663" s="0" t="n">
        <v>545</v>
      </c>
      <c r="G663" s="0" t="n">
        <v>33.42</v>
      </c>
      <c r="H663" s="0" t="n">
        <v>110.48</v>
      </c>
      <c r="I663" s="0" t="n">
        <v>25.65</v>
      </c>
      <c r="J663" s="0" t="n">
        <v>84.81</v>
      </c>
      <c r="K663" s="0" t="n">
        <v>49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110B</t>
        </is>
      </c>
      <c r="X663" s="0" t="n">
        <v>18</v>
      </c>
      <c r="Y663" s="0" t="n">
        <v>8</v>
      </c>
      <c r="Z663" s="0" t="inlineStr">
        <is>
          <t>https://new.land.naver.com/complexes/142376?tab=detail&amp;rf=Y</t>
        </is>
      </c>
      <c r="AA663" s="0" t="inlineStr">
        <is>
          <t>인천시 서구 마전동 마전지구 17BL-2LOT 외 4필지</t>
        </is>
      </c>
      <c r="AB663" s="0" t="inlineStr">
        <is>
          <t>인천시</t>
        </is>
      </c>
      <c r="AC663" s="0" t="inlineStr">
        <is>
          <t>서구</t>
        </is>
      </c>
      <c r="AD663" s="0" t="inlineStr">
        <is>
          <t>마전동</t>
        </is>
      </c>
      <c r="AG663" s="0" t="inlineStr">
        <is>
          <t>인천시 서구</t>
        </is>
      </c>
      <c r="AH663" s="0" t="n">
        <v>0</v>
      </c>
      <c r="AI663" s="0" t="n">
        <v>0</v>
      </c>
      <c r="AJ663" s="0" t="n">
        <v>0</v>
      </c>
      <c r="AK663" s="0" t="n">
        <v>650</v>
      </c>
      <c r="AL663" s="0" t="n">
        <v>1.19</v>
      </c>
    </row>
    <row r="664">
      <c r="A664" s="0" t="inlineStr">
        <is>
          <t>[마전동]</t>
        </is>
      </c>
      <c r="B664" s="0" t="n">
        <v>142376</v>
      </c>
      <c r="C664" s="0" t="n">
        <v>5</v>
      </c>
      <c r="D664" s="0" t="inlineStr">
        <is>
          <t>마전양우내안애퍼스트힐</t>
        </is>
      </c>
      <c r="E664" s="0" t="inlineStr">
        <is>
          <t>2022.02.</t>
        </is>
      </c>
      <c r="F664" s="0" t="n">
        <v>545</v>
      </c>
      <c r="G664" s="0" t="n">
        <v>33.63</v>
      </c>
      <c r="H664" s="0" t="n">
        <v>111.19</v>
      </c>
      <c r="I664" s="0" t="n">
        <v>25.69</v>
      </c>
      <c r="J664" s="0" t="n">
        <v>84.93000000000001</v>
      </c>
      <c r="K664" s="0" t="n">
        <v>191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111A</t>
        </is>
      </c>
      <c r="X664" s="0" t="n">
        <v>18</v>
      </c>
      <c r="Y664" s="0" t="n">
        <v>8</v>
      </c>
      <c r="Z664" s="0" t="inlineStr">
        <is>
          <t>https://new.land.naver.com/complexes/142376?tab=detail&amp;rf=Y</t>
        </is>
      </c>
      <c r="AA664" s="0" t="inlineStr">
        <is>
          <t>인천시 서구 마전동 마전지구 17BL-2LOT 외 4필지</t>
        </is>
      </c>
      <c r="AB664" s="0" t="inlineStr">
        <is>
          <t>인천시</t>
        </is>
      </c>
      <c r="AC664" s="0" t="inlineStr">
        <is>
          <t>서구</t>
        </is>
      </c>
      <c r="AD664" s="0" t="inlineStr">
        <is>
          <t>마전동</t>
        </is>
      </c>
      <c r="AG664" s="0" t="inlineStr">
        <is>
          <t>인천시 서구</t>
        </is>
      </c>
      <c r="AH664" s="0" t="n">
        <v>0</v>
      </c>
      <c r="AI664" s="0" t="n">
        <v>0</v>
      </c>
      <c r="AJ664" s="0" t="n">
        <v>0</v>
      </c>
      <c r="AK664" s="0" t="n">
        <v>650</v>
      </c>
      <c r="AL664" s="0" t="n">
        <v>1.19</v>
      </c>
    </row>
    <row r="665">
      <c r="A665" s="0" t="inlineStr">
        <is>
          <t>[마전동]</t>
        </is>
      </c>
      <c r="B665" s="0" t="n">
        <v>117506</v>
      </c>
      <c r="C665" s="0" t="n">
        <v>1</v>
      </c>
      <c r="D665" s="0" t="inlineStr">
        <is>
          <t>서경프라임(도시형)</t>
        </is>
      </c>
      <c r="E665" s="0" t="inlineStr">
        <is>
          <t>2012.04.</t>
        </is>
      </c>
      <c r="F665" s="0" t="n">
        <v>21</v>
      </c>
      <c r="G665" s="0" t="n">
        <v>20.02</v>
      </c>
      <c r="H665" s="0" t="n">
        <v>66.19</v>
      </c>
      <c r="I665" s="0" t="n">
        <v>17.65</v>
      </c>
      <c r="J665" s="0" t="n">
        <v>58.35</v>
      </c>
      <c r="K665" s="0" t="n">
        <v>6</v>
      </c>
      <c r="T665" s="0" t="n">
        <v>3</v>
      </c>
      <c r="U665" s="0" t="n">
        <v>1</v>
      </c>
      <c r="V665" s="0" t="inlineStr">
        <is>
          <t>복도식</t>
        </is>
      </c>
      <c r="W665" s="0" t="inlineStr">
        <is>
          <t>66A</t>
        </is>
      </c>
      <c r="X665" s="0" t="n">
        <v>6</v>
      </c>
      <c r="Y665" s="0" t="n">
        <v>6</v>
      </c>
      <c r="Z665" s="0" t="inlineStr">
        <is>
          <t>https://new.land.naver.com/complexes/117506?tab=detail&amp;rf=Y</t>
        </is>
      </c>
      <c r="AA665" s="0" t="inlineStr">
        <is>
          <t>인천시 서구 마전동 1002-8</t>
        </is>
      </c>
      <c r="AB665" s="0" t="inlineStr">
        <is>
          <t>인천시</t>
        </is>
      </c>
      <c r="AC665" s="0" t="inlineStr">
        <is>
          <t>서구</t>
        </is>
      </c>
      <c r="AD665" s="0" t="inlineStr">
        <is>
          <t>마전동</t>
        </is>
      </c>
      <c r="AG665" s="0" t="inlineStr">
        <is>
          <t>인천시 서구 완정로64번길 50</t>
        </is>
      </c>
      <c r="AH665" s="0" t="n">
        <v>0</v>
      </c>
      <c r="AI665" s="0" t="n">
        <v>255</v>
      </c>
      <c r="AJ665" s="0" t="n">
        <v>55</v>
      </c>
      <c r="AK665" s="0" t="n">
        <v>21</v>
      </c>
      <c r="AL665" s="0" t="n">
        <v>1</v>
      </c>
    </row>
    <row r="666">
      <c r="A666" s="0" t="inlineStr">
        <is>
          <t>[마전동]</t>
        </is>
      </c>
      <c r="B666" s="0" t="n">
        <v>117506</v>
      </c>
      <c r="C666" s="0" t="n">
        <v>2</v>
      </c>
      <c r="D666" s="0" t="inlineStr">
        <is>
          <t>서경프라임(도시형)</t>
        </is>
      </c>
      <c r="E666" s="0" t="inlineStr">
        <is>
          <t>2012.04.</t>
        </is>
      </c>
      <c r="F666" s="0" t="n">
        <v>21</v>
      </c>
      <c r="G666" s="0" t="n">
        <v>20.36</v>
      </c>
      <c r="H666" s="0" t="n">
        <v>67.33</v>
      </c>
      <c r="I666" s="0" t="n">
        <v>17.95</v>
      </c>
      <c r="J666" s="0" t="n">
        <v>59.35</v>
      </c>
      <c r="K666" s="0" t="n">
        <v>6</v>
      </c>
      <c r="T666" s="0" t="n">
        <v>3</v>
      </c>
      <c r="U666" s="0" t="n">
        <v>1</v>
      </c>
      <c r="V666" s="0" t="inlineStr">
        <is>
          <t>복도식</t>
        </is>
      </c>
      <c r="W666" s="0" t="inlineStr">
        <is>
          <t>67B</t>
        </is>
      </c>
      <c r="X666" s="0" t="n">
        <v>6</v>
      </c>
      <c r="Y666" s="0" t="n">
        <v>6</v>
      </c>
      <c r="Z666" s="0" t="inlineStr">
        <is>
          <t>https://new.land.naver.com/complexes/117506?tab=detail&amp;rf=Y</t>
        </is>
      </c>
      <c r="AA666" s="0" t="inlineStr">
        <is>
          <t>인천시 서구 마전동 1002-8</t>
        </is>
      </c>
      <c r="AB666" s="0" t="inlineStr">
        <is>
          <t>인천시</t>
        </is>
      </c>
      <c r="AC666" s="0" t="inlineStr">
        <is>
          <t>서구</t>
        </is>
      </c>
      <c r="AD666" s="0" t="inlineStr">
        <is>
          <t>마전동</t>
        </is>
      </c>
      <c r="AG666" s="0" t="inlineStr">
        <is>
          <t>인천시 서구 완정로64번길 50</t>
        </is>
      </c>
      <c r="AH666" s="0" t="n">
        <v>0</v>
      </c>
      <c r="AI666" s="0" t="n">
        <v>255</v>
      </c>
      <c r="AJ666" s="0" t="n">
        <v>55</v>
      </c>
      <c r="AK666" s="0" t="n">
        <v>21</v>
      </c>
      <c r="AL666" s="0" t="n">
        <v>1</v>
      </c>
    </row>
    <row r="667">
      <c r="A667" s="0" t="inlineStr">
        <is>
          <t>[마전동]</t>
        </is>
      </c>
      <c r="B667" s="0" t="n">
        <v>117506</v>
      </c>
      <c r="C667" s="0" t="n">
        <v>3</v>
      </c>
      <c r="D667" s="0" t="inlineStr">
        <is>
          <t>서경프라임(도시형)</t>
        </is>
      </c>
      <c r="E667" s="0" t="inlineStr">
        <is>
          <t>2012.04.</t>
        </is>
      </c>
      <c r="F667" s="0" t="n">
        <v>21</v>
      </c>
      <c r="G667" s="0" t="n">
        <v>20.42</v>
      </c>
      <c r="H667" s="0" t="n">
        <v>67.52</v>
      </c>
      <c r="I667" s="0" t="n">
        <v>18</v>
      </c>
      <c r="J667" s="0" t="n">
        <v>59.52</v>
      </c>
      <c r="K667" s="0" t="n">
        <v>3</v>
      </c>
      <c r="T667" s="0" t="n">
        <v>3</v>
      </c>
      <c r="U667" s="0" t="n">
        <v>1</v>
      </c>
      <c r="V667" s="0" t="inlineStr">
        <is>
          <t>복도식</t>
        </is>
      </c>
      <c r="W667" s="0" t="inlineStr">
        <is>
          <t>67C</t>
        </is>
      </c>
      <c r="X667" s="0" t="n">
        <v>6</v>
      </c>
      <c r="Y667" s="0" t="n">
        <v>6</v>
      </c>
      <c r="Z667" s="0" t="inlineStr">
        <is>
          <t>https://new.land.naver.com/complexes/117506?tab=detail&amp;rf=Y</t>
        </is>
      </c>
      <c r="AA667" s="0" t="inlineStr">
        <is>
          <t>인천시 서구 마전동 1002-8</t>
        </is>
      </c>
      <c r="AB667" s="0" t="inlineStr">
        <is>
          <t>인천시</t>
        </is>
      </c>
      <c r="AC667" s="0" t="inlineStr">
        <is>
          <t>서구</t>
        </is>
      </c>
      <c r="AD667" s="0" t="inlineStr">
        <is>
          <t>마전동</t>
        </is>
      </c>
      <c r="AG667" s="0" t="inlineStr">
        <is>
          <t>인천시 서구 완정로64번길 50</t>
        </is>
      </c>
      <c r="AH667" s="0" t="n">
        <v>0</v>
      </c>
      <c r="AI667" s="0" t="n">
        <v>255</v>
      </c>
      <c r="AJ667" s="0" t="n">
        <v>55</v>
      </c>
      <c r="AK667" s="0" t="n">
        <v>21</v>
      </c>
      <c r="AL667" s="0" t="n">
        <v>1</v>
      </c>
    </row>
    <row r="668">
      <c r="A668" s="0" t="inlineStr">
        <is>
          <t>[마전동]</t>
        </is>
      </c>
      <c r="B668" s="0" t="n">
        <v>117506</v>
      </c>
      <c r="C668" s="0" t="n">
        <v>4</v>
      </c>
      <c r="D668" s="0" t="inlineStr">
        <is>
          <t>서경프라임(도시형)</t>
        </is>
      </c>
      <c r="E668" s="0" t="inlineStr">
        <is>
          <t>2012.04.</t>
        </is>
      </c>
      <c r="F668" s="0" t="n">
        <v>21</v>
      </c>
      <c r="G668" s="0" t="n">
        <v>21.33</v>
      </c>
      <c r="H668" s="0" t="n">
        <v>70.54000000000001</v>
      </c>
      <c r="I668" s="0" t="n">
        <v>18.8</v>
      </c>
      <c r="J668" s="0" t="n">
        <v>62.18</v>
      </c>
      <c r="K668" s="0" t="n">
        <v>3</v>
      </c>
      <c r="T668" s="0" t="n">
        <v>3</v>
      </c>
      <c r="U668" s="0" t="n">
        <v>1</v>
      </c>
      <c r="V668" s="0" t="inlineStr">
        <is>
          <t>복도식</t>
        </is>
      </c>
      <c r="W668" s="0" t="n">
        <v>70</v>
      </c>
      <c r="X668" s="0" t="n">
        <v>6</v>
      </c>
      <c r="Y668" s="0" t="n">
        <v>6</v>
      </c>
      <c r="Z668" s="0" t="inlineStr">
        <is>
          <t>https://new.land.naver.com/complexes/117506?tab=detail&amp;rf=Y</t>
        </is>
      </c>
      <c r="AA668" s="0" t="inlineStr">
        <is>
          <t>인천시 서구 마전동 1002-8</t>
        </is>
      </c>
      <c r="AB668" s="0" t="inlineStr">
        <is>
          <t>인천시</t>
        </is>
      </c>
      <c r="AC668" s="0" t="inlineStr">
        <is>
          <t>서구</t>
        </is>
      </c>
      <c r="AD668" s="0" t="inlineStr">
        <is>
          <t>마전동</t>
        </is>
      </c>
      <c r="AG668" s="0" t="inlineStr">
        <is>
          <t>인천시 서구 완정로64번길 50</t>
        </is>
      </c>
      <c r="AH668" s="0" t="n">
        <v>0</v>
      </c>
      <c r="AI668" s="0" t="n">
        <v>255</v>
      </c>
      <c r="AJ668" s="0" t="n">
        <v>55</v>
      </c>
      <c r="AK668" s="0" t="n">
        <v>21</v>
      </c>
      <c r="AL668" s="0" t="n">
        <v>1</v>
      </c>
    </row>
    <row r="669">
      <c r="A669" s="0" t="inlineStr">
        <is>
          <t>[마전동]</t>
        </is>
      </c>
      <c r="B669" s="0" t="n">
        <v>117506</v>
      </c>
      <c r="C669" s="0" t="n">
        <v>5</v>
      </c>
      <c r="D669" s="0" t="inlineStr">
        <is>
          <t>서경프라임(도시형)</t>
        </is>
      </c>
      <c r="E669" s="0" t="inlineStr">
        <is>
          <t>2012.04.</t>
        </is>
      </c>
      <c r="F669" s="0" t="n">
        <v>21</v>
      </c>
      <c r="G669" s="0" t="n">
        <v>23.23</v>
      </c>
      <c r="H669" s="0" t="n">
        <v>76.8</v>
      </c>
      <c r="I669" s="0" t="n">
        <v>20.47</v>
      </c>
      <c r="J669" s="0" t="n">
        <v>67.7</v>
      </c>
      <c r="K669" s="0" t="n">
        <v>3</v>
      </c>
      <c r="T669" s="0" t="n">
        <v>3</v>
      </c>
      <c r="U669" s="0" t="n">
        <v>1</v>
      </c>
      <c r="V669" s="0" t="inlineStr">
        <is>
          <t>복도식</t>
        </is>
      </c>
      <c r="W669" s="0" t="n">
        <v>76</v>
      </c>
      <c r="X669" s="0" t="n">
        <v>6</v>
      </c>
      <c r="Y669" s="0" t="n">
        <v>6</v>
      </c>
      <c r="Z669" s="0" t="inlineStr">
        <is>
          <t>https://new.land.naver.com/complexes/117506?tab=detail&amp;rf=Y</t>
        </is>
      </c>
      <c r="AA669" s="0" t="inlineStr">
        <is>
          <t>인천시 서구 마전동 1002-8</t>
        </is>
      </c>
      <c r="AB669" s="0" t="inlineStr">
        <is>
          <t>인천시</t>
        </is>
      </c>
      <c r="AC669" s="0" t="inlineStr">
        <is>
          <t>서구</t>
        </is>
      </c>
      <c r="AD669" s="0" t="inlineStr">
        <is>
          <t>마전동</t>
        </is>
      </c>
      <c r="AG669" s="0" t="inlineStr">
        <is>
          <t>인천시 서구 완정로64번길 50</t>
        </is>
      </c>
      <c r="AH669" s="0" t="n">
        <v>0</v>
      </c>
      <c r="AI669" s="0" t="n">
        <v>255</v>
      </c>
      <c r="AJ669" s="0" t="n">
        <v>55</v>
      </c>
      <c r="AK669" s="0" t="n">
        <v>21</v>
      </c>
      <c r="AL669" s="0" t="n">
        <v>1</v>
      </c>
    </row>
    <row r="670">
      <c r="A670" s="0" t="inlineStr">
        <is>
          <t>[마전동]</t>
        </is>
      </c>
      <c r="B670" s="0" t="n">
        <v>19519</v>
      </c>
      <c r="C670" s="0" t="n">
        <v>1</v>
      </c>
      <c r="D670" s="0" t="inlineStr">
        <is>
          <t>마전풍림아이원4차</t>
        </is>
      </c>
      <c r="E670" s="0" t="inlineStr">
        <is>
          <t>2007.01.</t>
        </is>
      </c>
      <c r="F670" s="0" t="n">
        <v>216</v>
      </c>
      <c r="G670" s="0" t="n">
        <v>34.01</v>
      </c>
      <c r="H670" s="0" t="n">
        <v>112.46</v>
      </c>
      <c r="I670" s="0" t="n">
        <v>25.5</v>
      </c>
      <c r="J670" s="0" t="n">
        <v>84.31999999999999</v>
      </c>
      <c r="K670" s="0" t="n">
        <v>144</v>
      </c>
      <c r="T670" s="0" t="n">
        <v>3</v>
      </c>
      <c r="U670" s="0" t="n">
        <v>2</v>
      </c>
      <c r="V670" s="0" t="inlineStr">
        <is>
          <t>계단식</t>
        </is>
      </c>
      <c r="W670" s="0" t="n">
        <v>112</v>
      </c>
      <c r="X670" s="0" t="n">
        <v>12</v>
      </c>
      <c r="Y670" s="0" t="n">
        <v>12</v>
      </c>
      <c r="Z670" s="0" t="inlineStr">
        <is>
          <t>https://new.land.naver.com/complexes/19519?tab=detail&amp;rf=Y</t>
        </is>
      </c>
      <c r="AA670" s="0" t="inlineStr">
        <is>
          <t>인천시 서구 마전동 마전지구1블럭1,2롯트</t>
        </is>
      </c>
      <c r="AB670" s="0" t="inlineStr">
        <is>
          <t>인천시</t>
        </is>
      </c>
      <c r="AC670" s="0" t="inlineStr">
        <is>
          <t>서구</t>
        </is>
      </c>
      <c r="AD670" s="0" t="inlineStr">
        <is>
          <t>마전동</t>
        </is>
      </c>
      <c r="AG670" s="0" t="inlineStr">
        <is>
          <t>인천시 서구 마전로5번길 13</t>
        </is>
      </c>
      <c r="AH670" s="0" t="n">
        <v>0</v>
      </c>
      <c r="AI670" s="0" t="n">
        <v>0</v>
      </c>
      <c r="AJ670" s="0" t="n">
        <v>0</v>
      </c>
      <c r="AK670" s="0" t="n">
        <v>0</v>
      </c>
      <c r="AL670" s="0" t="n">
        <v>0</v>
      </c>
    </row>
    <row r="671">
      <c r="A671" s="0" t="inlineStr">
        <is>
          <t>[마전동]</t>
        </is>
      </c>
      <c r="B671" s="0" t="n">
        <v>19519</v>
      </c>
      <c r="C671" s="0" t="n">
        <v>2</v>
      </c>
      <c r="D671" s="0" t="inlineStr">
        <is>
          <t>마전풍림아이원4차</t>
        </is>
      </c>
      <c r="E671" s="0" t="inlineStr">
        <is>
          <t>2007.01.</t>
        </is>
      </c>
      <c r="F671" s="0" t="n">
        <v>216</v>
      </c>
      <c r="G671" s="0" t="n">
        <v>40.01</v>
      </c>
      <c r="H671" s="0" t="n">
        <v>132.28</v>
      </c>
      <c r="I671" s="0" t="n">
        <v>32.32</v>
      </c>
      <c r="J671" s="0" t="n">
        <v>106.87</v>
      </c>
      <c r="K671" s="0" t="n">
        <v>72</v>
      </c>
      <c r="T671" s="0" t="n">
        <v>3</v>
      </c>
      <c r="U671" s="0" t="n">
        <v>2</v>
      </c>
      <c r="V671" s="0" t="inlineStr">
        <is>
          <t>계단식</t>
        </is>
      </c>
      <c r="W671" s="0" t="n">
        <v>132</v>
      </c>
      <c r="X671" s="0" t="n">
        <v>12</v>
      </c>
      <c r="Y671" s="0" t="n">
        <v>12</v>
      </c>
      <c r="Z671" s="0" t="inlineStr">
        <is>
          <t>https://new.land.naver.com/complexes/19519?tab=detail&amp;rf=Y</t>
        </is>
      </c>
      <c r="AA671" s="0" t="inlineStr">
        <is>
          <t>인천시 서구 마전동 마전지구1블럭1,2롯트</t>
        </is>
      </c>
      <c r="AB671" s="0" t="inlineStr">
        <is>
          <t>인천시</t>
        </is>
      </c>
      <c r="AC671" s="0" t="inlineStr">
        <is>
          <t>서구</t>
        </is>
      </c>
      <c r="AD671" s="0" t="inlineStr">
        <is>
          <t>마전동</t>
        </is>
      </c>
      <c r="AG671" s="0" t="inlineStr">
        <is>
          <t>인천시 서구 마전로5번길 13</t>
        </is>
      </c>
      <c r="AH671" s="0" t="n">
        <v>0</v>
      </c>
      <c r="AI671" s="0" t="n">
        <v>0</v>
      </c>
      <c r="AJ671" s="0" t="n">
        <v>0</v>
      </c>
      <c r="AK671" s="0" t="n">
        <v>0</v>
      </c>
      <c r="AL671" s="0" t="n">
        <v>0</v>
      </c>
    </row>
    <row r="672">
      <c r="A672" s="0" t="inlineStr">
        <is>
          <t>[마전동]</t>
        </is>
      </c>
      <c r="B672" s="0" t="n">
        <v>141129</v>
      </c>
      <c r="C672" s="0" t="n">
        <v>1</v>
      </c>
      <c r="D672" s="0" t="inlineStr">
        <is>
          <t>타워팰리스(988-8,도시형)</t>
        </is>
      </c>
      <c r="E672" s="0" t="inlineStr">
        <is>
          <t>2014.11.</t>
        </is>
      </c>
      <c r="F672" s="0" t="n">
        <v>20</v>
      </c>
      <c r="G672" s="0" t="n">
        <v>19.23</v>
      </c>
      <c r="H672" s="0" t="n">
        <v>63.58</v>
      </c>
      <c r="I672" s="0" t="n">
        <v>15</v>
      </c>
      <c r="J672" s="0" t="n">
        <v>49.61</v>
      </c>
      <c r="K672" s="0" t="n">
        <v>4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63A</t>
        </is>
      </c>
      <c r="X672" s="0" t="n">
        <v>6</v>
      </c>
      <c r="Y672" s="0" t="n">
        <v>6</v>
      </c>
      <c r="Z672" s="0" t="inlineStr">
        <is>
          <t>https://new.land.naver.com/complexes/141129?tab=detail&amp;rf=Y</t>
        </is>
      </c>
      <c r="AA672" s="0" t="inlineStr">
        <is>
          <t>인천시 서구 마전동 988-8</t>
        </is>
      </c>
      <c r="AB672" s="0" t="inlineStr">
        <is>
          <t>인천시</t>
        </is>
      </c>
      <c r="AC672" s="0" t="inlineStr">
        <is>
          <t>서구</t>
        </is>
      </c>
      <c r="AD672" s="0" t="inlineStr">
        <is>
          <t>마전동</t>
        </is>
      </c>
      <c r="AG672" s="0" t="inlineStr">
        <is>
          <t>인천시 서구 검단로 534</t>
        </is>
      </c>
      <c r="AH672" s="0" t="n">
        <v>0</v>
      </c>
      <c r="AI672" s="0" t="n">
        <v>297</v>
      </c>
      <c r="AJ672" s="0" t="n">
        <v>58</v>
      </c>
      <c r="AK672" s="0" t="n">
        <v>13</v>
      </c>
      <c r="AL672" s="0" t="n">
        <v>0.65</v>
      </c>
    </row>
    <row r="673">
      <c r="A673" s="0" t="inlineStr">
        <is>
          <t>[마전동]</t>
        </is>
      </c>
      <c r="B673" s="0" t="n">
        <v>141129</v>
      </c>
      <c r="C673" s="0" t="n">
        <v>2</v>
      </c>
      <c r="D673" s="0" t="inlineStr">
        <is>
          <t>타워팰리스(988-8,도시형)</t>
        </is>
      </c>
      <c r="E673" s="0" t="inlineStr">
        <is>
          <t>2014.11.</t>
        </is>
      </c>
      <c r="F673" s="0" t="n">
        <v>20</v>
      </c>
      <c r="G673" s="0" t="n">
        <v>19.09</v>
      </c>
      <c r="H673" s="0" t="n">
        <v>63.11</v>
      </c>
      <c r="I673" s="0" t="n">
        <v>15.03</v>
      </c>
      <c r="J673" s="0" t="n">
        <v>49.7</v>
      </c>
      <c r="K673" s="0" t="n">
        <v>4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63B</t>
        </is>
      </c>
      <c r="X673" s="0" t="n">
        <v>6</v>
      </c>
      <c r="Y673" s="0" t="n">
        <v>6</v>
      </c>
      <c r="Z673" s="0" t="inlineStr">
        <is>
          <t>https://new.land.naver.com/complexes/141129?tab=detail&amp;rf=Y</t>
        </is>
      </c>
      <c r="AA673" s="0" t="inlineStr">
        <is>
          <t>인천시 서구 마전동 988-8</t>
        </is>
      </c>
      <c r="AB673" s="0" t="inlineStr">
        <is>
          <t>인천시</t>
        </is>
      </c>
      <c r="AC673" s="0" t="inlineStr">
        <is>
          <t>서구</t>
        </is>
      </c>
      <c r="AD673" s="0" t="inlineStr">
        <is>
          <t>마전동</t>
        </is>
      </c>
      <c r="AG673" s="0" t="inlineStr">
        <is>
          <t>인천시 서구 검단로 534</t>
        </is>
      </c>
      <c r="AH673" s="0" t="n">
        <v>0</v>
      </c>
      <c r="AI673" s="0" t="n">
        <v>297</v>
      </c>
      <c r="AJ673" s="0" t="n">
        <v>58</v>
      </c>
      <c r="AK673" s="0" t="n">
        <v>13</v>
      </c>
      <c r="AL673" s="0" t="n">
        <v>0.65</v>
      </c>
    </row>
    <row r="674">
      <c r="A674" s="0" t="inlineStr">
        <is>
          <t>[마전동]</t>
        </is>
      </c>
      <c r="B674" s="0" t="n">
        <v>141129</v>
      </c>
      <c r="C674" s="0" t="n">
        <v>3</v>
      </c>
      <c r="D674" s="0" t="inlineStr">
        <is>
          <t>타워팰리스(988-8,도시형)</t>
        </is>
      </c>
      <c r="E674" s="0" t="inlineStr">
        <is>
          <t>2014.11.</t>
        </is>
      </c>
      <c r="F674" s="0" t="n">
        <v>20</v>
      </c>
      <c r="G674" s="0" t="n">
        <v>19.06</v>
      </c>
      <c r="H674" s="0" t="n">
        <v>63.04</v>
      </c>
      <c r="I674" s="0" t="n">
        <v>15.08</v>
      </c>
      <c r="J674" s="0" t="n">
        <v>49.87</v>
      </c>
      <c r="K674" s="0" t="n">
        <v>4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63C</t>
        </is>
      </c>
      <c r="X674" s="0" t="n">
        <v>6</v>
      </c>
      <c r="Y674" s="0" t="n">
        <v>6</v>
      </c>
      <c r="Z674" s="0" t="inlineStr">
        <is>
          <t>https://new.land.naver.com/complexes/141129?tab=detail&amp;rf=Y</t>
        </is>
      </c>
      <c r="AA674" s="0" t="inlineStr">
        <is>
          <t>인천시 서구 마전동 988-8</t>
        </is>
      </c>
      <c r="AB674" s="0" t="inlineStr">
        <is>
          <t>인천시</t>
        </is>
      </c>
      <c r="AC674" s="0" t="inlineStr">
        <is>
          <t>서구</t>
        </is>
      </c>
      <c r="AD674" s="0" t="inlineStr">
        <is>
          <t>마전동</t>
        </is>
      </c>
      <c r="AG674" s="0" t="inlineStr">
        <is>
          <t>인천시 서구 검단로 534</t>
        </is>
      </c>
      <c r="AH674" s="0" t="n">
        <v>0</v>
      </c>
      <c r="AI674" s="0" t="n">
        <v>297</v>
      </c>
      <c r="AJ674" s="0" t="n">
        <v>58</v>
      </c>
      <c r="AK674" s="0" t="n">
        <v>13</v>
      </c>
      <c r="AL674" s="0" t="n">
        <v>0.65</v>
      </c>
    </row>
    <row r="675">
      <c r="A675" s="0" t="inlineStr">
        <is>
          <t>[마전동]</t>
        </is>
      </c>
      <c r="B675" s="0" t="n">
        <v>141129</v>
      </c>
      <c r="C675" s="0" t="n">
        <v>4</v>
      </c>
      <c r="D675" s="0" t="inlineStr">
        <is>
          <t>타워팰리스(988-8,도시형)</t>
        </is>
      </c>
      <c r="E675" s="0" t="inlineStr">
        <is>
          <t>2014.11.</t>
        </is>
      </c>
      <c r="F675" s="0" t="n">
        <v>20</v>
      </c>
      <c r="G675" s="0" t="n">
        <v>19.2</v>
      </c>
      <c r="H675" s="0" t="n">
        <v>63.48</v>
      </c>
      <c r="I675" s="0" t="n">
        <v>15.08</v>
      </c>
      <c r="J675" s="0" t="n">
        <v>49.88</v>
      </c>
      <c r="K675" s="0" t="n">
        <v>4</v>
      </c>
      <c r="T675" s="0" t="n">
        <v>3</v>
      </c>
      <c r="U675" s="0" t="n">
        <v>2</v>
      </c>
      <c r="V675" s="0" t="inlineStr">
        <is>
          <t>계단식</t>
        </is>
      </c>
      <c r="W675" s="0" t="inlineStr">
        <is>
          <t>63D</t>
        </is>
      </c>
      <c r="X675" s="0" t="n">
        <v>6</v>
      </c>
      <c r="Y675" s="0" t="n">
        <v>6</v>
      </c>
      <c r="Z675" s="0" t="inlineStr">
        <is>
          <t>https://new.land.naver.com/complexes/141129?tab=detail&amp;rf=Y</t>
        </is>
      </c>
      <c r="AA675" s="0" t="inlineStr">
        <is>
          <t>인천시 서구 마전동 988-8</t>
        </is>
      </c>
      <c r="AB675" s="0" t="inlineStr">
        <is>
          <t>인천시</t>
        </is>
      </c>
      <c r="AC675" s="0" t="inlineStr">
        <is>
          <t>서구</t>
        </is>
      </c>
      <c r="AD675" s="0" t="inlineStr">
        <is>
          <t>마전동</t>
        </is>
      </c>
      <c r="AG675" s="0" t="inlineStr">
        <is>
          <t>인천시 서구 검단로 534</t>
        </is>
      </c>
      <c r="AH675" s="0" t="n">
        <v>0</v>
      </c>
      <c r="AI675" s="0" t="n">
        <v>297</v>
      </c>
      <c r="AJ675" s="0" t="n">
        <v>58</v>
      </c>
      <c r="AK675" s="0" t="n">
        <v>13</v>
      </c>
      <c r="AL675" s="0" t="n">
        <v>0.65</v>
      </c>
    </row>
    <row r="676">
      <c r="A676" s="0" t="inlineStr">
        <is>
          <t>[마전동]</t>
        </is>
      </c>
      <c r="B676" s="0" t="n">
        <v>141129</v>
      </c>
      <c r="C676" s="0" t="n">
        <v>5</v>
      </c>
      <c r="D676" s="0" t="inlineStr">
        <is>
          <t>타워팰리스(988-8,도시형)</t>
        </is>
      </c>
      <c r="E676" s="0" t="inlineStr">
        <is>
          <t>2014.11.</t>
        </is>
      </c>
      <c r="F676" s="0" t="n">
        <v>20</v>
      </c>
      <c r="G676" s="0" t="n">
        <v>19.34</v>
      </c>
      <c r="H676" s="0" t="n">
        <v>63.94</v>
      </c>
      <c r="I676" s="0" t="n">
        <v>15.09</v>
      </c>
      <c r="J676" s="0" t="n">
        <v>49.9</v>
      </c>
      <c r="K676" s="0" t="n">
        <v>4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63E</t>
        </is>
      </c>
      <c r="X676" s="0" t="n">
        <v>6</v>
      </c>
      <c r="Y676" s="0" t="n">
        <v>6</v>
      </c>
      <c r="Z676" s="0" t="inlineStr">
        <is>
          <t>https://new.land.naver.com/complexes/141129?tab=detail&amp;rf=Y</t>
        </is>
      </c>
      <c r="AA676" s="0" t="inlineStr">
        <is>
          <t>인천시 서구 마전동 988-8</t>
        </is>
      </c>
      <c r="AB676" s="0" t="inlineStr">
        <is>
          <t>인천시</t>
        </is>
      </c>
      <c r="AC676" s="0" t="inlineStr">
        <is>
          <t>서구</t>
        </is>
      </c>
      <c r="AD676" s="0" t="inlineStr">
        <is>
          <t>마전동</t>
        </is>
      </c>
      <c r="AG676" s="0" t="inlineStr">
        <is>
          <t>인천시 서구 검단로 534</t>
        </is>
      </c>
      <c r="AH676" s="0" t="n">
        <v>0</v>
      </c>
      <c r="AI676" s="0" t="n">
        <v>297</v>
      </c>
      <c r="AJ676" s="0" t="n">
        <v>58</v>
      </c>
      <c r="AK676" s="0" t="n">
        <v>13</v>
      </c>
      <c r="AL676" s="0" t="n">
        <v>0.65</v>
      </c>
    </row>
    <row r="677">
      <c r="A677" s="0" t="inlineStr">
        <is>
          <t>[마전동]</t>
        </is>
      </c>
      <c r="B677" s="0" t="n">
        <v>142326</v>
      </c>
      <c r="C677" s="0" t="n">
        <v>1</v>
      </c>
      <c r="D677" s="0" t="inlineStr">
        <is>
          <t>강선하이베라스</t>
        </is>
      </c>
      <c r="E677" s="0" t="inlineStr">
        <is>
          <t>2015.12.</t>
        </is>
      </c>
      <c r="F677" s="0" t="n">
        <v>6</v>
      </c>
      <c r="G677" s="0" t="n">
        <v>15.43</v>
      </c>
      <c r="H677" s="0" t="n">
        <v>51.04</v>
      </c>
      <c r="I677" s="0" t="n">
        <v>13.66</v>
      </c>
      <c r="J677" s="0" t="n">
        <v>45.17</v>
      </c>
      <c r="K677" s="0" t="n">
        <v>2</v>
      </c>
      <c r="T677" s="0" t="n">
        <v>2</v>
      </c>
      <c r="U677" s="0" t="n">
        <v>1</v>
      </c>
      <c r="V677" s="0" t="inlineStr">
        <is>
          <t>계단식</t>
        </is>
      </c>
      <c r="W677" s="0" t="n">
        <v>51</v>
      </c>
      <c r="X677" s="0" t="n">
        <v>6</v>
      </c>
      <c r="Y677" s="0" t="n">
        <v>6</v>
      </c>
      <c r="Z677" s="0" t="inlineStr">
        <is>
          <t>https://new.land.naver.com/complexes/142326?tab=detail&amp;rf=Y</t>
        </is>
      </c>
      <c r="AA677" s="0" t="inlineStr">
        <is>
          <t>인천시 서구 마전동 1017-4</t>
        </is>
      </c>
      <c r="AB677" s="0" t="inlineStr">
        <is>
          <t>인천시</t>
        </is>
      </c>
      <c r="AC677" s="0" t="inlineStr">
        <is>
          <t>서구</t>
        </is>
      </c>
      <c r="AD677" s="0" t="inlineStr">
        <is>
          <t>마전동</t>
        </is>
      </c>
      <c r="AG677" s="0" t="inlineStr">
        <is>
          <t>인천시 서구 완정로33번길 11</t>
        </is>
      </c>
      <c r="AH677" s="0" t="n">
        <v>0</v>
      </c>
      <c r="AI677" s="0" t="n">
        <v>273</v>
      </c>
      <c r="AJ677" s="0" t="n">
        <v>59</v>
      </c>
      <c r="AK677" s="0" t="n">
        <v>6</v>
      </c>
      <c r="AL677" s="0" t="n">
        <v>1</v>
      </c>
    </row>
    <row r="678">
      <c r="A678" s="0" t="inlineStr">
        <is>
          <t>[마전동]</t>
        </is>
      </c>
      <c r="B678" s="0" t="n">
        <v>142326</v>
      </c>
      <c r="C678" s="0" t="n">
        <v>2</v>
      </c>
      <c r="D678" s="0" t="inlineStr">
        <is>
          <t>강선하이베라스</t>
        </is>
      </c>
      <c r="E678" s="0" t="inlineStr">
        <is>
          <t>2015.12.</t>
        </is>
      </c>
      <c r="F678" s="0" t="n">
        <v>6</v>
      </c>
      <c r="G678" s="0" t="n">
        <v>17.29</v>
      </c>
      <c r="H678" s="0" t="n">
        <v>57.19</v>
      </c>
      <c r="I678" s="0" t="n">
        <v>15.3</v>
      </c>
      <c r="J678" s="0" t="n">
        <v>50.61</v>
      </c>
      <c r="K678" s="0" t="n">
        <v>2</v>
      </c>
      <c r="T678" s="0" t="n">
        <v>2</v>
      </c>
      <c r="U678" s="0" t="n">
        <v>1</v>
      </c>
      <c r="V678" s="0" t="inlineStr">
        <is>
          <t>계단식</t>
        </is>
      </c>
      <c r="W678" s="0" t="n">
        <v>57</v>
      </c>
      <c r="X678" s="0" t="n">
        <v>6</v>
      </c>
      <c r="Y678" s="0" t="n">
        <v>6</v>
      </c>
      <c r="Z678" s="0" t="inlineStr">
        <is>
          <t>https://new.land.naver.com/complexes/142326?tab=detail&amp;rf=Y</t>
        </is>
      </c>
      <c r="AA678" s="0" t="inlineStr">
        <is>
          <t>인천시 서구 마전동 1017-4</t>
        </is>
      </c>
      <c r="AB678" s="0" t="inlineStr">
        <is>
          <t>인천시</t>
        </is>
      </c>
      <c r="AC678" s="0" t="inlineStr">
        <is>
          <t>서구</t>
        </is>
      </c>
      <c r="AD678" s="0" t="inlineStr">
        <is>
          <t>마전동</t>
        </is>
      </c>
      <c r="AG678" s="0" t="inlineStr">
        <is>
          <t>인천시 서구 완정로33번길 11</t>
        </is>
      </c>
      <c r="AH678" s="0" t="n">
        <v>0</v>
      </c>
      <c r="AI678" s="0" t="n">
        <v>273</v>
      </c>
      <c r="AJ678" s="0" t="n">
        <v>59</v>
      </c>
      <c r="AK678" s="0" t="n">
        <v>6</v>
      </c>
      <c r="AL678" s="0" t="n">
        <v>1</v>
      </c>
    </row>
    <row r="679">
      <c r="A679" s="0" t="inlineStr">
        <is>
          <t>[마전동]</t>
        </is>
      </c>
      <c r="B679" s="0" t="n">
        <v>142326</v>
      </c>
      <c r="C679" s="0" t="n">
        <v>3</v>
      </c>
      <c r="D679" s="0" t="inlineStr">
        <is>
          <t>강선하이베라스</t>
        </is>
      </c>
      <c r="E679" s="0" t="inlineStr">
        <is>
          <t>2015.12.</t>
        </is>
      </c>
      <c r="F679" s="0" t="n">
        <v>6</v>
      </c>
      <c r="G679" s="0" t="n">
        <v>17.67</v>
      </c>
      <c r="H679" s="0" t="n">
        <v>58.44</v>
      </c>
      <c r="I679" s="0" t="n">
        <v>15.64</v>
      </c>
      <c r="J679" s="0" t="n">
        <v>51.72</v>
      </c>
      <c r="K679" s="0" t="n">
        <v>2</v>
      </c>
      <c r="T679" s="0" t="n">
        <v>2</v>
      </c>
      <c r="U679" s="0" t="n">
        <v>1</v>
      </c>
      <c r="V679" s="0" t="inlineStr">
        <is>
          <t>계단식</t>
        </is>
      </c>
      <c r="W679" s="0" t="n">
        <v>58</v>
      </c>
      <c r="X679" s="0" t="n">
        <v>6</v>
      </c>
      <c r="Y679" s="0" t="n">
        <v>6</v>
      </c>
      <c r="Z679" s="0" t="inlineStr">
        <is>
          <t>https://new.land.naver.com/complexes/142326?tab=detail&amp;rf=Y</t>
        </is>
      </c>
      <c r="AA679" s="0" t="inlineStr">
        <is>
          <t>인천시 서구 마전동 1017-4</t>
        </is>
      </c>
      <c r="AB679" s="0" t="inlineStr">
        <is>
          <t>인천시</t>
        </is>
      </c>
      <c r="AC679" s="0" t="inlineStr">
        <is>
          <t>서구</t>
        </is>
      </c>
      <c r="AD679" s="0" t="inlineStr">
        <is>
          <t>마전동</t>
        </is>
      </c>
      <c r="AG679" s="0" t="inlineStr">
        <is>
          <t>인천시 서구 완정로33번길 11</t>
        </is>
      </c>
      <c r="AH679" s="0" t="n">
        <v>0</v>
      </c>
      <c r="AI679" s="0" t="n">
        <v>273</v>
      </c>
      <c r="AJ679" s="0" t="n">
        <v>59</v>
      </c>
      <c r="AK679" s="0" t="n">
        <v>6</v>
      </c>
      <c r="AL679" s="0" t="n">
        <v>1</v>
      </c>
    </row>
    <row r="680">
      <c r="A680" s="0" t="inlineStr">
        <is>
          <t>[마전동]</t>
        </is>
      </c>
      <c r="B680" s="0" t="n">
        <v>22336</v>
      </c>
      <c r="C680" s="0" t="n">
        <v>1</v>
      </c>
      <c r="D680" s="0" t="inlineStr">
        <is>
          <t>이지프라자</t>
        </is>
      </c>
      <c r="E680" s="0" t="inlineStr">
        <is>
          <t>2003.06.</t>
        </is>
      </c>
      <c r="F680" s="0" t="n">
        <v>89</v>
      </c>
      <c r="G680" s="0" t="n">
        <v>22.11</v>
      </c>
      <c r="H680" s="0" t="n">
        <v>73.11</v>
      </c>
      <c r="I680" s="0" t="n">
        <v>17.79</v>
      </c>
      <c r="J680" s="0" t="n">
        <v>58.84</v>
      </c>
      <c r="K680" s="0" t="n">
        <v>71</v>
      </c>
      <c r="T680" s="0" t="n">
        <v>3</v>
      </c>
      <c r="U680" s="0" t="n">
        <v>1</v>
      </c>
      <c r="V680" s="0" t="inlineStr">
        <is>
          <t>복도식</t>
        </is>
      </c>
      <c r="W680" s="0" t="n">
        <v>73</v>
      </c>
      <c r="X680" s="0" t="n">
        <v>13</v>
      </c>
      <c r="Y680" s="0" t="n">
        <v>13</v>
      </c>
      <c r="Z680" s="0" t="inlineStr">
        <is>
          <t>https://new.land.naver.com/complexes/22336?tab=detail&amp;rf=Y</t>
        </is>
      </c>
      <c r="AA680" s="0" t="inlineStr">
        <is>
          <t>인천시 서구 마전동 932-1</t>
        </is>
      </c>
      <c r="AB680" s="0" t="inlineStr">
        <is>
          <t>인천시</t>
        </is>
      </c>
      <c r="AC680" s="0" t="inlineStr">
        <is>
          <t>서구</t>
        </is>
      </c>
      <c r="AD680" s="0" t="inlineStr">
        <is>
          <t>마전동</t>
        </is>
      </c>
      <c r="AG680" s="0" t="inlineStr">
        <is>
          <t>인천시 서구 검단로 505</t>
        </is>
      </c>
      <c r="AH680" s="0" t="n">
        <v>0</v>
      </c>
      <c r="AI680" s="0" t="n">
        <v>400</v>
      </c>
      <c r="AJ680" s="0" t="n">
        <v>57</v>
      </c>
      <c r="AK680" s="0" t="n">
        <v>88</v>
      </c>
      <c r="AL680" s="0" t="n">
        <v>0.99</v>
      </c>
    </row>
    <row r="681">
      <c r="A681" s="0" t="inlineStr">
        <is>
          <t>[마전동]</t>
        </is>
      </c>
      <c r="B681" s="0" t="n">
        <v>22336</v>
      </c>
      <c r="C681" s="0" t="n">
        <v>2</v>
      </c>
      <c r="D681" s="0" t="inlineStr">
        <is>
          <t>이지프라자</t>
        </is>
      </c>
      <c r="E681" s="0" t="inlineStr">
        <is>
          <t>2003.06.</t>
        </is>
      </c>
      <c r="F681" s="0" t="n">
        <v>89</v>
      </c>
      <c r="G681" s="0" t="n">
        <v>38.41</v>
      </c>
      <c r="H681" s="0" t="n">
        <v>126.98</v>
      </c>
      <c r="I681" s="0" t="n">
        <v>30.9</v>
      </c>
      <c r="J681" s="0" t="n">
        <v>102.18</v>
      </c>
      <c r="K681" s="0" t="n">
        <v>2</v>
      </c>
      <c r="T681" s="0" t="n">
        <v>3</v>
      </c>
      <c r="U681" s="0" t="n">
        <v>2</v>
      </c>
      <c r="V681" s="0" t="inlineStr">
        <is>
          <t>복도식</t>
        </is>
      </c>
      <c r="W681" s="0" t="n">
        <v>126</v>
      </c>
      <c r="X681" s="0" t="n">
        <v>13</v>
      </c>
      <c r="Y681" s="0" t="n">
        <v>13</v>
      </c>
      <c r="Z681" s="0" t="inlineStr">
        <is>
          <t>https://new.land.naver.com/complexes/22336?tab=detail&amp;rf=Y</t>
        </is>
      </c>
      <c r="AA681" s="0" t="inlineStr">
        <is>
          <t>인천시 서구 마전동 932-1</t>
        </is>
      </c>
      <c r="AB681" s="0" t="inlineStr">
        <is>
          <t>인천시</t>
        </is>
      </c>
      <c r="AC681" s="0" t="inlineStr">
        <is>
          <t>서구</t>
        </is>
      </c>
      <c r="AD681" s="0" t="inlineStr">
        <is>
          <t>마전동</t>
        </is>
      </c>
      <c r="AG681" s="0" t="inlineStr">
        <is>
          <t>인천시 서구 검단로 505</t>
        </is>
      </c>
      <c r="AH681" s="0" t="n">
        <v>0</v>
      </c>
      <c r="AI681" s="0" t="n">
        <v>400</v>
      </c>
      <c r="AJ681" s="0" t="n">
        <v>57</v>
      </c>
      <c r="AK681" s="0" t="n">
        <v>88</v>
      </c>
      <c r="AL681" s="0" t="n">
        <v>0.99</v>
      </c>
    </row>
    <row r="682">
      <c r="A682" s="0" t="inlineStr">
        <is>
          <t>[마전동]</t>
        </is>
      </c>
      <c r="B682" s="0" t="n">
        <v>22336</v>
      </c>
      <c r="C682" s="0" t="n">
        <v>3</v>
      </c>
      <c r="D682" s="0" t="inlineStr">
        <is>
          <t>이지프라자</t>
        </is>
      </c>
      <c r="E682" s="0" t="inlineStr">
        <is>
          <t>2003.06.</t>
        </is>
      </c>
      <c r="F682" s="0" t="n">
        <v>89</v>
      </c>
      <c r="G682" s="0" t="n">
        <v>40.66</v>
      </c>
      <c r="H682" s="0" t="n">
        <v>134.43</v>
      </c>
      <c r="I682" s="0" t="n">
        <v>32.72</v>
      </c>
      <c r="J682" s="0" t="n">
        <v>108.18</v>
      </c>
      <c r="K682" s="0" t="n">
        <v>16</v>
      </c>
      <c r="T682" s="0" t="n">
        <v>4</v>
      </c>
      <c r="U682" s="0" t="n">
        <v>2</v>
      </c>
      <c r="V682" s="0" t="inlineStr">
        <is>
          <t>복도식</t>
        </is>
      </c>
      <c r="W682" s="0" t="n">
        <v>134</v>
      </c>
      <c r="X682" s="0" t="n">
        <v>13</v>
      </c>
      <c r="Y682" s="0" t="n">
        <v>13</v>
      </c>
      <c r="Z682" s="0" t="inlineStr">
        <is>
          <t>https://new.land.naver.com/complexes/22336?tab=detail&amp;rf=Y</t>
        </is>
      </c>
      <c r="AA682" s="0" t="inlineStr">
        <is>
          <t>인천시 서구 마전동 932-1</t>
        </is>
      </c>
      <c r="AB682" s="0" t="inlineStr">
        <is>
          <t>인천시</t>
        </is>
      </c>
      <c r="AC682" s="0" t="inlineStr">
        <is>
          <t>서구</t>
        </is>
      </c>
      <c r="AD682" s="0" t="inlineStr">
        <is>
          <t>마전동</t>
        </is>
      </c>
      <c r="AG682" s="0" t="inlineStr">
        <is>
          <t>인천시 서구 검단로 505</t>
        </is>
      </c>
      <c r="AH682" s="0" t="n">
        <v>0</v>
      </c>
      <c r="AI682" s="0" t="n">
        <v>400</v>
      </c>
      <c r="AJ682" s="0" t="n">
        <v>57</v>
      </c>
      <c r="AK682" s="0" t="n">
        <v>88</v>
      </c>
      <c r="AL682" s="0" t="n">
        <v>0.99</v>
      </c>
    </row>
    <row r="683">
      <c r="A683" s="0" t="inlineStr">
        <is>
          <t>[마전동]</t>
        </is>
      </c>
      <c r="B683" s="0" t="n">
        <v>134125</v>
      </c>
      <c r="C683" s="0" t="n">
        <v>1</v>
      </c>
      <c r="D683" s="0" t="inlineStr">
        <is>
          <t>타워팰리스4차</t>
        </is>
      </c>
      <c r="E683" s="0" t="inlineStr">
        <is>
          <t>2016.09.</t>
        </is>
      </c>
      <c r="F683" s="0" t="n">
        <v>24</v>
      </c>
      <c r="G683" s="0" t="n">
        <v>21.91</v>
      </c>
      <c r="H683" s="0" t="n">
        <v>72.45</v>
      </c>
      <c r="I683" s="0" t="n">
        <v>18.03</v>
      </c>
      <c r="J683" s="0" t="n">
        <v>59.63</v>
      </c>
      <c r="K683" s="0" t="n">
        <v>8</v>
      </c>
      <c r="T683" s="0" t="n">
        <v>3</v>
      </c>
      <c r="U683" s="0" t="n">
        <v>1</v>
      </c>
      <c r="V683" s="0" t="inlineStr">
        <is>
          <t>계단식</t>
        </is>
      </c>
      <c r="W683" s="0" t="inlineStr">
        <is>
          <t>72A</t>
        </is>
      </c>
      <c r="X683" s="0" t="n">
        <v>5</v>
      </c>
      <c r="Y683" s="0" t="n">
        <v>5</v>
      </c>
      <c r="Z683" s="0" t="inlineStr">
        <is>
          <t>https://new.land.naver.com/complexes/134125?tab=detail&amp;rf=Y</t>
        </is>
      </c>
      <c r="AA683" s="0" t="inlineStr">
        <is>
          <t>인천시 서구 마전동 988-1</t>
        </is>
      </c>
      <c r="AB683" s="0" t="inlineStr">
        <is>
          <t>인천시</t>
        </is>
      </c>
      <c r="AC683" s="0" t="inlineStr">
        <is>
          <t>서구</t>
        </is>
      </c>
      <c r="AD683" s="0" t="inlineStr">
        <is>
          <t>마전동</t>
        </is>
      </c>
      <c r="AG683" s="0" t="inlineStr">
        <is>
          <t>인천시 서구 검단로 520</t>
        </is>
      </c>
      <c r="AH683" s="0" t="n">
        <v>0</v>
      </c>
      <c r="AI683" s="0" t="n">
        <v>316</v>
      </c>
      <c r="AJ683" s="0" t="n">
        <v>59</v>
      </c>
      <c r="AK683" s="0" t="n">
        <v>20</v>
      </c>
      <c r="AL683" s="0" t="n">
        <v>0.83</v>
      </c>
    </row>
    <row r="684">
      <c r="A684" s="0" t="inlineStr">
        <is>
          <t>[마전동]</t>
        </is>
      </c>
      <c r="B684" s="0" t="n">
        <v>134125</v>
      </c>
      <c r="C684" s="0" t="n">
        <v>2</v>
      </c>
      <c r="D684" s="0" t="inlineStr">
        <is>
          <t>타워팰리스4차</t>
        </is>
      </c>
      <c r="E684" s="0" t="inlineStr">
        <is>
          <t>2016.09.</t>
        </is>
      </c>
      <c r="F684" s="0" t="n">
        <v>24</v>
      </c>
      <c r="G684" s="0" t="n">
        <v>21.97</v>
      </c>
      <c r="H684" s="0" t="n">
        <v>72.66</v>
      </c>
      <c r="I684" s="0" t="n">
        <v>18.08</v>
      </c>
      <c r="J684" s="0" t="n">
        <v>59.8</v>
      </c>
      <c r="K684" s="0" t="n">
        <v>8</v>
      </c>
      <c r="T684" s="0" t="n">
        <v>3</v>
      </c>
      <c r="U684" s="0" t="n">
        <v>1</v>
      </c>
      <c r="V684" s="0" t="inlineStr">
        <is>
          <t>계단식</t>
        </is>
      </c>
      <c r="W684" s="0" t="inlineStr">
        <is>
          <t>72B</t>
        </is>
      </c>
      <c r="X684" s="0" t="n">
        <v>5</v>
      </c>
      <c r="Y684" s="0" t="n">
        <v>5</v>
      </c>
      <c r="Z684" s="0" t="inlineStr">
        <is>
          <t>https://new.land.naver.com/complexes/134125?tab=detail&amp;rf=Y</t>
        </is>
      </c>
      <c r="AA684" s="0" t="inlineStr">
        <is>
          <t>인천시 서구 마전동 988-1</t>
        </is>
      </c>
      <c r="AB684" s="0" t="inlineStr">
        <is>
          <t>인천시</t>
        </is>
      </c>
      <c r="AC684" s="0" t="inlineStr">
        <is>
          <t>서구</t>
        </is>
      </c>
      <c r="AD684" s="0" t="inlineStr">
        <is>
          <t>마전동</t>
        </is>
      </c>
      <c r="AG684" s="0" t="inlineStr">
        <is>
          <t>인천시 서구 검단로 520</t>
        </is>
      </c>
      <c r="AH684" s="0" t="n">
        <v>0</v>
      </c>
      <c r="AI684" s="0" t="n">
        <v>316</v>
      </c>
      <c r="AJ684" s="0" t="n">
        <v>59</v>
      </c>
      <c r="AK684" s="0" t="n">
        <v>20</v>
      </c>
      <c r="AL684" s="0" t="n">
        <v>0.83</v>
      </c>
    </row>
    <row r="685">
      <c r="A685" s="0" t="inlineStr">
        <is>
          <t>[마전동]</t>
        </is>
      </c>
      <c r="B685" s="0" t="n">
        <v>134125</v>
      </c>
      <c r="C685" s="0" t="n">
        <v>3</v>
      </c>
      <c r="D685" s="0" t="inlineStr">
        <is>
          <t>타워팰리스4차</t>
        </is>
      </c>
      <c r="E685" s="0" t="inlineStr">
        <is>
          <t>2016.09.</t>
        </is>
      </c>
      <c r="F685" s="0" t="n">
        <v>24</v>
      </c>
      <c r="G685" s="0" t="n">
        <v>22</v>
      </c>
      <c r="H685" s="0" t="n">
        <v>72.73999999999999</v>
      </c>
      <c r="I685" s="0" t="n">
        <v>18.11</v>
      </c>
      <c r="J685" s="0" t="n">
        <v>59.87</v>
      </c>
      <c r="K685" s="0" t="n">
        <v>8</v>
      </c>
      <c r="T685" s="0" t="n">
        <v>3</v>
      </c>
      <c r="U685" s="0" t="n">
        <v>1</v>
      </c>
      <c r="V685" s="0" t="inlineStr">
        <is>
          <t>계단식</t>
        </is>
      </c>
      <c r="W685" s="0" t="inlineStr">
        <is>
          <t>72C</t>
        </is>
      </c>
      <c r="X685" s="0" t="n">
        <v>5</v>
      </c>
      <c r="Y685" s="0" t="n">
        <v>5</v>
      </c>
      <c r="Z685" s="0" t="inlineStr">
        <is>
          <t>https://new.land.naver.com/complexes/134125?tab=detail&amp;rf=Y</t>
        </is>
      </c>
      <c r="AA685" s="0" t="inlineStr">
        <is>
          <t>인천시 서구 마전동 988-1</t>
        </is>
      </c>
      <c r="AB685" s="0" t="inlineStr">
        <is>
          <t>인천시</t>
        </is>
      </c>
      <c r="AC685" s="0" t="inlineStr">
        <is>
          <t>서구</t>
        </is>
      </c>
      <c r="AD685" s="0" t="inlineStr">
        <is>
          <t>마전동</t>
        </is>
      </c>
      <c r="AG685" s="0" t="inlineStr">
        <is>
          <t>인천시 서구 검단로 520</t>
        </is>
      </c>
      <c r="AH685" s="0" t="n">
        <v>0</v>
      </c>
      <c r="AI685" s="0" t="n">
        <v>316</v>
      </c>
      <c r="AJ685" s="0" t="n">
        <v>59</v>
      </c>
      <c r="AK685" s="0" t="n">
        <v>20</v>
      </c>
      <c r="AL685" s="0" t="n">
        <v>0.83</v>
      </c>
    </row>
    <row r="686">
      <c r="A686" s="0" t="inlineStr">
        <is>
          <t>[마전동]</t>
        </is>
      </c>
      <c r="B686" s="0" t="n">
        <v>144630</v>
      </c>
      <c r="C686" s="0" t="n">
        <v>1</v>
      </c>
      <c r="D686" s="0" t="inlineStr">
        <is>
          <t>신동아홈타운(도시형)</t>
        </is>
      </c>
      <c r="E686" s="0" t="inlineStr">
        <is>
          <t>2017.04.</t>
        </is>
      </c>
      <c r="F686" s="0" t="n">
        <v>32</v>
      </c>
      <c r="G686" s="0" t="n">
        <v>22.8</v>
      </c>
      <c r="H686" s="0" t="n">
        <v>75.40000000000001</v>
      </c>
      <c r="I686" s="0" t="n">
        <v>19.11</v>
      </c>
      <c r="J686" s="0" t="n">
        <v>63.19</v>
      </c>
      <c r="K686" s="0" t="n">
        <v>32</v>
      </c>
      <c r="T686" s="0" t="n">
        <v>3</v>
      </c>
      <c r="U686" s="0" t="n">
        <v>1</v>
      </c>
      <c r="V686" s="0" t="inlineStr">
        <is>
          <t>계단식</t>
        </is>
      </c>
      <c r="W686" s="0" t="n">
        <v>75</v>
      </c>
      <c r="X686" s="0" t="n">
        <v>5</v>
      </c>
      <c r="Y686" s="0" t="n">
        <v>5</v>
      </c>
      <c r="Z686" s="0" t="inlineStr">
        <is>
          <t>https://new.land.naver.com/complexes/144630?tab=detail&amp;rf=Y</t>
        </is>
      </c>
      <c r="AA686" s="0" t="inlineStr">
        <is>
          <t>인천시 서구 마전동 1129-19</t>
        </is>
      </c>
      <c r="AB686" s="0" t="inlineStr">
        <is>
          <t>인천시</t>
        </is>
      </c>
      <c r="AC686" s="0" t="inlineStr">
        <is>
          <t>서구</t>
        </is>
      </c>
      <c r="AD686" s="0" t="inlineStr">
        <is>
          <t>마전동</t>
        </is>
      </c>
      <c r="AG686" s="0" t="inlineStr">
        <is>
          <t>인천시 서구 검단로623번길 50-2</t>
        </is>
      </c>
      <c r="AH686" s="0" t="n">
        <v>0</v>
      </c>
      <c r="AI686" s="0" t="n">
        <v>199</v>
      </c>
      <c r="AJ686" s="0" t="n">
        <v>58</v>
      </c>
      <c r="AK686" s="0" t="n">
        <v>32</v>
      </c>
      <c r="AL686" s="0" t="n">
        <v>1</v>
      </c>
    </row>
    <row r="687">
      <c r="A687" s="0" t="inlineStr">
        <is>
          <t>[마전동]</t>
        </is>
      </c>
      <c r="B687" s="0" t="n">
        <v>113928</v>
      </c>
      <c r="C687" s="0" t="n">
        <v>1</v>
      </c>
      <c r="D687" s="0" t="inlineStr">
        <is>
          <t>오페라</t>
        </is>
      </c>
      <c r="E687" s="0" t="inlineStr">
        <is>
          <t>2012.01.</t>
        </is>
      </c>
      <c r="F687" s="0" t="n">
        <v>16</v>
      </c>
      <c r="G687" s="0" t="n">
        <v>31.55</v>
      </c>
      <c r="H687" s="0" t="n">
        <v>104.3</v>
      </c>
      <c r="I687" s="0" t="n">
        <v>20.3</v>
      </c>
      <c r="J687" s="0" t="n">
        <v>67.13</v>
      </c>
      <c r="K687" s="0" t="n">
        <v>4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104</v>
      </c>
      <c r="X687" s="0" t="n">
        <v>7</v>
      </c>
      <c r="Y687" s="0" t="n">
        <v>7</v>
      </c>
      <c r="Z687" s="0" t="inlineStr">
        <is>
          <t>https://new.land.naver.com/complexes/113928?tab=detail&amp;rf=Y</t>
        </is>
      </c>
      <c r="AA687" s="0" t="inlineStr">
        <is>
          <t>인천시 서구 마전동 982-6</t>
        </is>
      </c>
      <c r="AB687" s="0" t="inlineStr">
        <is>
          <t>인천시</t>
        </is>
      </c>
      <c r="AC687" s="0" t="inlineStr">
        <is>
          <t>서구</t>
        </is>
      </c>
      <c r="AD687" s="0" t="inlineStr">
        <is>
          <t>마전동</t>
        </is>
      </c>
      <c r="AG687" s="0" t="inlineStr">
        <is>
          <t>인천시 서구 검단로502번길 20</t>
        </is>
      </c>
      <c r="AH687" s="0" t="n">
        <v>0</v>
      </c>
      <c r="AI687" s="0" t="n">
        <v>465</v>
      </c>
      <c r="AJ687" s="0" t="n">
        <v>69</v>
      </c>
      <c r="AK687" s="0" t="n">
        <v>16</v>
      </c>
      <c r="AL687" s="0" t="n">
        <v>1</v>
      </c>
    </row>
    <row r="688">
      <c r="A688" s="0" t="inlineStr">
        <is>
          <t>[마전동]</t>
        </is>
      </c>
      <c r="B688" s="0" t="n">
        <v>113928</v>
      </c>
      <c r="C688" s="0" t="n">
        <v>2</v>
      </c>
      <c r="D688" s="0" t="inlineStr">
        <is>
          <t>오페라</t>
        </is>
      </c>
      <c r="E688" s="0" t="inlineStr">
        <is>
          <t>2012.01.</t>
        </is>
      </c>
      <c r="F688" s="0" t="n">
        <v>16</v>
      </c>
      <c r="G688" s="0" t="n">
        <v>32.52</v>
      </c>
      <c r="H688" s="0" t="n">
        <v>107.53</v>
      </c>
      <c r="I688" s="0" t="n">
        <v>20.93</v>
      </c>
      <c r="J688" s="0" t="n">
        <v>69.20999999999999</v>
      </c>
      <c r="K688" s="0" t="n">
        <v>12</v>
      </c>
      <c r="T688" s="0" t="n">
        <v>3</v>
      </c>
      <c r="U688" s="0" t="n">
        <v>2</v>
      </c>
      <c r="V688" s="0" t="inlineStr">
        <is>
          <t>계단식</t>
        </is>
      </c>
      <c r="W688" s="0" t="n">
        <v>107</v>
      </c>
      <c r="X688" s="0" t="n">
        <v>7</v>
      </c>
      <c r="Y688" s="0" t="n">
        <v>7</v>
      </c>
      <c r="Z688" s="0" t="inlineStr">
        <is>
          <t>https://new.land.naver.com/complexes/113928?tab=detail&amp;rf=Y</t>
        </is>
      </c>
      <c r="AA688" s="0" t="inlineStr">
        <is>
          <t>인천시 서구 마전동 982-6</t>
        </is>
      </c>
      <c r="AB688" s="0" t="inlineStr">
        <is>
          <t>인천시</t>
        </is>
      </c>
      <c r="AC688" s="0" t="inlineStr">
        <is>
          <t>서구</t>
        </is>
      </c>
      <c r="AD688" s="0" t="inlineStr">
        <is>
          <t>마전동</t>
        </is>
      </c>
      <c r="AG688" s="0" t="inlineStr">
        <is>
          <t>인천시 서구 검단로502번길 20</t>
        </is>
      </c>
      <c r="AH688" s="0" t="n">
        <v>0</v>
      </c>
      <c r="AI688" s="0" t="n">
        <v>465</v>
      </c>
      <c r="AJ688" s="0" t="n">
        <v>69</v>
      </c>
      <c r="AK688" s="0" t="n">
        <v>16</v>
      </c>
      <c r="AL688" s="0" t="n">
        <v>1</v>
      </c>
    </row>
    <row r="689">
      <c r="A689" s="0" t="inlineStr">
        <is>
          <t>[마전동]</t>
        </is>
      </c>
      <c r="B689" s="0" t="n">
        <v>2297</v>
      </c>
      <c r="C689" s="0" t="n">
        <v>1</v>
      </c>
      <c r="D689" s="0" t="inlineStr">
        <is>
          <t>목화</t>
        </is>
      </c>
      <c r="E689" s="0" t="inlineStr">
        <is>
          <t>1990.08.</t>
        </is>
      </c>
      <c r="F689" s="0" t="n">
        <v>300</v>
      </c>
      <c r="G689" s="0" t="n">
        <v>16.74</v>
      </c>
      <c r="H689" s="0" t="n">
        <v>55.37</v>
      </c>
      <c r="I689" s="0" t="n">
        <v>12.49</v>
      </c>
      <c r="J689" s="0" t="n">
        <v>41.29</v>
      </c>
      <c r="K689" s="0" t="n">
        <v>30</v>
      </c>
      <c r="T689" s="0" t="n">
        <v>2</v>
      </c>
      <c r="U689" s="0" t="n">
        <v>1</v>
      </c>
      <c r="V689" s="0" t="inlineStr">
        <is>
          <t>계단식</t>
        </is>
      </c>
      <c r="W689" s="0" t="n">
        <v>55</v>
      </c>
      <c r="X689" s="0" t="n">
        <v>5</v>
      </c>
      <c r="Y689" s="0" t="n">
        <v>5</v>
      </c>
      <c r="Z689" s="0" t="inlineStr">
        <is>
          <t>https://new.land.naver.com/complexes/2297?tab=detail&amp;rf=Y</t>
        </is>
      </c>
      <c r="AA689" s="0" t="inlineStr">
        <is>
          <t>인천시 서구 마전동 916</t>
        </is>
      </c>
      <c r="AB689" s="0" t="inlineStr">
        <is>
          <t>인천시</t>
        </is>
      </c>
      <c r="AC689" s="0" t="inlineStr">
        <is>
          <t>서구</t>
        </is>
      </c>
      <c r="AD689" s="0" t="inlineStr">
        <is>
          <t>마전동</t>
        </is>
      </c>
      <c r="AG689" s="0" t="inlineStr">
        <is>
          <t>인천시 서구 완정로178번길 31</t>
        </is>
      </c>
      <c r="AH689" s="0" t="n">
        <v>0</v>
      </c>
      <c r="AI689" s="0" t="n">
        <v>160</v>
      </c>
      <c r="AJ689" s="0" t="n">
        <v>34</v>
      </c>
      <c r="AK689" s="0" t="n">
        <v>0</v>
      </c>
      <c r="AL689" s="0" t="n">
        <v>0</v>
      </c>
    </row>
    <row r="690">
      <c r="A690" s="0" t="inlineStr">
        <is>
          <t>[마전동]</t>
        </is>
      </c>
      <c r="B690" s="0" t="n">
        <v>2297</v>
      </c>
      <c r="C690" s="0" t="n">
        <v>2</v>
      </c>
      <c r="D690" s="0" t="inlineStr">
        <is>
          <t>목화</t>
        </is>
      </c>
      <c r="E690" s="0" t="inlineStr">
        <is>
          <t>1990.08.</t>
        </is>
      </c>
      <c r="F690" s="0" t="n">
        <v>300</v>
      </c>
      <c r="G690" s="0" t="n">
        <v>17.7</v>
      </c>
      <c r="H690" s="0" t="n">
        <v>58.54</v>
      </c>
      <c r="I690" s="0" t="n">
        <v>13.3</v>
      </c>
      <c r="J690" s="0" t="n">
        <v>43.99</v>
      </c>
      <c r="K690" s="0" t="n">
        <v>80</v>
      </c>
      <c r="T690" s="0" t="n">
        <v>2</v>
      </c>
      <c r="U690" s="0" t="n">
        <v>1</v>
      </c>
      <c r="V690" s="0" t="inlineStr">
        <is>
          <t>계단식</t>
        </is>
      </c>
      <c r="W690" s="0" t="n">
        <v>58</v>
      </c>
      <c r="X690" s="0" t="n">
        <v>5</v>
      </c>
      <c r="Y690" s="0" t="n">
        <v>5</v>
      </c>
      <c r="Z690" s="0" t="inlineStr">
        <is>
          <t>https://new.land.naver.com/complexes/2297?tab=detail&amp;rf=Y</t>
        </is>
      </c>
      <c r="AA690" s="0" t="inlineStr">
        <is>
          <t>인천시 서구 마전동 916</t>
        </is>
      </c>
      <c r="AB690" s="0" t="inlineStr">
        <is>
          <t>인천시</t>
        </is>
      </c>
      <c r="AC690" s="0" t="inlineStr">
        <is>
          <t>서구</t>
        </is>
      </c>
      <c r="AD690" s="0" t="inlineStr">
        <is>
          <t>마전동</t>
        </is>
      </c>
      <c r="AG690" s="0" t="inlineStr">
        <is>
          <t>인천시 서구 완정로178번길 31</t>
        </is>
      </c>
      <c r="AH690" s="0" t="n">
        <v>0</v>
      </c>
      <c r="AI690" s="0" t="n">
        <v>160</v>
      </c>
      <c r="AJ690" s="0" t="n">
        <v>34</v>
      </c>
      <c r="AK690" s="0" t="n">
        <v>0</v>
      </c>
      <c r="AL690" s="0" t="n">
        <v>0</v>
      </c>
    </row>
    <row r="691">
      <c r="A691" s="0" t="inlineStr">
        <is>
          <t>[마전동]</t>
        </is>
      </c>
      <c r="B691" s="0" t="n">
        <v>2297</v>
      </c>
      <c r="C691" s="0" t="n">
        <v>3</v>
      </c>
      <c r="D691" s="0" t="inlineStr">
        <is>
          <t>목화</t>
        </is>
      </c>
      <c r="E691" s="0" t="inlineStr">
        <is>
          <t>1990.08.</t>
        </is>
      </c>
      <c r="F691" s="0" t="n">
        <v>300</v>
      </c>
      <c r="G691" s="0" t="n">
        <v>22.65</v>
      </c>
      <c r="H691" s="0" t="n">
        <v>74.88</v>
      </c>
      <c r="I691" s="0" t="n">
        <v>17.39</v>
      </c>
      <c r="J691" s="0" t="n">
        <v>57.49</v>
      </c>
      <c r="K691" s="0" t="n">
        <v>130</v>
      </c>
      <c r="T691" s="0" t="n">
        <v>3</v>
      </c>
      <c r="U691" s="0" t="n">
        <v>1</v>
      </c>
      <c r="V691" s="0" t="inlineStr">
        <is>
          <t>계단식</t>
        </is>
      </c>
      <c r="W691" s="0" t="n">
        <v>74</v>
      </c>
      <c r="X691" s="0" t="n">
        <v>5</v>
      </c>
      <c r="Y691" s="0" t="n">
        <v>5</v>
      </c>
      <c r="Z691" s="0" t="inlineStr">
        <is>
          <t>https://new.land.naver.com/complexes/2297?tab=detail&amp;rf=Y</t>
        </is>
      </c>
      <c r="AA691" s="0" t="inlineStr">
        <is>
          <t>인천시 서구 마전동 916</t>
        </is>
      </c>
      <c r="AB691" s="0" t="inlineStr">
        <is>
          <t>인천시</t>
        </is>
      </c>
      <c r="AC691" s="0" t="inlineStr">
        <is>
          <t>서구</t>
        </is>
      </c>
      <c r="AD691" s="0" t="inlineStr">
        <is>
          <t>마전동</t>
        </is>
      </c>
      <c r="AG691" s="0" t="inlineStr">
        <is>
          <t>인천시 서구 완정로178번길 31</t>
        </is>
      </c>
      <c r="AH691" s="0" t="n">
        <v>0</v>
      </c>
      <c r="AI691" s="0" t="n">
        <v>160</v>
      </c>
      <c r="AJ691" s="0" t="n">
        <v>34</v>
      </c>
      <c r="AK691" s="0" t="n">
        <v>0</v>
      </c>
      <c r="AL691" s="0" t="n">
        <v>0</v>
      </c>
    </row>
    <row r="692">
      <c r="A692" s="0" t="inlineStr">
        <is>
          <t>[마전동]</t>
        </is>
      </c>
      <c r="B692" s="0" t="n">
        <v>2297</v>
      </c>
      <c r="C692" s="0" t="n">
        <v>4</v>
      </c>
      <c r="D692" s="0" t="inlineStr">
        <is>
          <t>목화</t>
        </is>
      </c>
      <c r="E692" s="0" t="inlineStr">
        <is>
          <t>1990.08.</t>
        </is>
      </c>
      <c r="F692" s="0" t="n">
        <v>300</v>
      </c>
      <c r="G692" s="0" t="n">
        <v>23.6</v>
      </c>
      <c r="H692" s="0" t="n">
        <v>78.04000000000001</v>
      </c>
      <c r="I692" s="0" t="n">
        <v>18.13</v>
      </c>
      <c r="J692" s="0" t="n">
        <v>59.95</v>
      </c>
      <c r="K692" s="0" t="n">
        <v>20</v>
      </c>
      <c r="T692" s="0" t="n">
        <v>3</v>
      </c>
      <c r="U692" s="0" t="n">
        <v>1</v>
      </c>
      <c r="V692" s="0" t="inlineStr">
        <is>
          <t>계단식</t>
        </is>
      </c>
      <c r="W692" s="0" t="n">
        <v>78</v>
      </c>
      <c r="X692" s="0" t="n">
        <v>5</v>
      </c>
      <c r="Y692" s="0" t="n">
        <v>5</v>
      </c>
      <c r="Z692" s="0" t="inlineStr">
        <is>
          <t>https://new.land.naver.com/complexes/2297?tab=detail&amp;rf=Y</t>
        </is>
      </c>
      <c r="AA692" s="0" t="inlineStr">
        <is>
          <t>인천시 서구 마전동 916</t>
        </is>
      </c>
      <c r="AB692" s="0" t="inlineStr">
        <is>
          <t>인천시</t>
        </is>
      </c>
      <c r="AC692" s="0" t="inlineStr">
        <is>
          <t>서구</t>
        </is>
      </c>
      <c r="AD692" s="0" t="inlineStr">
        <is>
          <t>마전동</t>
        </is>
      </c>
      <c r="AG692" s="0" t="inlineStr">
        <is>
          <t>인천시 서구 완정로178번길 31</t>
        </is>
      </c>
      <c r="AH692" s="0" t="n">
        <v>0</v>
      </c>
      <c r="AI692" s="0" t="n">
        <v>160</v>
      </c>
      <c r="AJ692" s="0" t="n">
        <v>34</v>
      </c>
      <c r="AK692" s="0" t="n">
        <v>0</v>
      </c>
      <c r="AL692" s="0" t="n">
        <v>0</v>
      </c>
    </row>
    <row r="693">
      <c r="A693" s="0" t="inlineStr">
        <is>
          <t>[마전동]</t>
        </is>
      </c>
      <c r="B693" s="0" t="n">
        <v>2297</v>
      </c>
      <c r="C693" s="0" t="n">
        <v>5</v>
      </c>
      <c r="D693" s="0" t="inlineStr">
        <is>
          <t>목화</t>
        </is>
      </c>
      <c r="E693" s="0" t="inlineStr">
        <is>
          <t>1990.08.</t>
        </is>
      </c>
      <c r="F693" s="0" t="n">
        <v>300</v>
      </c>
      <c r="G693" s="0" t="n">
        <v>30.52</v>
      </c>
      <c r="H693" s="0" t="n">
        <v>100.92</v>
      </c>
      <c r="I693" s="0" t="n">
        <v>23.92</v>
      </c>
      <c r="J693" s="0" t="n">
        <v>79.09</v>
      </c>
      <c r="K693" s="0" t="n">
        <v>40</v>
      </c>
      <c r="T693" s="0" t="n">
        <v>3</v>
      </c>
      <c r="U693" s="0" t="n">
        <v>1</v>
      </c>
      <c r="V693" s="0" t="inlineStr">
        <is>
          <t>계단식</t>
        </is>
      </c>
      <c r="W693" s="0" t="n">
        <v>100</v>
      </c>
      <c r="X693" s="0" t="n">
        <v>5</v>
      </c>
      <c r="Y693" s="0" t="n">
        <v>5</v>
      </c>
      <c r="Z693" s="0" t="inlineStr">
        <is>
          <t>https://new.land.naver.com/complexes/2297?tab=detail&amp;rf=Y</t>
        </is>
      </c>
      <c r="AA693" s="0" t="inlineStr">
        <is>
          <t>인천시 서구 마전동 916</t>
        </is>
      </c>
      <c r="AB693" s="0" t="inlineStr">
        <is>
          <t>인천시</t>
        </is>
      </c>
      <c r="AC693" s="0" t="inlineStr">
        <is>
          <t>서구</t>
        </is>
      </c>
      <c r="AD693" s="0" t="inlineStr">
        <is>
          <t>마전동</t>
        </is>
      </c>
      <c r="AG693" s="0" t="inlineStr">
        <is>
          <t>인천시 서구 완정로178번길 31</t>
        </is>
      </c>
      <c r="AH693" s="0" t="n">
        <v>0</v>
      </c>
      <c r="AI693" s="0" t="n">
        <v>160</v>
      </c>
      <c r="AJ693" s="0" t="n">
        <v>34</v>
      </c>
      <c r="AK693" s="0" t="n">
        <v>0</v>
      </c>
      <c r="AL693" s="0" t="n">
        <v>0</v>
      </c>
    </row>
    <row r="694">
      <c r="A694" s="0" t="inlineStr">
        <is>
          <t>[마전동]</t>
        </is>
      </c>
      <c r="B694" s="0" t="n">
        <v>8116</v>
      </c>
      <c r="C694" s="0" t="n">
        <v>1</v>
      </c>
      <c r="D694" s="0" t="inlineStr">
        <is>
          <t>동남</t>
        </is>
      </c>
      <c r="E694" s="0" t="inlineStr">
        <is>
          <t>1999.11.</t>
        </is>
      </c>
      <c r="F694" s="0" t="n">
        <v>111</v>
      </c>
      <c r="G694" s="0" t="n">
        <v>22.94</v>
      </c>
      <c r="H694" s="0" t="n">
        <v>75.86</v>
      </c>
      <c r="I694" s="0" t="n">
        <v>18.13</v>
      </c>
      <c r="J694" s="0" t="n">
        <v>59.96</v>
      </c>
      <c r="K694" s="0" t="n">
        <v>56</v>
      </c>
      <c r="T694" s="0" t="n">
        <v>3</v>
      </c>
      <c r="U694" s="0" t="n">
        <v>1</v>
      </c>
      <c r="V694" s="0" t="inlineStr">
        <is>
          <t>계단식</t>
        </is>
      </c>
      <c r="W694" s="0" t="n">
        <v>75</v>
      </c>
      <c r="X694" s="0" t="n">
        <v>14</v>
      </c>
      <c r="Y694" s="0" t="n">
        <v>14</v>
      </c>
      <c r="Z694" s="0" t="inlineStr">
        <is>
          <t>https://new.land.naver.com/complexes/8116?tab=detail&amp;rf=Y</t>
        </is>
      </c>
      <c r="AA694" s="0" t="inlineStr">
        <is>
          <t>인천시 서구 마전동 922-2</t>
        </is>
      </c>
      <c r="AB694" s="0" t="inlineStr">
        <is>
          <t>인천시</t>
        </is>
      </c>
      <c r="AC694" s="0" t="inlineStr">
        <is>
          <t>서구</t>
        </is>
      </c>
      <c r="AD694" s="0" t="inlineStr">
        <is>
          <t>마전동</t>
        </is>
      </c>
      <c r="AG694" s="0" t="inlineStr">
        <is>
          <t>인천시 서구 검단로487번안길 11-14</t>
        </is>
      </c>
      <c r="AH694" s="0" t="n">
        <v>0</v>
      </c>
      <c r="AI694" s="0" t="n">
        <v>231</v>
      </c>
      <c r="AJ694" s="0" t="n">
        <v>22</v>
      </c>
      <c r="AK694" s="0" t="n">
        <v>127</v>
      </c>
      <c r="AL694" s="0" t="n">
        <v>1.14</v>
      </c>
    </row>
    <row r="695">
      <c r="A695" s="0" t="inlineStr">
        <is>
          <t>[마전동]</t>
        </is>
      </c>
      <c r="B695" s="0" t="n">
        <v>8116</v>
      </c>
      <c r="C695" s="0" t="n">
        <v>2</v>
      </c>
      <c r="D695" s="0" t="inlineStr">
        <is>
          <t>동남</t>
        </is>
      </c>
      <c r="E695" s="0" t="inlineStr">
        <is>
          <t>1999.11.</t>
        </is>
      </c>
      <c r="F695" s="0" t="n">
        <v>111</v>
      </c>
      <c r="G695" s="0" t="n">
        <v>32.47</v>
      </c>
      <c r="H695" s="0" t="n">
        <v>107.36</v>
      </c>
      <c r="I695" s="0" t="n">
        <v>25.67</v>
      </c>
      <c r="J695" s="0" t="n">
        <v>84.86</v>
      </c>
      <c r="K695" s="0" t="n">
        <v>14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107A</t>
        </is>
      </c>
      <c r="X695" s="0" t="n">
        <v>14</v>
      </c>
      <c r="Y695" s="0" t="n">
        <v>14</v>
      </c>
      <c r="Z695" s="0" t="inlineStr">
        <is>
          <t>https://new.land.naver.com/complexes/8116?tab=detail&amp;rf=Y</t>
        </is>
      </c>
      <c r="AA695" s="0" t="inlineStr">
        <is>
          <t>인천시 서구 마전동 922-2</t>
        </is>
      </c>
      <c r="AB695" s="0" t="inlineStr">
        <is>
          <t>인천시</t>
        </is>
      </c>
      <c r="AC695" s="0" t="inlineStr">
        <is>
          <t>서구</t>
        </is>
      </c>
      <c r="AD695" s="0" t="inlineStr">
        <is>
          <t>마전동</t>
        </is>
      </c>
      <c r="AG695" s="0" t="inlineStr">
        <is>
          <t>인천시 서구 검단로487번안길 11-14</t>
        </is>
      </c>
      <c r="AH695" s="0" t="n">
        <v>0</v>
      </c>
      <c r="AI695" s="0" t="n">
        <v>231</v>
      </c>
      <c r="AJ695" s="0" t="n">
        <v>22</v>
      </c>
      <c r="AK695" s="0" t="n">
        <v>127</v>
      </c>
      <c r="AL695" s="0" t="n">
        <v>1.14</v>
      </c>
    </row>
    <row r="696">
      <c r="A696" s="0" t="inlineStr">
        <is>
          <t>[마전동]</t>
        </is>
      </c>
      <c r="B696" s="0" t="n">
        <v>8116</v>
      </c>
      <c r="C696" s="0" t="n">
        <v>3</v>
      </c>
      <c r="D696" s="0" t="inlineStr">
        <is>
          <t>동남</t>
        </is>
      </c>
      <c r="E696" s="0" t="inlineStr">
        <is>
          <t>1999.11.</t>
        </is>
      </c>
      <c r="F696" s="0" t="n">
        <v>111</v>
      </c>
      <c r="G696" s="0" t="n">
        <v>32.49</v>
      </c>
      <c r="H696" s="0" t="n">
        <v>107.41</v>
      </c>
      <c r="I696" s="0" t="n">
        <v>25.68</v>
      </c>
      <c r="J696" s="0" t="n">
        <v>84.91</v>
      </c>
      <c r="K696" s="0" t="n">
        <v>14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107B</t>
        </is>
      </c>
      <c r="X696" s="0" t="n">
        <v>14</v>
      </c>
      <c r="Y696" s="0" t="n">
        <v>14</v>
      </c>
      <c r="Z696" s="0" t="inlineStr">
        <is>
          <t>https://new.land.naver.com/complexes/8116?tab=detail&amp;rf=Y</t>
        </is>
      </c>
      <c r="AA696" s="0" t="inlineStr">
        <is>
          <t>인천시 서구 마전동 922-2</t>
        </is>
      </c>
      <c r="AB696" s="0" t="inlineStr">
        <is>
          <t>인천시</t>
        </is>
      </c>
      <c r="AC696" s="0" t="inlineStr">
        <is>
          <t>서구</t>
        </is>
      </c>
      <c r="AD696" s="0" t="inlineStr">
        <is>
          <t>마전동</t>
        </is>
      </c>
      <c r="AG696" s="0" t="inlineStr">
        <is>
          <t>인천시 서구 검단로487번안길 11-14</t>
        </is>
      </c>
      <c r="AH696" s="0" t="n">
        <v>0</v>
      </c>
      <c r="AI696" s="0" t="n">
        <v>231</v>
      </c>
      <c r="AJ696" s="0" t="n">
        <v>22</v>
      </c>
      <c r="AK696" s="0" t="n">
        <v>127</v>
      </c>
      <c r="AL696" s="0" t="n">
        <v>1.14</v>
      </c>
    </row>
    <row r="697">
      <c r="A697" s="0" t="inlineStr">
        <is>
          <t>[마전동]</t>
        </is>
      </c>
      <c r="B697" s="0" t="n">
        <v>8116</v>
      </c>
      <c r="C697" s="0" t="n">
        <v>4</v>
      </c>
      <c r="D697" s="0" t="inlineStr">
        <is>
          <t>동남</t>
        </is>
      </c>
      <c r="E697" s="0" t="inlineStr">
        <is>
          <t>1999.11.</t>
        </is>
      </c>
      <c r="F697" s="0" t="n">
        <v>111</v>
      </c>
      <c r="G697" s="0" t="n">
        <v>44.83</v>
      </c>
      <c r="H697" s="0" t="n">
        <v>148.2</v>
      </c>
      <c r="I697" s="0" t="n">
        <v>35.45</v>
      </c>
      <c r="J697" s="0" t="n">
        <v>117.21</v>
      </c>
      <c r="K697" s="0" t="n">
        <v>27</v>
      </c>
      <c r="T697" s="0" t="n">
        <v>4</v>
      </c>
      <c r="U697" s="0" t="n">
        <v>2</v>
      </c>
      <c r="V697" s="0" t="inlineStr">
        <is>
          <t>계단식</t>
        </is>
      </c>
      <c r="W697" s="0" t="n">
        <v>148</v>
      </c>
      <c r="X697" s="0" t="n">
        <v>14</v>
      </c>
      <c r="Y697" s="0" t="n">
        <v>14</v>
      </c>
      <c r="Z697" s="0" t="inlineStr">
        <is>
          <t>https://new.land.naver.com/complexes/8116?tab=detail&amp;rf=Y</t>
        </is>
      </c>
      <c r="AA697" s="0" t="inlineStr">
        <is>
          <t>인천시 서구 마전동 922-2</t>
        </is>
      </c>
      <c r="AB697" s="0" t="inlineStr">
        <is>
          <t>인천시</t>
        </is>
      </c>
      <c r="AC697" s="0" t="inlineStr">
        <is>
          <t>서구</t>
        </is>
      </c>
      <c r="AD697" s="0" t="inlineStr">
        <is>
          <t>마전동</t>
        </is>
      </c>
      <c r="AG697" s="0" t="inlineStr">
        <is>
          <t>인천시 서구 검단로487번안길 11-14</t>
        </is>
      </c>
      <c r="AH697" s="0" t="n">
        <v>0</v>
      </c>
      <c r="AI697" s="0" t="n">
        <v>231</v>
      </c>
      <c r="AJ697" s="0" t="n">
        <v>22</v>
      </c>
      <c r="AK697" s="0" t="n">
        <v>127</v>
      </c>
      <c r="AL697" s="0" t="n">
        <v>1.14</v>
      </c>
    </row>
    <row r="698">
      <c r="A698" s="0" t="inlineStr">
        <is>
          <t>[마전동]</t>
        </is>
      </c>
      <c r="B698" s="0" t="n">
        <v>11279</v>
      </c>
      <c r="C698" s="0" t="n">
        <v>1</v>
      </c>
      <c r="D698" s="0" t="inlineStr">
        <is>
          <t>장미</t>
        </is>
      </c>
      <c r="E698" s="0" t="inlineStr">
        <is>
          <t>1990.10.</t>
        </is>
      </c>
      <c r="F698" s="0" t="n">
        <v>260</v>
      </c>
      <c r="G698" s="0" t="n">
        <v>16.19</v>
      </c>
      <c r="H698" s="0" t="n">
        <v>53.54</v>
      </c>
      <c r="I698" s="0" t="n">
        <v>11.99</v>
      </c>
      <c r="J698" s="0" t="n">
        <v>39.64</v>
      </c>
      <c r="K698" s="0" t="n">
        <v>50</v>
      </c>
      <c r="T698" s="0" t="n">
        <v>2</v>
      </c>
      <c r="U698" s="0" t="n">
        <v>1</v>
      </c>
      <c r="V698" s="0" t="inlineStr">
        <is>
          <t>계단식</t>
        </is>
      </c>
      <c r="W698" s="0" t="n">
        <v>53</v>
      </c>
      <c r="X698" s="0" t="n">
        <v>5</v>
      </c>
      <c r="Y698" s="0" t="n">
        <v>5</v>
      </c>
      <c r="Z698" s="0" t="inlineStr">
        <is>
          <t>https://new.land.naver.com/complexes/11279?tab=detail&amp;rf=Y</t>
        </is>
      </c>
      <c r="AA698" s="0" t="inlineStr">
        <is>
          <t>인천시 서구 마전동 920</t>
        </is>
      </c>
      <c r="AB698" s="0" t="inlineStr">
        <is>
          <t>인천시</t>
        </is>
      </c>
      <c r="AC698" s="0" t="inlineStr">
        <is>
          <t>서구</t>
        </is>
      </c>
      <c r="AD698" s="0" t="inlineStr">
        <is>
          <t>마전동</t>
        </is>
      </c>
      <c r="AG698" s="0" t="inlineStr">
        <is>
          <t>인천시 서구 완정로178번길 51</t>
        </is>
      </c>
      <c r="AH698" s="0" t="n">
        <v>0</v>
      </c>
      <c r="AI698" s="0" t="n">
        <v>141</v>
      </c>
      <c r="AJ698" s="0" t="n">
        <v>29</v>
      </c>
      <c r="AK698" s="0" t="n">
        <v>0</v>
      </c>
      <c r="AL698" s="0" t="n">
        <v>0</v>
      </c>
    </row>
    <row r="699">
      <c r="A699" s="0" t="inlineStr">
        <is>
          <t>[마전동]</t>
        </is>
      </c>
      <c r="B699" s="0" t="n">
        <v>11279</v>
      </c>
      <c r="C699" s="0" t="n">
        <v>2</v>
      </c>
      <c r="D699" s="0" t="inlineStr">
        <is>
          <t>장미</t>
        </is>
      </c>
      <c r="E699" s="0" t="inlineStr">
        <is>
          <t>1990.10.</t>
        </is>
      </c>
      <c r="F699" s="0" t="n">
        <v>260</v>
      </c>
      <c r="G699" s="0" t="n">
        <v>17.18</v>
      </c>
      <c r="H699" s="0" t="n">
        <v>56.8</v>
      </c>
      <c r="I699" s="0" t="n">
        <v>12.74</v>
      </c>
      <c r="J699" s="0" t="n">
        <v>42.12</v>
      </c>
      <c r="K699" s="0" t="n">
        <v>160</v>
      </c>
      <c r="T699" s="0" t="n">
        <v>2</v>
      </c>
      <c r="U699" s="0" t="n">
        <v>1</v>
      </c>
      <c r="V699" s="0" t="inlineStr">
        <is>
          <t>계단식</t>
        </is>
      </c>
      <c r="W699" s="0" t="n">
        <v>56</v>
      </c>
      <c r="X699" s="0" t="n">
        <v>5</v>
      </c>
      <c r="Y699" s="0" t="n">
        <v>5</v>
      </c>
      <c r="Z699" s="0" t="inlineStr">
        <is>
          <t>https://new.land.naver.com/complexes/11279?tab=detail&amp;rf=Y</t>
        </is>
      </c>
      <c r="AA699" s="0" t="inlineStr">
        <is>
          <t>인천시 서구 마전동 920</t>
        </is>
      </c>
      <c r="AB699" s="0" t="inlineStr">
        <is>
          <t>인천시</t>
        </is>
      </c>
      <c r="AC699" s="0" t="inlineStr">
        <is>
          <t>서구</t>
        </is>
      </c>
      <c r="AD699" s="0" t="inlineStr">
        <is>
          <t>마전동</t>
        </is>
      </c>
      <c r="AG699" s="0" t="inlineStr">
        <is>
          <t>인천시 서구 완정로178번길 51</t>
        </is>
      </c>
      <c r="AH699" s="0" t="n">
        <v>0</v>
      </c>
      <c r="AI699" s="0" t="n">
        <v>141</v>
      </c>
      <c r="AJ699" s="0" t="n">
        <v>29</v>
      </c>
      <c r="AK699" s="0" t="n">
        <v>0</v>
      </c>
      <c r="AL699" s="0" t="n">
        <v>0</v>
      </c>
    </row>
    <row r="700">
      <c r="A700" s="0" t="inlineStr">
        <is>
          <t>[마전동]</t>
        </is>
      </c>
      <c r="B700" s="0" t="n">
        <v>11279</v>
      </c>
      <c r="C700" s="0" t="n">
        <v>3</v>
      </c>
      <c r="D700" s="0" t="inlineStr">
        <is>
          <t>장미</t>
        </is>
      </c>
      <c r="E700" s="0" t="inlineStr">
        <is>
          <t>1990.10.</t>
        </is>
      </c>
      <c r="F700" s="0" t="n">
        <v>260</v>
      </c>
      <c r="G700" s="0" t="n">
        <v>22.8</v>
      </c>
      <c r="H700" s="0" t="n">
        <v>75.38</v>
      </c>
      <c r="I700" s="0" t="n">
        <v>17.42</v>
      </c>
      <c r="J700" s="0" t="n">
        <v>57.6</v>
      </c>
      <c r="K700" s="0" t="n">
        <v>50</v>
      </c>
      <c r="T700" s="0" t="n">
        <v>3</v>
      </c>
      <c r="U700" s="0" t="n">
        <v>1</v>
      </c>
      <c r="V700" s="0" t="inlineStr">
        <is>
          <t>계단식</t>
        </is>
      </c>
      <c r="W700" s="0" t="n">
        <v>75</v>
      </c>
      <c r="X700" s="0" t="n">
        <v>5</v>
      </c>
      <c r="Y700" s="0" t="n">
        <v>5</v>
      </c>
      <c r="Z700" s="0" t="inlineStr">
        <is>
          <t>https://new.land.naver.com/complexes/11279?tab=detail&amp;rf=Y</t>
        </is>
      </c>
      <c r="AA700" s="0" t="inlineStr">
        <is>
          <t>인천시 서구 마전동 920</t>
        </is>
      </c>
      <c r="AB700" s="0" t="inlineStr">
        <is>
          <t>인천시</t>
        </is>
      </c>
      <c r="AC700" s="0" t="inlineStr">
        <is>
          <t>서구</t>
        </is>
      </c>
      <c r="AD700" s="0" t="inlineStr">
        <is>
          <t>마전동</t>
        </is>
      </c>
      <c r="AG700" s="0" t="inlineStr">
        <is>
          <t>인천시 서구 완정로178번길 51</t>
        </is>
      </c>
      <c r="AH700" s="0" t="n">
        <v>0</v>
      </c>
      <c r="AI700" s="0" t="n">
        <v>141</v>
      </c>
      <c r="AJ700" s="0" t="n">
        <v>29</v>
      </c>
      <c r="AK700" s="0" t="n">
        <v>0</v>
      </c>
      <c r="AL700" s="0" t="n">
        <v>0</v>
      </c>
    </row>
    <row r="701">
      <c r="A701" s="0" t="inlineStr">
        <is>
          <t>[마전동]</t>
        </is>
      </c>
      <c r="B701" s="0" t="n">
        <v>11365</v>
      </c>
      <c r="C701" s="0" t="n">
        <v>1</v>
      </c>
      <c r="D701" s="0" t="inlineStr">
        <is>
          <t>대원레스피아2단지</t>
        </is>
      </c>
      <c r="E701" s="0" t="inlineStr">
        <is>
          <t>2004.11.</t>
        </is>
      </c>
      <c r="F701" s="0" t="n">
        <v>311</v>
      </c>
      <c r="G701" s="0" t="n">
        <v>24.27</v>
      </c>
      <c r="H701" s="0" t="n">
        <v>80.23999999999999</v>
      </c>
      <c r="I701" s="0" t="n">
        <v>18.07</v>
      </c>
      <c r="J701" s="0" t="n">
        <v>59.74</v>
      </c>
      <c r="K701" s="0" t="n">
        <v>76</v>
      </c>
      <c r="T701" s="0" t="n">
        <v>3</v>
      </c>
      <c r="U701" s="0" t="n">
        <v>2</v>
      </c>
      <c r="V701" s="0" t="inlineStr">
        <is>
          <t>계단식</t>
        </is>
      </c>
      <c r="W701" s="0" t="n">
        <v>80</v>
      </c>
      <c r="X701" s="0" t="n">
        <v>19</v>
      </c>
      <c r="Y701" s="0" t="n">
        <v>17</v>
      </c>
      <c r="Z701" s="0" t="inlineStr">
        <is>
          <t>https://new.land.naver.com/complexes/11365?tab=detail&amp;rf=Y</t>
        </is>
      </c>
      <c r="AA701" s="0" t="inlineStr">
        <is>
          <t>인천시 서구 마전동 1151-1</t>
        </is>
      </c>
      <c r="AB701" s="0" t="inlineStr">
        <is>
          <t>인천시</t>
        </is>
      </c>
      <c r="AC701" s="0" t="inlineStr">
        <is>
          <t>서구</t>
        </is>
      </c>
      <c r="AD701" s="0" t="inlineStr">
        <is>
          <t>마전동</t>
        </is>
      </c>
      <c r="AG701" s="0" t="inlineStr">
        <is>
          <t>인천시 서구 가현로 71</t>
        </is>
      </c>
      <c r="AH701" s="0" t="n">
        <v>0</v>
      </c>
      <c r="AI701" s="0" t="n">
        <v>214</v>
      </c>
      <c r="AJ701" s="0" t="n">
        <v>16</v>
      </c>
      <c r="AK701" s="0" t="n">
        <v>315</v>
      </c>
      <c r="AL701" s="0" t="n">
        <v>1.01</v>
      </c>
    </row>
    <row r="702">
      <c r="A702" s="0" t="inlineStr">
        <is>
          <t>[마전동]</t>
        </is>
      </c>
      <c r="B702" s="0" t="n">
        <v>11365</v>
      </c>
      <c r="C702" s="0" t="n">
        <v>2</v>
      </c>
      <c r="D702" s="0" t="inlineStr">
        <is>
          <t>대원레스피아2단지</t>
        </is>
      </c>
      <c r="E702" s="0" t="inlineStr">
        <is>
          <t>2004.11.</t>
        </is>
      </c>
      <c r="F702" s="0" t="n">
        <v>311</v>
      </c>
      <c r="G702" s="0" t="n">
        <v>33.35</v>
      </c>
      <c r="H702" s="0" t="n">
        <v>110.27</v>
      </c>
      <c r="I702" s="0" t="n">
        <v>25.66</v>
      </c>
      <c r="J702" s="0" t="n">
        <v>84.84</v>
      </c>
      <c r="K702" s="0" t="n">
        <v>137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110A</t>
        </is>
      </c>
      <c r="X702" s="0" t="n">
        <v>19</v>
      </c>
      <c r="Y702" s="0" t="n">
        <v>17</v>
      </c>
      <c r="Z702" s="0" t="inlineStr">
        <is>
          <t>https://new.land.naver.com/complexes/11365?tab=detail&amp;rf=Y</t>
        </is>
      </c>
      <c r="AA702" s="0" t="inlineStr">
        <is>
          <t>인천시 서구 마전동 1151-1</t>
        </is>
      </c>
      <c r="AB702" s="0" t="inlineStr">
        <is>
          <t>인천시</t>
        </is>
      </c>
      <c r="AC702" s="0" t="inlineStr">
        <is>
          <t>서구</t>
        </is>
      </c>
      <c r="AD702" s="0" t="inlineStr">
        <is>
          <t>마전동</t>
        </is>
      </c>
      <c r="AG702" s="0" t="inlineStr">
        <is>
          <t>인천시 서구 가현로 71</t>
        </is>
      </c>
      <c r="AH702" s="0" t="n">
        <v>0</v>
      </c>
      <c r="AI702" s="0" t="n">
        <v>214</v>
      </c>
      <c r="AJ702" s="0" t="n">
        <v>16</v>
      </c>
      <c r="AK702" s="0" t="n">
        <v>315</v>
      </c>
      <c r="AL702" s="0" t="n">
        <v>1.01</v>
      </c>
    </row>
    <row r="703">
      <c r="A703" s="0" t="inlineStr">
        <is>
          <t>[마전동]</t>
        </is>
      </c>
      <c r="B703" s="0" t="n">
        <v>11365</v>
      </c>
      <c r="C703" s="0" t="n">
        <v>3</v>
      </c>
      <c r="D703" s="0" t="inlineStr">
        <is>
          <t>대원레스피아2단지</t>
        </is>
      </c>
      <c r="E703" s="0" t="inlineStr">
        <is>
          <t>2004.11.</t>
        </is>
      </c>
      <c r="F703" s="0" t="n">
        <v>311</v>
      </c>
      <c r="G703" s="0" t="n">
        <v>33.41</v>
      </c>
      <c r="H703" s="0" t="n">
        <v>110.45</v>
      </c>
      <c r="I703" s="0" t="n">
        <v>25.7</v>
      </c>
      <c r="J703" s="0" t="n">
        <v>84.98999999999999</v>
      </c>
      <c r="K703" s="0" t="n">
        <v>98</v>
      </c>
      <c r="T703" s="0" t="n">
        <v>3</v>
      </c>
      <c r="U703" s="0" t="n">
        <v>2</v>
      </c>
      <c r="V703" s="0" t="inlineStr">
        <is>
          <t>계단식</t>
        </is>
      </c>
      <c r="W703" s="0" t="inlineStr">
        <is>
          <t>110B</t>
        </is>
      </c>
      <c r="X703" s="0" t="n">
        <v>19</v>
      </c>
      <c r="Y703" s="0" t="n">
        <v>17</v>
      </c>
      <c r="Z703" s="0" t="inlineStr">
        <is>
          <t>https://new.land.naver.com/complexes/11365?tab=detail&amp;rf=Y</t>
        </is>
      </c>
      <c r="AA703" s="0" t="inlineStr">
        <is>
          <t>인천시 서구 마전동 1151-1</t>
        </is>
      </c>
      <c r="AB703" s="0" t="inlineStr">
        <is>
          <t>인천시</t>
        </is>
      </c>
      <c r="AC703" s="0" t="inlineStr">
        <is>
          <t>서구</t>
        </is>
      </c>
      <c r="AD703" s="0" t="inlineStr">
        <is>
          <t>마전동</t>
        </is>
      </c>
      <c r="AG703" s="0" t="inlineStr">
        <is>
          <t>인천시 서구 가현로 71</t>
        </is>
      </c>
      <c r="AH703" s="0" t="n">
        <v>0</v>
      </c>
      <c r="AI703" s="0" t="n">
        <v>214</v>
      </c>
      <c r="AJ703" s="0" t="n">
        <v>16</v>
      </c>
      <c r="AK703" s="0" t="n">
        <v>315</v>
      </c>
      <c r="AL703" s="0" t="n">
        <v>1.01</v>
      </c>
    </row>
    <row r="704">
      <c r="A704" s="0" t="inlineStr">
        <is>
          <t>[마전동]</t>
        </is>
      </c>
      <c r="B704" s="0" t="n">
        <v>10443</v>
      </c>
      <c r="C704" s="0" t="n">
        <v>1</v>
      </c>
      <c r="D704" s="0" t="inlineStr">
        <is>
          <t>당하풍림아이원3차</t>
        </is>
      </c>
      <c r="E704" s="0" t="inlineStr">
        <is>
          <t>2004.10.</t>
        </is>
      </c>
      <c r="F704" s="0" t="n">
        <v>579</v>
      </c>
      <c r="G704" s="0" t="n">
        <v>25.35</v>
      </c>
      <c r="H704" s="0" t="n">
        <v>83.81</v>
      </c>
      <c r="I704" s="0" t="n">
        <v>18.11</v>
      </c>
      <c r="J704" s="0" t="n">
        <v>59.9</v>
      </c>
      <c r="K704" s="0" t="n">
        <v>237</v>
      </c>
      <c r="T704" s="0" t="n">
        <v>3</v>
      </c>
      <c r="U704" s="0" t="n">
        <v>2</v>
      </c>
      <c r="V704" s="0" t="inlineStr">
        <is>
          <t>계단식</t>
        </is>
      </c>
      <c r="W704" s="0" t="n">
        <v>83</v>
      </c>
      <c r="X704" s="0" t="n">
        <v>19</v>
      </c>
      <c r="Y704" s="0" t="n">
        <v>15</v>
      </c>
      <c r="Z704" s="0" t="inlineStr">
        <is>
          <t>https://new.land.naver.com/complexes/10443?tab=detail&amp;rf=Y</t>
        </is>
      </c>
      <c r="AA704" s="0" t="inlineStr">
        <is>
          <t>인천시 서구 마전동 1055-1</t>
        </is>
      </c>
      <c r="AB704" s="0" t="inlineStr">
        <is>
          <t>인천시</t>
        </is>
      </c>
      <c r="AC704" s="0" t="inlineStr">
        <is>
          <t>서구</t>
        </is>
      </c>
      <c r="AD704" s="0" t="inlineStr">
        <is>
          <t>마전동</t>
        </is>
      </c>
      <c r="AG704" s="0" t="inlineStr">
        <is>
          <t>인천시 서구 원당대로685번길 23</t>
        </is>
      </c>
      <c r="AH704" s="0" t="n">
        <v>0</v>
      </c>
      <c r="AI704" s="0" t="n">
        <v>0</v>
      </c>
      <c r="AJ704" s="0" t="n">
        <v>0</v>
      </c>
      <c r="AK704" s="0" t="n">
        <v>582</v>
      </c>
      <c r="AL704" s="0" t="n">
        <v>1.01</v>
      </c>
    </row>
    <row r="705">
      <c r="A705" s="0" t="inlineStr">
        <is>
          <t>[마전동]</t>
        </is>
      </c>
      <c r="B705" s="0" t="n">
        <v>10443</v>
      </c>
      <c r="C705" s="0" t="n">
        <v>2</v>
      </c>
      <c r="D705" s="0" t="inlineStr">
        <is>
          <t>당하풍림아이원3차</t>
        </is>
      </c>
      <c r="E705" s="0" t="inlineStr">
        <is>
          <t>2004.10.</t>
        </is>
      </c>
      <c r="F705" s="0" t="n">
        <v>579</v>
      </c>
      <c r="G705" s="0" t="n">
        <v>33.44</v>
      </c>
      <c r="H705" s="0" t="n">
        <v>110.56</v>
      </c>
      <c r="I705" s="0" t="n">
        <v>25.7</v>
      </c>
      <c r="J705" s="0" t="n">
        <v>84.98</v>
      </c>
      <c r="K705" s="0" t="n">
        <v>283</v>
      </c>
      <c r="T705" s="0" t="n">
        <v>3</v>
      </c>
      <c r="U705" s="0" t="n">
        <v>2</v>
      </c>
      <c r="V705" s="0" t="inlineStr">
        <is>
          <t>계단식</t>
        </is>
      </c>
      <c r="W705" s="0" t="inlineStr">
        <is>
          <t>110C</t>
        </is>
      </c>
      <c r="X705" s="0" t="n">
        <v>19</v>
      </c>
      <c r="Y705" s="0" t="n">
        <v>15</v>
      </c>
      <c r="Z705" s="0" t="inlineStr">
        <is>
          <t>https://new.land.naver.com/complexes/10443?tab=detail&amp;rf=Y</t>
        </is>
      </c>
      <c r="AA705" s="0" t="inlineStr">
        <is>
          <t>인천시 서구 마전동 1055-1</t>
        </is>
      </c>
      <c r="AB705" s="0" t="inlineStr">
        <is>
          <t>인천시</t>
        </is>
      </c>
      <c r="AC705" s="0" t="inlineStr">
        <is>
          <t>서구</t>
        </is>
      </c>
      <c r="AD705" s="0" t="inlineStr">
        <is>
          <t>마전동</t>
        </is>
      </c>
      <c r="AG705" s="0" t="inlineStr">
        <is>
          <t>인천시 서구 원당대로685번길 23</t>
        </is>
      </c>
      <c r="AH705" s="0" t="n">
        <v>0</v>
      </c>
      <c r="AI705" s="0" t="n">
        <v>0</v>
      </c>
      <c r="AJ705" s="0" t="n">
        <v>0</v>
      </c>
      <c r="AK705" s="0" t="n">
        <v>582</v>
      </c>
      <c r="AL705" s="0" t="n">
        <v>1.01</v>
      </c>
    </row>
    <row r="706">
      <c r="A706" s="0" t="inlineStr">
        <is>
          <t>[마전동]</t>
        </is>
      </c>
      <c r="B706" s="0" t="n">
        <v>10443</v>
      </c>
      <c r="C706" s="0" t="n">
        <v>3</v>
      </c>
      <c r="D706" s="0" t="inlineStr">
        <is>
          <t>당하풍림아이원3차</t>
        </is>
      </c>
      <c r="E706" s="0" t="inlineStr">
        <is>
          <t>2004.10.</t>
        </is>
      </c>
      <c r="F706" s="0" t="n">
        <v>579</v>
      </c>
      <c r="G706" s="0" t="n">
        <v>33.44</v>
      </c>
      <c r="H706" s="0" t="n">
        <v>110.56</v>
      </c>
      <c r="I706" s="0" t="n">
        <v>25.7</v>
      </c>
      <c r="J706" s="0" t="n">
        <v>84.98</v>
      </c>
      <c r="K706" s="0" t="n">
        <v>30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110A</t>
        </is>
      </c>
      <c r="X706" s="0" t="n">
        <v>19</v>
      </c>
      <c r="Y706" s="0" t="n">
        <v>15</v>
      </c>
      <c r="Z706" s="0" t="inlineStr">
        <is>
          <t>https://new.land.naver.com/complexes/10443?tab=detail&amp;rf=Y</t>
        </is>
      </c>
      <c r="AA706" s="0" t="inlineStr">
        <is>
          <t>인천시 서구 마전동 1055-1</t>
        </is>
      </c>
      <c r="AB706" s="0" t="inlineStr">
        <is>
          <t>인천시</t>
        </is>
      </c>
      <c r="AC706" s="0" t="inlineStr">
        <is>
          <t>서구</t>
        </is>
      </c>
      <c r="AD706" s="0" t="inlineStr">
        <is>
          <t>마전동</t>
        </is>
      </c>
      <c r="AG706" s="0" t="inlineStr">
        <is>
          <t>인천시 서구 원당대로685번길 23</t>
        </is>
      </c>
      <c r="AH706" s="0" t="n">
        <v>0</v>
      </c>
      <c r="AI706" s="0" t="n">
        <v>0</v>
      </c>
      <c r="AJ706" s="0" t="n">
        <v>0</v>
      </c>
      <c r="AK706" s="0" t="n">
        <v>582</v>
      </c>
      <c r="AL706" s="0" t="n">
        <v>1.01</v>
      </c>
    </row>
    <row r="707">
      <c r="A707" s="0" t="inlineStr">
        <is>
          <t>[마전동]</t>
        </is>
      </c>
      <c r="B707" s="0" t="n">
        <v>10443</v>
      </c>
      <c r="C707" s="0" t="n">
        <v>4</v>
      </c>
      <c r="D707" s="0" t="inlineStr">
        <is>
          <t>당하풍림아이원3차</t>
        </is>
      </c>
      <c r="E707" s="0" t="inlineStr">
        <is>
          <t>2004.10.</t>
        </is>
      </c>
      <c r="F707" s="0" t="n">
        <v>579</v>
      </c>
      <c r="G707" s="0" t="n">
        <v>33.44</v>
      </c>
      <c r="H707" s="0" t="n">
        <v>110.56</v>
      </c>
      <c r="I707" s="0" t="n">
        <v>25.7</v>
      </c>
      <c r="J707" s="0" t="n">
        <v>84.98</v>
      </c>
      <c r="K707" s="0" t="n">
        <v>29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110B</t>
        </is>
      </c>
      <c r="X707" s="0" t="n">
        <v>19</v>
      </c>
      <c r="Y707" s="0" t="n">
        <v>15</v>
      </c>
      <c r="Z707" s="0" t="inlineStr">
        <is>
          <t>https://new.land.naver.com/complexes/10443?tab=detail&amp;rf=Y</t>
        </is>
      </c>
      <c r="AA707" s="0" t="inlineStr">
        <is>
          <t>인천시 서구 마전동 1055-1</t>
        </is>
      </c>
      <c r="AB707" s="0" t="inlineStr">
        <is>
          <t>인천시</t>
        </is>
      </c>
      <c r="AC707" s="0" t="inlineStr">
        <is>
          <t>서구</t>
        </is>
      </c>
      <c r="AD707" s="0" t="inlineStr">
        <is>
          <t>마전동</t>
        </is>
      </c>
      <c r="AG707" s="0" t="inlineStr">
        <is>
          <t>인천시 서구 원당대로685번길 23</t>
        </is>
      </c>
      <c r="AH707" s="0" t="n">
        <v>0</v>
      </c>
      <c r="AI707" s="0" t="n">
        <v>0</v>
      </c>
      <c r="AJ707" s="0" t="n">
        <v>0</v>
      </c>
      <c r="AK707" s="0" t="n">
        <v>582</v>
      </c>
      <c r="AL707" s="0" t="n">
        <v>1.01</v>
      </c>
    </row>
    <row r="708">
      <c r="A708" s="0" t="inlineStr">
        <is>
          <t>[마전동]</t>
        </is>
      </c>
      <c r="B708" s="0" t="n">
        <v>11746</v>
      </c>
      <c r="C708" s="0" t="n">
        <v>1</v>
      </c>
      <c r="D708" s="0" t="inlineStr">
        <is>
          <t>검단금호어울림</t>
        </is>
      </c>
      <c r="E708" s="0" t="inlineStr">
        <is>
          <t>2004.06.</t>
        </is>
      </c>
      <c r="F708" s="0" t="n">
        <v>236</v>
      </c>
      <c r="G708" s="0" t="n">
        <v>32.11</v>
      </c>
      <c r="H708" s="0" t="n">
        <v>106.16</v>
      </c>
      <c r="I708" s="0" t="n">
        <v>25.7</v>
      </c>
      <c r="J708" s="0" t="n">
        <v>84.98999999999999</v>
      </c>
      <c r="K708" s="0" t="n">
        <v>236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106</v>
      </c>
      <c r="X708" s="0" t="n">
        <v>10</v>
      </c>
      <c r="Y708" s="0" t="n">
        <v>8</v>
      </c>
      <c r="Z708" s="0" t="inlineStr">
        <is>
          <t>https://new.land.naver.com/complexes/11746?tab=detail&amp;rf=Y</t>
        </is>
      </c>
      <c r="AA708" s="0" t="inlineStr">
        <is>
          <t>인천시 서구 마전동 1030-1</t>
        </is>
      </c>
      <c r="AB708" s="0" t="inlineStr">
        <is>
          <t>인천시</t>
        </is>
      </c>
      <c r="AC708" s="0" t="inlineStr">
        <is>
          <t>서구</t>
        </is>
      </c>
      <c r="AD708" s="0" t="inlineStr">
        <is>
          <t>마전동</t>
        </is>
      </c>
      <c r="AG708" s="0" t="inlineStr">
        <is>
          <t>인천시 서구 완정로65번안길 17</t>
        </is>
      </c>
      <c r="AH708" s="0" t="n">
        <v>0</v>
      </c>
      <c r="AI708" s="0" t="n">
        <v>0</v>
      </c>
      <c r="AJ708" s="0" t="n">
        <v>0</v>
      </c>
      <c r="AK708" s="0" t="n">
        <v>354</v>
      </c>
      <c r="AL708" s="0" t="n">
        <v>1.5</v>
      </c>
    </row>
    <row r="709">
      <c r="A709" s="0" t="inlineStr">
        <is>
          <t>[마전동]</t>
        </is>
      </c>
      <c r="B709" s="0" t="n">
        <v>9281</v>
      </c>
      <c r="C709" s="0" t="n">
        <v>1</v>
      </c>
      <c r="D709" s="0" t="inlineStr">
        <is>
          <t>영남탑스빌</t>
        </is>
      </c>
      <c r="E709" s="0" t="inlineStr">
        <is>
          <t>2000.04.</t>
        </is>
      </c>
      <c r="F709" s="0" t="n">
        <v>1042</v>
      </c>
      <c r="G709" s="0" t="n">
        <v>33.77</v>
      </c>
      <c r="H709" s="0" t="n">
        <v>111.65</v>
      </c>
      <c r="I709" s="0" t="n">
        <v>25.7</v>
      </c>
      <c r="J709" s="0" t="n">
        <v>84.97</v>
      </c>
      <c r="K709" s="0" t="n">
        <v>394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111</v>
      </c>
      <c r="X709" s="0" t="n">
        <v>25</v>
      </c>
      <c r="Y709" s="0" t="n">
        <v>18</v>
      </c>
      <c r="Z709" s="0" t="inlineStr">
        <is>
          <t>https://new.land.naver.com/complexes/9281?tab=detail&amp;rf=Y</t>
        </is>
      </c>
      <c r="AA709" s="0" t="inlineStr">
        <is>
          <t>인천시 서구 마전동 999-5</t>
        </is>
      </c>
      <c r="AB709" s="0" t="inlineStr">
        <is>
          <t>인천시</t>
        </is>
      </c>
      <c r="AC709" s="0" t="inlineStr">
        <is>
          <t>서구</t>
        </is>
      </c>
      <c r="AD709" s="0" t="inlineStr">
        <is>
          <t>마전동</t>
        </is>
      </c>
      <c r="AG709" s="0" t="inlineStr">
        <is>
          <t>인천시 서구 완정로64번길 7</t>
        </is>
      </c>
      <c r="AH709" s="0" t="n">
        <v>0</v>
      </c>
      <c r="AI709" s="0" t="n">
        <v>247</v>
      </c>
      <c r="AJ709" s="0" t="n">
        <v>15</v>
      </c>
      <c r="AK709" s="0" t="n">
        <v>2007</v>
      </c>
      <c r="AL709" s="0" t="n">
        <v>1.93</v>
      </c>
    </row>
    <row r="710">
      <c r="A710" s="0" t="inlineStr">
        <is>
          <t>[마전동]</t>
        </is>
      </c>
      <c r="B710" s="0" t="n">
        <v>9281</v>
      </c>
      <c r="C710" s="0" t="n">
        <v>2</v>
      </c>
      <c r="D710" s="0" t="inlineStr">
        <is>
          <t>영남탑스빌</t>
        </is>
      </c>
      <c r="E710" s="0" t="inlineStr">
        <is>
          <t>2000.04.</t>
        </is>
      </c>
      <c r="F710" s="0" t="n">
        <v>1042</v>
      </c>
      <c r="G710" s="0" t="n">
        <v>45.98</v>
      </c>
      <c r="H710" s="0" t="n">
        <v>152.03</v>
      </c>
      <c r="I710" s="0" t="n">
        <v>36.28</v>
      </c>
      <c r="J710" s="0" t="n">
        <v>119.94</v>
      </c>
      <c r="K710" s="0" t="n">
        <v>124</v>
      </c>
      <c r="T710" s="0" t="n">
        <v>4</v>
      </c>
      <c r="U710" s="0" t="n">
        <v>2</v>
      </c>
      <c r="V710" s="0" t="inlineStr">
        <is>
          <t>계단식</t>
        </is>
      </c>
      <c r="W710" s="0" t="n">
        <v>152</v>
      </c>
      <c r="X710" s="0" t="n">
        <v>25</v>
      </c>
      <c r="Y710" s="0" t="n">
        <v>18</v>
      </c>
      <c r="Z710" s="0" t="inlineStr">
        <is>
          <t>https://new.land.naver.com/complexes/9281?tab=detail&amp;rf=Y</t>
        </is>
      </c>
      <c r="AA710" s="0" t="inlineStr">
        <is>
          <t>인천시 서구 마전동 999-5</t>
        </is>
      </c>
      <c r="AB710" s="0" t="inlineStr">
        <is>
          <t>인천시</t>
        </is>
      </c>
      <c r="AC710" s="0" t="inlineStr">
        <is>
          <t>서구</t>
        </is>
      </c>
      <c r="AD710" s="0" t="inlineStr">
        <is>
          <t>마전동</t>
        </is>
      </c>
      <c r="AG710" s="0" t="inlineStr">
        <is>
          <t>인천시 서구 완정로64번길 7</t>
        </is>
      </c>
      <c r="AH710" s="0" t="n">
        <v>0</v>
      </c>
      <c r="AI710" s="0" t="n">
        <v>247</v>
      </c>
      <c r="AJ710" s="0" t="n">
        <v>15</v>
      </c>
      <c r="AK710" s="0" t="n">
        <v>2007</v>
      </c>
      <c r="AL710" s="0" t="n">
        <v>1.93</v>
      </c>
    </row>
    <row r="711">
      <c r="A711" s="0" t="inlineStr">
        <is>
          <t>[마전동]</t>
        </is>
      </c>
      <c r="B711" s="0" t="n">
        <v>9281</v>
      </c>
      <c r="C711" s="0" t="n">
        <v>3</v>
      </c>
      <c r="D711" s="0" t="inlineStr">
        <is>
          <t>영남탑스빌</t>
        </is>
      </c>
      <c r="E711" s="0" t="inlineStr">
        <is>
          <t>2000.04.</t>
        </is>
      </c>
      <c r="F711" s="0" t="n">
        <v>1042</v>
      </c>
      <c r="G711" s="0" t="n">
        <v>56.61</v>
      </c>
      <c r="H711" s="0" t="n">
        <v>187.16</v>
      </c>
      <c r="I711" s="0" t="n">
        <v>46.29</v>
      </c>
      <c r="J711" s="0" t="n">
        <v>153.03</v>
      </c>
      <c r="K711" s="0" t="n">
        <v>304</v>
      </c>
      <c r="T711" s="0" t="n">
        <v>5</v>
      </c>
      <c r="U711" s="0" t="n">
        <v>2</v>
      </c>
      <c r="V711" s="0" t="inlineStr">
        <is>
          <t>계단식</t>
        </is>
      </c>
      <c r="W711" s="0" t="n">
        <v>187</v>
      </c>
      <c r="X711" s="0" t="n">
        <v>25</v>
      </c>
      <c r="Y711" s="0" t="n">
        <v>18</v>
      </c>
      <c r="Z711" s="0" t="inlineStr">
        <is>
          <t>https://new.land.naver.com/complexes/9281?tab=detail&amp;rf=Y</t>
        </is>
      </c>
      <c r="AA711" s="0" t="inlineStr">
        <is>
          <t>인천시 서구 마전동 999-5</t>
        </is>
      </c>
      <c r="AB711" s="0" t="inlineStr">
        <is>
          <t>인천시</t>
        </is>
      </c>
      <c r="AC711" s="0" t="inlineStr">
        <is>
          <t>서구</t>
        </is>
      </c>
      <c r="AD711" s="0" t="inlineStr">
        <is>
          <t>마전동</t>
        </is>
      </c>
      <c r="AG711" s="0" t="inlineStr">
        <is>
          <t>인천시 서구 완정로64번길 7</t>
        </is>
      </c>
      <c r="AH711" s="0" t="n">
        <v>0</v>
      </c>
      <c r="AI711" s="0" t="n">
        <v>247</v>
      </c>
      <c r="AJ711" s="0" t="n">
        <v>15</v>
      </c>
      <c r="AK711" s="0" t="n">
        <v>2007</v>
      </c>
      <c r="AL711" s="0" t="n">
        <v>1.93</v>
      </c>
    </row>
    <row r="712">
      <c r="A712" s="0" t="inlineStr">
        <is>
          <t>[마전동]</t>
        </is>
      </c>
      <c r="B712" s="0" t="n">
        <v>9281</v>
      </c>
      <c r="C712" s="0" t="n">
        <v>4</v>
      </c>
      <c r="D712" s="0" t="inlineStr">
        <is>
          <t>영남탑스빌</t>
        </is>
      </c>
      <c r="E712" s="0" t="inlineStr">
        <is>
          <t>2000.04.</t>
        </is>
      </c>
      <c r="F712" s="0" t="n">
        <v>1042</v>
      </c>
      <c r="G712" s="0" t="n">
        <v>65.34</v>
      </c>
      <c r="H712" s="0" t="n">
        <v>216.01</v>
      </c>
      <c r="I712" s="0" t="n">
        <v>54.36</v>
      </c>
      <c r="J712" s="0" t="n">
        <v>179.73</v>
      </c>
      <c r="K712" s="0" t="n">
        <v>134</v>
      </c>
      <c r="T712" s="0" t="n">
        <v>5</v>
      </c>
      <c r="U712" s="0" t="n">
        <v>2</v>
      </c>
      <c r="V712" s="0" t="inlineStr">
        <is>
          <t>계단식</t>
        </is>
      </c>
      <c r="W712" s="0" t="n">
        <v>216</v>
      </c>
      <c r="X712" s="0" t="n">
        <v>25</v>
      </c>
      <c r="Y712" s="0" t="n">
        <v>18</v>
      </c>
      <c r="Z712" s="0" t="inlineStr">
        <is>
          <t>https://new.land.naver.com/complexes/9281?tab=detail&amp;rf=Y</t>
        </is>
      </c>
      <c r="AA712" s="0" t="inlineStr">
        <is>
          <t>인천시 서구 마전동 999-5</t>
        </is>
      </c>
      <c r="AB712" s="0" t="inlineStr">
        <is>
          <t>인천시</t>
        </is>
      </c>
      <c r="AC712" s="0" t="inlineStr">
        <is>
          <t>서구</t>
        </is>
      </c>
      <c r="AD712" s="0" t="inlineStr">
        <is>
          <t>마전동</t>
        </is>
      </c>
      <c r="AG712" s="0" t="inlineStr">
        <is>
          <t>인천시 서구 완정로64번길 7</t>
        </is>
      </c>
      <c r="AH712" s="0" t="n">
        <v>0</v>
      </c>
      <c r="AI712" s="0" t="n">
        <v>247</v>
      </c>
      <c r="AJ712" s="0" t="n">
        <v>15</v>
      </c>
      <c r="AK712" s="0" t="n">
        <v>2007</v>
      </c>
      <c r="AL712" s="0" t="n">
        <v>1.93</v>
      </c>
    </row>
    <row r="713">
      <c r="A713" s="0" t="inlineStr">
        <is>
          <t>[마전동]</t>
        </is>
      </c>
      <c r="B713" s="0" t="n">
        <v>9281</v>
      </c>
      <c r="C713" s="0" t="n">
        <v>5</v>
      </c>
      <c r="D713" s="0" t="inlineStr">
        <is>
          <t>영남탑스빌</t>
        </is>
      </c>
      <c r="E713" s="0" t="inlineStr">
        <is>
          <t>2000.04.</t>
        </is>
      </c>
      <c r="F713" s="0" t="n">
        <v>1042</v>
      </c>
      <c r="G713" s="0" t="n">
        <v>72.27</v>
      </c>
      <c r="H713" s="0" t="n">
        <v>238.94</v>
      </c>
      <c r="I713" s="0" t="n">
        <v>60.55</v>
      </c>
      <c r="J713" s="0" t="n">
        <v>200.18</v>
      </c>
      <c r="K713" s="0" t="n">
        <v>86</v>
      </c>
      <c r="T713" s="0" t="n">
        <v>5</v>
      </c>
      <c r="U713" s="0" t="n">
        <v>2</v>
      </c>
      <c r="V713" s="0" t="inlineStr">
        <is>
          <t>계단식</t>
        </is>
      </c>
      <c r="W713" s="0" t="n">
        <v>238</v>
      </c>
      <c r="X713" s="0" t="n">
        <v>25</v>
      </c>
      <c r="Y713" s="0" t="n">
        <v>18</v>
      </c>
      <c r="Z713" s="0" t="inlineStr">
        <is>
          <t>https://new.land.naver.com/complexes/9281?tab=detail&amp;rf=Y</t>
        </is>
      </c>
      <c r="AA713" s="0" t="inlineStr">
        <is>
          <t>인천시 서구 마전동 999-5</t>
        </is>
      </c>
      <c r="AB713" s="0" t="inlineStr">
        <is>
          <t>인천시</t>
        </is>
      </c>
      <c r="AC713" s="0" t="inlineStr">
        <is>
          <t>서구</t>
        </is>
      </c>
      <c r="AD713" s="0" t="inlineStr">
        <is>
          <t>마전동</t>
        </is>
      </c>
      <c r="AG713" s="0" t="inlineStr">
        <is>
          <t>인천시 서구 완정로64번길 7</t>
        </is>
      </c>
      <c r="AH713" s="0" t="n">
        <v>0</v>
      </c>
      <c r="AI713" s="0" t="n">
        <v>247</v>
      </c>
      <c r="AJ713" s="0" t="n">
        <v>15</v>
      </c>
      <c r="AK713" s="0" t="n">
        <v>2007</v>
      </c>
      <c r="AL713" s="0" t="n">
        <v>1.93</v>
      </c>
    </row>
    <row r="714">
      <c r="A714" s="0" t="inlineStr">
        <is>
          <t>[마전동]</t>
        </is>
      </c>
      <c r="B714" s="0" t="n">
        <v>122764</v>
      </c>
      <c r="C714" s="0" t="n">
        <v>1</v>
      </c>
      <c r="D714" s="0" t="inlineStr">
        <is>
          <t>마전예뜰채(도시형)</t>
        </is>
      </c>
      <c r="E714" s="0" t="inlineStr">
        <is>
          <t>2018.07.</t>
        </is>
      </c>
      <c r="F714" s="0" t="n">
        <v>115</v>
      </c>
      <c r="G714" s="0" t="n">
        <v>7.69</v>
      </c>
      <c r="H714" s="0" t="n">
        <v>25.43</v>
      </c>
      <c r="I714" s="0" t="n">
        <v>5.28</v>
      </c>
      <c r="J714" s="0" t="n">
        <v>17.46</v>
      </c>
      <c r="K714" s="0" t="n">
        <v>40</v>
      </c>
      <c r="T714" s="0" t="n">
        <v>1</v>
      </c>
      <c r="U714" s="0" t="n">
        <v>1</v>
      </c>
      <c r="V714" s="0" t="inlineStr">
        <is>
          <t>계단식</t>
        </is>
      </c>
      <c r="W714" s="0" t="inlineStr">
        <is>
          <t>25A</t>
        </is>
      </c>
      <c r="X714" s="0" t="n">
        <v>7</v>
      </c>
      <c r="Y714" s="0" t="n">
        <v>7</v>
      </c>
      <c r="Z714" s="0" t="inlineStr">
        <is>
          <t>https://new.land.naver.com/complexes/122764?tab=detail&amp;rf=Y</t>
        </is>
      </c>
      <c r="AA714" s="0" t="inlineStr">
        <is>
          <t>인천시 서구 마전동 1002-2</t>
        </is>
      </c>
      <c r="AB714" s="0" t="inlineStr">
        <is>
          <t>인천시</t>
        </is>
      </c>
      <c r="AC714" s="0" t="inlineStr">
        <is>
          <t>서구</t>
        </is>
      </c>
      <c r="AD714" s="0" t="inlineStr">
        <is>
          <t>마전동</t>
        </is>
      </c>
      <c r="AG714" s="0" t="inlineStr">
        <is>
          <t>인천시 서구 완정로 30</t>
        </is>
      </c>
      <c r="AH714" s="0" t="n">
        <v>0</v>
      </c>
      <c r="AI714" s="0" t="n">
        <v>348</v>
      </c>
      <c r="AJ714" s="0" t="n">
        <v>60</v>
      </c>
      <c r="AK714" s="0" t="n">
        <v>60</v>
      </c>
      <c r="AL714" s="0" t="n">
        <v>0.52</v>
      </c>
    </row>
    <row r="715">
      <c r="A715" s="0" t="inlineStr">
        <is>
          <t>[마전동]</t>
        </is>
      </c>
      <c r="B715" s="0" t="n">
        <v>122764</v>
      </c>
      <c r="C715" s="0" t="n">
        <v>2</v>
      </c>
      <c r="D715" s="0" t="inlineStr">
        <is>
          <t>마전예뜰채(도시형)</t>
        </is>
      </c>
      <c r="E715" s="0" t="inlineStr">
        <is>
          <t>2018.07.</t>
        </is>
      </c>
      <c r="F715" s="0" t="n">
        <v>115</v>
      </c>
      <c r="G715" s="0" t="n">
        <v>7.8</v>
      </c>
      <c r="H715" s="0" t="n">
        <v>25.81</v>
      </c>
      <c r="I715" s="0" t="n">
        <v>5.36</v>
      </c>
      <c r="J715" s="0" t="n">
        <v>17.72</v>
      </c>
      <c r="K715" s="0" t="n">
        <v>10</v>
      </c>
      <c r="T715" s="0" t="n">
        <v>1</v>
      </c>
      <c r="U715" s="0" t="n">
        <v>1</v>
      </c>
      <c r="V715" s="0" t="inlineStr">
        <is>
          <t>계단식</t>
        </is>
      </c>
      <c r="W715" s="0" t="inlineStr">
        <is>
          <t>25B</t>
        </is>
      </c>
      <c r="X715" s="0" t="n">
        <v>7</v>
      </c>
      <c r="Y715" s="0" t="n">
        <v>7</v>
      </c>
      <c r="Z715" s="0" t="inlineStr">
        <is>
          <t>https://new.land.naver.com/complexes/122764?tab=detail&amp;rf=Y</t>
        </is>
      </c>
      <c r="AA715" s="0" t="inlineStr">
        <is>
          <t>인천시 서구 마전동 1002-2</t>
        </is>
      </c>
      <c r="AB715" s="0" t="inlineStr">
        <is>
          <t>인천시</t>
        </is>
      </c>
      <c r="AC715" s="0" t="inlineStr">
        <is>
          <t>서구</t>
        </is>
      </c>
      <c r="AD715" s="0" t="inlineStr">
        <is>
          <t>마전동</t>
        </is>
      </c>
      <c r="AG715" s="0" t="inlineStr">
        <is>
          <t>인천시 서구 완정로 30</t>
        </is>
      </c>
      <c r="AH715" s="0" t="n">
        <v>0</v>
      </c>
      <c r="AI715" s="0" t="n">
        <v>348</v>
      </c>
      <c r="AJ715" s="0" t="n">
        <v>60</v>
      </c>
      <c r="AK715" s="0" t="n">
        <v>60</v>
      </c>
      <c r="AL715" s="0" t="n">
        <v>0.52</v>
      </c>
    </row>
    <row r="716">
      <c r="A716" s="0" t="inlineStr">
        <is>
          <t>[마전동]</t>
        </is>
      </c>
      <c r="B716" s="0" t="n">
        <v>122764</v>
      </c>
      <c r="C716" s="0" t="n">
        <v>3</v>
      </c>
      <c r="D716" s="0" t="inlineStr">
        <is>
          <t>마전예뜰채(도시형)</t>
        </is>
      </c>
      <c r="E716" s="0" t="inlineStr">
        <is>
          <t>2018.07.</t>
        </is>
      </c>
      <c r="F716" s="0" t="n">
        <v>115</v>
      </c>
      <c r="G716" s="0" t="n">
        <v>8.23</v>
      </c>
      <c r="H716" s="0" t="n">
        <v>27.21</v>
      </c>
      <c r="I716" s="0" t="n">
        <v>5.65</v>
      </c>
      <c r="J716" s="0" t="n">
        <v>18.68</v>
      </c>
      <c r="K716" s="0" t="n">
        <v>40</v>
      </c>
      <c r="T716" s="0" t="n">
        <v>1</v>
      </c>
      <c r="U716" s="0" t="n">
        <v>1</v>
      </c>
      <c r="V716" s="0" t="inlineStr">
        <is>
          <t>계단식</t>
        </is>
      </c>
      <c r="W716" s="0" t="inlineStr">
        <is>
          <t>27C</t>
        </is>
      </c>
      <c r="X716" s="0" t="n">
        <v>7</v>
      </c>
      <c r="Y716" s="0" t="n">
        <v>7</v>
      </c>
      <c r="Z716" s="0" t="inlineStr">
        <is>
          <t>https://new.land.naver.com/complexes/122764?tab=detail&amp;rf=Y</t>
        </is>
      </c>
      <c r="AA716" s="0" t="inlineStr">
        <is>
          <t>인천시 서구 마전동 1002-2</t>
        </is>
      </c>
      <c r="AB716" s="0" t="inlineStr">
        <is>
          <t>인천시</t>
        </is>
      </c>
      <c r="AC716" s="0" t="inlineStr">
        <is>
          <t>서구</t>
        </is>
      </c>
      <c r="AD716" s="0" t="inlineStr">
        <is>
          <t>마전동</t>
        </is>
      </c>
      <c r="AG716" s="0" t="inlineStr">
        <is>
          <t>인천시 서구 완정로 30</t>
        </is>
      </c>
      <c r="AH716" s="0" t="n">
        <v>0</v>
      </c>
      <c r="AI716" s="0" t="n">
        <v>348</v>
      </c>
      <c r="AJ716" s="0" t="n">
        <v>60</v>
      </c>
      <c r="AK716" s="0" t="n">
        <v>60</v>
      </c>
      <c r="AL716" s="0" t="n">
        <v>0.52</v>
      </c>
    </row>
    <row r="717">
      <c r="A717" s="0" t="inlineStr">
        <is>
          <t>[마전동]</t>
        </is>
      </c>
      <c r="B717" s="0" t="n">
        <v>122764</v>
      </c>
      <c r="C717" s="0" t="n">
        <v>4</v>
      </c>
      <c r="D717" s="0" t="inlineStr">
        <is>
          <t>마전예뜰채(도시형)</t>
        </is>
      </c>
      <c r="E717" s="0" t="inlineStr">
        <is>
          <t>2018.07.</t>
        </is>
      </c>
      <c r="F717" s="0" t="n">
        <v>115</v>
      </c>
      <c r="G717" s="0" t="n">
        <v>8.34</v>
      </c>
      <c r="H717" s="0" t="n">
        <v>27.6</v>
      </c>
      <c r="I717" s="0" t="n">
        <v>5.73</v>
      </c>
      <c r="J717" s="0" t="n">
        <v>18.96</v>
      </c>
      <c r="K717" s="0" t="n">
        <v>10</v>
      </c>
      <c r="T717" s="0" t="n">
        <v>1</v>
      </c>
      <c r="U717" s="0" t="n">
        <v>1</v>
      </c>
      <c r="V717" s="0" t="inlineStr">
        <is>
          <t>계단식</t>
        </is>
      </c>
      <c r="W717" s="0" t="inlineStr">
        <is>
          <t>27D</t>
        </is>
      </c>
      <c r="X717" s="0" t="n">
        <v>7</v>
      </c>
      <c r="Y717" s="0" t="n">
        <v>7</v>
      </c>
      <c r="Z717" s="0" t="inlineStr">
        <is>
          <t>https://new.land.naver.com/complexes/122764?tab=detail&amp;rf=Y</t>
        </is>
      </c>
      <c r="AA717" s="0" t="inlineStr">
        <is>
          <t>인천시 서구 마전동 1002-2</t>
        </is>
      </c>
      <c r="AB717" s="0" t="inlineStr">
        <is>
          <t>인천시</t>
        </is>
      </c>
      <c r="AC717" s="0" t="inlineStr">
        <is>
          <t>서구</t>
        </is>
      </c>
      <c r="AD717" s="0" t="inlineStr">
        <is>
          <t>마전동</t>
        </is>
      </c>
      <c r="AG717" s="0" t="inlineStr">
        <is>
          <t>인천시 서구 완정로 30</t>
        </is>
      </c>
      <c r="AH717" s="0" t="n">
        <v>0</v>
      </c>
      <c r="AI717" s="0" t="n">
        <v>348</v>
      </c>
      <c r="AJ717" s="0" t="n">
        <v>60</v>
      </c>
      <c r="AK717" s="0" t="n">
        <v>60</v>
      </c>
      <c r="AL717" s="0" t="n">
        <v>0.52</v>
      </c>
    </row>
    <row r="718">
      <c r="A718" s="0" t="inlineStr">
        <is>
          <t>[마전동]</t>
        </is>
      </c>
      <c r="B718" s="0" t="n">
        <v>122764</v>
      </c>
      <c r="C718" s="0" t="n">
        <v>5</v>
      </c>
      <c r="D718" s="0" t="inlineStr">
        <is>
          <t>마전예뜰채(도시형)</t>
        </is>
      </c>
      <c r="E718" s="0" t="inlineStr">
        <is>
          <t>2018.07.</t>
        </is>
      </c>
      <c r="F718" s="0" t="n">
        <v>115</v>
      </c>
      <c r="G718" s="0" t="n">
        <v>10.37</v>
      </c>
      <c r="H718" s="0" t="n">
        <v>34.31</v>
      </c>
      <c r="I718" s="0" t="n">
        <v>7.12</v>
      </c>
      <c r="J718" s="0" t="n">
        <v>23.56</v>
      </c>
      <c r="K718" s="0" t="n">
        <v>5</v>
      </c>
      <c r="T718" s="0" t="n">
        <v>1</v>
      </c>
      <c r="U718" s="0" t="n">
        <v>1</v>
      </c>
      <c r="V718" s="0" t="inlineStr">
        <is>
          <t>계단식</t>
        </is>
      </c>
      <c r="W718" s="0" t="inlineStr">
        <is>
          <t>34A</t>
        </is>
      </c>
      <c r="X718" s="0" t="n">
        <v>7</v>
      </c>
      <c r="Y718" s="0" t="n">
        <v>7</v>
      </c>
      <c r="Z718" s="0" t="inlineStr">
        <is>
          <t>https://new.land.naver.com/complexes/122764?tab=detail&amp;rf=Y</t>
        </is>
      </c>
      <c r="AA718" s="0" t="inlineStr">
        <is>
          <t>인천시 서구 마전동 1002-2</t>
        </is>
      </c>
      <c r="AB718" s="0" t="inlineStr">
        <is>
          <t>인천시</t>
        </is>
      </c>
      <c r="AC718" s="0" t="inlineStr">
        <is>
          <t>서구</t>
        </is>
      </c>
      <c r="AD718" s="0" t="inlineStr">
        <is>
          <t>마전동</t>
        </is>
      </c>
      <c r="AG718" s="0" t="inlineStr">
        <is>
          <t>인천시 서구 완정로 30</t>
        </is>
      </c>
      <c r="AH718" s="0" t="n">
        <v>0</v>
      </c>
      <c r="AI718" s="0" t="n">
        <v>348</v>
      </c>
      <c r="AJ718" s="0" t="n">
        <v>60</v>
      </c>
      <c r="AK718" s="0" t="n">
        <v>60</v>
      </c>
      <c r="AL718" s="0" t="n">
        <v>0.52</v>
      </c>
    </row>
    <row r="719">
      <c r="A719" s="0" t="inlineStr">
        <is>
          <t>[마전동]</t>
        </is>
      </c>
      <c r="B719" s="0" t="n">
        <v>122764</v>
      </c>
      <c r="C719" s="0" t="n">
        <v>6</v>
      </c>
      <c r="D719" s="0" t="inlineStr">
        <is>
          <t>마전예뜰채(도시형)</t>
        </is>
      </c>
      <c r="E719" s="0" t="inlineStr">
        <is>
          <t>2018.07.</t>
        </is>
      </c>
      <c r="F719" s="0" t="n">
        <v>115</v>
      </c>
      <c r="G719" s="0" t="n">
        <v>10.39</v>
      </c>
      <c r="H719" s="0" t="n">
        <v>34.38</v>
      </c>
      <c r="I719" s="0" t="n">
        <v>7.14</v>
      </c>
      <c r="J719" s="0" t="n">
        <v>23.61</v>
      </c>
      <c r="K719" s="0" t="n">
        <v>5</v>
      </c>
      <c r="T719" s="0" t="n">
        <v>1</v>
      </c>
      <c r="U719" s="0" t="n">
        <v>1</v>
      </c>
      <c r="V719" s="0" t="inlineStr">
        <is>
          <t>계단식</t>
        </is>
      </c>
      <c r="W719" s="0" t="inlineStr">
        <is>
          <t>34B</t>
        </is>
      </c>
      <c r="X719" s="0" t="n">
        <v>7</v>
      </c>
      <c r="Y719" s="0" t="n">
        <v>7</v>
      </c>
      <c r="Z719" s="0" t="inlineStr">
        <is>
          <t>https://new.land.naver.com/complexes/122764?tab=detail&amp;rf=Y</t>
        </is>
      </c>
      <c r="AA719" s="0" t="inlineStr">
        <is>
          <t>인천시 서구 마전동 1002-2</t>
        </is>
      </c>
      <c r="AB719" s="0" t="inlineStr">
        <is>
          <t>인천시</t>
        </is>
      </c>
      <c r="AC719" s="0" t="inlineStr">
        <is>
          <t>서구</t>
        </is>
      </c>
      <c r="AD719" s="0" t="inlineStr">
        <is>
          <t>마전동</t>
        </is>
      </c>
      <c r="AG719" s="0" t="inlineStr">
        <is>
          <t>인천시 서구 완정로 30</t>
        </is>
      </c>
      <c r="AH719" s="0" t="n">
        <v>0</v>
      </c>
      <c r="AI719" s="0" t="n">
        <v>348</v>
      </c>
      <c r="AJ719" s="0" t="n">
        <v>60</v>
      </c>
      <c r="AK719" s="0" t="n">
        <v>60</v>
      </c>
      <c r="AL719" s="0" t="n">
        <v>0.52</v>
      </c>
    </row>
    <row r="720">
      <c r="A720" s="0" t="inlineStr">
        <is>
          <t>[마전동]</t>
        </is>
      </c>
      <c r="B720" s="0" t="n">
        <v>122764</v>
      </c>
      <c r="C720" s="0" t="n">
        <v>7</v>
      </c>
      <c r="D720" s="0" t="inlineStr">
        <is>
          <t>마전예뜰채(도시형)</t>
        </is>
      </c>
      <c r="E720" s="0" t="inlineStr">
        <is>
          <t>2018.07.</t>
        </is>
      </c>
      <c r="F720" s="0" t="n">
        <v>115</v>
      </c>
      <c r="G720" s="0" t="n">
        <v>14.91</v>
      </c>
      <c r="H720" s="0" t="n">
        <v>49.29</v>
      </c>
      <c r="I720" s="0" t="n">
        <v>10.23</v>
      </c>
      <c r="J720" s="0" t="n">
        <v>33.85</v>
      </c>
      <c r="K720" s="0" t="n">
        <v>5</v>
      </c>
      <c r="T720" s="0" t="n">
        <v>1</v>
      </c>
      <c r="U720" s="0" t="n">
        <v>1</v>
      </c>
      <c r="V720" s="0" t="inlineStr">
        <is>
          <t>계단식</t>
        </is>
      </c>
      <c r="W720" s="0" t="n">
        <v>49</v>
      </c>
      <c r="X720" s="0" t="n">
        <v>7</v>
      </c>
      <c r="Y720" s="0" t="n">
        <v>7</v>
      </c>
      <c r="Z720" s="0" t="inlineStr">
        <is>
          <t>https://new.land.naver.com/complexes/122764?tab=detail&amp;rf=Y</t>
        </is>
      </c>
      <c r="AA720" s="0" t="inlineStr">
        <is>
          <t>인천시 서구 마전동 1002-2</t>
        </is>
      </c>
      <c r="AB720" s="0" t="inlineStr">
        <is>
          <t>인천시</t>
        </is>
      </c>
      <c r="AC720" s="0" t="inlineStr">
        <is>
          <t>서구</t>
        </is>
      </c>
      <c r="AD720" s="0" t="inlineStr">
        <is>
          <t>마전동</t>
        </is>
      </c>
      <c r="AG720" s="0" t="inlineStr">
        <is>
          <t>인천시 서구 완정로 30</t>
        </is>
      </c>
      <c r="AH720" s="0" t="n">
        <v>0</v>
      </c>
      <c r="AI720" s="0" t="n">
        <v>348</v>
      </c>
      <c r="AJ720" s="0" t="n">
        <v>60</v>
      </c>
      <c r="AK720" s="0" t="n">
        <v>60</v>
      </c>
      <c r="AL720" s="0" t="n">
        <v>0.52</v>
      </c>
    </row>
    <row r="721">
      <c r="A721" s="0" t="inlineStr">
        <is>
          <t>[마전동]</t>
        </is>
      </c>
      <c r="B721" s="0" t="n">
        <v>8115</v>
      </c>
      <c r="C721" s="0" t="n">
        <v>1</v>
      </c>
      <c r="D721" s="0" t="inlineStr">
        <is>
          <t>영진</t>
        </is>
      </c>
      <c r="E721" s="0" t="inlineStr">
        <is>
          <t>1999.07.</t>
        </is>
      </c>
      <c r="F721" s="0" t="n">
        <v>299</v>
      </c>
      <c r="G721" s="0" t="n">
        <v>24.42</v>
      </c>
      <c r="H721" s="0" t="n">
        <v>80.73999999999999</v>
      </c>
      <c r="I721" s="0" t="n">
        <v>18.14</v>
      </c>
      <c r="J721" s="0" t="n">
        <v>59.97</v>
      </c>
      <c r="K721" s="0" t="n">
        <v>113</v>
      </c>
      <c r="T721" s="0" t="n">
        <v>3</v>
      </c>
      <c r="U721" s="0" t="n">
        <v>1</v>
      </c>
      <c r="V721" s="0" t="inlineStr">
        <is>
          <t>계단식</t>
        </is>
      </c>
      <c r="W721" s="0" t="n">
        <v>80</v>
      </c>
      <c r="X721" s="0" t="n">
        <v>19</v>
      </c>
      <c r="Y721" s="0" t="n">
        <v>12</v>
      </c>
      <c r="Z721" s="0" t="inlineStr">
        <is>
          <t>https://new.land.naver.com/complexes/8115?tab=detail&amp;rf=Y</t>
        </is>
      </c>
      <c r="AA721" s="0" t="inlineStr">
        <is>
          <t>인천시 서구 마전동 927-5</t>
        </is>
      </c>
      <c r="AB721" s="0" t="inlineStr">
        <is>
          <t>인천시</t>
        </is>
      </c>
      <c r="AC721" s="0" t="inlineStr">
        <is>
          <t>서구</t>
        </is>
      </c>
      <c r="AD721" s="0" t="inlineStr">
        <is>
          <t>마전동</t>
        </is>
      </c>
      <c r="AG721" s="0" t="inlineStr">
        <is>
          <t>인천시 서구 가현로 168</t>
        </is>
      </c>
      <c r="AH721" s="0" t="n">
        <v>0</v>
      </c>
      <c r="AI721" s="0" t="n">
        <v>284</v>
      </c>
      <c r="AJ721" s="0" t="n">
        <v>22</v>
      </c>
      <c r="AK721" s="0" t="n">
        <v>319</v>
      </c>
      <c r="AL721" s="0" t="n">
        <v>1.07</v>
      </c>
    </row>
    <row r="722">
      <c r="A722" s="0" t="inlineStr">
        <is>
          <t>[마전동]</t>
        </is>
      </c>
      <c r="B722" s="0" t="n">
        <v>8115</v>
      </c>
      <c r="C722" s="0" t="n">
        <v>2</v>
      </c>
      <c r="D722" s="0" t="inlineStr">
        <is>
          <t>영진</t>
        </is>
      </c>
      <c r="E722" s="0" t="inlineStr">
        <is>
          <t>1999.07.</t>
        </is>
      </c>
      <c r="F722" s="0" t="n">
        <v>299</v>
      </c>
      <c r="G722" s="0" t="n">
        <v>32.51</v>
      </c>
      <c r="H722" s="0" t="n">
        <v>107.5</v>
      </c>
      <c r="I722" s="0" t="n">
        <v>25.67</v>
      </c>
      <c r="J722" s="0" t="n">
        <v>84.87</v>
      </c>
      <c r="K722" s="0" t="n">
        <v>96</v>
      </c>
      <c r="T722" s="0" t="n">
        <v>3</v>
      </c>
      <c r="U722" s="0" t="n">
        <v>2</v>
      </c>
      <c r="V722" s="0" t="inlineStr">
        <is>
          <t>계단식</t>
        </is>
      </c>
      <c r="W722" s="0" t="n">
        <v>107</v>
      </c>
      <c r="X722" s="0" t="n">
        <v>19</v>
      </c>
      <c r="Y722" s="0" t="n">
        <v>12</v>
      </c>
      <c r="Z722" s="0" t="inlineStr">
        <is>
          <t>https://new.land.naver.com/complexes/8115?tab=detail&amp;rf=Y</t>
        </is>
      </c>
      <c r="AA722" s="0" t="inlineStr">
        <is>
          <t>인천시 서구 마전동 927-5</t>
        </is>
      </c>
      <c r="AB722" s="0" t="inlineStr">
        <is>
          <t>인천시</t>
        </is>
      </c>
      <c r="AC722" s="0" t="inlineStr">
        <is>
          <t>서구</t>
        </is>
      </c>
      <c r="AD722" s="0" t="inlineStr">
        <is>
          <t>마전동</t>
        </is>
      </c>
      <c r="AG722" s="0" t="inlineStr">
        <is>
          <t>인천시 서구 가현로 168</t>
        </is>
      </c>
      <c r="AH722" s="0" t="n">
        <v>0</v>
      </c>
      <c r="AI722" s="0" t="n">
        <v>284</v>
      </c>
      <c r="AJ722" s="0" t="n">
        <v>22</v>
      </c>
      <c r="AK722" s="0" t="n">
        <v>319</v>
      </c>
      <c r="AL722" s="0" t="n">
        <v>1.07</v>
      </c>
    </row>
    <row r="723">
      <c r="A723" s="0" t="inlineStr">
        <is>
          <t>[마전동]</t>
        </is>
      </c>
      <c r="B723" s="0" t="n">
        <v>8115</v>
      </c>
      <c r="C723" s="0" t="n">
        <v>3</v>
      </c>
      <c r="D723" s="0" t="inlineStr">
        <is>
          <t>영진</t>
        </is>
      </c>
      <c r="E723" s="0" t="inlineStr">
        <is>
          <t>1999.07.</t>
        </is>
      </c>
      <c r="F723" s="0" t="n">
        <v>299</v>
      </c>
      <c r="G723" s="0" t="n">
        <v>33.79</v>
      </c>
      <c r="H723" s="0" t="n">
        <v>111.73</v>
      </c>
      <c r="I723" s="0" t="n">
        <v>25.68</v>
      </c>
      <c r="J723" s="0" t="n">
        <v>84.91</v>
      </c>
      <c r="K723" s="0" t="n">
        <v>18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111</v>
      </c>
      <c r="X723" s="0" t="n">
        <v>19</v>
      </c>
      <c r="Y723" s="0" t="n">
        <v>12</v>
      </c>
      <c r="Z723" s="0" t="inlineStr">
        <is>
          <t>https://new.land.naver.com/complexes/8115?tab=detail&amp;rf=Y</t>
        </is>
      </c>
      <c r="AA723" s="0" t="inlineStr">
        <is>
          <t>인천시 서구 마전동 927-5</t>
        </is>
      </c>
      <c r="AB723" s="0" t="inlineStr">
        <is>
          <t>인천시</t>
        </is>
      </c>
      <c r="AC723" s="0" t="inlineStr">
        <is>
          <t>서구</t>
        </is>
      </c>
      <c r="AD723" s="0" t="inlineStr">
        <is>
          <t>마전동</t>
        </is>
      </c>
      <c r="AG723" s="0" t="inlineStr">
        <is>
          <t>인천시 서구 가현로 168</t>
        </is>
      </c>
      <c r="AH723" s="0" t="n">
        <v>0</v>
      </c>
      <c r="AI723" s="0" t="n">
        <v>284</v>
      </c>
      <c r="AJ723" s="0" t="n">
        <v>22</v>
      </c>
      <c r="AK723" s="0" t="n">
        <v>319</v>
      </c>
      <c r="AL723" s="0" t="n">
        <v>1.07</v>
      </c>
    </row>
    <row r="724">
      <c r="A724" s="0" t="inlineStr">
        <is>
          <t>[마전동]</t>
        </is>
      </c>
      <c r="B724" s="0" t="n">
        <v>8115</v>
      </c>
      <c r="C724" s="0" t="n">
        <v>4</v>
      </c>
      <c r="D724" s="0" t="inlineStr">
        <is>
          <t>영진</t>
        </is>
      </c>
      <c r="E724" s="0" t="inlineStr">
        <is>
          <t>1999.07.</t>
        </is>
      </c>
      <c r="F724" s="0" t="n">
        <v>299</v>
      </c>
      <c r="G724" s="0" t="n">
        <v>39.05</v>
      </c>
      <c r="H724" s="0" t="n">
        <v>129.1</v>
      </c>
      <c r="I724" s="0" t="n">
        <v>33.26</v>
      </c>
      <c r="J724" s="0" t="n">
        <v>109.97</v>
      </c>
      <c r="K724" s="0" t="n">
        <v>19</v>
      </c>
      <c r="T724" s="0" t="n">
        <v>4</v>
      </c>
      <c r="U724" s="0" t="n">
        <v>2</v>
      </c>
      <c r="V724" s="0" t="inlineStr">
        <is>
          <t>계단식</t>
        </is>
      </c>
      <c r="W724" s="0" t="n">
        <v>129</v>
      </c>
      <c r="X724" s="0" t="n">
        <v>19</v>
      </c>
      <c r="Y724" s="0" t="n">
        <v>12</v>
      </c>
      <c r="Z724" s="0" t="inlineStr">
        <is>
          <t>https://new.land.naver.com/complexes/8115?tab=detail&amp;rf=Y</t>
        </is>
      </c>
      <c r="AA724" s="0" t="inlineStr">
        <is>
          <t>인천시 서구 마전동 927-5</t>
        </is>
      </c>
      <c r="AB724" s="0" t="inlineStr">
        <is>
          <t>인천시</t>
        </is>
      </c>
      <c r="AC724" s="0" t="inlineStr">
        <is>
          <t>서구</t>
        </is>
      </c>
      <c r="AD724" s="0" t="inlineStr">
        <is>
          <t>마전동</t>
        </is>
      </c>
      <c r="AG724" s="0" t="inlineStr">
        <is>
          <t>인천시 서구 가현로 168</t>
        </is>
      </c>
      <c r="AH724" s="0" t="n">
        <v>0</v>
      </c>
      <c r="AI724" s="0" t="n">
        <v>284</v>
      </c>
      <c r="AJ724" s="0" t="n">
        <v>22</v>
      </c>
      <c r="AK724" s="0" t="n">
        <v>319</v>
      </c>
      <c r="AL724" s="0" t="n">
        <v>1.07</v>
      </c>
    </row>
    <row r="725">
      <c r="A725" s="0" t="inlineStr">
        <is>
          <t>[마전동]</t>
        </is>
      </c>
      <c r="B725" s="0" t="n">
        <v>8115</v>
      </c>
      <c r="C725" s="0" t="n">
        <v>5</v>
      </c>
      <c r="D725" s="0" t="inlineStr">
        <is>
          <t>영진</t>
        </is>
      </c>
      <c r="E725" s="0" t="inlineStr">
        <is>
          <t>1999.07.</t>
        </is>
      </c>
      <c r="F725" s="0" t="n">
        <v>299</v>
      </c>
      <c r="G725" s="0" t="n">
        <v>43.58</v>
      </c>
      <c r="H725" s="0" t="n">
        <v>144.07</v>
      </c>
      <c r="I725" s="0" t="n">
        <v>34.43</v>
      </c>
      <c r="J725" s="0" t="n">
        <v>113.82</v>
      </c>
      <c r="K725" s="0" t="n">
        <v>53</v>
      </c>
      <c r="T725" s="0" t="n">
        <v>4</v>
      </c>
      <c r="U725" s="0" t="n">
        <v>2</v>
      </c>
      <c r="V725" s="0" t="inlineStr">
        <is>
          <t>계단식</t>
        </is>
      </c>
      <c r="W725" s="0" t="n">
        <v>144</v>
      </c>
      <c r="X725" s="0" t="n">
        <v>19</v>
      </c>
      <c r="Y725" s="0" t="n">
        <v>12</v>
      </c>
      <c r="Z725" s="0" t="inlineStr">
        <is>
          <t>https://new.land.naver.com/complexes/8115?tab=detail&amp;rf=Y</t>
        </is>
      </c>
      <c r="AA725" s="0" t="inlineStr">
        <is>
          <t>인천시 서구 마전동 927-5</t>
        </is>
      </c>
      <c r="AB725" s="0" t="inlineStr">
        <is>
          <t>인천시</t>
        </is>
      </c>
      <c r="AC725" s="0" t="inlineStr">
        <is>
          <t>서구</t>
        </is>
      </c>
      <c r="AD725" s="0" t="inlineStr">
        <is>
          <t>마전동</t>
        </is>
      </c>
      <c r="AG725" s="0" t="inlineStr">
        <is>
          <t>인천시 서구 가현로 168</t>
        </is>
      </c>
      <c r="AH725" s="0" t="n">
        <v>0</v>
      </c>
      <c r="AI725" s="0" t="n">
        <v>284</v>
      </c>
      <c r="AJ725" s="0" t="n">
        <v>22</v>
      </c>
      <c r="AK725" s="0" t="n">
        <v>319</v>
      </c>
      <c r="AL725" s="0" t="n">
        <v>1.07</v>
      </c>
    </row>
    <row r="726">
      <c r="A726" s="0" t="inlineStr">
        <is>
          <t>[마전동]</t>
        </is>
      </c>
      <c r="B726" s="0" t="n">
        <v>27369</v>
      </c>
      <c r="C726" s="0" t="n">
        <v>1</v>
      </c>
      <c r="D726" s="0" t="inlineStr">
        <is>
          <t>검단2차아이파크</t>
        </is>
      </c>
      <c r="E726" s="0" t="inlineStr">
        <is>
          <t>2010.05.</t>
        </is>
      </c>
      <c r="F726" s="0" t="n">
        <v>409</v>
      </c>
      <c r="G726" s="0" t="n">
        <v>42.9</v>
      </c>
      <c r="H726" s="0" t="n">
        <v>141.83</v>
      </c>
      <c r="I726" s="0" t="n">
        <v>34.55</v>
      </c>
      <c r="J726" s="0" t="n">
        <v>114.24</v>
      </c>
      <c r="K726" s="0" t="n">
        <v>40</v>
      </c>
      <c r="T726" s="0" t="n">
        <v>4</v>
      </c>
      <c r="U726" s="0" t="n">
        <v>2</v>
      </c>
      <c r="V726" s="0" t="inlineStr">
        <is>
          <t>계단식</t>
        </is>
      </c>
      <c r="W726" s="0" t="inlineStr">
        <is>
          <t>141A</t>
        </is>
      </c>
      <c r="X726" s="0" t="n">
        <v>15</v>
      </c>
      <c r="Y726" s="0" t="n">
        <v>10</v>
      </c>
      <c r="Z726" s="0" t="inlineStr">
        <is>
          <t>https://new.land.naver.com/complexes/27369?tab=detail&amp;rf=Y</t>
        </is>
      </c>
      <c r="AA726" s="0" t="inlineStr">
        <is>
          <t>인천시 서구 마전동 999-1</t>
        </is>
      </c>
      <c r="AB726" s="0" t="inlineStr">
        <is>
          <t>인천시</t>
        </is>
      </c>
      <c r="AC726" s="0" t="inlineStr">
        <is>
          <t>서구</t>
        </is>
      </c>
      <c r="AD726" s="0" t="inlineStr">
        <is>
          <t>마전동</t>
        </is>
      </c>
      <c r="AG726" s="0" t="inlineStr">
        <is>
          <t>인천시 서구 검단로540번길 59</t>
        </is>
      </c>
      <c r="AH726" s="0" t="n">
        <v>0</v>
      </c>
      <c r="AI726" s="0" t="n">
        <v>0</v>
      </c>
      <c r="AJ726" s="0" t="n">
        <v>0</v>
      </c>
      <c r="AK726" s="0" t="n">
        <v>847</v>
      </c>
      <c r="AL726" s="0" t="n">
        <v>2.07</v>
      </c>
    </row>
    <row r="727">
      <c r="A727" s="0" t="inlineStr">
        <is>
          <t>[마전동]</t>
        </is>
      </c>
      <c r="B727" s="0" t="n">
        <v>27369</v>
      </c>
      <c r="C727" s="0" t="n">
        <v>2</v>
      </c>
      <c r="D727" s="0" t="inlineStr">
        <is>
          <t>검단2차아이파크</t>
        </is>
      </c>
      <c r="E727" s="0" t="inlineStr">
        <is>
          <t>2010.05.</t>
        </is>
      </c>
      <c r="F727" s="0" t="n">
        <v>409</v>
      </c>
      <c r="G727" s="0" t="n">
        <v>48.79</v>
      </c>
      <c r="H727" s="0" t="n">
        <v>161.31</v>
      </c>
      <c r="I727" s="0" t="n">
        <v>39.88</v>
      </c>
      <c r="J727" s="0" t="n">
        <v>131.86</v>
      </c>
      <c r="K727" s="0" t="n">
        <v>163</v>
      </c>
      <c r="T727" s="0" t="n">
        <v>4</v>
      </c>
      <c r="U727" s="0" t="n">
        <v>2</v>
      </c>
      <c r="V727" s="0" t="inlineStr">
        <is>
          <t>계단식</t>
        </is>
      </c>
      <c r="W727" s="0" t="inlineStr">
        <is>
          <t>161A</t>
        </is>
      </c>
      <c r="X727" s="0" t="n">
        <v>15</v>
      </c>
      <c r="Y727" s="0" t="n">
        <v>10</v>
      </c>
      <c r="Z727" s="0" t="inlineStr">
        <is>
          <t>https://new.land.naver.com/complexes/27369?tab=detail&amp;rf=Y</t>
        </is>
      </c>
      <c r="AA727" s="0" t="inlineStr">
        <is>
          <t>인천시 서구 마전동 999-1</t>
        </is>
      </c>
      <c r="AB727" s="0" t="inlineStr">
        <is>
          <t>인천시</t>
        </is>
      </c>
      <c r="AC727" s="0" t="inlineStr">
        <is>
          <t>서구</t>
        </is>
      </c>
      <c r="AD727" s="0" t="inlineStr">
        <is>
          <t>마전동</t>
        </is>
      </c>
      <c r="AG727" s="0" t="inlineStr">
        <is>
          <t>인천시 서구 검단로540번길 59</t>
        </is>
      </c>
      <c r="AH727" s="0" t="n">
        <v>0</v>
      </c>
      <c r="AI727" s="0" t="n">
        <v>0</v>
      </c>
      <c r="AJ727" s="0" t="n">
        <v>0</v>
      </c>
      <c r="AK727" s="0" t="n">
        <v>847</v>
      </c>
      <c r="AL727" s="0" t="n">
        <v>2.07</v>
      </c>
    </row>
    <row r="728">
      <c r="A728" s="0" t="inlineStr">
        <is>
          <t>[마전동]</t>
        </is>
      </c>
      <c r="B728" s="0" t="n">
        <v>27369</v>
      </c>
      <c r="C728" s="0" t="n">
        <v>3</v>
      </c>
      <c r="D728" s="0" t="inlineStr">
        <is>
          <t>검단2차아이파크</t>
        </is>
      </c>
      <c r="E728" s="0" t="inlineStr">
        <is>
          <t>2010.05.</t>
        </is>
      </c>
      <c r="F728" s="0" t="n">
        <v>409</v>
      </c>
      <c r="G728" s="0" t="n">
        <v>48.79</v>
      </c>
      <c r="H728" s="0" t="n">
        <v>161.31</v>
      </c>
      <c r="I728" s="0" t="n">
        <v>39.88</v>
      </c>
      <c r="J728" s="0" t="n">
        <v>131.86</v>
      </c>
      <c r="K728" s="0" t="n">
        <v>45</v>
      </c>
      <c r="T728" s="0" t="n">
        <v>4</v>
      </c>
      <c r="U728" s="0" t="n">
        <v>2</v>
      </c>
      <c r="V728" s="0" t="inlineStr">
        <is>
          <t>계단식</t>
        </is>
      </c>
      <c r="W728" s="0" t="inlineStr">
        <is>
          <t>161D</t>
        </is>
      </c>
      <c r="X728" s="0" t="n">
        <v>15</v>
      </c>
      <c r="Y728" s="0" t="n">
        <v>10</v>
      </c>
      <c r="Z728" s="0" t="inlineStr">
        <is>
          <t>https://new.land.naver.com/complexes/27369?tab=detail&amp;rf=Y</t>
        </is>
      </c>
      <c r="AA728" s="0" t="inlineStr">
        <is>
          <t>인천시 서구 마전동 999-1</t>
        </is>
      </c>
      <c r="AB728" s="0" t="inlineStr">
        <is>
          <t>인천시</t>
        </is>
      </c>
      <c r="AC728" s="0" t="inlineStr">
        <is>
          <t>서구</t>
        </is>
      </c>
      <c r="AD728" s="0" t="inlineStr">
        <is>
          <t>마전동</t>
        </is>
      </c>
      <c r="AG728" s="0" t="inlineStr">
        <is>
          <t>인천시 서구 검단로540번길 59</t>
        </is>
      </c>
      <c r="AH728" s="0" t="n">
        <v>0</v>
      </c>
      <c r="AI728" s="0" t="n">
        <v>0</v>
      </c>
      <c r="AJ728" s="0" t="n">
        <v>0</v>
      </c>
      <c r="AK728" s="0" t="n">
        <v>847</v>
      </c>
      <c r="AL728" s="0" t="n">
        <v>2.07</v>
      </c>
    </row>
    <row r="729">
      <c r="A729" s="0" t="inlineStr">
        <is>
          <t>[마전동]</t>
        </is>
      </c>
      <c r="B729" s="0" t="n">
        <v>27369</v>
      </c>
      <c r="C729" s="0" t="n">
        <v>4</v>
      </c>
      <c r="D729" s="0" t="inlineStr">
        <is>
          <t>검단2차아이파크</t>
        </is>
      </c>
      <c r="E729" s="0" t="inlineStr">
        <is>
          <t>2010.05.</t>
        </is>
      </c>
      <c r="F729" s="0" t="n">
        <v>409</v>
      </c>
      <c r="G729" s="0" t="n">
        <v>48.8</v>
      </c>
      <c r="H729" s="0" t="n">
        <v>161.35</v>
      </c>
      <c r="I729" s="0" t="n">
        <v>40.04</v>
      </c>
      <c r="J729" s="0" t="n">
        <v>132.37</v>
      </c>
      <c r="K729" s="0" t="n">
        <v>30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161E</t>
        </is>
      </c>
      <c r="X729" s="0" t="n">
        <v>15</v>
      </c>
      <c r="Y729" s="0" t="n">
        <v>10</v>
      </c>
      <c r="Z729" s="0" t="inlineStr">
        <is>
          <t>https://new.land.naver.com/complexes/27369?tab=detail&amp;rf=Y</t>
        </is>
      </c>
      <c r="AA729" s="0" t="inlineStr">
        <is>
          <t>인천시 서구 마전동 999-1</t>
        </is>
      </c>
      <c r="AB729" s="0" t="inlineStr">
        <is>
          <t>인천시</t>
        </is>
      </c>
      <c r="AC729" s="0" t="inlineStr">
        <is>
          <t>서구</t>
        </is>
      </c>
      <c r="AD729" s="0" t="inlineStr">
        <is>
          <t>마전동</t>
        </is>
      </c>
      <c r="AG729" s="0" t="inlineStr">
        <is>
          <t>인천시 서구 검단로540번길 59</t>
        </is>
      </c>
      <c r="AH729" s="0" t="n">
        <v>0</v>
      </c>
      <c r="AI729" s="0" t="n">
        <v>0</v>
      </c>
      <c r="AJ729" s="0" t="n">
        <v>0</v>
      </c>
      <c r="AK729" s="0" t="n">
        <v>847</v>
      </c>
      <c r="AL729" s="0" t="n">
        <v>2.07</v>
      </c>
    </row>
    <row r="730">
      <c r="A730" s="0" t="inlineStr">
        <is>
          <t>[마전동]</t>
        </is>
      </c>
      <c r="B730" s="0" t="n">
        <v>27369</v>
      </c>
      <c r="C730" s="0" t="n">
        <v>5</v>
      </c>
      <c r="D730" s="0" t="inlineStr">
        <is>
          <t>검단2차아이파크</t>
        </is>
      </c>
      <c r="E730" s="0" t="inlineStr">
        <is>
          <t>2010.05.</t>
        </is>
      </c>
      <c r="F730" s="0" t="n">
        <v>409</v>
      </c>
      <c r="G730" s="0" t="n">
        <v>48.77</v>
      </c>
      <c r="H730" s="0" t="n">
        <v>161.25</v>
      </c>
      <c r="I730" s="0" t="n">
        <v>39.7</v>
      </c>
      <c r="J730" s="0" t="n">
        <v>131.25</v>
      </c>
      <c r="K730" s="0" t="n">
        <v>14</v>
      </c>
      <c r="T730" s="0" t="n">
        <v>4</v>
      </c>
      <c r="U730" s="0" t="n">
        <v>2</v>
      </c>
      <c r="V730" s="0" t="inlineStr">
        <is>
          <t>계단식</t>
        </is>
      </c>
      <c r="W730" s="0" t="inlineStr">
        <is>
          <t>161B</t>
        </is>
      </c>
      <c r="X730" s="0" t="n">
        <v>15</v>
      </c>
      <c r="Y730" s="0" t="n">
        <v>10</v>
      </c>
      <c r="Z730" s="0" t="inlineStr">
        <is>
          <t>https://new.land.naver.com/complexes/27369?tab=detail&amp;rf=Y</t>
        </is>
      </c>
      <c r="AA730" s="0" t="inlineStr">
        <is>
          <t>인천시 서구 마전동 999-1</t>
        </is>
      </c>
      <c r="AB730" s="0" t="inlineStr">
        <is>
          <t>인천시</t>
        </is>
      </c>
      <c r="AC730" s="0" t="inlineStr">
        <is>
          <t>서구</t>
        </is>
      </c>
      <c r="AD730" s="0" t="inlineStr">
        <is>
          <t>마전동</t>
        </is>
      </c>
      <c r="AG730" s="0" t="inlineStr">
        <is>
          <t>인천시 서구 검단로540번길 59</t>
        </is>
      </c>
      <c r="AH730" s="0" t="n">
        <v>0</v>
      </c>
      <c r="AI730" s="0" t="n">
        <v>0</v>
      </c>
      <c r="AJ730" s="0" t="n">
        <v>0</v>
      </c>
      <c r="AK730" s="0" t="n">
        <v>847</v>
      </c>
      <c r="AL730" s="0" t="n">
        <v>2.07</v>
      </c>
    </row>
    <row r="731">
      <c r="A731" s="0" t="inlineStr">
        <is>
          <t>[마전동]</t>
        </is>
      </c>
      <c r="B731" s="0" t="n">
        <v>27369</v>
      </c>
      <c r="C731" s="0" t="n">
        <v>6</v>
      </c>
      <c r="D731" s="0" t="inlineStr">
        <is>
          <t>검단2차아이파크</t>
        </is>
      </c>
      <c r="E731" s="0" t="inlineStr">
        <is>
          <t>2010.05.</t>
        </is>
      </c>
      <c r="F731" s="0" t="n">
        <v>409</v>
      </c>
      <c r="G731" s="0" t="n">
        <v>48.79</v>
      </c>
      <c r="H731" s="0" t="n">
        <v>161.31</v>
      </c>
      <c r="I731" s="0" t="n">
        <v>39.88</v>
      </c>
      <c r="J731" s="0" t="n">
        <v>131.86</v>
      </c>
      <c r="K731" s="0" t="n">
        <v>12</v>
      </c>
      <c r="T731" s="0" t="inlineStr">
        <is>
          <t>-</t>
        </is>
      </c>
      <c r="U731" s="0" t="inlineStr">
        <is>
          <t>-</t>
        </is>
      </c>
      <c r="V731" s="0" t="inlineStr">
        <is>
          <t>복도식</t>
        </is>
      </c>
      <c r="W731" s="0" t="inlineStr">
        <is>
          <t>161탑</t>
        </is>
      </c>
      <c r="X731" s="0" t="n">
        <v>15</v>
      </c>
      <c r="Y731" s="0" t="n">
        <v>10</v>
      </c>
      <c r="Z731" s="0" t="inlineStr">
        <is>
          <t>https://new.land.naver.com/complexes/27369?tab=detail&amp;rf=Y</t>
        </is>
      </c>
      <c r="AA731" s="0" t="inlineStr">
        <is>
          <t>인천시 서구 마전동 999-1</t>
        </is>
      </c>
      <c r="AB731" s="0" t="inlineStr">
        <is>
          <t>인천시</t>
        </is>
      </c>
      <c r="AC731" s="0" t="inlineStr">
        <is>
          <t>서구</t>
        </is>
      </c>
      <c r="AD731" s="0" t="inlineStr">
        <is>
          <t>마전동</t>
        </is>
      </c>
      <c r="AG731" s="0" t="inlineStr">
        <is>
          <t>인천시 서구 검단로540번길 59</t>
        </is>
      </c>
      <c r="AH731" s="0" t="n">
        <v>0</v>
      </c>
      <c r="AI731" s="0" t="n">
        <v>0</v>
      </c>
      <c r="AJ731" s="0" t="n">
        <v>0</v>
      </c>
      <c r="AK731" s="0" t="n">
        <v>847</v>
      </c>
      <c r="AL731" s="0" t="n">
        <v>2.07</v>
      </c>
    </row>
    <row r="732">
      <c r="A732" s="0" t="inlineStr">
        <is>
          <t>[마전동]</t>
        </is>
      </c>
      <c r="B732" s="0" t="n">
        <v>27369</v>
      </c>
      <c r="C732" s="0" t="n">
        <v>7</v>
      </c>
      <c r="D732" s="0" t="inlineStr">
        <is>
          <t>검단2차아이파크</t>
        </is>
      </c>
      <c r="E732" s="0" t="inlineStr">
        <is>
          <t>2010.05.</t>
        </is>
      </c>
      <c r="F732" s="0" t="n">
        <v>409</v>
      </c>
      <c r="G732" s="0" t="n">
        <v>48.77</v>
      </c>
      <c r="H732" s="0" t="n">
        <v>161.25</v>
      </c>
      <c r="I732" s="0" t="n">
        <v>39.7</v>
      </c>
      <c r="J732" s="0" t="n">
        <v>131.25</v>
      </c>
      <c r="K732" s="0" t="n">
        <v>1</v>
      </c>
      <c r="T732" s="0" t="n">
        <v>4</v>
      </c>
      <c r="U732" s="0" t="n">
        <v>3</v>
      </c>
      <c r="V732" s="0" t="inlineStr">
        <is>
          <t>계단식</t>
        </is>
      </c>
      <c r="W732" s="0" t="inlineStr">
        <is>
          <t>161C</t>
        </is>
      </c>
      <c r="X732" s="0" t="n">
        <v>15</v>
      </c>
      <c r="Y732" s="0" t="n">
        <v>10</v>
      </c>
      <c r="Z732" s="0" t="inlineStr">
        <is>
          <t>https://new.land.naver.com/complexes/27369?tab=detail&amp;rf=Y</t>
        </is>
      </c>
      <c r="AA732" s="0" t="inlineStr">
        <is>
          <t>인천시 서구 마전동 999-1</t>
        </is>
      </c>
      <c r="AB732" s="0" t="inlineStr">
        <is>
          <t>인천시</t>
        </is>
      </c>
      <c r="AC732" s="0" t="inlineStr">
        <is>
          <t>서구</t>
        </is>
      </c>
      <c r="AD732" s="0" t="inlineStr">
        <is>
          <t>마전동</t>
        </is>
      </c>
      <c r="AG732" s="0" t="inlineStr">
        <is>
          <t>인천시 서구 검단로540번길 59</t>
        </is>
      </c>
      <c r="AH732" s="0" t="n">
        <v>0</v>
      </c>
      <c r="AI732" s="0" t="n">
        <v>0</v>
      </c>
      <c r="AJ732" s="0" t="n">
        <v>0</v>
      </c>
      <c r="AK732" s="0" t="n">
        <v>847</v>
      </c>
      <c r="AL732" s="0" t="n">
        <v>2.07</v>
      </c>
    </row>
    <row r="733">
      <c r="A733" s="0" t="inlineStr">
        <is>
          <t>[마전동]</t>
        </is>
      </c>
      <c r="B733" s="0" t="n">
        <v>27369</v>
      </c>
      <c r="C733" s="0" t="n">
        <v>8</v>
      </c>
      <c r="D733" s="0" t="inlineStr">
        <is>
          <t>검단2차아이파크</t>
        </is>
      </c>
      <c r="E733" s="0" t="inlineStr">
        <is>
          <t>2010.05.</t>
        </is>
      </c>
      <c r="F733" s="0" t="n">
        <v>409</v>
      </c>
      <c r="G733" s="0" t="n">
        <v>52.14</v>
      </c>
      <c r="H733" s="0" t="n">
        <v>172.37</v>
      </c>
      <c r="I733" s="0" t="n">
        <v>43.89</v>
      </c>
      <c r="J733" s="0" t="n">
        <v>145.12</v>
      </c>
      <c r="K733" s="0" t="n">
        <v>60</v>
      </c>
      <c r="T733" s="0" t="n">
        <v>3</v>
      </c>
      <c r="U733" s="0" t="n">
        <v>3</v>
      </c>
      <c r="V733" s="0" t="inlineStr">
        <is>
          <t>계단식</t>
        </is>
      </c>
      <c r="W733" s="0" t="inlineStr">
        <is>
          <t>172B</t>
        </is>
      </c>
      <c r="X733" s="0" t="n">
        <v>15</v>
      </c>
      <c r="Y733" s="0" t="n">
        <v>10</v>
      </c>
      <c r="Z733" s="0" t="inlineStr">
        <is>
          <t>https://new.land.naver.com/complexes/27369?tab=detail&amp;rf=Y</t>
        </is>
      </c>
      <c r="AA733" s="0" t="inlineStr">
        <is>
          <t>인천시 서구 마전동 999-1</t>
        </is>
      </c>
      <c r="AB733" s="0" t="inlineStr">
        <is>
          <t>인천시</t>
        </is>
      </c>
      <c r="AC733" s="0" t="inlineStr">
        <is>
          <t>서구</t>
        </is>
      </c>
      <c r="AD733" s="0" t="inlineStr">
        <is>
          <t>마전동</t>
        </is>
      </c>
      <c r="AG733" s="0" t="inlineStr">
        <is>
          <t>인천시 서구 검단로540번길 59</t>
        </is>
      </c>
      <c r="AH733" s="0" t="n">
        <v>0</v>
      </c>
      <c r="AI733" s="0" t="n">
        <v>0</v>
      </c>
      <c r="AJ733" s="0" t="n">
        <v>0</v>
      </c>
      <c r="AK733" s="0" t="n">
        <v>847</v>
      </c>
      <c r="AL733" s="0" t="n">
        <v>2.07</v>
      </c>
    </row>
    <row r="734">
      <c r="A734" s="0" t="inlineStr">
        <is>
          <t>[마전동]</t>
        </is>
      </c>
      <c r="B734" s="0" t="n">
        <v>27369</v>
      </c>
      <c r="C734" s="0" t="n">
        <v>9</v>
      </c>
      <c r="D734" s="0" t="inlineStr">
        <is>
          <t>검단2차아이파크</t>
        </is>
      </c>
      <c r="E734" s="0" t="inlineStr">
        <is>
          <t>2010.05.</t>
        </is>
      </c>
      <c r="F734" s="0" t="n">
        <v>409</v>
      </c>
      <c r="G734" s="0" t="n">
        <v>52.16</v>
      </c>
      <c r="H734" s="0" t="n">
        <v>172.44</v>
      </c>
      <c r="I734" s="0" t="n">
        <v>43.92</v>
      </c>
      <c r="J734" s="0" t="n">
        <v>145.2</v>
      </c>
      <c r="K734" s="0" t="n">
        <v>56</v>
      </c>
      <c r="T734" s="0" t="n">
        <v>4</v>
      </c>
      <c r="U734" s="0" t="n">
        <v>3</v>
      </c>
      <c r="V734" s="0" t="inlineStr">
        <is>
          <t>복도식</t>
        </is>
      </c>
      <c r="W734" s="0" t="inlineStr">
        <is>
          <t>172A</t>
        </is>
      </c>
      <c r="X734" s="0" t="n">
        <v>15</v>
      </c>
      <c r="Y734" s="0" t="n">
        <v>10</v>
      </c>
      <c r="Z734" s="0" t="inlineStr">
        <is>
          <t>https://new.land.naver.com/complexes/27369?tab=detail&amp;rf=Y</t>
        </is>
      </c>
      <c r="AA734" s="0" t="inlineStr">
        <is>
          <t>인천시 서구 마전동 999-1</t>
        </is>
      </c>
      <c r="AB734" s="0" t="inlineStr">
        <is>
          <t>인천시</t>
        </is>
      </c>
      <c r="AC734" s="0" t="inlineStr">
        <is>
          <t>서구</t>
        </is>
      </c>
      <c r="AD734" s="0" t="inlineStr">
        <is>
          <t>마전동</t>
        </is>
      </c>
      <c r="AG734" s="0" t="inlineStr">
        <is>
          <t>인천시 서구 검단로540번길 59</t>
        </is>
      </c>
      <c r="AH734" s="0" t="n">
        <v>0</v>
      </c>
      <c r="AI734" s="0" t="n">
        <v>0</v>
      </c>
      <c r="AJ734" s="0" t="n">
        <v>0</v>
      </c>
      <c r="AK734" s="0" t="n">
        <v>847</v>
      </c>
      <c r="AL734" s="0" t="n">
        <v>2.07</v>
      </c>
    </row>
    <row r="735">
      <c r="A735" s="0" t="inlineStr">
        <is>
          <t>[마전동]</t>
        </is>
      </c>
      <c r="B735" s="0" t="n">
        <v>144820</v>
      </c>
      <c r="C735" s="0" t="n">
        <v>1</v>
      </c>
      <c r="D735" s="0" t="inlineStr">
        <is>
          <t>미르팰리스</t>
        </is>
      </c>
      <c r="E735" s="0" t="inlineStr">
        <is>
          <t>2016.10.</t>
        </is>
      </c>
      <c r="F735" s="0" t="n">
        <v>22</v>
      </c>
      <c r="G735" s="0" t="n">
        <v>16.31</v>
      </c>
      <c r="H735" s="0" t="n">
        <v>53.94</v>
      </c>
      <c r="I735" s="0" t="n">
        <v>12.84</v>
      </c>
      <c r="J735" s="0" t="n">
        <v>42.47</v>
      </c>
      <c r="K735" s="0" t="n">
        <v>6</v>
      </c>
      <c r="T735" s="0" t="n">
        <v>2</v>
      </c>
      <c r="U735" s="0" t="n">
        <v>1</v>
      </c>
      <c r="V735" s="0" t="inlineStr">
        <is>
          <t>계단식</t>
        </is>
      </c>
      <c r="W735" s="0" t="n">
        <v>53</v>
      </c>
      <c r="X735" s="0" t="n">
        <v>6</v>
      </c>
      <c r="Y735" s="0" t="n">
        <v>5</v>
      </c>
      <c r="Z735" s="0" t="inlineStr">
        <is>
          <t>https://new.land.naver.com/complexes/144820?tab=detail&amp;rf=Y</t>
        </is>
      </c>
      <c r="AA735" s="0" t="inlineStr">
        <is>
          <t>인천시 서구 마전동 1140-3</t>
        </is>
      </c>
      <c r="AB735" s="0" t="inlineStr">
        <is>
          <t>인천시</t>
        </is>
      </c>
      <c r="AC735" s="0" t="inlineStr">
        <is>
          <t>서구</t>
        </is>
      </c>
      <c r="AD735" s="0" t="inlineStr">
        <is>
          <t>마전동</t>
        </is>
      </c>
      <c r="AG735" s="0" t="inlineStr">
        <is>
          <t>인천시 서구 마전로115번길 2-8</t>
        </is>
      </c>
      <c r="AH735" s="0" t="n">
        <v>0</v>
      </c>
      <c r="AI735" s="0" t="n">
        <v>227</v>
      </c>
      <c r="AJ735" s="0" t="n">
        <v>53</v>
      </c>
      <c r="AK735" s="0" t="n">
        <v>16</v>
      </c>
      <c r="AL735" s="0" t="n">
        <v>0.73</v>
      </c>
    </row>
    <row r="736">
      <c r="A736" s="0" t="inlineStr">
        <is>
          <t>[마전동]</t>
        </is>
      </c>
      <c r="B736" s="0" t="n">
        <v>144820</v>
      </c>
      <c r="C736" s="0" t="n">
        <v>2</v>
      </c>
      <c r="D736" s="0" t="inlineStr">
        <is>
          <t>미르팰리스</t>
        </is>
      </c>
      <c r="E736" s="0" t="inlineStr">
        <is>
          <t>2016.10.</t>
        </is>
      </c>
      <c r="F736" s="0" t="n">
        <v>22</v>
      </c>
      <c r="G736" s="0" t="n">
        <v>17.92</v>
      </c>
      <c r="H736" s="0" t="n">
        <v>59.27</v>
      </c>
      <c r="I736" s="0" t="n">
        <v>14.23</v>
      </c>
      <c r="J736" s="0" t="n">
        <v>47.06</v>
      </c>
      <c r="K736" s="0" t="n">
        <v>6</v>
      </c>
      <c r="T736" s="0" t="n">
        <v>2</v>
      </c>
      <c r="U736" s="0" t="n">
        <v>1</v>
      </c>
      <c r="V736" s="0" t="inlineStr">
        <is>
          <t>계단식</t>
        </is>
      </c>
      <c r="W736" s="0" t="inlineStr">
        <is>
          <t>59A</t>
        </is>
      </c>
      <c r="X736" s="0" t="n">
        <v>6</v>
      </c>
      <c r="Y736" s="0" t="n">
        <v>5</v>
      </c>
      <c r="Z736" s="0" t="inlineStr">
        <is>
          <t>https://new.land.naver.com/complexes/144820?tab=detail&amp;rf=Y</t>
        </is>
      </c>
      <c r="AA736" s="0" t="inlineStr">
        <is>
          <t>인천시 서구 마전동 1140-3</t>
        </is>
      </c>
      <c r="AB736" s="0" t="inlineStr">
        <is>
          <t>인천시</t>
        </is>
      </c>
      <c r="AC736" s="0" t="inlineStr">
        <is>
          <t>서구</t>
        </is>
      </c>
      <c r="AD736" s="0" t="inlineStr">
        <is>
          <t>마전동</t>
        </is>
      </c>
      <c r="AG736" s="0" t="inlineStr">
        <is>
          <t>인천시 서구 마전로115번길 2-8</t>
        </is>
      </c>
      <c r="AH736" s="0" t="n">
        <v>0</v>
      </c>
      <c r="AI736" s="0" t="n">
        <v>227</v>
      </c>
      <c r="AJ736" s="0" t="n">
        <v>53</v>
      </c>
      <c r="AK736" s="0" t="n">
        <v>16</v>
      </c>
      <c r="AL736" s="0" t="n">
        <v>0.73</v>
      </c>
    </row>
    <row r="737">
      <c r="A737" s="0" t="inlineStr">
        <is>
          <t>[마전동]</t>
        </is>
      </c>
      <c r="B737" s="0" t="n">
        <v>144820</v>
      </c>
      <c r="C737" s="0" t="n">
        <v>3</v>
      </c>
      <c r="D737" s="0" t="inlineStr">
        <is>
          <t>미르팰리스</t>
        </is>
      </c>
      <c r="E737" s="0" t="inlineStr">
        <is>
          <t>2016.10.</t>
        </is>
      </c>
      <c r="F737" s="0" t="n">
        <v>22</v>
      </c>
      <c r="G737" s="0" t="n">
        <v>18.31</v>
      </c>
      <c r="H737" s="0" t="n">
        <v>60.55</v>
      </c>
      <c r="I737" s="0" t="n">
        <v>14.51</v>
      </c>
      <c r="J737" s="0" t="n">
        <v>47.98</v>
      </c>
      <c r="K737" s="0" t="n">
        <v>6</v>
      </c>
      <c r="T737" s="0" t="n">
        <v>2</v>
      </c>
      <c r="U737" s="0" t="n">
        <v>1</v>
      </c>
      <c r="V737" s="0" t="inlineStr">
        <is>
          <t>계단식</t>
        </is>
      </c>
      <c r="W737" s="0" t="inlineStr">
        <is>
          <t>60B</t>
        </is>
      </c>
      <c r="X737" s="0" t="n">
        <v>6</v>
      </c>
      <c r="Y737" s="0" t="n">
        <v>5</v>
      </c>
      <c r="Z737" s="0" t="inlineStr">
        <is>
          <t>https://new.land.naver.com/complexes/144820?tab=detail&amp;rf=Y</t>
        </is>
      </c>
      <c r="AA737" s="0" t="inlineStr">
        <is>
          <t>인천시 서구 마전동 1140-3</t>
        </is>
      </c>
      <c r="AB737" s="0" t="inlineStr">
        <is>
          <t>인천시</t>
        </is>
      </c>
      <c r="AC737" s="0" t="inlineStr">
        <is>
          <t>서구</t>
        </is>
      </c>
      <c r="AD737" s="0" t="inlineStr">
        <is>
          <t>마전동</t>
        </is>
      </c>
      <c r="AG737" s="0" t="inlineStr">
        <is>
          <t>인천시 서구 마전로115번길 2-8</t>
        </is>
      </c>
      <c r="AH737" s="0" t="n">
        <v>0</v>
      </c>
      <c r="AI737" s="0" t="n">
        <v>227</v>
      </c>
      <c r="AJ737" s="0" t="n">
        <v>53</v>
      </c>
      <c r="AK737" s="0" t="n">
        <v>16</v>
      </c>
      <c r="AL737" s="0" t="n">
        <v>0.73</v>
      </c>
    </row>
    <row r="738">
      <c r="A738" s="0" t="inlineStr">
        <is>
          <t>[마전동]</t>
        </is>
      </c>
      <c r="B738" s="0" t="n">
        <v>144820</v>
      </c>
      <c r="C738" s="0" t="n">
        <v>4</v>
      </c>
      <c r="D738" s="0" t="inlineStr">
        <is>
          <t>미르팰리스</t>
        </is>
      </c>
      <c r="E738" s="0" t="inlineStr">
        <is>
          <t>2016.10.</t>
        </is>
      </c>
      <c r="F738" s="0" t="n">
        <v>22</v>
      </c>
      <c r="G738" s="0" t="n">
        <v>21.66</v>
      </c>
      <c r="H738" s="0" t="n">
        <v>71.61</v>
      </c>
      <c r="I738" s="0" t="n">
        <v>17.24</v>
      </c>
      <c r="J738" s="0" t="n">
        <v>57.01</v>
      </c>
      <c r="K738" s="0" t="n">
        <v>1</v>
      </c>
      <c r="T738" s="0" t="n">
        <v>3</v>
      </c>
      <c r="U738" s="0" t="n">
        <v>1</v>
      </c>
      <c r="V738" s="0" t="inlineStr">
        <is>
          <t>계단식</t>
        </is>
      </c>
      <c r="W738" s="0" t="inlineStr">
        <is>
          <t>71A</t>
        </is>
      </c>
      <c r="X738" s="0" t="n">
        <v>6</v>
      </c>
      <c r="Y738" s="0" t="n">
        <v>5</v>
      </c>
      <c r="Z738" s="0" t="inlineStr">
        <is>
          <t>https://new.land.naver.com/complexes/144820?tab=detail&amp;rf=Y</t>
        </is>
      </c>
      <c r="AA738" s="0" t="inlineStr">
        <is>
          <t>인천시 서구 마전동 1140-3</t>
        </is>
      </c>
      <c r="AB738" s="0" t="inlineStr">
        <is>
          <t>인천시</t>
        </is>
      </c>
      <c r="AC738" s="0" t="inlineStr">
        <is>
          <t>서구</t>
        </is>
      </c>
      <c r="AD738" s="0" t="inlineStr">
        <is>
          <t>마전동</t>
        </is>
      </c>
      <c r="AG738" s="0" t="inlineStr">
        <is>
          <t>인천시 서구 마전로115번길 2-8</t>
        </is>
      </c>
      <c r="AH738" s="0" t="n">
        <v>0</v>
      </c>
      <c r="AI738" s="0" t="n">
        <v>227</v>
      </c>
      <c r="AJ738" s="0" t="n">
        <v>53</v>
      </c>
      <c r="AK738" s="0" t="n">
        <v>16</v>
      </c>
      <c r="AL738" s="0" t="n">
        <v>0.73</v>
      </c>
    </row>
    <row r="739">
      <c r="A739" s="0" t="inlineStr">
        <is>
          <t>[마전동]</t>
        </is>
      </c>
      <c r="B739" s="0" t="n">
        <v>144820</v>
      </c>
      <c r="C739" s="0" t="n">
        <v>5</v>
      </c>
      <c r="D739" s="0" t="inlineStr">
        <is>
          <t>미르팰리스</t>
        </is>
      </c>
      <c r="E739" s="0" t="inlineStr">
        <is>
          <t>2016.10.</t>
        </is>
      </c>
      <c r="F739" s="0" t="n">
        <v>22</v>
      </c>
      <c r="G739" s="0" t="n">
        <v>22.02</v>
      </c>
      <c r="H739" s="0" t="n">
        <v>72.81999999999999</v>
      </c>
      <c r="I739" s="0" t="n">
        <v>17.54</v>
      </c>
      <c r="J739" s="0" t="n">
        <v>57.99</v>
      </c>
      <c r="K739" s="0" t="n">
        <v>1</v>
      </c>
      <c r="T739" s="0" t="n">
        <v>3</v>
      </c>
      <c r="U739" s="0" t="n">
        <v>1</v>
      </c>
      <c r="V739" s="0" t="inlineStr">
        <is>
          <t>계단식</t>
        </is>
      </c>
      <c r="W739" s="0" t="inlineStr">
        <is>
          <t>72B</t>
        </is>
      </c>
      <c r="X739" s="0" t="n">
        <v>6</v>
      </c>
      <c r="Y739" s="0" t="n">
        <v>5</v>
      </c>
      <c r="Z739" s="0" t="inlineStr">
        <is>
          <t>https://new.land.naver.com/complexes/144820?tab=detail&amp;rf=Y</t>
        </is>
      </c>
      <c r="AA739" s="0" t="inlineStr">
        <is>
          <t>인천시 서구 마전동 1140-3</t>
        </is>
      </c>
      <c r="AB739" s="0" t="inlineStr">
        <is>
          <t>인천시</t>
        </is>
      </c>
      <c r="AC739" s="0" t="inlineStr">
        <is>
          <t>서구</t>
        </is>
      </c>
      <c r="AD739" s="0" t="inlineStr">
        <is>
          <t>마전동</t>
        </is>
      </c>
      <c r="AG739" s="0" t="inlineStr">
        <is>
          <t>인천시 서구 마전로115번길 2-8</t>
        </is>
      </c>
      <c r="AH739" s="0" t="n">
        <v>0</v>
      </c>
      <c r="AI739" s="0" t="n">
        <v>227</v>
      </c>
      <c r="AJ739" s="0" t="n">
        <v>53</v>
      </c>
      <c r="AK739" s="0" t="n">
        <v>16</v>
      </c>
      <c r="AL739" s="0" t="n">
        <v>0.73</v>
      </c>
    </row>
    <row r="740">
      <c r="A740" s="0" t="inlineStr">
        <is>
          <t>[마전동]</t>
        </is>
      </c>
      <c r="B740" s="0" t="n">
        <v>144820</v>
      </c>
      <c r="C740" s="0" t="n">
        <v>6</v>
      </c>
      <c r="D740" s="0" t="inlineStr">
        <is>
          <t>미르팰리스</t>
        </is>
      </c>
      <c r="E740" s="0" t="inlineStr">
        <is>
          <t>2016.10.</t>
        </is>
      </c>
      <c r="F740" s="0" t="n">
        <v>22</v>
      </c>
      <c r="G740" s="0" t="n">
        <v>22.25</v>
      </c>
      <c r="H740" s="0" t="n">
        <v>73.58</v>
      </c>
      <c r="I740" s="0" t="n">
        <v>17.8</v>
      </c>
      <c r="J740" s="0" t="n">
        <v>58.85</v>
      </c>
      <c r="K740" s="0" t="n">
        <v>1</v>
      </c>
      <c r="T740" s="0" t="n">
        <v>3</v>
      </c>
      <c r="U740" s="0" t="n">
        <v>1</v>
      </c>
      <c r="V740" s="0" t="inlineStr">
        <is>
          <t>계단식</t>
        </is>
      </c>
      <c r="W740" s="0" t="inlineStr">
        <is>
          <t>73C</t>
        </is>
      </c>
      <c r="X740" s="0" t="n">
        <v>6</v>
      </c>
      <c r="Y740" s="0" t="n">
        <v>5</v>
      </c>
      <c r="Z740" s="0" t="inlineStr">
        <is>
          <t>https://new.land.naver.com/complexes/144820?tab=detail&amp;rf=Y</t>
        </is>
      </c>
      <c r="AA740" s="0" t="inlineStr">
        <is>
          <t>인천시 서구 마전동 1140-3</t>
        </is>
      </c>
      <c r="AB740" s="0" t="inlineStr">
        <is>
          <t>인천시</t>
        </is>
      </c>
      <c r="AC740" s="0" t="inlineStr">
        <is>
          <t>서구</t>
        </is>
      </c>
      <c r="AD740" s="0" t="inlineStr">
        <is>
          <t>마전동</t>
        </is>
      </c>
      <c r="AG740" s="0" t="inlineStr">
        <is>
          <t>인천시 서구 마전로115번길 2-8</t>
        </is>
      </c>
      <c r="AH740" s="0" t="n">
        <v>0</v>
      </c>
      <c r="AI740" s="0" t="n">
        <v>227</v>
      </c>
      <c r="AJ740" s="0" t="n">
        <v>53</v>
      </c>
      <c r="AK740" s="0" t="n">
        <v>16</v>
      </c>
      <c r="AL740" s="0" t="n">
        <v>0.73</v>
      </c>
    </row>
    <row r="741">
      <c r="A741" s="0" t="inlineStr">
        <is>
          <t>[마전동]</t>
        </is>
      </c>
      <c r="B741" s="0" t="n">
        <v>144820</v>
      </c>
      <c r="C741" s="0" t="n">
        <v>7</v>
      </c>
      <c r="D741" s="0" t="inlineStr">
        <is>
          <t>미르팰리스</t>
        </is>
      </c>
      <c r="E741" s="0" t="inlineStr">
        <is>
          <t>2016.10.</t>
        </is>
      </c>
      <c r="F741" s="0" t="n">
        <v>22</v>
      </c>
      <c r="G741" s="0" t="n">
        <v>22.68</v>
      </c>
      <c r="H741" s="0" t="n">
        <v>74.98999999999999</v>
      </c>
      <c r="I741" s="0" t="n">
        <v>18.14</v>
      </c>
      <c r="J741" s="0" t="n">
        <v>59.99</v>
      </c>
      <c r="K741" s="0" t="n">
        <v>1</v>
      </c>
      <c r="T741" s="0" t="n">
        <v>3</v>
      </c>
      <c r="U741" s="0" t="n">
        <v>1</v>
      </c>
      <c r="V741" s="0" t="inlineStr">
        <is>
          <t>계단식</t>
        </is>
      </c>
      <c r="W741" s="0" t="n">
        <v>74</v>
      </c>
      <c r="X741" s="0" t="n">
        <v>6</v>
      </c>
      <c r="Y741" s="0" t="n">
        <v>5</v>
      </c>
      <c r="Z741" s="0" t="inlineStr">
        <is>
          <t>https://new.land.naver.com/complexes/144820?tab=detail&amp;rf=Y</t>
        </is>
      </c>
      <c r="AA741" s="0" t="inlineStr">
        <is>
          <t>인천시 서구 마전동 1140-3</t>
        </is>
      </c>
      <c r="AB741" s="0" t="inlineStr">
        <is>
          <t>인천시</t>
        </is>
      </c>
      <c r="AC741" s="0" t="inlineStr">
        <is>
          <t>서구</t>
        </is>
      </c>
      <c r="AD741" s="0" t="inlineStr">
        <is>
          <t>마전동</t>
        </is>
      </c>
      <c r="AG741" s="0" t="inlineStr">
        <is>
          <t>인천시 서구 마전로115번길 2-8</t>
        </is>
      </c>
      <c r="AH741" s="0" t="n">
        <v>0</v>
      </c>
      <c r="AI741" s="0" t="n">
        <v>227</v>
      </c>
      <c r="AJ741" s="0" t="n">
        <v>53</v>
      </c>
      <c r="AK741" s="0" t="n">
        <v>16</v>
      </c>
      <c r="AL741" s="0" t="n">
        <v>0.73</v>
      </c>
    </row>
    <row r="742">
      <c r="A742" s="0" t="inlineStr">
        <is>
          <t>[마전동]</t>
        </is>
      </c>
      <c r="B742" s="0" t="n">
        <v>100662</v>
      </c>
      <c r="C742" s="0" t="n">
        <v>1</v>
      </c>
      <c r="D742" s="0" t="inlineStr">
        <is>
          <t>이지미래지향</t>
        </is>
      </c>
      <c r="E742" s="0" t="inlineStr">
        <is>
          <t>2008.04.</t>
        </is>
      </c>
      <c r="F742" s="0" t="n">
        <v>128</v>
      </c>
      <c r="G742" s="0" t="n">
        <v>33.09</v>
      </c>
      <c r="H742" s="0" t="n">
        <v>109.4</v>
      </c>
      <c r="I742" s="0" t="n">
        <v>25.6</v>
      </c>
      <c r="J742" s="0" t="n">
        <v>84.65000000000001</v>
      </c>
      <c r="K742" s="0" t="n">
        <v>97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109B</t>
        </is>
      </c>
      <c r="X742" s="0" t="n">
        <v>10</v>
      </c>
      <c r="Y742" s="0" t="n">
        <v>10</v>
      </c>
      <c r="Z742" s="0" t="inlineStr">
        <is>
          <t>https://new.land.naver.com/complexes/100662?tab=detail&amp;rf=Y</t>
        </is>
      </c>
      <c r="AA742" s="0" t="inlineStr">
        <is>
          <t>인천시 서구 마전동 928-17</t>
        </is>
      </c>
      <c r="AB742" s="0" t="inlineStr">
        <is>
          <t>인천시</t>
        </is>
      </c>
      <c r="AC742" s="0" t="inlineStr">
        <is>
          <t>서구</t>
        </is>
      </c>
      <c r="AD742" s="0" t="inlineStr">
        <is>
          <t>마전동</t>
        </is>
      </c>
      <c r="AG742" s="0" t="inlineStr">
        <is>
          <t>인천시 서구 검단로501번안길 5</t>
        </is>
      </c>
      <c r="AH742" s="0" t="n">
        <v>0</v>
      </c>
      <c r="AI742" s="0" t="n">
        <v>199</v>
      </c>
      <c r="AJ742" s="0" t="n">
        <v>24</v>
      </c>
      <c r="AK742" s="0" t="n">
        <v>132</v>
      </c>
      <c r="AL742" s="0" t="n">
        <v>1.03</v>
      </c>
    </row>
    <row r="743">
      <c r="A743" s="0" t="inlineStr">
        <is>
          <t>[마전동]</t>
        </is>
      </c>
      <c r="B743" s="0" t="n">
        <v>100662</v>
      </c>
      <c r="C743" s="0" t="n">
        <v>2</v>
      </c>
      <c r="D743" s="0" t="inlineStr">
        <is>
          <t>이지미래지향</t>
        </is>
      </c>
      <c r="E743" s="0" t="inlineStr">
        <is>
          <t>2008.04.</t>
        </is>
      </c>
      <c r="F743" s="0" t="n">
        <v>128</v>
      </c>
      <c r="G743" s="0" t="n">
        <v>33.09</v>
      </c>
      <c r="H743" s="0" t="n">
        <v>109.4</v>
      </c>
      <c r="I743" s="0" t="n">
        <v>25.6</v>
      </c>
      <c r="J743" s="0" t="n">
        <v>84.65000000000001</v>
      </c>
      <c r="K743" s="0" t="n">
        <v>1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109C</t>
        </is>
      </c>
      <c r="X743" s="0" t="n">
        <v>10</v>
      </c>
      <c r="Y743" s="0" t="n">
        <v>10</v>
      </c>
      <c r="Z743" s="0" t="inlineStr">
        <is>
          <t>https://new.land.naver.com/complexes/100662?tab=detail&amp;rf=Y</t>
        </is>
      </c>
      <c r="AA743" s="0" t="inlineStr">
        <is>
          <t>인천시 서구 마전동 928-17</t>
        </is>
      </c>
      <c r="AB743" s="0" t="inlineStr">
        <is>
          <t>인천시</t>
        </is>
      </c>
      <c r="AC743" s="0" t="inlineStr">
        <is>
          <t>서구</t>
        </is>
      </c>
      <c r="AD743" s="0" t="inlineStr">
        <is>
          <t>마전동</t>
        </is>
      </c>
      <c r="AG743" s="0" t="inlineStr">
        <is>
          <t>인천시 서구 검단로501번안길 5</t>
        </is>
      </c>
      <c r="AH743" s="0" t="n">
        <v>0</v>
      </c>
      <c r="AI743" s="0" t="n">
        <v>199</v>
      </c>
      <c r="AJ743" s="0" t="n">
        <v>24</v>
      </c>
      <c r="AK743" s="0" t="n">
        <v>132</v>
      </c>
      <c r="AL743" s="0" t="n">
        <v>1.03</v>
      </c>
    </row>
    <row r="744">
      <c r="A744" s="0" t="inlineStr">
        <is>
          <t>[마전동]</t>
        </is>
      </c>
      <c r="B744" s="0" t="n">
        <v>100662</v>
      </c>
      <c r="C744" s="0" t="n">
        <v>3</v>
      </c>
      <c r="D744" s="0" t="inlineStr">
        <is>
          <t>이지미래지향</t>
        </is>
      </c>
      <c r="E744" s="0" t="inlineStr">
        <is>
          <t>2008.04.</t>
        </is>
      </c>
      <c r="F744" s="0" t="n">
        <v>128</v>
      </c>
      <c r="G744" s="0" t="n">
        <v>33.98</v>
      </c>
      <c r="H744" s="0" t="n">
        <v>112.36</v>
      </c>
      <c r="I744" s="0" t="n">
        <v>25.7</v>
      </c>
      <c r="J744" s="0" t="n">
        <v>84.95999999999999</v>
      </c>
      <c r="K744" s="0" t="n">
        <v>30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112A</t>
        </is>
      </c>
      <c r="X744" s="0" t="n">
        <v>10</v>
      </c>
      <c r="Y744" s="0" t="n">
        <v>10</v>
      </c>
      <c r="Z744" s="0" t="inlineStr">
        <is>
          <t>https://new.land.naver.com/complexes/100662?tab=detail&amp;rf=Y</t>
        </is>
      </c>
      <c r="AA744" s="0" t="inlineStr">
        <is>
          <t>인천시 서구 마전동 928-17</t>
        </is>
      </c>
      <c r="AB744" s="0" t="inlineStr">
        <is>
          <t>인천시</t>
        </is>
      </c>
      <c r="AC744" s="0" t="inlineStr">
        <is>
          <t>서구</t>
        </is>
      </c>
      <c r="AD744" s="0" t="inlineStr">
        <is>
          <t>마전동</t>
        </is>
      </c>
      <c r="AG744" s="0" t="inlineStr">
        <is>
          <t>인천시 서구 검단로501번안길 5</t>
        </is>
      </c>
      <c r="AH744" s="0" t="n">
        <v>0</v>
      </c>
      <c r="AI744" s="0" t="n">
        <v>199</v>
      </c>
      <c r="AJ744" s="0" t="n">
        <v>24</v>
      </c>
      <c r="AK744" s="0" t="n">
        <v>132</v>
      </c>
      <c r="AL744" s="0" t="n">
        <v>1.03</v>
      </c>
    </row>
    <row r="745">
      <c r="A745" s="0" t="inlineStr">
        <is>
          <t>[마전동]</t>
        </is>
      </c>
      <c r="B745" s="0" t="n">
        <v>11528</v>
      </c>
      <c r="C745" s="0" t="n">
        <v>1</v>
      </c>
      <c r="D745" s="0" t="inlineStr">
        <is>
          <t>은혜</t>
        </is>
      </c>
      <c r="E745" s="0" t="inlineStr">
        <is>
          <t>1991.12.</t>
        </is>
      </c>
      <c r="F745" s="0" t="n">
        <v>96</v>
      </c>
      <c r="G745" s="0" t="n">
        <v>18.9</v>
      </c>
      <c r="H745" s="0" t="n">
        <v>62.48</v>
      </c>
      <c r="I745" s="0" t="n">
        <v>14.78</v>
      </c>
      <c r="J745" s="0" t="n">
        <v>48.87</v>
      </c>
      <c r="K745" s="0" t="n">
        <v>60</v>
      </c>
      <c r="T745" s="0" t="n">
        <v>2</v>
      </c>
      <c r="U745" s="0" t="n">
        <v>1</v>
      </c>
      <c r="V745" s="0" t="inlineStr">
        <is>
          <t>계단식</t>
        </is>
      </c>
      <c r="W745" s="0" t="n">
        <v>62</v>
      </c>
      <c r="X745" s="0" t="n">
        <v>6</v>
      </c>
      <c r="Y745" s="0" t="n">
        <v>6</v>
      </c>
      <c r="Z745" s="0" t="inlineStr">
        <is>
          <t>https://new.land.naver.com/complexes/11528?tab=detail&amp;rf=Y</t>
        </is>
      </c>
      <c r="AA745" s="0" t="inlineStr">
        <is>
          <t>인천시 서구 마전동 917-2</t>
        </is>
      </c>
      <c r="AB745" s="0" t="inlineStr">
        <is>
          <t>인천시</t>
        </is>
      </c>
      <c r="AC745" s="0" t="inlineStr">
        <is>
          <t>서구</t>
        </is>
      </c>
      <c r="AD745" s="0" t="inlineStr">
        <is>
          <t>마전동</t>
        </is>
      </c>
      <c r="AG745" s="0" t="inlineStr">
        <is>
          <t>인천시 서구 완정로178번길 43</t>
        </is>
      </c>
      <c r="AH745" s="0" t="n">
        <v>0</v>
      </c>
      <c r="AI745" s="0" t="n">
        <v>0</v>
      </c>
      <c r="AJ745" s="0" t="n">
        <v>0</v>
      </c>
      <c r="AK745" s="0" t="n">
        <v>0</v>
      </c>
      <c r="AL745" s="0" t="n">
        <v>0</v>
      </c>
    </row>
    <row r="746">
      <c r="A746" s="0" t="inlineStr">
        <is>
          <t>[마전동]</t>
        </is>
      </c>
      <c r="B746" s="0" t="n">
        <v>11528</v>
      </c>
      <c r="C746" s="0" t="n">
        <v>2</v>
      </c>
      <c r="D746" s="0" t="inlineStr">
        <is>
          <t>은혜</t>
        </is>
      </c>
      <c r="E746" s="0" t="inlineStr">
        <is>
          <t>1991.12.</t>
        </is>
      </c>
      <c r="F746" s="0" t="n">
        <v>96</v>
      </c>
      <c r="G746" s="0" t="n">
        <v>31.5</v>
      </c>
      <c r="H746" s="0" t="n">
        <v>104.16</v>
      </c>
      <c r="I746" s="0" t="n">
        <v>25.65</v>
      </c>
      <c r="J746" s="0" t="n">
        <v>84.81999999999999</v>
      </c>
      <c r="K746" s="0" t="n">
        <v>36</v>
      </c>
      <c r="T746" s="0" t="n">
        <v>3</v>
      </c>
      <c r="U746" s="0" t="n">
        <v>1</v>
      </c>
      <c r="V746" s="0" t="inlineStr">
        <is>
          <t>계단식</t>
        </is>
      </c>
      <c r="W746" s="0" t="n">
        <v>104</v>
      </c>
      <c r="X746" s="0" t="n">
        <v>6</v>
      </c>
      <c r="Y746" s="0" t="n">
        <v>6</v>
      </c>
      <c r="Z746" s="0" t="inlineStr">
        <is>
          <t>https://new.land.naver.com/complexes/11528?tab=detail&amp;rf=Y</t>
        </is>
      </c>
      <c r="AA746" s="0" t="inlineStr">
        <is>
          <t>인천시 서구 마전동 917-2</t>
        </is>
      </c>
      <c r="AB746" s="0" t="inlineStr">
        <is>
          <t>인천시</t>
        </is>
      </c>
      <c r="AC746" s="0" t="inlineStr">
        <is>
          <t>서구</t>
        </is>
      </c>
      <c r="AD746" s="0" t="inlineStr">
        <is>
          <t>마전동</t>
        </is>
      </c>
      <c r="AG746" s="0" t="inlineStr">
        <is>
          <t>인천시 서구 완정로178번길 43</t>
        </is>
      </c>
      <c r="AH746" s="0" t="n">
        <v>0</v>
      </c>
      <c r="AI746" s="0" t="n">
        <v>0</v>
      </c>
      <c r="AJ746" s="0" t="n">
        <v>0</v>
      </c>
      <c r="AK746" s="0" t="n">
        <v>0</v>
      </c>
      <c r="AL746" s="0" t="n">
        <v>0</v>
      </c>
    </row>
    <row r="747">
      <c r="A747" s="0" t="inlineStr">
        <is>
          <t>[마전동]</t>
        </is>
      </c>
      <c r="B747" s="0" t="n">
        <v>2299</v>
      </c>
      <c r="C747" s="0" t="n">
        <v>1</v>
      </c>
      <c r="D747" s="0" t="inlineStr">
        <is>
          <t>유호</t>
        </is>
      </c>
      <c r="E747" s="0" t="inlineStr">
        <is>
          <t>1992.02.</t>
        </is>
      </c>
      <c r="F747" s="0" t="n">
        <v>255</v>
      </c>
      <c r="G747" s="0" t="n">
        <v>18.18</v>
      </c>
      <c r="H747" s="0" t="n">
        <v>60.12</v>
      </c>
      <c r="I747" s="0" t="n">
        <v>13.57</v>
      </c>
      <c r="J747" s="0" t="n">
        <v>44.88</v>
      </c>
      <c r="K747" s="0" t="n">
        <v>45</v>
      </c>
      <c r="T747" s="0" t="n">
        <v>3</v>
      </c>
      <c r="U747" s="0" t="n">
        <v>1</v>
      </c>
      <c r="V747" s="0" t="inlineStr">
        <is>
          <t>계단식</t>
        </is>
      </c>
      <c r="W747" s="0" t="n">
        <v>60</v>
      </c>
      <c r="X747" s="0" t="n">
        <v>5</v>
      </c>
      <c r="Y747" s="0" t="n">
        <v>5</v>
      </c>
      <c r="Z747" s="0" t="inlineStr">
        <is>
          <t>https://new.land.naver.com/complexes/2299?tab=detail&amp;rf=Y</t>
        </is>
      </c>
      <c r="AA747" s="0" t="inlineStr">
        <is>
          <t>인천시 서구 마전동 987-9</t>
        </is>
      </c>
      <c r="AB747" s="0" t="inlineStr">
        <is>
          <t>인천시</t>
        </is>
      </c>
      <c r="AC747" s="0" t="inlineStr">
        <is>
          <t>서구</t>
        </is>
      </c>
      <c r="AD747" s="0" t="inlineStr">
        <is>
          <t>마전동</t>
        </is>
      </c>
      <c r="AG747" s="0" t="inlineStr">
        <is>
          <t>인천시 서구 검단로518번길 12</t>
        </is>
      </c>
      <c r="AH747" s="0" t="n">
        <v>0</v>
      </c>
      <c r="AI747" s="0" t="n">
        <v>191</v>
      </c>
      <c r="AJ747" s="0" t="n">
        <v>38</v>
      </c>
      <c r="AK747" s="0" t="n">
        <v>0</v>
      </c>
      <c r="AL747" s="0" t="n">
        <v>0</v>
      </c>
    </row>
    <row r="748">
      <c r="A748" s="0" t="inlineStr">
        <is>
          <t>[마전동]</t>
        </is>
      </c>
      <c r="B748" s="0" t="n">
        <v>2299</v>
      </c>
      <c r="C748" s="0" t="n">
        <v>2</v>
      </c>
      <c r="D748" s="0" t="inlineStr">
        <is>
          <t>유호</t>
        </is>
      </c>
      <c r="E748" s="0" t="inlineStr">
        <is>
          <t>1992.02.</t>
        </is>
      </c>
      <c r="F748" s="0" t="n">
        <v>255</v>
      </c>
      <c r="G748" s="0" t="n">
        <v>20.56</v>
      </c>
      <c r="H748" s="0" t="n">
        <v>67.98</v>
      </c>
      <c r="I748" s="0" t="n">
        <v>15.57</v>
      </c>
      <c r="J748" s="0" t="n">
        <v>51.48</v>
      </c>
      <c r="K748" s="0" t="n">
        <v>20</v>
      </c>
      <c r="T748" s="0" t="n">
        <v>3</v>
      </c>
      <c r="U748" s="0" t="n">
        <v>1</v>
      </c>
      <c r="V748" s="0" t="inlineStr">
        <is>
          <t>계단식</t>
        </is>
      </c>
      <c r="W748" s="0" t="n">
        <v>67</v>
      </c>
      <c r="X748" s="0" t="n">
        <v>5</v>
      </c>
      <c r="Y748" s="0" t="n">
        <v>5</v>
      </c>
      <c r="Z748" s="0" t="inlineStr">
        <is>
          <t>https://new.land.naver.com/complexes/2299?tab=detail&amp;rf=Y</t>
        </is>
      </c>
      <c r="AA748" s="0" t="inlineStr">
        <is>
          <t>인천시 서구 마전동 987-9</t>
        </is>
      </c>
      <c r="AB748" s="0" t="inlineStr">
        <is>
          <t>인천시</t>
        </is>
      </c>
      <c r="AC748" s="0" t="inlineStr">
        <is>
          <t>서구</t>
        </is>
      </c>
      <c r="AD748" s="0" t="inlineStr">
        <is>
          <t>마전동</t>
        </is>
      </c>
      <c r="AG748" s="0" t="inlineStr">
        <is>
          <t>인천시 서구 검단로518번길 12</t>
        </is>
      </c>
      <c r="AH748" s="0" t="n">
        <v>0</v>
      </c>
      <c r="AI748" s="0" t="n">
        <v>191</v>
      </c>
      <c r="AJ748" s="0" t="n">
        <v>38</v>
      </c>
      <c r="AK748" s="0" t="n">
        <v>0</v>
      </c>
      <c r="AL748" s="0" t="n">
        <v>0</v>
      </c>
    </row>
    <row r="749">
      <c r="A749" s="0" t="inlineStr">
        <is>
          <t>[마전동]</t>
        </is>
      </c>
      <c r="B749" s="0" t="n">
        <v>2299</v>
      </c>
      <c r="C749" s="0" t="n">
        <v>3</v>
      </c>
      <c r="D749" s="0" t="inlineStr">
        <is>
          <t>유호</t>
        </is>
      </c>
      <c r="E749" s="0" t="inlineStr">
        <is>
          <t>1992.02.</t>
        </is>
      </c>
      <c r="F749" s="0" t="n">
        <v>255</v>
      </c>
      <c r="G749" s="0" t="n">
        <v>22.62</v>
      </c>
      <c r="H749" s="0" t="n">
        <v>74.8</v>
      </c>
      <c r="I749" s="0" t="n">
        <v>17.28</v>
      </c>
      <c r="J749" s="0" t="n">
        <v>57.15</v>
      </c>
      <c r="K749" s="0" t="n">
        <v>40</v>
      </c>
      <c r="T749" s="0" t="n">
        <v>3</v>
      </c>
      <c r="U749" s="0" t="n">
        <v>1</v>
      </c>
      <c r="V749" s="0" t="inlineStr">
        <is>
          <t>계단식</t>
        </is>
      </c>
      <c r="W749" s="0" t="inlineStr">
        <is>
          <t>74A</t>
        </is>
      </c>
      <c r="X749" s="0" t="n">
        <v>5</v>
      </c>
      <c r="Y749" s="0" t="n">
        <v>5</v>
      </c>
      <c r="Z749" s="0" t="inlineStr">
        <is>
          <t>https://new.land.naver.com/complexes/2299?tab=detail&amp;rf=Y</t>
        </is>
      </c>
      <c r="AA749" s="0" t="inlineStr">
        <is>
          <t>인천시 서구 마전동 987-9</t>
        </is>
      </c>
      <c r="AB749" s="0" t="inlineStr">
        <is>
          <t>인천시</t>
        </is>
      </c>
      <c r="AC749" s="0" t="inlineStr">
        <is>
          <t>서구</t>
        </is>
      </c>
      <c r="AD749" s="0" t="inlineStr">
        <is>
          <t>마전동</t>
        </is>
      </c>
      <c r="AG749" s="0" t="inlineStr">
        <is>
          <t>인천시 서구 검단로518번길 12</t>
        </is>
      </c>
      <c r="AH749" s="0" t="n">
        <v>0</v>
      </c>
      <c r="AI749" s="0" t="n">
        <v>191</v>
      </c>
      <c r="AJ749" s="0" t="n">
        <v>38</v>
      </c>
      <c r="AK749" s="0" t="n">
        <v>0</v>
      </c>
      <c r="AL749" s="0" t="n">
        <v>0</v>
      </c>
    </row>
    <row r="750">
      <c r="A750" s="0" t="inlineStr">
        <is>
          <t>[마전동]</t>
        </is>
      </c>
      <c r="B750" s="0" t="n">
        <v>2299</v>
      </c>
      <c r="C750" s="0" t="n">
        <v>4</v>
      </c>
      <c r="D750" s="0" t="inlineStr">
        <is>
          <t>유호</t>
        </is>
      </c>
      <c r="E750" s="0" t="inlineStr">
        <is>
          <t>1992.02.</t>
        </is>
      </c>
      <c r="F750" s="0" t="n">
        <v>255</v>
      </c>
      <c r="G750" s="0" t="n">
        <v>22.4</v>
      </c>
      <c r="H750" s="0" t="n">
        <v>74.08</v>
      </c>
      <c r="I750" s="0" t="n">
        <v>17.1</v>
      </c>
      <c r="J750" s="0" t="n">
        <v>56.54</v>
      </c>
      <c r="K750" s="0" t="n">
        <v>5</v>
      </c>
      <c r="T750" s="0" t="n">
        <v>3</v>
      </c>
      <c r="U750" s="0" t="n">
        <v>1</v>
      </c>
      <c r="V750" s="0" t="inlineStr">
        <is>
          <t>계단식</t>
        </is>
      </c>
      <c r="W750" s="0" t="n">
        <v>74</v>
      </c>
      <c r="X750" s="0" t="n">
        <v>5</v>
      </c>
      <c r="Y750" s="0" t="n">
        <v>5</v>
      </c>
      <c r="Z750" s="0" t="inlineStr">
        <is>
          <t>https://new.land.naver.com/complexes/2299?tab=detail&amp;rf=Y</t>
        </is>
      </c>
      <c r="AA750" s="0" t="inlineStr">
        <is>
          <t>인천시 서구 마전동 987-9</t>
        </is>
      </c>
      <c r="AB750" s="0" t="inlineStr">
        <is>
          <t>인천시</t>
        </is>
      </c>
      <c r="AC750" s="0" t="inlineStr">
        <is>
          <t>서구</t>
        </is>
      </c>
      <c r="AD750" s="0" t="inlineStr">
        <is>
          <t>마전동</t>
        </is>
      </c>
      <c r="AG750" s="0" t="inlineStr">
        <is>
          <t>인천시 서구 검단로518번길 12</t>
        </is>
      </c>
      <c r="AH750" s="0" t="n">
        <v>0</v>
      </c>
      <c r="AI750" s="0" t="n">
        <v>191</v>
      </c>
      <c r="AJ750" s="0" t="n">
        <v>38</v>
      </c>
      <c r="AK750" s="0" t="n">
        <v>0</v>
      </c>
      <c r="AL750" s="0" t="n">
        <v>0</v>
      </c>
    </row>
    <row r="751">
      <c r="A751" s="0" t="inlineStr">
        <is>
          <t>[마전동]</t>
        </is>
      </c>
      <c r="B751" s="0" t="n">
        <v>2299</v>
      </c>
      <c r="C751" s="0" t="n">
        <v>5</v>
      </c>
      <c r="D751" s="0" t="inlineStr">
        <is>
          <t>유호</t>
        </is>
      </c>
      <c r="E751" s="0" t="inlineStr">
        <is>
          <t>1992.02.</t>
        </is>
      </c>
      <c r="F751" s="0" t="n">
        <v>255</v>
      </c>
      <c r="G751" s="0" t="n">
        <v>22.72</v>
      </c>
      <c r="H751" s="0" t="n">
        <v>75.11</v>
      </c>
      <c r="I751" s="0" t="n">
        <v>17.36</v>
      </c>
      <c r="J751" s="0" t="n">
        <v>57.42</v>
      </c>
      <c r="K751" s="0" t="n">
        <v>30</v>
      </c>
      <c r="T751" s="0" t="n">
        <v>3</v>
      </c>
      <c r="U751" s="0" t="n">
        <v>1</v>
      </c>
      <c r="V751" s="0" t="inlineStr">
        <is>
          <t>계단식</t>
        </is>
      </c>
      <c r="W751" s="0" t="inlineStr">
        <is>
          <t>75B</t>
        </is>
      </c>
      <c r="X751" s="0" t="n">
        <v>5</v>
      </c>
      <c r="Y751" s="0" t="n">
        <v>5</v>
      </c>
      <c r="Z751" s="0" t="inlineStr">
        <is>
          <t>https://new.land.naver.com/complexes/2299?tab=detail&amp;rf=Y</t>
        </is>
      </c>
      <c r="AA751" s="0" t="inlineStr">
        <is>
          <t>인천시 서구 마전동 987-9</t>
        </is>
      </c>
      <c r="AB751" s="0" t="inlineStr">
        <is>
          <t>인천시</t>
        </is>
      </c>
      <c r="AC751" s="0" t="inlineStr">
        <is>
          <t>서구</t>
        </is>
      </c>
      <c r="AD751" s="0" t="inlineStr">
        <is>
          <t>마전동</t>
        </is>
      </c>
      <c r="AG751" s="0" t="inlineStr">
        <is>
          <t>인천시 서구 검단로518번길 12</t>
        </is>
      </c>
      <c r="AH751" s="0" t="n">
        <v>0</v>
      </c>
      <c r="AI751" s="0" t="n">
        <v>191</v>
      </c>
      <c r="AJ751" s="0" t="n">
        <v>38</v>
      </c>
      <c r="AK751" s="0" t="n">
        <v>0</v>
      </c>
      <c r="AL751" s="0" t="n">
        <v>0</v>
      </c>
    </row>
    <row r="752">
      <c r="A752" s="0" t="inlineStr">
        <is>
          <t>[마전동]</t>
        </is>
      </c>
      <c r="B752" s="0" t="n">
        <v>2299</v>
      </c>
      <c r="C752" s="0" t="n">
        <v>6</v>
      </c>
      <c r="D752" s="0" t="inlineStr">
        <is>
          <t>유호</t>
        </is>
      </c>
      <c r="E752" s="0" t="inlineStr">
        <is>
          <t>1992.02.</t>
        </is>
      </c>
      <c r="F752" s="0" t="n">
        <v>255</v>
      </c>
      <c r="G752" s="0" t="n">
        <v>22.76</v>
      </c>
      <c r="H752" s="0" t="n">
        <v>75.27</v>
      </c>
      <c r="I752" s="0" t="n">
        <v>17.38</v>
      </c>
      <c r="J752" s="0" t="n">
        <v>57.48</v>
      </c>
      <c r="K752" s="0" t="n">
        <v>20</v>
      </c>
      <c r="T752" s="0" t="n">
        <v>3</v>
      </c>
      <c r="U752" s="0" t="n">
        <v>1</v>
      </c>
      <c r="V752" s="0" t="inlineStr">
        <is>
          <t>계단식</t>
        </is>
      </c>
      <c r="W752" s="0" t="inlineStr">
        <is>
          <t>75C</t>
        </is>
      </c>
      <c r="X752" s="0" t="n">
        <v>5</v>
      </c>
      <c r="Y752" s="0" t="n">
        <v>5</v>
      </c>
      <c r="Z752" s="0" t="inlineStr">
        <is>
          <t>https://new.land.naver.com/complexes/2299?tab=detail&amp;rf=Y</t>
        </is>
      </c>
      <c r="AA752" s="0" t="inlineStr">
        <is>
          <t>인천시 서구 마전동 987-9</t>
        </is>
      </c>
      <c r="AB752" s="0" t="inlineStr">
        <is>
          <t>인천시</t>
        </is>
      </c>
      <c r="AC752" s="0" t="inlineStr">
        <is>
          <t>서구</t>
        </is>
      </c>
      <c r="AD752" s="0" t="inlineStr">
        <is>
          <t>마전동</t>
        </is>
      </c>
      <c r="AG752" s="0" t="inlineStr">
        <is>
          <t>인천시 서구 검단로518번길 12</t>
        </is>
      </c>
      <c r="AH752" s="0" t="n">
        <v>0</v>
      </c>
      <c r="AI752" s="0" t="n">
        <v>191</v>
      </c>
      <c r="AJ752" s="0" t="n">
        <v>38</v>
      </c>
      <c r="AK752" s="0" t="n">
        <v>0</v>
      </c>
      <c r="AL752" s="0" t="n">
        <v>0</v>
      </c>
    </row>
    <row r="753">
      <c r="A753" s="0" t="inlineStr">
        <is>
          <t>[마전동]</t>
        </is>
      </c>
      <c r="B753" s="0" t="n">
        <v>2299</v>
      </c>
      <c r="C753" s="0" t="n">
        <v>7</v>
      </c>
      <c r="D753" s="0" t="inlineStr">
        <is>
          <t>유호</t>
        </is>
      </c>
      <c r="E753" s="0" t="inlineStr">
        <is>
          <t>1992.02.</t>
        </is>
      </c>
      <c r="F753" s="0" t="n">
        <v>255</v>
      </c>
      <c r="G753" s="0" t="n">
        <v>23.57</v>
      </c>
      <c r="H753" s="0" t="n">
        <v>77.95</v>
      </c>
      <c r="I753" s="0" t="n">
        <v>18.04</v>
      </c>
      <c r="J753" s="0" t="n">
        <v>59.64</v>
      </c>
      <c r="K753" s="0" t="n">
        <v>60</v>
      </c>
      <c r="T753" s="0" t="n">
        <v>3</v>
      </c>
      <c r="U753" s="0" t="n">
        <v>1</v>
      </c>
      <c r="V753" s="0" t="inlineStr">
        <is>
          <t>계단식</t>
        </is>
      </c>
      <c r="W753" s="0" t="n">
        <v>77</v>
      </c>
      <c r="X753" s="0" t="n">
        <v>5</v>
      </c>
      <c r="Y753" s="0" t="n">
        <v>5</v>
      </c>
      <c r="Z753" s="0" t="inlineStr">
        <is>
          <t>https://new.land.naver.com/complexes/2299?tab=detail&amp;rf=Y</t>
        </is>
      </c>
      <c r="AA753" s="0" t="inlineStr">
        <is>
          <t>인천시 서구 마전동 987-9</t>
        </is>
      </c>
      <c r="AB753" s="0" t="inlineStr">
        <is>
          <t>인천시</t>
        </is>
      </c>
      <c r="AC753" s="0" t="inlineStr">
        <is>
          <t>서구</t>
        </is>
      </c>
      <c r="AD753" s="0" t="inlineStr">
        <is>
          <t>마전동</t>
        </is>
      </c>
      <c r="AG753" s="0" t="inlineStr">
        <is>
          <t>인천시 서구 검단로518번길 12</t>
        </is>
      </c>
      <c r="AH753" s="0" t="n">
        <v>0</v>
      </c>
      <c r="AI753" s="0" t="n">
        <v>191</v>
      </c>
      <c r="AJ753" s="0" t="n">
        <v>38</v>
      </c>
      <c r="AK753" s="0" t="n">
        <v>0</v>
      </c>
      <c r="AL753" s="0" t="n">
        <v>0</v>
      </c>
    </row>
    <row r="754">
      <c r="A754" s="0" t="inlineStr">
        <is>
          <t>[마전동]</t>
        </is>
      </c>
      <c r="B754" s="0" t="n">
        <v>2299</v>
      </c>
      <c r="C754" s="0" t="n">
        <v>8</v>
      </c>
      <c r="D754" s="0" t="inlineStr">
        <is>
          <t>유호</t>
        </is>
      </c>
      <c r="E754" s="0" t="inlineStr">
        <is>
          <t>1992.02.</t>
        </is>
      </c>
      <c r="F754" s="0" t="n">
        <v>255</v>
      </c>
      <c r="G754" s="0" t="n">
        <v>33.13</v>
      </c>
      <c r="H754" s="0" t="n">
        <v>109.53</v>
      </c>
      <c r="I754" s="0" t="n">
        <v>25.61</v>
      </c>
      <c r="J754" s="0" t="n">
        <v>84.69</v>
      </c>
      <c r="K754" s="0" t="n">
        <v>30</v>
      </c>
      <c r="T754" s="0" t="n">
        <v>3</v>
      </c>
      <c r="U754" s="0" t="n">
        <v>2</v>
      </c>
      <c r="V754" s="0" t="inlineStr">
        <is>
          <t>계단식</t>
        </is>
      </c>
      <c r="W754" s="0" t="n">
        <v>109</v>
      </c>
      <c r="X754" s="0" t="n">
        <v>5</v>
      </c>
      <c r="Y754" s="0" t="n">
        <v>5</v>
      </c>
      <c r="Z754" s="0" t="inlineStr">
        <is>
          <t>https://new.land.naver.com/complexes/2299?tab=detail&amp;rf=Y</t>
        </is>
      </c>
      <c r="AA754" s="0" t="inlineStr">
        <is>
          <t>인천시 서구 마전동 987-9</t>
        </is>
      </c>
      <c r="AB754" s="0" t="inlineStr">
        <is>
          <t>인천시</t>
        </is>
      </c>
      <c r="AC754" s="0" t="inlineStr">
        <is>
          <t>서구</t>
        </is>
      </c>
      <c r="AD754" s="0" t="inlineStr">
        <is>
          <t>마전동</t>
        </is>
      </c>
      <c r="AG754" s="0" t="inlineStr">
        <is>
          <t>인천시 서구 검단로518번길 12</t>
        </is>
      </c>
      <c r="AH754" s="0" t="n">
        <v>0</v>
      </c>
      <c r="AI754" s="0" t="n">
        <v>191</v>
      </c>
      <c r="AJ754" s="0" t="n">
        <v>38</v>
      </c>
      <c r="AK754" s="0" t="n">
        <v>0</v>
      </c>
      <c r="AL754" s="0" t="n">
        <v>0</v>
      </c>
    </row>
    <row r="755">
      <c r="A755" s="0" t="inlineStr">
        <is>
          <t>[마전동]</t>
        </is>
      </c>
      <c r="B755" s="0" t="n">
        <v>2299</v>
      </c>
      <c r="C755" s="0" t="n">
        <v>9</v>
      </c>
      <c r="D755" s="0" t="inlineStr">
        <is>
          <t>유호</t>
        </is>
      </c>
      <c r="E755" s="0" t="inlineStr">
        <is>
          <t>1992.02.</t>
        </is>
      </c>
      <c r="F755" s="0" t="n">
        <v>255</v>
      </c>
      <c r="G755" s="0" t="n">
        <v>34.76</v>
      </c>
      <c r="H755" s="0" t="n">
        <v>114.92</v>
      </c>
      <c r="I755" s="0" t="n">
        <v>25.61</v>
      </c>
      <c r="J755" s="0" t="n">
        <v>84.69</v>
      </c>
      <c r="K755" s="0" t="n">
        <v>5</v>
      </c>
      <c r="T755" s="0" t="n">
        <v>3</v>
      </c>
      <c r="U755" s="0" t="n">
        <v>2</v>
      </c>
      <c r="V755" s="0" t="inlineStr">
        <is>
          <t>복합식</t>
        </is>
      </c>
      <c r="W755" s="0" t="n">
        <v>114</v>
      </c>
      <c r="X755" s="0" t="n">
        <v>5</v>
      </c>
      <c r="Y755" s="0" t="n">
        <v>5</v>
      </c>
      <c r="Z755" s="0" t="inlineStr">
        <is>
          <t>https://new.land.naver.com/complexes/2299?tab=detail&amp;rf=Y</t>
        </is>
      </c>
      <c r="AA755" s="0" t="inlineStr">
        <is>
          <t>인천시 서구 마전동 987-9</t>
        </is>
      </c>
      <c r="AB755" s="0" t="inlineStr">
        <is>
          <t>인천시</t>
        </is>
      </c>
      <c r="AC755" s="0" t="inlineStr">
        <is>
          <t>서구</t>
        </is>
      </c>
      <c r="AD755" s="0" t="inlineStr">
        <is>
          <t>마전동</t>
        </is>
      </c>
      <c r="AG755" s="0" t="inlineStr">
        <is>
          <t>인천시 서구 검단로518번길 12</t>
        </is>
      </c>
      <c r="AH755" s="0" t="n">
        <v>0</v>
      </c>
      <c r="AI755" s="0" t="n">
        <v>191</v>
      </c>
      <c r="AJ755" s="0" t="n">
        <v>38</v>
      </c>
      <c r="AK755" s="0" t="n">
        <v>0</v>
      </c>
      <c r="AL755" s="0" t="n">
        <v>0</v>
      </c>
    </row>
    <row r="756">
      <c r="A756" s="0" t="inlineStr">
        <is>
          <t>[마전동]</t>
        </is>
      </c>
      <c r="B756" s="0" t="n">
        <v>137224</v>
      </c>
      <c r="C756" s="0" t="n">
        <v>1</v>
      </c>
      <c r="D756" s="0" t="inlineStr">
        <is>
          <t>클라우스(도시형)</t>
        </is>
      </c>
      <c r="E756" s="0" t="inlineStr">
        <is>
          <t>2015.04.</t>
        </is>
      </c>
      <c r="F756" s="0" t="n">
        <v>48</v>
      </c>
      <c r="G756" s="0" t="n">
        <v>17.05</v>
      </c>
      <c r="H756" s="0" t="n">
        <v>56.38</v>
      </c>
      <c r="I756" s="0" t="n">
        <v>15.11</v>
      </c>
      <c r="J756" s="0" t="n">
        <v>49.96</v>
      </c>
      <c r="K756" s="0" t="n">
        <v>16</v>
      </c>
      <c r="T756" s="0" t="n">
        <v>2</v>
      </c>
      <c r="U756" s="0" t="n">
        <v>1</v>
      </c>
      <c r="V756" s="0" t="inlineStr">
        <is>
          <t>계단식</t>
        </is>
      </c>
      <c r="W756" s="0" t="inlineStr">
        <is>
          <t>56B</t>
        </is>
      </c>
      <c r="X756" s="0" t="n">
        <v>7</v>
      </c>
      <c r="Y756" s="0" t="n">
        <v>7</v>
      </c>
      <c r="Z756" s="0" t="inlineStr">
        <is>
          <t>https://new.land.naver.com/complexes/137224?tab=detail&amp;rf=Y</t>
        </is>
      </c>
      <c r="AA756" s="0" t="inlineStr">
        <is>
          <t>인천시 서구 마전동 981-4</t>
        </is>
      </c>
      <c r="AB756" s="0" t="inlineStr">
        <is>
          <t>인천시</t>
        </is>
      </c>
      <c r="AC756" s="0" t="inlineStr">
        <is>
          <t>서구</t>
        </is>
      </c>
      <c r="AD756" s="0" t="inlineStr">
        <is>
          <t>마전동</t>
        </is>
      </c>
      <c r="AG756" s="0" t="inlineStr">
        <is>
          <t>인천시 서구 검단로502번길 8</t>
        </is>
      </c>
      <c r="AH756" s="0" t="n">
        <v>0</v>
      </c>
      <c r="AI756" s="0" t="n">
        <v>0</v>
      </c>
      <c r="AJ756" s="0" t="n">
        <v>0</v>
      </c>
      <c r="AK756" s="0" t="n">
        <v>37</v>
      </c>
      <c r="AL756" s="0" t="n">
        <v>0.77</v>
      </c>
    </row>
    <row r="757">
      <c r="A757" s="0" t="inlineStr">
        <is>
          <t>[마전동]</t>
        </is>
      </c>
      <c r="B757" s="0" t="n">
        <v>137224</v>
      </c>
      <c r="C757" s="0" t="n">
        <v>2</v>
      </c>
      <c r="D757" s="0" t="inlineStr">
        <is>
          <t>클라우스(도시형)</t>
        </is>
      </c>
      <c r="E757" s="0" t="inlineStr">
        <is>
          <t>2015.04.</t>
        </is>
      </c>
      <c r="F757" s="0" t="n">
        <v>48</v>
      </c>
      <c r="G757" s="0" t="n">
        <v>17</v>
      </c>
      <c r="H757" s="0" t="n">
        <v>56.2</v>
      </c>
      <c r="I757" s="0" t="n">
        <v>15.06</v>
      </c>
      <c r="J757" s="0" t="n">
        <v>49.8</v>
      </c>
      <c r="K757" s="0" t="n">
        <v>8</v>
      </c>
      <c r="T757" s="0" t="n">
        <v>2</v>
      </c>
      <c r="U757" s="0" t="n">
        <v>1</v>
      </c>
      <c r="V757" s="0" t="inlineStr">
        <is>
          <t>계단식</t>
        </is>
      </c>
      <c r="W757" s="0" t="inlineStr">
        <is>
          <t>56A</t>
        </is>
      </c>
      <c r="X757" s="0" t="n">
        <v>7</v>
      </c>
      <c r="Y757" s="0" t="n">
        <v>7</v>
      </c>
      <c r="Z757" s="0" t="inlineStr">
        <is>
          <t>https://new.land.naver.com/complexes/137224?tab=detail&amp;rf=Y</t>
        </is>
      </c>
      <c r="AA757" s="0" t="inlineStr">
        <is>
          <t>인천시 서구 마전동 981-4</t>
        </is>
      </c>
      <c r="AB757" s="0" t="inlineStr">
        <is>
          <t>인천시</t>
        </is>
      </c>
      <c r="AC757" s="0" t="inlineStr">
        <is>
          <t>서구</t>
        </is>
      </c>
      <c r="AD757" s="0" t="inlineStr">
        <is>
          <t>마전동</t>
        </is>
      </c>
      <c r="AG757" s="0" t="inlineStr">
        <is>
          <t>인천시 서구 검단로502번길 8</t>
        </is>
      </c>
      <c r="AH757" s="0" t="n">
        <v>0</v>
      </c>
      <c r="AI757" s="0" t="n">
        <v>0</v>
      </c>
      <c r="AJ757" s="0" t="n">
        <v>0</v>
      </c>
      <c r="AK757" s="0" t="n">
        <v>37</v>
      </c>
      <c r="AL757" s="0" t="n">
        <v>0.77</v>
      </c>
    </row>
    <row r="758">
      <c r="A758" s="0" t="inlineStr">
        <is>
          <t>[마전동]</t>
        </is>
      </c>
      <c r="B758" s="0" t="n">
        <v>137224</v>
      </c>
      <c r="C758" s="0" t="n">
        <v>3</v>
      </c>
      <c r="D758" s="0" t="inlineStr">
        <is>
          <t>클라우스(도시형)</t>
        </is>
      </c>
      <c r="E758" s="0" t="inlineStr">
        <is>
          <t>2015.04.</t>
        </is>
      </c>
      <c r="F758" s="0" t="n">
        <v>48</v>
      </c>
      <c r="G758" s="0" t="n">
        <v>19.65</v>
      </c>
      <c r="H758" s="0" t="n">
        <v>64.98999999999999</v>
      </c>
      <c r="I758" s="0" t="n">
        <v>15.11</v>
      </c>
      <c r="J758" s="0" t="n">
        <v>49.98</v>
      </c>
      <c r="K758" s="0" t="n">
        <v>16</v>
      </c>
      <c r="T758" s="0" t="n">
        <v>3</v>
      </c>
      <c r="U758" s="0" t="n">
        <v>1</v>
      </c>
      <c r="V758" s="0" t="inlineStr">
        <is>
          <t>계단식</t>
        </is>
      </c>
      <c r="W758" s="0" t="inlineStr">
        <is>
          <t>64B</t>
        </is>
      </c>
      <c r="X758" s="0" t="n">
        <v>7</v>
      </c>
      <c r="Y758" s="0" t="n">
        <v>7</v>
      </c>
      <c r="Z758" s="0" t="inlineStr">
        <is>
          <t>https://new.land.naver.com/complexes/137224?tab=detail&amp;rf=Y</t>
        </is>
      </c>
      <c r="AA758" s="0" t="inlineStr">
        <is>
          <t>인천시 서구 마전동 981-4</t>
        </is>
      </c>
      <c r="AB758" s="0" t="inlineStr">
        <is>
          <t>인천시</t>
        </is>
      </c>
      <c r="AC758" s="0" t="inlineStr">
        <is>
          <t>서구</t>
        </is>
      </c>
      <c r="AD758" s="0" t="inlineStr">
        <is>
          <t>마전동</t>
        </is>
      </c>
      <c r="AG758" s="0" t="inlineStr">
        <is>
          <t>인천시 서구 검단로502번길 8</t>
        </is>
      </c>
      <c r="AH758" s="0" t="n">
        <v>0</v>
      </c>
      <c r="AI758" s="0" t="n">
        <v>0</v>
      </c>
      <c r="AJ758" s="0" t="n">
        <v>0</v>
      </c>
      <c r="AK758" s="0" t="n">
        <v>37</v>
      </c>
      <c r="AL758" s="0" t="n">
        <v>0.77</v>
      </c>
    </row>
    <row r="759">
      <c r="A759" s="0" t="inlineStr">
        <is>
          <t>[마전동]</t>
        </is>
      </c>
      <c r="B759" s="0" t="n">
        <v>137224</v>
      </c>
      <c r="C759" s="0" t="n">
        <v>4</v>
      </c>
      <c r="D759" s="0" t="inlineStr">
        <is>
          <t>클라우스(도시형)</t>
        </is>
      </c>
      <c r="E759" s="0" t="inlineStr">
        <is>
          <t>2015.04.</t>
        </is>
      </c>
      <c r="F759" s="0" t="n">
        <v>48</v>
      </c>
      <c r="G759" s="0" t="n">
        <v>19.62</v>
      </c>
      <c r="H759" s="0" t="n">
        <v>64.87</v>
      </c>
      <c r="I759" s="0" t="n">
        <v>15.09</v>
      </c>
      <c r="J759" s="0" t="n">
        <v>49.89</v>
      </c>
      <c r="K759" s="0" t="n">
        <v>8</v>
      </c>
      <c r="T759" s="0" t="n">
        <v>3</v>
      </c>
      <c r="U759" s="0" t="n">
        <v>1</v>
      </c>
      <c r="V759" s="0" t="inlineStr">
        <is>
          <t>계단식</t>
        </is>
      </c>
      <c r="W759" s="0" t="inlineStr">
        <is>
          <t>64A</t>
        </is>
      </c>
      <c r="X759" s="0" t="n">
        <v>7</v>
      </c>
      <c r="Y759" s="0" t="n">
        <v>7</v>
      </c>
      <c r="Z759" s="0" t="inlineStr">
        <is>
          <t>https://new.land.naver.com/complexes/137224?tab=detail&amp;rf=Y</t>
        </is>
      </c>
      <c r="AA759" s="0" t="inlineStr">
        <is>
          <t>인천시 서구 마전동 981-4</t>
        </is>
      </c>
      <c r="AB759" s="0" t="inlineStr">
        <is>
          <t>인천시</t>
        </is>
      </c>
      <c r="AC759" s="0" t="inlineStr">
        <is>
          <t>서구</t>
        </is>
      </c>
      <c r="AD759" s="0" t="inlineStr">
        <is>
          <t>마전동</t>
        </is>
      </c>
      <c r="AG759" s="0" t="inlineStr">
        <is>
          <t>인천시 서구 검단로502번길 8</t>
        </is>
      </c>
      <c r="AH759" s="0" t="n">
        <v>0</v>
      </c>
      <c r="AI759" s="0" t="n">
        <v>0</v>
      </c>
      <c r="AJ759" s="0" t="n">
        <v>0</v>
      </c>
      <c r="AK759" s="0" t="n">
        <v>37</v>
      </c>
      <c r="AL759" s="0" t="n">
        <v>0.77</v>
      </c>
    </row>
    <row r="760">
      <c r="A760" s="0" t="inlineStr">
        <is>
          <t>[마전동]</t>
        </is>
      </c>
      <c r="B760" s="0" t="n">
        <v>113806</v>
      </c>
      <c r="C760" s="0" t="n">
        <v>1</v>
      </c>
      <c r="D760" s="0" t="inlineStr">
        <is>
          <t>검단우방아이유쉘2차</t>
        </is>
      </c>
      <c r="E760" s="0" t="inlineStr">
        <is>
          <t>2018.06.</t>
        </is>
      </c>
      <c r="F760" s="0" t="n">
        <v>380</v>
      </c>
      <c r="G760" s="0" t="n">
        <v>25.48</v>
      </c>
      <c r="H760" s="0" t="n">
        <v>84.25</v>
      </c>
      <c r="I760" s="0" t="n">
        <v>18.12</v>
      </c>
      <c r="J760" s="0" t="n">
        <v>59.93</v>
      </c>
      <c r="K760" s="0" t="n">
        <v>209</v>
      </c>
      <c r="T760" s="0" t="n">
        <v>3</v>
      </c>
      <c r="U760" s="0" t="n">
        <v>2</v>
      </c>
      <c r="V760" s="0" t="inlineStr">
        <is>
          <t>계단식</t>
        </is>
      </c>
      <c r="W760" s="0" t="inlineStr">
        <is>
          <t>84A</t>
        </is>
      </c>
      <c r="X760" s="0" t="n">
        <v>15</v>
      </c>
      <c r="Y760" s="0" t="n">
        <v>10</v>
      </c>
      <c r="Z760" s="0" t="inlineStr">
        <is>
          <t>https://new.land.naver.com/complexes/113806?tab=detail&amp;rf=Y</t>
        </is>
      </c>
      <c r="AA760" s="0" t="inlineStr">
        <is>
          <t>인천시 서구 마전동 1123-1</t>
        </is>
      </c>
      <c r="AB760" s="0" t="inlineStr">
        <is>
          <t>인천시</t>
        </is>
      </c>
      <c r="AC760" s="0" t="inlineStr">
        <is>
          <t>서구</t>
        </is>
      </c>
      <c r="AD760" s="0" t="inlineStr">
        <is>
          <t>마전동</t>
        </is>
      </c>
      <c r="AG760" s="0" t="inlineStr">
        <is>
          <t>인천시 서구 완정로 126</t>
        </is>
      </c>
      <c r="AH760" s="0" t="n">
        <v>0</v>
      </c>
      <c r="AI760" s="0" t="n">
        <v>213</v>
      </c>
      <c r="AJ760" s="0" t="n">
        <v>27</v>
      </c>
      <c r="AK760" s="0" t="n">
        <v>469</v>
      </c>
      <c r="AL760" s="0" t="n">
        <v>1.23</v>
      </c>
    </row>
    <row r="761">
      <c r="A761" s="0" t="inlineStr">
        <is>
          <t>[마전동]</t>
        </is>
      </c>
      <c r="B761" s="0" t="n">
        <v>113806</v>
      </c>
      <c r="C761" s="0" t="n">
        <v>2</v>
      </c>
      <c r="D761" s="0" t="inlineStr">
        <is>
          <t>검단우방아이유쉘2차</t>
        </is>
      </c>
      <c r="E761" s="0" t="inlineStr">
        <is>
          <t>2018.06.</t>
        </is>
      </c>
      <c r="F761" s="0" t="n">
        <v>380</v>
      </c>
      <c r="G761" s="0" t="n">
        <v>25.76</v>
      </c>
      <c r="H761" s="0" t="n">
        <v>85.19</v>
      </c>
      <c r="I761" s="0" t="n">
        <v>18.12</v>
      </c>
      <c r="J761" s="0" t="n">
        <v>59.93</v>
      </c>
      <c r="K761" s="0" t="n">
        <v>22</v>
      </c>
      <c r="T761" s="0" t="n">
        <v>3</v>
      </c>
      <c r="U761" s="0" t="n">
        <v>2</v>
      </c>
      <c r="V761" s="0" t="inlineStr">
        <is>
          <t>계단식</t>
        </is>
      </c>
      <c r="W761" s="0" t="inlineStr">
        <is>
          <t>85B</t>
        </is>
      </c>
      <c r="X761" s="0" t="n">
        <v>15</v>
      </c>
      <c r="Y761" s="0" t="n">
        <v>10</v>
      </c>
      <c r="Z761" s="0" t="inlineStr">
        <is>
          <t>https://new.land.naver.com/complexes/113806?tab=detail&amp;rf=Y</t>
        </is>
      </c>
      <c r="AA761" s="0" t="inlineStr">
        <is>
          <t>인천시 서구 마전동 1123-1</t>
        </is>
      </c>
      <c r="AB761" s="0" t="inlineStr">
        <is>
          <t>인천시</t>
        </is>
      </c>
      <c r="AC761" s="0" t="inlineStr">
        <is>
          <t>서구</t>
        </is>
      </c>
      <c r="AD761" s="0" t="inlineStr">
        <is>
          <t>마전동</t>
        </is>
      </c>
      <c r="AG761" s="0" t="inlineStr">
        <is>
          <t>인천시 서구 완정로 126</t>
        </is>
      </c>
      <c r="AH761" s="0" t="n">
        <v>0</v>
      </c>
      <c r="AI761" s="0" t="n">
        <v>213</v>
      </c>
      <c r="AJ761" s="0" t="n">
        <v>27</v>
      </c>
      <c r="AK761" s="0" t="n">
        <v>469</v>
      </c>
      <c r="AL761" s="0" t="n">
        <v>1.23</v>
      </c>
    </row>
    <row r="762">
      <c r="A762" s="0" t="inlineStr">
        <is>
          <t>[마전동]</t>
        </is>
      </c>
      <c r="B762" s="0" t="n">
        <v>113806</v>
      </c>
      <c r="C762" s="0" t="n">
        <v>3</v>
      </c>
      <c r="D762" s="0" t="inlineStr">
        <is>
          <t>검단우방아이유쉘2차</t>
        </is>
      </c>
      <c r="E762" s="0" t="inlineStr">
        <is>
          <t>2018.06.</t>
        </is>
      </c>
      <c r="F762" s="0" t="n">
        <v>380</v>
      </c>
      <c r="G762" s="0" t="n">
        <v>34.82</v>
      </c>
      <c r="H762" s="0" t="n">
        <v>115.12</v>
      </c>
      <c r="I762" s="0" t="n">
        <v>25.67</v>
      </c>
      <c r="J762" s="0" t="n">
        <v>84.89</v>
      </c>
      <c r="K762" s="0" t="n">
        <v>30</v>
      </c>
      <c r="T762" s="0" t="n">
        <v>4</v>
      </c>
      <c r="U762" s="0" t="n">
        <v>2</v>
      </c>
      <c r="V762" s="0" t="inlineStr">
        <is>
          <t>계단식</t>
        </is>
      </c>
      <c r="W762" s="0" t="inlineStr">
        <is>
          <t>115A</t>
        </is>
      </c>
      <c r="X762" s="0" t="n">
        <v>15</v>
      </c>
      <c r="Y762" s="0" t="n">
        <v>10</v>
      </c>
      <c r="Z762" s="0" t="inlineStr">
        <is>
          <t>https://new.land.naver.com/complexes/113806?tab=detail&amp;rf=Y</t>
        </is>
      </c>
      <c r="AA762" s="0" t="inlineStr">
        <is>
          <t>인천시 서구 마전동 1123-1</t>
        </is>
      </c>
      <c r="AB762" s="0" t="inlineStr">
        <is>
          <t>인천시</t>
        </is>
      </c>
      <c r="AC762" s="0" t="inlineStr">
        <is>
          <t>서구</t>
        </is>
      </c>
      <c r="AD762" s="0" t="inlineStr">
        <is>
          <t>마전동</t>
        </is>
      </c>
      <c r="AG762" s="0" t="inlineStr">
        <is>
          <t>인천시 서구 완정로 126</t>
        </is>
      </c>
      <c r="AH762" s="0" t="n">
        <v>0</v>
      </c>
      <c r="AI762" s="0" t="n">
        <v>213</v>
      </c>
      <c r="AJ762" s="0" t="n">
        <v>27</v>
      </c>
      <c r="AK762" s="0" t="n">
        <v>469</v>
      </c>
      <c r="AL762" s="0" t="n">
        <v>1.23</v>
      </c>
    </row>
    <row r="763">
      <c r="A763" s="0" t="inlineStr">
        <is>
          <t>[마전동]</t>
        </is>
      </c>
      <c r="B763" s="0" t="n">
        <v>113806</v>
      </c>
      <c r="C763" s="0" t="n">
        <v>4</v>
      </c>
      <c r="D763" s="0" t="inlineStr">
        <is>
          <t>검단우방아이유쉘2차</t>
        </is>
      </c>
      <c r="E763" s="0" t="inlineStr">
        <is>
          <t>2018.06.</t>
        </is>
      </c>
      <c r="F763" s="0" t="n">
        <v>380</v>
      </c>
      <c r="G763" s="0" t="n">
        <v>35.17</v>
      </c>
      <c r="H763" s="0" t="n">
        <v>116.29</v>
      </c>
      <c r="I763" s="0" t="n">
        <v>25.63</v>
      </c>
      <c r="J763" s="0" t="n">
        <v>84.76000000000001</v>
      </c>
      <c r="K763" s="0" t="n">
        <v>119</v>
      </c>
      <c r="T763" s="0" t="n">
        <v>3</v>
      </c>
      <c r="U763" s="0" t="n">
        <v>2</v>
      </c>
      <c r="V763" s="0" t="inlineStr">
        <is>
          <t>계단식</t>
        </is>
      </c>
      <c r="W763" s="0" t="inlineStr">
        <is>
          <t>116B</t>
        </is>
      </c>
      <c r="X763" s="0" t="n">
        <v>15</v>
      </c>
      <c r="Y763" s="0" t="n">
        <v>10</v>
      </c>
      <c r="Z763" s="0" t="inlineStr">
        <is>
          <t>https://new.land.naver.com/complexes/113806?tab=detail&amp;rf=Y</t>
        </is>
      </c>
      <c r="AA763" s="0" t="inlineStr">
        <is>
          <t>인천시 서구 마전동 1123-1</t>
        </is>
      </c>
      <c r="AB763" s="0" t="inlineStr">
        <is>
          <t>인천시</t>
        </is>
      </c>
      <c r="AC763" s="0" t="inlineStr">
        <is>
          <t>서구</t>
        </is>
      </c>
      <c r="AD763" s="0" t="inlineStr">
        <is>
          <t>마전동</t>
        </is>
      </c>
      <c r="AG763" s="0" t="inlineStr">
        <is>
          <t>인천시 서구 완정로 126</t>
        </is>
      </c>
      <c r="AH763" s="0" t="n">
        <v>0</v>
      </c>
      <c r="AI763" s="0" t="n">
        <v>213</v>
      </c>
      <c r="AJ763" s="0" t="n">
        <v>27</v>
      </c>
      <c r="AK763" s="0" t="n">
        <v>469</v>
      </c>
      <c r="AL763" s="0" t="n">
        <v>1.23</v>
      </c>
    </row>
    <row r="764">
      <c r="A764" s="0" t="inlineStr">
        <is>
          <t>[마전동]</t>
        </is>
      </c>
      <c r="B764" s="0" t="n">
        <v>124135</v>
      </c>
      <c r="C764" s="0" t="n">
        <v>1</v>
      </c>
      <c r="D764" s="0" t="inlineStr">
        <is>
          <t>우주마루7차(도시형)</t>
        </is>
      </c>
      <c r="E764" s="0" t="inlineStr">
        <is>
          <t>2019.01.</t>
        </is>
      </c>
      <c r="F764" s="0" t="n">
        <v>20</v>
      </c>
      <c r="G764" s="0" t="n">
        <v>29.46</v>
      </c>
      <c r="H764" s="0" t="n">
        <v>97.42</v>
      </c>
      <c r="I764" s="0" t="n">
        <v>22.02</v>
      </c>
      <c r="J764" s="0" t="n">
        <v>72.8</v>
      </c>
      <c r="K764" s="0" t="n">
        <v>4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97</v>
      </c>
      <c r="X764" s="0" t="n">
        <v>12</v>
      </c>
      <c r="Y764" s="0" t="n">
        <v>12</v>
      </c>
      <c r="Z764" s="0" t="inlineStr">
        <is>
          <t>https://new.land.naver.com/complexes/124135?tab=detail&amp;rf=Y</t>
        </is>
      </c>
      <c r="AA764" s="0" t="inlineStr">
        <is>
          <t>인천시 서구 마전동 982-7</t>
        </is>
      </c>
      <c r="AB764" s="0" t="inlineStr">
        <is>
          <t>인천시</t>
        </is>
      </c>
      <c r="AC764" s="0" t="inlineStr">
        <is>
          <t>서구</t>
        </is>
      </c>
      <c r="AD764" s="0" t="inlineStr">
        <is>
          <t>마전동</t>
        </is>
      </c>
      <c r="AG764" s="0" t="inlineStr">
        <is>
          <t>인천시 서구 완정로 136</t>
        </is>
      </c>
      <c r="AH764" s="0" t="n">
        <v>0</v>
      </c>
      <c r="AI764" s="0" t="n">
        <v>630</v>
      </c>
      <c r="AJ764" s="0" t="n">
        <v>68</v>
      </c>
      <c r="AK764" s="0" t="n">
        <v>20</v>
      </c>
      <c r="AL764" s="0" t="n">
        <v>1</v>
      </c>
    </row>
    <row r="765">
      <c r="A765" s="0" t="inlineStr">
        <is>
          <t>[마전동]</t>
        </is>
      </c>
      <c r="B765" s="0" t="n">
        <v>124135</v>
      </c>
      <c r="C765" s="0" t="n">
        <v>2</v>
      </c>
      <c r="D765" s="0" t="inlineStr">
        <is>
          <t>우주마루7차(도시형)</t>
        </is>
      </c>
      <c r="E765" s="0" t="inlineStr">
        <is>
          <t>2019.01.</t>
        </is>
      </c>
      <c r="F765" s="0" t="n">
        <v>20</v>
      </c>
      <c r="G765" s="0" t="n">
        <v>30.42</v>
      </c>
      <c r="H765" s="0" t="n">
        <v>100.58</v>
      </c>
      <c r="I765" s="0" t="n">
        <v>22.57</v>
      </c>
      <c r="J765" s="0" t="n">
        <v>74.64</v>
      </c>
      <c r="K765" s="0" t="n">
        <v>4</v>
      </c>
      <c r="T765" s="0" t="n">
        <v>3</v>
      </c>
      <c r="U765" s="0" t="n">
        <v>2</v>
      </c>
      <c r="V765" s="0" t="inlineStr">
        <is>
          <t>계단식</t>
        </is>
      </c>
      <c r="W765" s="0" t="inlineStr">
        <is>
          <t>100A</t>
        </is>
      </c>
      <c r="X765" s="0" t="n">
        <v>12</v>
      </c>
      <c r="Y765" s="0" t="n">
        <v>12</v>
      </c>
      <c r="Z765" s="0" t="inlineStr">
        <is>
          <t>https://new.land.naver.com/complexes/124135?tab=detail&amp;rf=Y</t>
        </is>
      </c>
      <c r="AA765" s="0" t="inlineStr">
        <is>
          <t>인천시 서구 마전동 982-7</t>
        </is>
      </c>
      <c r="AB765" s="0" t="inlineStr">
        <is>
          <t>인천시</t>
        </is>
      </c>
      <c r="AC765" s="0" t="inlineStr">
        <is>
          <t>서구</t>
        </is>
      </c>
      <c r="AD765" s="0" t="inlineStr">
        <is>
          <t>마전동</t>
        </is>
      </c>
      <c r="AG765" s="0" t="inlineStr">
        <is>
          <t>인천시 서구 완정로 136</t>
        </is>
      </c>
      <c r="AH765" s="0" t="n">
        <v>0</v>
      </c>
      <c r="AI765" s="0" t="n">
        <v>630</v>
      </c>
      <c r="AJ765" s="0" t="n">
        <v>68</v>
      </c>
      <c r="AK765" s="0" t="n">
        <v>20</v>
      </c>
      <c r="AL765" s="0" t="n">
        <v>1</v>
      </c>
    </row>
    <row r="766">
      <c r="A766" s="0" t="inlineStr">
        <is>
          <t>[마전동]</t>
        </is>
      </c>
      <c r="B766" s="0" t="n">
        <v>124135</v>
      </c>
      <c r="C766" s="0" t="n">
        <v>3</v>
      </c>
      <c r="D766" s="0" t="inlineStr">
        <is>
          <t>우주마루7차(도시형)</t>
        </is>
      </c>
      <c r="E766" s="0" t="inlineStr">
        <is>
          <t>2019.01.</t>
        </is>
      </c>
      <c r="F766" s="0" t="n">
        <v>20</v>
      </c>
      <c r="G766" s="0" t="n">
        <v>30.33</v>
      </c>
      <c r="H766" s="0" t="n">
        <v>100.28</v>
      </c>
      <c r="I766" s="0" t="n">
        <v>22.5</v>
      </c>
      <c r="J766" s="0" t="n">
        <v>74.41</v>
      </c>
      <c r="K766" s="0" t="n">
        <v>4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100B</t>
        </is>
      </c>
      <c r="X766" s="0" t="n">
        <v>12</v>
      </c>
      <c r="Y766" s="0" t="n">
        <v>12</v>
      </c>
      <c r="Z766" s="0" t="inlineStr">
        <is>
          <t>https://new.land.naver.com/complexes/124135?tab=detail&amp;rf=Y</t>
        </is>
      </c>
      <c r="AA766" s="0" t="inlineStr">
        <is>
          <t>인천시 서구 마전동 982-7</t>
        </is>
      </c>
      <c r="AB766" s="0" t="inlineStr">
        <is>
          <t>인천시</t>
        </is>
      </c>
      <c r="AC766" s="0" t="inlineStr">
        <is>
          <t>서구</t>
        </is>
      </c>
      <c r="AD766" s="0" t="inlineStr">
        <is>
          <t>마전동</t>
        </is>
      </c>
      <c r="AG766" s="0" t="inlineStr">
        <is>
          <t>인천시 서구 완정로 136</t>
        </is>
      </c>
      <c r="AH766" s="0" t="n">
        <v>0</v>
      </c>
      <c r="AI766" s="0" t="n">
        <v>630</v>
      </c>
      <c r="AJ766" s="0" t="n">
        <v>68</v>
      </c>
      <c r="AK766" s="0" t="n">
        <v>20</v>
      </c>
      <c r="AL766" s="0" t="n">
        <v>1</v>
      </c>
    </row>
    <row r="767">
      <c r="A767" s="0" t="inlineStr">
        <is>
          <t>[마전동]</t>
        </is>
      </c>
      <c r="B767" s="0" t="n">
        <v>124135</v>
      </c>
      <c r="C767" s="0" t="n">
        <v>4</v>
      </c>
      <c r="D767" s="0" t="inlineStr">
        <is>
          <t>우주마루7차(도시형)</t>
        </is>
      </c>
      <c r="E767" s="0" t="inlineStr">
        <is>
          <t>2019.01.</t>
        </is>
      </c>
      <c r="F767" s="0" t="n">
        <v>20</v>
      </c>
      <c r="G767" s="0" t="n">
        <v>30.79</v>
      </c>
      <c r="H767" s="0" t="n">
        <v>101.81</v>
      </c>
      <c r="I767" s="0" t="n">
        <v>22.6</v>
      </c>
      <c r="J767" s="0" t="n">
        <v>74.73</v>
      </c>
      <c r="K767" s="0" t="n">
        <v>4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101A</t>
        </is>
      </c>
      <c r="X767" s="0" t="n">
        <v>12</v>
      </c>
      <c r="Y767" s="0" t="n">
        <v>12</v>
      </c>
      <c r="Z767" s="0" t="inlineStr">
        <is>
          <t>https://new.land.naver.com/complexes/124135?tab=detail&amp;rf=Y</t>
        </is>
      </c>
      <c r="AA767" s="0" t="inlineStr">
        <is>
          <t>인천시 서구 마전동 982-7</t>
        </is>
      </c>
      <c r="AB767" s="0" t="inlineStr">
        <is>
          <t>인천시</t>
        </is>
      </c>
      <c r="AC767" s="0" t="inlineStr">
        <is>
          <t>서구</t>
        </is>
      </c>
      <c r="AD767" s="0" t="inlineStr">
        <is>
          <t>마전동</t>
        </is>
      </c>
      <c r="AG767" s="0" t="inlineStr">
        <is>
          <t>인천시 서구 완정로 136</t>
        </is>
      </c>
      <c r="AH767" s="0" t="n">
        <v>0</v>
      </c>
      <c r="AI767" s="0" t="n">
        <v>630</v>
      </c>
      <c r="AJ767" s="0" t="n">
        <v>68</v>
      </c>
      <c r="AK767" s="0" t="n">
        <v>20</v>
      </c>
      <c r="AL767" s="0" t="n">
        <v>1</v>
      </c>
    </row>
    <row r="768">
      <c r="A768" s="0" t="inlineStr">
        <is>
          <t>[마전동]</t>
        </is>
      </c>
      <c r="B768" s="0" t="n">
        <v>124135</v>
      </c>
      <c r="C768" s="0" t="n">
        <v>5</v>
      </c>
      <c r="D768" s="0" t="inlineStr">
        <is>
          <t>우주마루7차(도시형)</t>
        </is>
      </c>
      <c r="E768" s="0" t="inlineStr">
        <is>
          <t>2019.01.</t>
        </is>
      </c>
      <c r="F768" s="0" t="n">
        <v>20</v>
      </c>
      <c r="G768" s="0" t="n">
        <v>30.76</v>
      </c>
      <c r="H768" s="0" t="n">
        <v>101.71</v>
      </c>
      <c r="I768" s="0" t="n">
        <v>23.03</v>
      </c>
      <c r="J768" s="0" t="n">
        <v>76.15000000000001</v>
      </c>
      <c r="K768" s="0" t="n">
        <v>4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101B</t>
        </is>
      </c>
      <c r="X768" s="0" t="n">
        <v>12</v>
      </c>
      <c r="Y768" s="0" t="n">
        <v>12</v>
      </c>
      <c r="Z768" s="0" t="inlineStr">
        <is>
          <t>https://new.land.naver.com/complexes/124135?tab=detail&amp;rf=Y</t>
        </is>
      </c>
      <c r="AA768" s="0" t="inlineStr">
        <is>
          <t>인천시 서구 마전동 982-7</t>
        </is>
      </c>
      <c r="AB768" s="0" t="inlineStr">
        <is>
          <t>인천시</t>
        </is>
      </c>
      <c r="AC768" s="0" t="inlineStr">
        <is>
          <t>서구</t>
        </is>
      </c>
      <c r="AD768" s="0" t="inlineStr">
        <is>
          <t>마전동</t>
        </is>
      </c>
      <c r="AG768" s="0" t="inlineStr">
        <is>
          <t>인천시 서구 완정로 136</t>
        </is>
      </c>
      <c r="AH768" s="0" t="n">
        <v>0</v>
      </c>
      <c r="AI768" s="0" t="n">
        <v>630</v>
      </c>
      <c r="AJ768" s="0" t="n">
        <v>68</v>
      </c>
      <c r="AK768" s="0" t="n">
        <v>20</v>
      </c>
      <c r="AL768" s="0" t="n">
        <v>1</v>
      </c>
    </row>
    <row r="769">
      <c r="A769" s="0" t="inlineStr">
        <is>
          <t>[마전동]</t>
        </is>
      </c>
      <c r="B769" s="0" t="n">
        <v>112115</v>
      </c>
      <c r="C769" s="0" t="n">
        <v>1</v>
      </c>
      <c r="D769" s="0" t="inlineStr">
        <is>
          <t>창우아이빌(1018-3,도시형)</t>
        </is>
      </c>
      <c r="E769" s="0" t="inlineStr">
        <is>
          <t>2013.09.</t>
        </is>
      </c>
      <c r="F769" s="0" t="n">
        <v>24</v>
      </c>
      <c r="G769" s="0" t="n">
        <v>21.39</v>
      </c>
      <c r="H769" s="0" t="n">
        <v>70.73999999999999</v>
      </c>
      <c r="I769" s="0" t="n">
        <v>19.08</v>
      </c>
      <c r="J769" s="0" t="n">
        <v>63.08</v>
      </c>
      <c r="K769" s="0" t="n">
        <v>12</v>
      </c>
      <c r="T769" s="0" t="n">
        <v>2</v>
      </c>
      <c r="U769" s="0" t="n">
        <v>1</v>
      </c>
      <c r="V769" s="0" t="inlineStr">
        <is>
          <t>계단식</t>
        </is>
      </c>
      <c r="W769" s="0" t="n">
        <v>70</v>
      </c>
      <c r="X769" s="0" t="n">
        <v>6</v>
      </c>
      <c r="Y769" s="0" t="n">
        <v>6</v>
      </c>
      <c r="Z769" s="0" t="inlineStr">
        <is>
          <t>https://new.land.naver.com/complexes/112115?tab=detail&amp;rf=Y</t>
        </is>
      </c>
      <c r="AA769" s="0" t="inlineStr">
        <is>
          <t>인천시 서구 마전동 1018-3</t>
        </is>
      </c>
      <c r="AB769" s="0" t="inlineStr">
        <is>
          <t>인천시</t>
        </is>
      </c>
      <c r="AC769" s="0" t="inlineStr">
        <is>
          <t>서구</t>
        </is>
      </c>
      <c r="AD769" s="0" t="inlineStr">
        <is>
          <t>마전동</t>
        </is>
      </c>
      <c r="AG769" s="0" t="inlineStr">
        <is>
          <t>인천시 서구 완정로7번길 20</t>
        </is>
      </c>
      <c r="AH769" s="0" t="n">
        <v>0</v>
      </c>
      <c r="AI769" s="0" t="n">
        <v>0</v>
      </c>
      <c r="AJ769" s="0" t="n">
        <v>0</v>
      </c>
      <c r="AK769" s="0" t="n">
        <v>0</v>
      </c>
      <c r="AL769" s="0" t="n">
        <v>0</v>
      </c>
    </row>
    <row r="770">
      <c r="A770" s="0" t="inlineStr">
        <is>
          <t>[마전동]</t>
        </is>
      </c>
      <c r="B770" s="0" t="n">
        <v>112115</v>
      </c>
      <c r="C770" s="0" t="n">
        <v>2</v>
      </c>
      <c r="D770" s="0" t="inlineStr">
        <is>
          <t>창우아이빌(1018-3,도시형)</t>
        </is>
      </c>
      <c r="E770" s="0" t="inlineStr">
        <is>
          <t>2013.09.</t>
        </is>
      </c>
      <c r="F770" s="0" t="n">
        <v>24</v>
      </c>
      <c r="G770" s="0" t="n">
        <v>22.72</v>
      </c>
      <c r="H770" s="0" t="n">
        <v>75.14</v>
      </c>
      <c r="I770" s="0" t="n">
        <v>20.26</v>
      </c>
      <c r="J770" s="0" t="n">
        <v>67</v>
      </c>
      <c r="K770" s="0" t="n">
        <v>12</v>
      </c>
      <c r="T770" s="0" t="n">
        <v>2</v>
      </c>
      <c r="U770" s="0" t="n">
        <v>1</v>
      </c>
      <c r="V770" s="0" t="inlineStr">
        <is>
          <t>계단식</t>
        </is>
      </c>
      <c r="W770" s="0" t="n">
        <v>75</v>
      </c>
      <c r="X770" s="0" t="n">
        <v>6</v>
      </c>
      <c r="Y770" s="0" t="n">
        <v>6</v>
      </c>
      <c r="Z770" s="0" t="inlineStr">
        <is>
          <t>https://new.land.naver.com/complexes/112115?tab=detail&amp;rf=Y</t>
        </is>
      </c>
      <c r="AA770" s="0" t="inlineStr">
        <is>
          <t>인천시 서구 마전동 1018-3</t>
        </is>
      </c>
      <c r="AB770" s="0" t="inlineStr">
        <is>
          <t>인천시</t>
        </is>
      </c>
      <c r="AC770" s="0" t="inlineStr">
        <is>
          <t>서구</t>
        </is>
      </c>
      <c r="AD770" s="0" t="inlineStr">
        <is>
          <t>마전동</t>
        </is>
      </c>
      <c r="AG770" s="0" t="inlineStr">
        <is>
          <t>인천시 서구 완정로7번길 20</t>
        </is>
      </c>
      <c r="AH770" s="0" t="n">
        <v>0</v>
      </c>
      <c r="AI770" s="0" t="n">
        <v>0</v>
      </c>
      <c r="AJ770" s="0" t="n">
        <v>0</v>
      </c>
      <c r="AK770" s="0" t="n">
        <v>0</v>
      </c>
      <c r="AL770" s="0" t="n">
        <v>0</v>
      </c>
    </row>
    <row r="771">
      <c r="A771" s="0" t="inlineStr">
        <is>
          <t>[마전동]</t>
        </is>
      </c>
      <c r="B771" s="0" t="n">
        <v>25890</v>
      </c>
      <c r="C771" s="0" t="n">
        <v>1</v>
      </c>
      <c r="D771" s="0" t="inlineStr">
        <is>
          <t>마전금호어울림</t>
        </is>
      </c>
      <c r="E771" s="0" t="inlineStr">
        <is>
          <t>2007.10.</t>
        </is>
      </c>
      <c r="F771" s="0" t="n">
        <v>163</v>
      </c>
      <c r="G771" s="0" t="n">
        <v>30.44</v>
      </c>
      <c r="H771" s="0" t="n">
        <v>100.63</v>
      </c>
      <c r="I771" s="0" t="n">
        <v>24.12</v>
      </c>
      <c r="J771" s="0" t="n">
        <v>79.73999999999999</v>
      </c>
      <c r="K771" s="0" t="n">
        <v>74</v>
      </c>
      <c r="T771" s="0" t="n">
        <v>3</v>
      </c>
      <c r="U771" s="0" t="n">
        <v>2</v>
      </c>
      <c r="V771" s="0" t="inlineStr">
        <is>
          <t>계단식</t>
        </is>
      </c>
      <c r="W771" s="0" t="n">
        <v>100</v>
      </c>
      <c r="X771" s="0" t="n">
        <v>15</v>
      </c>
      <c r="Y771" s="0" t="n">
        <v>8</v>
      </c>
      <c r="Z771" s="0" t="inlineStr">
        <is>
          <t>https://new.land.naver.com/complexes/25890?tab=detail&amp;rf=Y</t>
        </is>
      </c>
      <c r="AA771" s="0" t="inlineStr">
        <is>
          <t>인천시 서구 마전동 마전지구49블럭1롯트</t>
        </is>
      </c>
      <c r="AB771" s="0" t="inlineStr">
        <is>
          <t>인천시</t>
        </is>
      </c>
      <c r="AC771" s="0" t="inlineStr">
        <is>
          <t>서구</t>
        </is>
      </c>
      <c r="AD771" s="0" t="inlineStr">
        <is>
          <t>마전동</t>
        </is>
      </c>
      <c r="AG771" s="0" t="inlineStr">
        <is>
          <t>인천시 서구 가현로 33</t>
        </is>
      </c>
      <c r="AH771" s="0" t="n">
        <v>0</v>
      </c>
      <c r="AI771" s="0" t="n">
        <v>249</v>
      </c>
      <c r="AJ771" s="0" t="n">
        <v>0</v>
      </c>
      <c r="AK771" s="0" t="n">
        <v>0</v>
      </c>
      <c r="AL771" s="0" t="n">
        <v>0</v>
      </c>
    </row>
    <row r="772">
      <c r="A772" s="0" t="inlineStr">
        <is>
          <t>[마전동]</t>
        </is>
      </c>
      <c r="B772" s="0" t="n">
        <v>25890</v>
      </c>
      <c r="C772" s="0" t="n">
        <v>2</v>
      </c>
      <c r="D772" s="0" t="inlineStr">
        <is>
          <t>마전금호어울림</t>
        </is>
      </c>
      <c r="E772" s="0" t="inlineStr">
        <is>
          <t>2007.10.</t>
        </is>
      </c>
      <c r="F772" s="0" t="n">
        <v>163</v>
      </c>
      <c r="G772" s="0" t="n">
        <v>34.16</v>
      </c>
      <c r="H772" s="0" t="n">
        <v>112.95</v>
      </c>
      <c r="I772" s="0" t="n">
        <v>25.7</v>
      </c>
      <c r="J772" s="0" t="n">
        <v>84.98999999999999</v>
      </c>
      <c r="K772" s="0" t="n">
        <v>89</v>
      </c>
      <c r="T772" s="0" t="n">
        <v>3</v>
      </c>
      <c r="U772" s="0" t="n">
        <v>2</v>
      </c>
      <c r="V772" s="0" t="inlineStr">
        <is>
          <t>계단식</t>
        </is>
      </c>
      <c r="W772" s="0" t="n">
        <v>112</v>
      </c>
      <c r="X772" s="0" t="n">
        <v>15</v>
      </c>
      <c r="Y772" s="0" t="n">
        <v>8</v>
      </c>
      <c r="Z772" s="0" t="inlineStr">
        <is>
          <t>https://new.land.naver.com/complexes/25890?tab=detail&amp;rf=Y</t>
        </is>
      </c>
      <c r="AA772" s="0" t="inlineStr">
        <is>
          <t>인천시 서구 마전동 마전지구49블럭1롯트</t>
        </is>
      </c>
      <c r="AB772" s="0" t="inlineStr">
        <is>
          <t>인천시</t>
        </is>
      </c>
      <c r="AC772" s="0" t="inlineStr">
        <is>
          <t>서구</t>
        </is>
      </c>
      <c r="AD772" s="0" t="inlineStr">
        <is>
          <t>마전동</t>
        </is>
      </c>
      <c r="AG772" s="0" t="inlineStr">
        <is>
          <t>인천시 서구 가현로 33</t>
        </is>
      </c>
      <c r="AH772" s="0" t="n">
        <v>0</v>
      </c>
      <c r="AI772" s="0" t="n">
        <v>249</v>
      </c>
      <c r="AJ772" s="0" t="n">
        <v>0</v>
      </c>
      <c r="AK772" s="0" t="n">
        <v>0</v>
      </c>
      <c r="AL772" s="0" t="n">
        <v>0</v>
      </c>
    </row>
    <row r="773">
      <c r="A773" s="0" t="inlineStr">
        <is>
          <t>[마전동]</t>
        </is>
      </c>
      <c r="B773" s="0" t="n">
        <v>101282</v>
      </c>
      <c r="C773" s="0" t="n">
        <v>1</v>
      </c>
      <c r="D773" s="0" t="inlineStr">
        <is>
          <t>이지2차미래지향2단지</t>
        </is>
      </c>
      <c r="E773" s="0" t="inlineStr">
        <is>
          <t>2009.11.</t>
        </is>
      </c>
      <c r="F773" s="0" t="n">
        <v>78</v>
      </c>
      <c r="G773" s="0" t="n">
        <v>33.49</v>
      </c>
      <c r="H773" s="0" t="n">
        <v>110.74</v>
      </c>
      <c r="I773" s="0" t="n">
        <v>25.7</v>
      </c>
      <c r="J773" s="0" t="n">
        <v>84.98</v>
      </c>
      <c r="K773" s="0" t="n">
        <v>78</v>
      </c>
      <c r="T773" s="0" t="n">
        <v>3</v>
      </c>
      <c r="U773" s="0" t="n">
        <v>2</v>
      </c>
      <c r="V773" s="0" t="inlineStr">
        <is>
          <t>계단식</t>
        </is>
      </c>
      <c r="W773" s="0" t="n">
        <v>110</v>
      </c>
      <c r="X773" s="0" t="n">
        <v>10</v>
      </c>
      <c r="Y773" s="0" t="n">
        <v>9</v>
      </c>
      <c r="Z773" s="0" t="inlineStr">
        <is>
          <t>https://new.land.naver.com/complexes/101282?tab=detail&amp;rf=Y</t>
        </is>
      </c>
      <c r="AA773" s="0" t="inlineStr">
        <is>
          <t>인천시 서구 마전동 928-33</t>
        </is>
      </c>
      <c r="AB773" s="0" t="inlineStr">
        <is>
          <t>인천시</t>
        </is>
      </c>
      <c r="AC773" s="0" t="inlineStr">
        <is>
          <t>서구</t>
        </is>
      </c>
      <c r="AD773" s="0" t="inlineStr">
        <is>
          <t>마전동</t>
        </is>
      </c>
      <c r="AG773" s="0" t="inlineStr">
        <is>
          <t>인천시 서구 검단로529번길 9</t>
        </is>
      </c>
      <c r="AH773" s="0" t="n">
        <v>0</v>
      </c>
      <c r="AI773" s="0" t="n">
        <v>197</v>
      </c>
      <c r="AJ773" s="0" t="n">
        <v>26</v>
      </c>
      <c r="AK773" s="0" t="n">
        <v>81</v>
      </c>
      <c r="AL773" s="0" t="n">
        <v>1.04</v>
      </c>
    </row>
    <row r="774">
      <c r="A774" s="0" t="inlineStr">
        <is>
          <t>[마전동]</t>
        </is>
      </c>
      <c r="B774" s="0" t="n">
        <v>107593</v>
      </c>
      <c r="C774" s="0" t="n">
        <v>1</v>
      </c>
      <c r="D774" s="0" t="inlineStr">
        <is>
          <t>검단하이뷰1차(도시형)</t>
        </is>
      </c>
      <c r="E774" s="0" t="inlineStr">
        <is>
          <t>2013.10.</t>
        </is>
      </c>
      <c r="F774" s="0" t="n">
        <v>28</v>
      </c>
      <c r="G774" s="0" t="n">
        <v>15.42</v>
      </c>
      <c r="H774" s="0" t="n">
        <v>50.99</v>
      </c>
      <c r="I774" s="0" t="n">
        <v>7.72</v>
      </c>
      <c r="J774" s="0" t="n">
        <v>25.55</v>
      </c>
      <c r="K774" s="0" t="n">
        <v>12</v>
      </c>
      <c r="T774" s="0" t="n">
        <v>1</v>
      </c>
      <c r="U774" s="0" t="n">
        <v>1</v>
      </c>
      <c r="V774" s="0" t="inlineStr">
        <is>
          <t>복도식</t>
        </is>
      </c>
      <c r="W774" s="0" t="inlineStr">
        <is>
          <t>50B</t>
        </is>
      </c>
      <c r="X774" s="0" t="n">
        <v>7</v>
      </c>
      <c r="Y774" s="0" t="n">
        <v>7</v>
      </c>
      <c r="Z774" s="0" t="inlineStr">
        <is>
          <t>https://new.land.naver.com/complexes/107593?tab=detail&amp;rf=Y</t>
        </is>
      </c>
      <c r="AA774" s="0" t="inlineStr">
        <is>
          <t>인천시 서구 마전동 1020-10</t>
        </is>
      </c>
      <c r="AB774" s="0" t="inlineStr">
        <is>
          <t>인천시</t>
        </is>
      </c>
      <c r="AC774" s="0" t="inlineStr">
        <is>
          <t>서구</t>
        </is>
      </c>
      <c r="AD774" s="0" t="inlineStr">
        <is>
          <t>마전동</t>
        </is>
      </c>
      <c r="AG774" s="0" t="inlineStr">
        <is>
          <t>인천시 서구 원당대로 631</t>
        </is>
      </c>
      <c r="AH774" s="0" t="n">
        <v>0</v>
      </c>
      <c r="AI774" s="0" t="n">
        <v>349</v>
      </c>
      <c r="AJ774" s="0" t="n">
        <v>59</v>
      </c>
      <c r="AK774" s="0" t="n">
        <v>20</v>
      </c>
      <c r="AL774" s="0" t="n">
        <v>0.71</v>
      </c>
    </row>
    <row r="775">
      <c r="A775" s="0" t="inlineStr">
        <is>
          <t>[마전동]</t>
        </is>
      </c>
      <c r="B775" s="0" t="n">
        <v>107593</v>
      </c>
      <c r="C775" s="0" t="n">
        <v>2</v>
      </c>
      <c r="D775" s="0" t="inlineStr">
        <is>
          <t>검단하이뷰1차(도시형)</t>
        </is>
      </c>
      <c r="E775" s="0" t="inlineStr">
        <is>
          <t>2013.10.</t>
        </is>
      </c>
      <c r="F775" s="0" t="n">
        <v>28</v>
      </c>
      <c r="G775" s="0" t="n">
        <v>15.19</v>
      </c>
      <c r="H775" s="0" t="n">
        <v>50.23</v>
      </c>
      <c r="I775" s="0" t="n">
        <v>7.61</v>
      </c>
      <c r="J775" s="0" t="n">
        <v>25.17</v>
      </c>
      <c r="K775" s="0" t="n">
        <v>4</v>
      </c>
      <c r="T775" s="0" t="n">
        <v>1</v>
      </c>
      <c r="U775" s="0" t="n">
        <v>1</v>
      </c>
      <c r="V775" s="0" t="inlineStr">
        <is>
          <t>복도식</t>
        </is>
      </c>
      <c r="W775" s="0" t="inlineStr">
        <is>
          <t>50A</t>
        </is>
      </c>
      <c r="X775" s="0" t="n">
        <v>7</v>
      </c>
      <c r="Y775" s="0" t="n">
        <v>7</v>
      </c>
      <c r="Z775" s="0" t="inlineStr">
        <is>
          <t>https://new.land.naver.com/complexes/107593?tab=detail&amp;rf=Y</t>
        </is>
      </c>
      <c r="AA775" s="0" t="inlineStr">
        <is>
          <t>인천시 서구 마전동 1020-10</t>
        </is>
      </c>
      <c r="AB775" s="0" t="inlineStr">
        <is>
          <t>인천시</t>
        </is>
      </c>
      <c r="AC775" s="0" t="inlineStr">
        <is>
          <t>서구</t>
        </is>
      </c>
      <c r="AD775" s="0" t="inlineStr">
        <is>
          <t>마전동</t>
        </is>
      </c>
      <c r="AG775" s="0" t="inlineStr">
        <is>
          <t>인천시 서구 원당대로 631</t>
        </is>
      </c>
      <c r="AH775" s="0" t="n">
        <v>0</v>
      </c>
      <c r="AI775" s="0" t="n">
        <v>349</v>
      </c>
      <c r="AJ775" s="0" t="n">
        <v>59</v>
      </c>
      <c r="AK775" s="0" t="n">
        <v>20</v>
      </c>
      <c r="AL775" s="0" t="n">
        <v>0.71</v>
      </c>
    </row>
    <row r="776">
      <c r="A776" s="0" t="inlineStr">
        <is>
          <t>[마전동]</t>
        </is>
      </c>
      <c r="B776" s="0" t="n">
        <v>107593</v>
      </c>
      <c r="C776" s="0" t="n">
        <v>3</v>
      </c>
      <c r="D776" s="0" t="inlineStr">
        <is>
          <t>검단하이뷰1차(도시형)</t>
        </is>
      </c>
      <c r="E776" s="0" t="inlineStr">
        <is>
          <t>2013.10.</t>
        </is>
      </c>
      <c r="F776" s="0" t="n">
        <v>28</v>
      </c>
      <c r="G776" s="0" t="n">
        <v>15.46</v>
      </c>
      <c r="H776" s="0" t="n">
        <v>51.11</v>
      </c>
      <c r="I776" s="0" t="n">
        <v>7.74</v>
      </c>
      <c r="J776" s="0" t="n">
        <v>25.61</v>
      </c>
      <c r="K776" s="0" t="n">
        <v>8</v>
      </c>
      <c r="T776" s="0" t="n">
        <v>1</v>
      </c>
      <c r="U776" s="0" t="n">
        <v>1</v>
      </c>
      <c r="V776" s="0" t="inlineStr">
        <is>
          <t>복도식</t>
        </is>
      </c>
      <c r="W776" s="0" t="inlineStr">
        <is>
          <t>51C</t>
        </is>
      </c>
      <c r="X776" s="0" t="n">
        <v>7</v>
      </c>
      <c r="Y776" s="0" t="n">
        <v>7</v>
      </c>
      <c r="Z776" s="0" t="inlineStr">
        <is>
          <t>https://new.land.naver.com/complexes/107593?tab=detail&amp;rf=Y</t>
        </is>
      </c>
      <c r="AA776" s="0" t="inlineStr">
        <is>
          <t>인천시 서구 마전동 1020-10</t>
        </is>
      </c>
      <c r="AB776" s="0" t="inlineStr">
        <is>
          <t>인천시</t>
        </is>
      </c>
      <c r="AC776" s="0" t="inlineStr">
        <is>
          <t>서구</t>
        </is>
      </c>
      <c r="AD776" s="0" t="inlineStr">
        <is>
          <t>마전동</t>
        </is>
      </c>
      <c r="AG776" s="0" t="inlineStr">
        <is>
          <t>인천시 서구 원당대로 631</t>
        </is>
      </c>
      <c r="AH776" s="0" t="n">
        <v>0</v>
      </c>
      <c r="AI776" s="0" t="n">
        <v>349</v>
      </c>
      <c r="AJ776" s="0" t="n">
        <v>59</v>
      </c>
      <c r="AK776" s="0" t="n">
        <v>20</v>
      </c>
      <c r="AL776" s="0" t="n">
        <v>0.71</v>
      </c>
    </row>
    <row r="777">
      <c r="A777" s="0" t="inlineStr">
        <is>
          <t>[마전동]</t>
        </is>
      </c>
      <c r="B777" s="0" t="n">
        <v>107593</v>
      </c>
      <c r="C777" s="0" t="n">
        <v>4</v>
      </c>
      <c r="D777" s="0" t="inlineStr">
        <is>
          <t>검단하이뷰1차(도시형)</t>
        </is>
      </c>
      <c r="E777" s="0" t="inlineStr">
        <is>
          <t>2013.10.</t>
        </is>
      </c>
      <c r="F777" s="0" t="n">
        <v>28</v>
      </c>
      <c r="G777" s="0" t="n">
        <v>16.73</v>
      </c>
      <c r="H777" s="0" t="n">
        <v>55.31</v>
      </c>
      <c r="I777" s="0" t="n">
        <v>8.380000000000001</v>
      </c>
      <c r="J777" s="0" t="n">
        <v>27.71</v>
      </c>
      <c r="K777" s="0" t="n">
        <v>4</v>
      </c>
      <c r="T777" s="0" t="n">
        <v>1</v>
      </c>
      <c r="U777" s="0" t="n">
        <v>1</v>
      </c>
      <c r="V777" s="0" t="inlineStr">
        <is>
          <t>복합식</t>
        </is>
      </c>
      <c r="W777" s="0" t="n">
        <v>55</v>
      </c>
      <c r="X777" s="0" t="n">
        <v>7</v>
      </c>
      <c r="Y777" s="0" t="n">
        <v>7</v>
      </c>
      <c r="Z777" s="0" t="inlineStr">
        <is>
          <t>https://new.land.naver.com/complexes/107593?tab=detail&amp;rf=Y</t>
        </is>
      </c>
      <c r="AA777" s="0" t="inlineStr">
        <is>
          <t>인천시 서구 마전동 1020-10</t>
        </is>
      </c>
      <c r="AB777" s="0" t="inlineStr">
        <is>
          <t>인천시</t>
        </is>
      </c>
      <c r="AC777" s="0" t="inlineStr">
        <is>
          <t>서구</t>
        </is>
      </c>
      <c r="AD777" s="0" t="inlineStr">
        <is>
          <t>마전동</t>
        </is>
      </c>
      <c r="AG777" s="0" t="inlineStr">
        <is>
          <t>인천시 서구 원당대로 631</t>
        </is>
      </c>
      <c r="AH777" s="0" t="n">
        <v>0</v>
      </c>
      <c r="AI777" s="0" t="n">
        <v>349</v>
      </c>
      <c r="AJ777" s="0" t="n">
        <v>59</v>
      </c>
      <c r="AK777" s="0" t="n">
        <v>20</v>
      </c>
      <c r="AL777" s="0" t="n">
        <v>0.71</v>
      </c>
    </row>
    <row r="778">
      <c r="A778" s="0" t="inlineStr">
        <is>
          <t>[마전동]</t>
        </is>
      </c>
      <c r="B778" s="0" t="n">
        <v>17693</v>
      </c>
      <c r="C778" s="0" t="n">
        <v>1</v>
      </c>
      <c r="D778" s="0" t="inlineStr">
        <is>
          <t>검단풍림아이원2차</t>
        </is>
      </c>
      <c r="E778" s="0" t="inlineStr">
        <is>
          <t>2005.02.</t>
        </is>
      </c>
      <c r="F778" s="0" t="n">
        <v>174</v>
      </c>
      <c r="G778" s="0" t="n">
        <v>31.92</v>
      </c>
      <c r="H778" s="0" t="n">
        <v>105.55</v>
      </c>
      <c r="I778" s="0" t="n">
        <v>25.66</v>
      </c>
      <c r="J778" s="0" t="n">
        <v>84.84</v>
      </c>
      <c r="K778" s="0" t="n">
        <v>174</v>
      </c>
      <c r="T778" s="0" t="n">
        <v>3</v>
      </c>
      <c r="U778" s="0" t="n">
        <v>2</v>
      </c>
      <c r="V778" s="0" t="inlineStr">
        <is>
          <t>계단식</t>
        </is>
      </c>
      <c r="W778" s="0" t="n">
        <v>105</v>
      </c>
      <c r="X778" s="0" t="n">
        <v>13</v>
      </c>
      <c r="Y778" s="0" t="n">
        <v>11</v>
      </c>
      <c r="Z778" s="0" t="inlineStr">
        <is>
          <t>https://new.land.naver.com/complexes/17693?tab=detail&amp;rf=Y</t>
        </is>
      </c>
      <c r="AA778" s="0" t="inlineStr">
        <is>
          <t>인천시 서구 마전동 999-18</t>
        </is>
      </c>
      <c r="AB778" s="0" t="inlineStr">
        <is>
          <t>인천시</t>
        </is>
      </c>
      <c r="AC778" s="0" t="inlineStr">
        <is>
          <t>서구</t>
        </is>
      </c>
      <c r="AD778" s="0" t="inlineStr">
        <is>
          <t>마전동</t>
        </is>
      </c>
      <c r="AG778" s="0" t="inlineStr">
        <is>
          <t>인천시 서구 완정로64번길 23</t>
        </is>
      </c>
      <c r="AH778" s="0" t="n">
        <v>0</v>
      </c>
      <c r="AI778" s="0" t="n">
        <v>0</v>
      </c>
      <c r="AJ778" s="0" t="n">
        <v>0</v>
      </c>
      <c r="AK778" s="0" t="n">
        <v>0</v>
      </c>
      <c r="AL778" s="0" t="n">
        <v>0</v>
      </c>
    </row>
    <row r="779">
      <c r="A779" s="0" t="inlineStr">
        <is>
          <t>[마전동]</t>
        </is>
      </c>
      <c r="B779" s="0" t="n">
        <v>10231</v>
      </c>
      <c r="C779" s="0" t="n">
        <v>1</v>
      </c>
      <c r="D779" s="0" t="inlineStr">
        <is>
          <t>현대</t>
        </is>
      </c>
      <c r="E779" s="0" t="inlineStr">
        <is>
          <t>1998.05.</t>
        </is>
      </c>
      <c r="F779" s="0" t="n">
        <v>417</v>
      </c>
      <c r="G779" s="0" t="n">
        <v>22.75</v>
      </c>
      <c r="H779" s="0" t="n">
        <v>75.22</v>
      </c>
      <c r="I779" s="0" t="n">
        <v>18.1</v>
      </c>
      <c r="J779" s="0" t="n">
        <v>59.84</v>
      </c>
      <c r="K779" s="0" t="n">
        <v>135</v>
      </c>
      <c r="T779" s="0" t="n">
        <v>3</v>
      </c>
      <c r="U779" s="0" t="n">
        <v>1</v>
      </c>
      <c r="V779" s="0" t="inlineStr">
        <is>
          <t>계단식</t>
        </is>
      </c>
      <c r="W779" s="0" t="n">
        <v>75</v>
      </c>
      <c r="X779" s="0" t="n">
        <v>15</v>
      </c>
      <c r="Y779" s="0" t="n">
        <v>13</v>
      </c>
      <c r="Z779" s="0" t="inlineStr">
        <is>
          <t>https://new.land.naver.com/complexes/10231?tab=detail&amp;rf=Y</t>
        </is>
      </c>
      <c r="AA779" s="0" t="inlineStr">
        <is>
          <t>인천시 서구 마전동 1004</t>
        </is>
      </c>
      <c r="AB779" s="0" t="inlineStr">
        <is>
          <t>인천시</t>
        </is>
      </c>
      <c r="AC779" s="0" t="inlineStr">
        <is>
          <t>서구</t>
        </is>
      </c>
      <c r="AD779" s="0" t="inlineStr">
        <is>
          <t>마전동</t>
        </is>
      </c>
      <c r="AG779" s="0" t="inlineStr">
        <is>
          <t>인천시 서구 완정로34번길 47</t>
        </is>
      </c>
      <c r="AH779" s="0" t="n">
        <v>0</v>
      </c>
      <c r="AI779" s="0" t="n">
        <v>198</v>
      </c>
      <c r="AJ779" s="0" t="n">
        <v>18</v>
      </c>
      <c r="AK779" s="0" t="n">
        <v>429</v>
      </c>
      <c r="AL779" s="0" t="n">
        <v>1.03</v>
      </c>
    </row>
    <row r="780">
      <c r="A780" s="0" t="inlineStr">
        <is>
          <t>[마전동]</t>
        </is>
      </c>
      <c r="B780" s="0" t="n">
        <v>10231</v>
      </c>
      <c r="C780" s="0" t="n">
        <v>2</v>
      </c>
      <c r="D780" s="0" t="inlineStr">
        <is>
          <t>현대</t>
        </is>
      </c>
      <c r="E780" s="0" t="inlineStr">
        <is>
          <t>1998.05.</t>
        </is>
      </c>
      <c r="F780" s="0" t="n">
        <v>417</v>
      </c>
      <c r="G780" s="0" t="n">
        <v>32.21</v>
      </c>
      <c r="H780" s="0" t="n">
        <v>106.5</v>
      </c>
      <c r="I780" s="0" t="n">
        <v>25.62</v>
      </c>
      <c r="J780" s="0" t="n">
        <v>84.72</v>
      </c>
      <c r="K780" s="0" t="n">
        <v>282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106</v>
      </c>
      <c r="X780" s="0" t="n">
        <v>15</v>
      </c>
      <c r="Y780" s="0" t="n">
        <v>13</v>
      </c>
      <c r="Z780" s="0" t="inlineStr">
        <is>
          <t>https://new.land.naver.com/complexes/10231?tab=detail&amp;rf=Y</t>
        </is>
      </c>
      <c r="AA780" s="0" t="inlineStr">
        <is>
          <t>인천시 서구 마전동 1004</t>
        </is>
      </c>
      <c r="AB780" s="0" t="inlineStr">
        <is>
          <t>인천시</t>
        </is>
      </c>
      <c r="AC780" s="0" t="inlineStr">
        <is>
          <t>서구</t>
        </is>
      </c>
      <c r="AD780" s="0" t="inlineStr">
        <is>
          <t>마전동</t>
        </is>
      </c>
      <c r="AG780" s="0" t="inlineStr">
        <is>
          <t>인천시 서구 완정로34번길 47</t>
        </is>
      </c>
      <c r="AH780" s="0" t="n">
        <v>0</v>
      </c>
      <c r="AI780" s="0" t="n">
        <v>198</v>
      </c>
      <c r="AJ780" s="0" t="n">
        <v>18</v>
      </c>
      <c r="AK780" s="0" t="n">
        <v>429</v>
      </c>
      <c r="AL780" s="0" t="n">
        <v>1.03</v>
      </c>
    </row>
    <row r="781">
      <c r="A781" s="0" t="inlineStr">
        <is>
          <t>[마전동]</t>
        </is>
      </c>
      <c r="B781" s="0" t="n">
        <v>130562</v>
      </c>
      <c r="C781" s="0" t="n">
        <v>1</v>
      </c>
      <c r="D781" s="0" t="inlineStr">
        <is>
          <t>삼성쉐르빌Ⅱ(도시형)</t>
        </is>
      </c>
      <c r="E781" s="0" t="inlineStr">
        <is>
          <t>2013.12.</t>
        </is>
      </c>
      <c r="F781" s="0" t="n">
        <v>16</v>
      </c>
      <c r="G781" s="0" t="n">
        <v>24.39</v>
      </c>
      <c r="H781" s="0" t="n">
        <v>80.66</v>
      </c>
      <c r="I781" s="0" t="n">
        <v>21.32</v>
      </c>
      <c r="J781" s="0" t="n">
        <v>70.51000000000001</v>
      </c>
      <c r="K781" s="0" t="n">
        <v>8</v>
      </c>
      <c r="T781" s="0" t="n">
        <v>3</v>
      </c>
      <c r="U781" s="0" t="n">
        <v>1</v>
      </c>
      <c r="V781" s="0" t="inlineStr">
        <is>
          <t>계단식</t>
        </is>
      </c>
      <c r="W781" s="0" t="n">
        <v>80</v>
      </c>
      <c r="X781" s="0" t="n">
        <v>6</v>
      </c>
      <c r="Y781" s="0" t="n">
        <v>6</v>
      </c>
      <c r="Z781" s="0" t="inlineStr">
        <is>
          <t>https://new.land.naver.com/complexes/130562?tab=detail&amp;rf=Y</t>
        </is>
      </c>
      <c r="AA781" s="0" t="inlineStr">
        <is>
          <t>인천시 서구 마전동 1017-2</t>
        </is>
      </c>
      <c r="AB781" s="0" t="inlineStr">
        <is>
          <t>인천시</t>
        </is>
      </c>
      <c r="AC781" s="0" t="inlineStr">
        <is>
          <t>서구</t>
        </is>
      </c>
      <c r="AD781" s="0" t="inlineStr">
        <is>
          <t>마전동</t>
        </is>
      </c>
      <c r="AG781" s="0" t="inlineStr">
        <is>
          <t>인천시 서구 완정로33번길 7</t>
        </is>
      </c>
      <c r="AH781" s="0" t="n">
        <v>0</v>
      </c>
      <c r="AI781" s="0" t="n">
        <v>276</v>
      </c>
      <c r="AJ781" s="0" t="n">
        <v>59</v>
      </c>
      <c r="AK781" s="0" t="n">
        <v>16</v>
      </c>
      <c r="AL781" s="0" t="n">
        <v>1</v>
      </c>
    </row>
    <row r="782">
      <c r="A782" s="0" t="inlineStr">
        <is>
          <t>[마전동]</t>
        </is>
      </c>
      <c r="B782" s="0" t="n">
        <v>130562</v>
      </c>
      <c r="C782" s="0" t="n">
        <v>2</v>
      </c>
      <c r="D782" s="0" t="inlineStr">
        <is>
          <t>삼성쉐르빌Ⅱ(도시형)</t>
        </is>
      </c>
      <c r="E782" s="0" t="inlineStr">
        <is>
          <t>2013.12.</t>
        </is>
      </c>
      <c r="F782" s="0" t="n">
        <v>16</v>
      </c>
      <c r="G782" s="0" t="n">
        <v>25.37</v>
      </c>
      <c r="H782" s="0" t="n">
        <v>83.89</v>
      </c>
      <c r="I782" s="0" t="n">
        <v>22.18</v>
      </c>
      <c r="J782" s="0" t="n">
        <v>73.33</v>
      </c>
      <c r="K782" s="0" t="n">
        <v>4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83A</t>
        </is>
      </c>
      <c r="X782" s="0" t="n">
        <v>6</v>
      </c>
      <c r="Y782" s="0" t="n">
        <v>6</v>
      </c>
      <c r="Z782" s="0" t="inlineStr">
        <is>
          <t>https://new.land.naver.com/complexes/130562?tab=detail&amp;rf=Y</t>
        </is>
      </c>
      <c r="AA782" s="0" t="inlineStr">
        <is>
          <t>인천시 서구 마전동 1017-2</t>
        </is>
      </c>
      <c r="AB782" s="0" t="inlineStr">
        <is>
          <t>인천시</t>
        </is>
      </c>
      <c r="AC782" s="0" t="inlineStr">
        <is>
          <t>서구</t>
        </is>
      </c>
      <c r="AD782" s="0" t="inlineStr">
        <is>
          <t>마전동</t>
        </is>
      </c>
      <c r="AG782" s="0" t="inlineStr">
        <is>
          <t>인천시 서구 완정로33번길 7</t>
        </is>
      </c>
      <c r="AH782" s="0" t="n">
        <v>0</v>
      </c>
      <c r="AI782" s="0" t="n">
        <v>276</v>
      </c>
      <c r="AJ782" s="0" t="n">
        <v>59</v>
      </c>
      <c r="AK782" s="0" t="n">
        <v>16</v>
      </c>
      <c r="AL782" s="0" t="n">
        <v>1</v>
      </c>
    </row>
    <row r="783">
      <c r="A783" s="0" t="inlineStr">
        <is>
          <t>[마전동]</t>
        </is>
      </c>
      <c r="B783" s="0" t="n">
        <v>130562</v>
      </c>
      <c r="C783" s="0" t="n">
        <v>3</v>
      </c>
      <c r="D783" s="0" t="inlineStr">
        <is>
          <t>삼성쉐르빌Ⅱ(도시형)</t>
        </is>
      </c>
      <c r="E783" s="0" t="inlineStr">
        <is>
          <t>2013.12.</t>
        </is>
      </c>
      <c r="F783" s="0" t="n">
        <v>16</v>
      </c>
      <c r="G783" s="0" t="n">
        <v>25.44</v>
      </c>
      <c r="H783" s="0" t="n">
        <v>84.12</v>
      </c>
      <c r="I783" s="0" t="n">
        <v>22.24</v>
      </c>
      <c r="J783" s="0" t="n">
        <v>73.53</v>
      </c>
      <c r="K783" s="0" t="n">
        <v>4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84B</t>
        </is>
      </c>
      <c r="X783" s="0" t="n">
        <v>6</v>
      </c>
      <c r="Y783" s="0" t="n">
        <v>6</v>
      </c>
      <c r="Z783" s="0" t="inlineStr">
        <is>
          <t>https://new.land.naver.com/complexes/130562?tab=detail&amp;rf=Y</t>
        </is>
      </c>
      <c r="AA783" s="0" t="inlineStr">
        <is>
          <t>인천시 서구 마전동 1017-2</t>
        </is>
      </c>
      <c r="AB783" s="0" t="inlineStr">
        <is>
          <t>인천시</t>
        </is>
      </c>
      <c r="AC783" s="0" t="inlineStr">
        <is>
          <t>서구</t>
        </is>
      </c>
      <c r="AD783" s="0" t="inlineStr">
        <is>
          <t>마전동</t>
        </is>
      </c>
      <c r="AG783" s="0" t="inlineStr">
        <is>
          <t>인천시 서구 완정로33번길 7</t>
        </is>
      </c>
      <c r="AH783" s="0" t="n">
        <v>0</v>
      </c>
      <c r="AI783" s="0" t="n">
        <v>276</v>
      </c>
      <c r="AJ783" s="0" t="n">
        <v>59</v>
      </c>
      <c r="AK783" s="0" t="n">
        <v>16</v>
      </c>
      <c r="AL783" s="0" t="n">
        <v>1</v>
      </c>
    </row>
    <row r="784">
      <c r="A784" s="0" t="inlineStr">
        <is>
          <t>[마전동]</t>
        </is>
      </c>
      <c r="B784" s="0" t="n">
        <v>18920</v>
      </c>
      <c r="C784" s="0" t="n">
        <v>1</v>
      </c>
      <c r="D784" s="0" t="inlineStr">
        <is>
          <t>검단우림필유</t>
        </is>
      </c>
      <c r="E784" s="0" t="inlineStr">
        <is>
          <t>2007.01.</t>
        </is>
      </c>
      <c r="F784" s="0" t="n">
        <v>429</v>
      </c>
      <c r="G784" s="0" t="n">
        <v>24.59</v>
      </c>
      <c r="H784" s="0" t="n">
        <v>81.3</v>
      </c>
      <c r="I784" s="0" t="n">
        <v>18.13</v>
      </c>
      <c r="J784" s="0" t="n">
        <v>59.94</v>
      </c>
      <c r="K784" s="0" t="n">
        <v>90</v>
      </c>
      <c r="T784" s="0" t="n">
        <v>3</v>
      </c>
      <c r="U784" s="0" t="n">
        <v>2</v>
      </c>
      <c r="V784" s="0" t="inlineStr">
        <is>
          <t>계단식</t>
        </is>
      </c>
      <c r="W784" s="0" t="n">
        <v>81</v>
      </c>
      <c r="X784" s="0" t="n">
        <v>15</v>
      </c>
      <c r="Y784" s="0" t="n">
        <v>12</v>
      </c>
      <c r="Z784" s="0" t="inlineStr">
        <is>
          <t>https://new.land.naver.com/complexes/18920?tab=detail&amp;rf=Y</t>
        </is>
      </c>
      <c r="AA784" s="0" t="inlineStr">
        <is>
          <t>인천시 서구 마전동 999-11</t>
        </is>
      </c>
      <c r="AB784" s="0" t="inlineStr">
        <is>
          <t>인천시</t>
        </is>
      </c>
      <c r="AC784" s="0" t="inlineStr">
        <is>
          <t>서구</t>
        </is>
      </c>
      <c r="AD784" s="0" t="inlineStr">
        <is>
          <t>마전동</t>
        </is>
      </c>
      <c r="AG784" s="0" t="inlineStr">
        <is>
          <t>인천시 서구 완정로34번길 31</t>
        </is>
      </c>
      <c r="AH784" s="0" t="n">
        <v>0</v>
      </c>
      <c r="AI784" s="0" t="n">
        <v>207</v>
      </c>
      <c r="AJ784" s="0" t="n">
        <v>18</v>
      </c>
      <c r="AK784" s="0" t="n">
        <v>465</v>
      </c>
      <c r="AL784" s="0" t="n">
        <v>1.08</v>
      </c>
    </row>
    <row r="785">
      <c r="A785" s="0" t="inlineStr">
        <is>
          <t>[마전동]</t>
        </is>
      </c>
      <c r="B785" s="0" t="n">
        <v>18920</v>
      </c>
      <c r="C785" s="0" t="n">
        <v>2</v>
      </c>
      <c r="D785" s="0" t="inlineStr">
        <is>
          <t>검단우림필유</t>
        </is>
      </c>
      <c r="E785" s="0" t="inlineStr">
        <is>
          <t>2007.01.</t>
        </is>
      </c>
      <c r="F785" s="0" t="n">
        <v>429</v>
      </c>
      <c r="G785" s="0" t="n">
        <v>32.65</v>
      </c>
      <c r="H785" s="0" t="n">
        <v>107.96</v>
      </c>
      <c r="I785" s="0" t="n">
        <v>25.69</v>
      </c>
      <c r="J785" s="0" t="n">
        <v>84.94</v>
      </c>
      <c r="K785" s="0" t="n">
        <v>285</v>
      </c>
      <c r="T785" s="0" t="n">
        <v>3</v>
      </c>
      <c r="U785" s="0" t="n">
        <v>2</v>
      </c>
      <c r="V785" s="0" t="inlineStr">
        <is>
          <t>계단식</t>
        </is>
      </c>
      <c r="W785" s="0" t="n">
        <v>107</v>
      </c>
      <c r="X785" s="0" t="n">
        <v>15</v>
      </c>
      <c r="Y785" s="0" t="n">
        <v>12</v>
      </c>
      <c r="Z785" s="0" t="inlineStr">
        <is>
          <t>https://new.land.naver.com/complexes/18920?tab=detail&amp;rf=Y</t>
        </is>
      </c>
      <c r="AA785" s="0" t="inlineStr">
        <is>
          <t>인천시 서구 마전동 999-11</t>
        </is>
      </c>
      <c r="AB785" s="0" t="inlineStr">
        <is>
          <t>인천시</t>
        </is>
      </c>
      <c r="AC785" s="0" t="inlineStr">
        <is>
          <t>서구</t>
        </is>
      </c>
      <c r="AD785" s="0" t="inlineStr">
        <is>
          <t>마전동</t>
        </is>
      </c>
      <c r="AG785" s="0" t="inlineStr">
        <is>
          <t>인천시 서구 완정로34번길 31</t>
        </is>
      </c>
      <c r="AH785" s="0" t="n">
        <v>0</v>
      </c>
      <c r="AI785" s="0" t="n">
        <v>207</v>
      </c>
      <c r="AJ785" s="0" t="n">
        <v>18</v>
      </c>
      <c r="AK785" s="0" t="n">
        <v>465</v>
      </c>
      <c r="AL785" s="0" t="n">
        <v>1.08</v>
      </c>
    </row>
    <row r="786">
      <c r="A786" s="0" t="inlineStr">
        <is>
          <t>[마전동]</t>
        </is>
      </c>
      <c r="B786" s="0" t="n">
        <v>18920</v>
      </c>
      <c r="C786" s="0" t="n">
        <v>3</v>
      </c>
      <c r="D786" s="0" t="inlineStr">
        <is>
          <t>검단우림필유</t>
        </is>
      </c>
      <c r="E786" s="0" t="inlineStr">
        <is>
          <t>2007.01.</t>
        </is>
      </c>
      <c r="F786" s="0" t="n">
        <v>429</v>
      </c>
      <c r="G786" s="0" t="n">
        <v>42.68</v>
      </c>
      <c r="H786" s="0" t="n">
        <v>141.12</v>
      </c>
      <c r="I786" s="0" t="n">
        <v>33.47</v>
      </c>
      <c r="J786" s="0" t="n">
        <v>110.67</v>
      </c>
      <c r="K786" s="0" t="n">
        <v>54</v>
      </c>
      <c r="T786" s="0" t="n">
        <v>4</v>
      </c>
      <c r="U786" s="0" t="n">
        <v>2</v>
      </c>
      <c r="V786" s="0" t="inlineStr">
        <is>
          <t>계단식</t>
        </is>
      </c>
      <c r="W786" s="0" t="n">
        <v>141</v>
      </c>
      <c r="X786" s="0" t="n">
        <v>15</v>
      </c>
      <c r="Y786" s="0" t="n">
        <v>12</v>
      </c>
      <c r="Z786" s="0" t="inlineStr">
        <is>
          <t>https://new.land.naver.com/complexes/18920?tab=detail&amp;rf=Y</t>
        </is>
      </c>
      <c r="AA786" s="0" t="inlineStr">
        <is>
          <t>인천시 서구 마전동 999-11</t>
        </is>
      </c>
      <c r="AB786" s="0" t="inlineStr">
        <is>
          <t>인천시</t>
        </is>
      </c>
      <c r="AC786" s="0" t="inlineStr">
        <is>
          <t>서구</t>
        </is>
      </c>
      <c r="AD786" s="0" t="inlineStr">
        <is>
          <t>마전동</t>
        </is>
      </c>
      <c r="AG786" s="0" t="inlineStr">
        <is>
          <t>인천시 서구 완정로34번길 31</t>
        </is>
      </c>
      <c r="AH786" s="0" t="n">
        <v>0</v>
      </c>
      <c r="AI786" s="0" t="n">
        <v>207</v>
      </c>
      <c r="AJ786" s="0" t="n">
        <v>18</v>
      </c>
      <c r="AK786" s="0" t="n">
        <v>465</v>
      </c>
      <c r="AL786" s="0" t="n">
        <v>1.08</v>
      </c>
    </row>
    <row r="787">
      <c r="A787" s="0" t="inlineStr">
        <is>
          <t>[마전동]</t>
        </is>
      </c>
      <c r="B787" s="0" t="n">
        <v>13390</v>
      </c>
      <c r="C787" s="0" t="n">
        <v>1</v>
      </c>
      <c r="D787" s="0" t="inlineStr">
        <is>
          <t>마전풍림아이원2차</t>
        </is>
      </c>
      <c r="E787" s="0" t="inlineStr">
        <is>
          <t>2005.01.</t>
        </is>
      </c>
      <c r="F787" s="0" t="n">
        <v>109</v>
      </c>
      <c r="G787" s="0" t="n">
        <v>23.32</v>
      </c>
      <c r="H787" s="0" t="n">
        <v>77.12</v>
      </c>
      <c r="I787" s="0" t="n">
        <v>14.89</v>
      </c>
      <c r="J787" s="0" t="n">
        <v>49.25</v>
      </c>
      <c r="K787" s="0" t="n">
        <v>1</v>
      </c>
      <c r="T787" s="0" t="n">
        <v>1</v>
      </c>
      <c r="U787" s="0" t="n">
        <v>1</v>
      </c>
      <c r="V787" s="0" t="inlineStr">
        <is>
          <t>계단식</t>
        </is>
      </c>
      <c r="W787" s="0" t="n">
        <v>77</v>
      </c>
      <c r="X787" s="0" t="n">
        <v>15</v>
      </c>
      <c r="Y787" s="0" t="n">
        <v>11</v>
      </c>
      <c r="Z787" s="0" t="inlineStr">
        <is>
          <t>https://new.land.naver.com/complexes/13390?tab=detail&amp;rf=Y</t>
        </is>
      </c>
      <c r="AA787" s="0" t="inlineStr">
        <is>
          <t>인천시 서구 마전동 1151</t>
        </is>
      </c>
      <c r="AB787" s="0" t="inlineStr">
        <is>
          <t>인천시</t>
        </is>
      </c>
      <c r="AC787" s="0" t="inlineStr">
        <is>
          <t>서구</t>
        </is>
      </c>
      <c r="AD787" s="0" t="inlineStr">
        <is>
          <t>마전동</t>
        </is>
      </c>
      <c r="AG787" s="0" t="inlineStr">
        <is>
          <t>인천시 서구 가현로 55</t>
        </is>
      </c>
      <c r="AH787" s="0" t="n">
        <v>0</v>
      </c>
      <c r="AI787" s="0" t="n">
        <v>246</v>
      </c>
      <c r="AJ787" s="0" t="n">
        <v>26</v>
      </c>
      <c r="AK787" s="0" t="n">
        <v>111</v>
      </c>
      <c r="AL787" s="0" t="n">
        <v>1.02</v>
      </c>
    </row>
    <row r="788">
      <c r="A788" s="0" t="inlineStr">
        <is>
          <t>[마전동]</t>
        </is>
      </c>
      <c r="B788" s="0" t="n">
        <v>13390</v>
      </c>
      <c r="C788" s="0" t="n">
        <v>2</v>
      </c>
      <c r="D788" s="0" t="inlineStr">
        <is>
          <t>마전풍림아이원2차</t>
        </is>
      </c>
      <c r="E788" s="0" t="inlineStr">
        <is>
          <t>2005.01.</t>
        </is>
      </c>
      <c r="F788" s="0" t="n">
        <v>109</v>
      </c>
      <c r="G788" s="0" t="n">
        <v>34.08</v>
      </c>
      <c r="H788" s="0" t="n">
        <v>112.67</v>
      </c>
      <c r="I788" s="0" t="n">
        <v>25.5</v>
      </c>
      <c r="J788" s="0" t="n">
        <v>84.31</v>
      </c>
      <c r="K788" s="0" t="n">
        <v>108</v>
      </c>
      <c r="T788" s="0" t="n">
        <v>3</v>
      </c>
      <c r="U788" s="0" t="n">
        <v>2</v>
      </c>
      <c r="V788" s="0" t="inlineStr">
        <is>
          <t>계단식</t>
        </is>
      </c>
      <c r="W788" s="0" t="n">
        <v>112</v>
      </c>
      <c r="X788" s="0" t="n">
        <v>15</v>
      </c>
      <c r="Y788" s="0" t="n">
        <v>11</v>
      </c>
      <c r="Z788" s="0" t="inlineStr">
        <is>
          <t>https://new.land.naver.com/complexes/13390?tab=detail&amp;rf=Y</t>
        </is>
      </c>
      <c r="AA788" s="0" t="inlineStr">
        <is>
          <t>인천시 서구 마전동 1151</t>
        </is>
      </c>
      <c r="AB788" s="0" t="inlineStr">
        <is>
          <t>인천시</t>
        </is>
      </c>
      <c r="AC788" s="0" t="inlineStr">
        <is>
          <t>서구</t>
        </is>
      </c>
      <c r="AD788" s="0" t="inlineStr">
        <is>
          <t>마전동</t>
        </is>
      </c>
      <c r="AG788" s="0" t="inlineStr">
        <is>
          <t>인천시 서구 가현로 55</t>
        </is>
      </c>
      <c r="AH788" s="0" t="n">
        <v>0</v>
      </c>
      <c r="AI788" s="0" t="n">
        <v>246</v>
      </c>
      <c r="AJ788" s="0" t="n">
        <v>26</v>
      </c>
      <c r="AK788" s="0" t="n">
        <v>111</v>
      </c>
      <c r="AL788" s="0" t="n">
        <v>1.02</v>
      </c>
    </row>
    <row r="789">
      <c r="A789" s="0" t="inlineStr">
        <is>
          <t>[백석동]</t>
        </is>
      </c>
      <c r="B789" s="0" t="n">
        <v>132164</v>
      </c>
      <c r="C789" s="0" t="n">
        <v>1</v>
      </c>
      <c r="D789" s="0" t="inlineStr">
        <is>
          <t>검암역로열파크씨티푸르지오2단지</t>
        </is>
      </c>
      <c r="E789" s="0" t="inlineStr">
        <is>
          <t>2023.06.</t>
        </is>
      </c>
      <c r="F789" s="0" t="n">
        <v>2426</v>
      </c>
      <c r="G789" s="0" t="n">
        <v>25.28</v>
      </c>
      <c r="H789" s="0" t="n">
        <v>83.58</v>
      </c>
      <c r="I789" s="0" t="n">
        <v>18.13</v>
      </c>
      <c r="J789" s="0" t="n">
        <v>59.95</v>
      </c>
      <c r="K789" s="0" t="n">
        <v>263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83B</t>
        </is>
      </c>
      <c r="X789" s="0" t="n">
        <v>40</v>
      </c>
      <c r="Y789" s="0" t="n">
        <v>16</v>
      </c>
      <c r="Z789" s="0" t="inlineStr">
        <is>
          <t>https://new.land.naver.com/complexes/132164?tab=detail&amp;rf=Y</t>
        </is>
      </c>
      <c r="AA789" s="0" t="inlineStr">
        <is>
          <t>인천시 서구 백석동 170-3번지 일대(한들구역 2블럭1롯트)</t>
        </is>
      </c>
      <c r="AB789" s="0" t="inlineStr">
        <is>
          <t>인천시</t>
        </is>
      </c>
      <c r="AC789" s="0" t="inlineStr">
        <is>
          <t>서구</t>
        </is>
      </c>
      <c r="AD789" s="0" t="inlineStr">
        <is>
          <t>백석동</t>
        </is>
      </c>
      <c r="AG789" s="0" t="inlineStr">
        <is>
          <t>인천시 서구</t>
        </is>
      </c>
      <c r="AH789" s="0" t="n">
        <v>0</v>
      </c>
      <c r="AI789" s="0" t="n">
        <v>239</v>
      </c>
      <c r="AJ789" s="0" t="n">
        <v>13</v>
      </c>
      <c r="AK789" s="0" t="n">
        <v>3096</v>
      </c>
      <c r="AL789" s="0" t="n">
        <v>1.28</v>
      </c>
    </row>
    <row r="790">
      <c r="A790" s="0" t="inlineStr">
        <is>
          <t>[백석동]</t>
        </is>
      </c>
      <c r="B790" s="0" t="n">
        <v>132164</v>
      </c>
      <c r="C790" s="0" t="n">
        <v>2</v>
      </c>
      <c r="D790" s="0" t="inlineStr">
        <is>
          <t>검암역로열파크씨티푸르지오2단지</t>
        </is>
      </c>
      <c r="E790" s="0" t="inlineStr">
        <is>
          <t>2023.06.</t>
        </is>
      </c>
      <c r="F790" s="0" t="n">
        <v>2426</v>
      </c>
      <c r="G790" s="0" t="n">
        <v>25.8</v>
      </c>
      <c r="H790" s="0" t="n">
        <v>85.29000000000001</v>
      </c>
      <c r="I790" s="0" t="n">
        <v>18.1</v>
      </c>
      <c r="J790" s="0" t="n">
        <v>59.85</v>
      </c>
      <c r="K790" s="0" t="n">
        <v>251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85A</t>
        </is>
      </c>
      <c r="X790" s="0" t="n">
        <v>40</v>
      </c>
      <c r="Y790" s="0" t="n">
        <v>16</v>
      </c>
      <c r="Z790" s="0" t="inlineStr">
        <is>
          <t>https://new.land.naver.com/complexes/132164?tab=detail&amp;rf=Y</t>
        </is>
      </c>
      <c r="AA790" s="0" t="inlineStr">
        <is>
          <t>인천시 서구 백석동 170-3번지 일대(한들구역 2블럭1롯트)</t>
        </is>
      </c>
      <c r="AB790" s="0" t="inlineStr">
        <is>
          <t>인천시</t>
        </is>
      </c>
      <c r="AC790" s="0" t="inlineStr">
        <is>
          <t>서구</t>
        </is>
      </c>
      <c r="AD790" s="0" t="inlineStr">
        <is>
          <t>백석동</t>
        </is>
      </c>
      <c r="AG790" s="0" t="inlineStr">
        <is>
          <t>인천시 서구</t>
        </is>
      </c>
      <c r="AH790" s="0" t="n">
        <v>0</v>
      </c>
      <c r="AI790" s="0" t="n">
        <v>239</v>
      </c>
      <c r="AJ790" s="0" t="n">
        <v>13</v>
      </c>
      <c r="AK790" s="0" t="n">
        <v>3096</v>
      </c>
      <c r="AL790" s="0" t="n">
        <v>1.28</v>
      </c>
    </row>
    <row r="791">
      <c r="A791" s="0" t="inlineStr">
        <is>
          <t>[백석동]</t>
        </is>
      </c>
      <c r="B791" s="0" t="n">
        <v>132164</v>
      </c>
      <c r="C791" s="0" t="n">
        <v>3</v>
      </c>
      <c r="D791" s="0" t="inlineStr">
        <is>
          <t>검암역로열파크씨티푸르지오2단지</t>
        </is>
      </c>
      <c r="E791" s="0" t="inlineStr">
        <is>
          <t>2023.06.</t>
        </is>
      </c>
      <c r="F791" s="0" t="n">
        <v>2426</v>
      </c>
      <c r="G791" s="0" t="n">
        <v>29.99</v>
      </c>
      <c r="H791" s="0" t="n">
        <v>99.17</v>
      </c>
      <c r="I791" s="0" t="n">
        <v>22.38</v>
      </c>
      <c r="J791" s="0" t="n">
        <v>74</v>
      </c>
      <c r="K791" s="0" t="n">
        <v>435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99A</t>
        </is>
      </c>
      <c r="X791" s="0" t="n">
        <v>40</v>
      </c>
      <c r="Y791" s="0" t="n">
        <v>16</v>
      </c>
      <c r="Z791" s="0" t="inlineStr">
        <is>
          <t>https://new.land.naver.com/complexes/132164?tab=detail&amp;rf=Y</t>
        </is>
      </c>
      <c r="AA791" s="0" t="inlineStr">
        <is>
          <t>인천시 서구 백석동 170-3번지 일대(한들구역 2블럭1롯트)</t>
        </is>
      </c>
      <c r="AB791" s="0" t="inlineStr">
        <is>
          <t>인천시</t>
        </is>
      </c>
      <c r="AC791" s="0" t="inlineStr">
        <is>
          <t>서구</t>
        </is>
      </c>
      <c r="AD791" s="0" t="inlineStr">
        <is>
          <t>백석동</t>
        </is>
      </c>
      <c r="AG791" s="0" t="inlineStr">
        <is>
          <t>인천시 서구</t>
        </is>
      </c>
      <c r="AH791" s="0" t="n">
        <v>0</v>
      </c>
      <c r="AI791" s="0" t="n">
        <v>239</v>
      </c>
      <c r="AJ791" s="0" t="n">
        <v>13</v>
      </c>
      <c r="AK791" s="0" t="n">
        <v>3096</v>
      </c>
      <c r="AL791" s="0" t="n">
        <v>1.28</v>
      </c>
    </row>
    <row r="792">
      <c r="A792" s="0" t="inlineStr">
        <is>
          <t>[백석동]</t>
        </is>
      </c>
      <c r="B792" s="0" t="n">
        <v>132164</v>
      </c>
      <c r="C792" s="0" t="n">
        <v>4</v>
      </c>
      <c r="D792" s="0" t="inlineStr">
        <is>
          <t>검암역로열파크씨티푸르지오2단지</t>
        </is>
      </c>
      <c r="E792" s="0" t="inlineStr">
        <is>
          <t>2023.06.</t>
        </is>
      </c>
      <c r="F792" s="0" t="n">
        <v>2426</v>
      </c>
      <c r="G792" s="0" t="n">
        <v>29.95</v>
      </c>
      <c r="H792" s="0" t="n">
        <v>99.03</v>
      </c>
      <c r="I792" s="0" t="n">
        <v>22.38</v>
      </c>
      <c r="J792" s="0" t="n">
        <v>74</v>
      </c>
      <c r="K792" s="0" t="n">
        <v>399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99B</t>
        </is>
      </c>
      <c r="X792" s="0" t="n">
        <v>40</v>
      </c>
      <c r="Y792" s="0" t="n">
        <v>16</v>
      </c>
      <c r="Z792" s="0" t="inlineStr">
        <is>
          <t>https://new.land.naver.com/complexes/132164?tab=detail&amp;rf=Y</t>
        </is>
      </c>
      <c r="AA792" s="0" t="inlineStr">
        <is>
          <t>인천시 서구 백석동 170-3번지 일대(한들구역 2블럭1롯트)</t>
        </is>
      </c>
      <c r="AB792" s="0" t="inlineStr">
        <is>
          <t>인천시</t>
        </is>
      </c>
      <c r="AC792" s="0" t="inlineStr">
        <is>
          <t>서구</t>
        </is>
      </c>
      <c r="AD792" s="0" t="inlineStr">
        <is>
          <t>백석동</t>
        </is>
      </c>
      <c r="AG792" s="0" t="inlineStr">
        <is>
          <t>인천시 서구</t>
        </is>
      </c>
      <c r="AH792" s="0" t="n">
        <v>0</v>
      </c>
      <c r="AI792" s="0" t="n">
        <v>239</v>
      </c>
      <c r="AJ792" s="0" t="n">
        <v>13</v>
      </c>
      <c r="AK792" s="0" t="n">
        <v>3096</v>
      </c>
      <c r="AL792" s="0" t="n">
        <v>1.28</v>
      </c>
    </row>
    <row r="793">
      <c r="A793" s="0" t="inlineStr">
        <is>
          <t>[백석동]</t>
        </is>
      </c>
      <c r="B793" s="0" t="n">
        <v>132164</v>
      </c>
      <c r="C793" s="0" t="n">
        <v>5</v>
      </c>
      <c r="D793" s="0" t="inlineStr">
        <is>
          <t>검암역로열파크씨티푸르지오2단지</t>
        </is>
      </c>
      <c r="E793" s="0" t="inlineStr">
        <is>
          <t>2023.06.</t>
        </is>
      </c>
      <c r="F793" s="0" t="n">
        <v>2426</v>
      </c>
      <c r="G793" s="0" t="n">
        <v>33.53</v>
      </c>
      <c r="H793" s="0" t="n">
        <v>110.86</v>
      </c>
      <c r="I793" s="0" t="n">
        <v>25.68</v>
      </c>
      <c r="J793" s="0" t="n">
        <v>84.91</v>
      </c>
      <c r="K793" s="0" t="n">
        <v>113</v>
      </c>
      <c r="T793" s="0" t="n">
        <v>3</v>
      </c>
      <c r="U793" s="0" t="n">
        <v>2</v>
      </c>
      <c r="V793" s="0" t="inlineStr">
        <is>
          <t>계단식</t>
        </is>
      </c>
      <c r="W793" s="0" t="inlineStr">
        <is>
          <t>110C</t>
        </is>
      </c>
      <c r="X793" s="0" t="n">
        <v>40</v>
      </c>
      <c r="Y793" s="0" t="n">
        <v>16</v>
      </c>
      <c r="Z793" s="0" t="inlineStr">
        <is>
          <t>https://new.land.naver.com/complexes/132164?tab=detail&amp;rf=Y</t>
        </is>
      </c>
      <c r="AA793" s="0" t="inlineStr">
        <is>
          <t>인천시 서구 백석동 170-3번지 일대(한들구역 2블럭1롯트)</t>
        </is>
      </c>
      <c r="AB793" s="0" t="inlineStr">
        <is>
          <t>인천시</t>
        </is>
      </c>
      <c r="AC793" s="0" t="inlineStr">
        <is>
          <t>서구</t>
        </is>
      </c>
      <c r="AD793" s="0" t="inlineStr">
        <is>
          <t>백석동</t>
        </is>
      </c>
      <c r="AG793" s="0" t="inlineStr">
        <is>
          <t>인천시 서구</t>
        </is>
      </c>
      <c r="AH793" s="0" t="n">
        <v>0</v>
      </c>
      <c r="AI793" s="0" t="n">
        <v>239</v>
      </c>
      <c r="AJ793" s="0" t="n">
        <v>13</v>
      </c>
      <c r="AK793" s="0" t="n">
        <v>3096</v>
      </c>
      <c r="AL793" s="0" t="n">
        <v>1.28</v>
      </c>
    </row>
    <row r="794">
      <c r="A794" s="0" t="inlineStr">
        <is>
          <t>[백석동]</t>
        </is>
      </c>
      <c r="B794" s="0" t="n">
        <v>132164</v>
      </c>
      <c r="C794" s="0" t="n">
        <v>6</v>
      </c>
      <c r="D794" s="0" t="inlineStr">
        <is>
          <t>검암역로열파크씨티푸르지오2단지</t>
        </is>
      </c>
      <c r="E794" s="0" t="inlineStr">
        <is>
          <t>2023.06.</t>
        </is>
      </c>
      <c r="F794" s="0" t="n">
        <v>2426</v>
      </c>
      <c r="G794" s="0" t="n">
        <v>33.81</v>
      </c>
      <c r="H794" s="0" t="n">
        <v>111.77</v>
      </c>
      <c r="I794" s="0" t="n">
        <v>25.69</v>
      </c>
      <c r="J794" s="0" t="n">
        <v>84.94</v>
      </c>
      <c r="K794" s="0" t="n">
        <v>168</v>
      </c>
      <c r="T794" s="0" t="n">
        <v>3</v>
      </c>
      <c r="U794" s="0" t="n">
        <v>2</v>
      </c>
      <c r="V794" s="0" t="inlineStr">
        <is>
          <t>계단식</t>
        </is>
      </c>
      <c r="W794" s="0" t="inlineStr">
        <is>
          <t>111B</t>
        </is>
      </c>
      <c r="X794" s="0" t="n">
        <v>40</v>
      </c>
      <c r="Y794" s="0" t="n">
        <v>16</v>
      </c>
      <c r="Z794" s="0" t="inlineStr">
        <is>
          <t>https://new.land.naver.com/complexes/132164?tab=detail&amp;rf=Y</t>
        </is>
      </c>
      <c r="AA794" s="0" t="inlineStr">
        <is>
          <t>인천시 서구 백석동 170-3번지 일대(한들구역 2블럭1롯트)</t>
        </is>
      </c>
      <c r="AB794" s="0" t="inlineStr">
        <is>
          <t>인천시</t>
        </is>
      </c>
      <c r="AC794" s="0" t="inlineStr">
        <is>
          <t>서구</t>
        </is>
      </c>
      <c r="AD794" s="0" t="inlineStr">
        <is>
          <t>백석동</t>
        </is>
      </c>
      <c r="AG794" s="0" t="inlineStr">
        <is>
          <t>인천시 서구</t>
        </is>
      </c>
      <c r="AH794" s="0" t="n">
        <v>0</v>
      </c>
      <c r="AI794" s="0" t="n">
        <v>239</v>
      </c>
      <c r="AJ794" s="0" t="n">
        <v>13</v>
      </c>
      <c r="AK794" s="0" t="n">
        <v>3096</v>
      </c>
      <c r="AL794" s="0" t="n">
        <v>1.28</v>
      </c>
    </row>
    <row r="795">
      <c r="A795" s="0" t="inlineStr">
        <is>
          <t>[백석동]</t>
        </is>
      </c>
      <c r="B795" s="0" t="n">
        <v>132164</v>
      </c>
      <c r="C795" s="0" t="n">
        <v>7</v>
      </c>
      <c r="D795" s="0" t="inlineStr">
        <is>
          <t>검암역로열파크씨티푸르지오2단지</t>
        </is>
      </c>
      <c r="E795" s="0" t="inlineStr">
        <is>
          <t>2023.06.</t>
        </is>
      </c>
      <c r="F795" s="0" t="n">
        <v>2426</v>
      </c>
      <c r="G795" s="0" t="n">
        <v>33.9</v>
      </c>
      <c r="H795" s="0" t="n">
        <v>112.08</v>
      </c>
      <c r="I795" s="0" t="n">
        <v>25.7</v>
      </c>
      <c r="J795" s="0" t="n">
        <v>84.97</v>
      </c>
      <c r="K795" s="0" t="n">
        <v>553</v>
      </c>
      <c r="T795" s="0" t="n">
        <v>3</v>
      </c>
      <c r="U795" s="0" t="n">
        <v>2</v>
      </c>
      <c r="V795" s="0" t="inlineStr">
        <is>
          <t>계단식</t>
        </is>
      </c>
      <c r="W795" s="0" t="inlineStr">
        <is>
          <t>112A</t>
        </is>
      </c>
      <c r="X795" s="0" t="n">
        <v>40</v>
      </c>
      <c r="Y795" s="0" t="n">
        <v>16</v>
      </c>
      <c r="Z795" s="0" t="inlineStr">
        <is>
          <t>https://new.land.naver.com/complexes/132164?tab=detail&amp;rf=Y</t>
        </is>
      </c>
      <c r="AA795" s="0" t="inlineStr">
        <is>
          <t>인천시 서구 백석동 170-3번지 일대(한들구역 2블럭1롯트)</t>
        </is>
      </c>
      <c r="AB795" s="0" t="inlineStr">
        <is>
          <t>인천시</t>
        </is>
      </c>
      <c r="AC795" s="0" t="inlineStr">
        <is>
          <t>서구</t>
        </is>
      </c>
      <c r="AD795" s="0" t="inlineStr">
        <is>
          <t>백석동</t>
        </is>
      </c>
      <c r="AG795" s="0" t="inlineStr">
        <is>
          <t>인천시 서구</t>
        </is>
      </c>
      <c r="AH795" s="0" t="n">
        <v>0</v>
      </c>
      <c r="AI795" s="0" t="n">
        <v>239</v>
      </c>
      <c r="AJ795" s="0" t="n">
        <v>13</v>
      </c>
      <c r="AK795" s="0" t="n">
        <v>3096</v>
      </c>
      <c r="AL795" s="0" t="n">
        <v>1.28</v>
      </c>
    </row>
    <row r="796">
      <c r="A796" s="0" t="inlineStr">
        <is>
          <t>[백석동]</t>
        </is>
      </c>
      <c r="B796" s="0" t="n">
        <v>132164</v>
      </c>
      <c r="C796" s="0" t="n">
        <v>8</v>
      </c>
      <c r="D796" s="0" t="inlineStr">
        <is>
          <t>검암역로열파크씨티푸르지오2단지</t>
        </is>
      </c>
      <c r="E796" s="0" t="inlineStr">
        <is>
          <t>2023.06.</t>
        </is>
      </c>
      <c r="F796" s="0" t="n">
        <v>2426</v>
      </c>
      <c r="G796" s="0" t="n">
        <v>39.53</v>
      </c>
      <c r="H796" s="0" t="n">
        <v>130.69</v>
      </c>
      <c r="I796" s="0" t="n">
        <v>30.83</v>
      </c>
      <c r="J796" s="0" t="n">
        <v>101.95</v>
      </c>
      <c r="K796" s="0" t="n">
        <v>233</v>
      </c>
      <c r="T796" s="0" t="n">
        <v>3</v>
      </c>
      <c r="U796" s="0" t="n">
        <v>2</v>
      </c>
      <c r="V796" s="0" t="inlineStr">
        <is>
          <t>계단식</t>
        </is>
      </c>
      <c r="W796" s="0" t="n">
        <v>130</v>
      </c>
      <c r="X796" s="0" t="n">
        <v>40</v>
      </c>
      <c r="Y796" s="0" t="n">
        <v>16</v>
      </c>
      <c r="Z796" s="0" t="inlineStr">
        <is>
          <t>https://new.land.naver.com/complexes/132164?tab=detail&amp;rf=Y</t>
        </is>
      </c>
      <c r="AA796" s="0" t="inlineStr">
        <is>
          <t>인천시 서구 백석동 170-3번지 일대(한들구역 2블럭1롯트)</t>
        </is>
      </c>
      <c r="AB796" s="0" t="inlineStr">
        <is>
          <t>인천시</t>
        </is>
      </c>
      <c r="AC796" s="0" t="inlineStr">
        <is>
          <t>서구</t>
        </is>
      </c>
      <c r="AD796" s="0" t="inlineStr">
        <is>
          <t>백석동</t>
        </is>
      </c>
      <c r="AG796" s="0" t="inlineStr">
        <is>
          <t>인천시 서구</t>
        </is>
      </c>
      <c r="AH796" s="0" t="n">
        <v>0</v>
      </c>
      <c r="AI796" s="0" t="n">
        <v>239</v>
      </c>
      <c r="AJ796" s="0" t="n">
        <v>13</v>
      </c>
      <c r="AK796" s="0" t="n">
        <v>3096</v>
      </c>
      <c r="AL796" s="0" t="n">
        <v>1.28</v>
      </c>
    </row>
    <row r="797">
      <c r="A797" s="0" t="inlineStr">
        <is>
          <t>[백석동]</t>
        </is>
      </c>
      <c r="B797" s="0" t="n">
        <v>132164</v>
      </c>
      <c r="C797" s="0" t="n">
        <v>9</v>
      </c>
      <c r="D797" s="0" t="inlineStr">
        <is>
          <t>검암역로열파크씨티푸르지오2단지</t>
        </is>
      </c>
      <c r="E797" s="0" t="inlineStr">
        <is>
          <t>2023.06.</t>
        </is>
      </c>
      <c r="F797" s="0" t="n">
        <v>2426</v>
      </c>
      <c r="G797" s="0" t="n">
        <v>61.45</v>
      </c>
      <c r="H797" s="0" t="n">
        <v>203.17</v>
      </c>
      <c r="I797" s="0" t="n">
        <v>46.19</v>
      </c>
      <c r="J797" s="0" t="n">
        <v>152.71</v>
      </c>
      <c r="K797" s="0" t="n">
        <v>10</v>
      </c>
      <c r="T797" s="0" t="n">
        <v>4</v>
      </c>
      <c r="U797" s="0" t="n">
        <v>3</v>
      </c>
      <c r="V797" s="0" t="inlineStr">
        <is>
          <t>계단식</t>
        </is>
      </c>
      <c r="W797" s="0" t="n">
        <v>203</v>
      </c>
      <c r="X797" s="0" t="n">
        <v>40</v>
      </c>
      <c r="Y797" s="0" t="n">
        <v>16</v>
      </c>
      <c r="Z797" s="0" t="inlineStr">
        <is>
          <t>https://new.land.naver.com/complexes/132164?tab=detail&amp;rf=Y</t>
        </is>
      </c>
      <c r="AA797" s="0" t="inlineStr">
        <is>
          <t>인천시 서구 백석동 170-3번지 일대(한들구역 2블럭1롯트)</t>
        </is>
      </c>
      <c r="AB797" s="0" t="inlineStr">
        <is>
          <t>인천시</t>
        </is>
      </c>
      <c r="AC797" s="0" t="inlineStr">
        <is>
          <t>서구</t>
        </is>
      </c>
      <c r="AD797" s="0" t="inlineStr">
        <is>
          <t>백석동</t>
        </is>
      </c>
      <c r="AG797" s="0" t="inlineStr">
        <is>
          <t>인천시 서구</t>
        </is>
      </c>
      <c r="AH797" s="0" t="n">
        <v>0</v>
      </c>
      <c r="AI797" s="0" t="n">
        <v>239</v>
      </c>
      <c r="AJ797" s="0" t="n">
        <v>13</v>
      </c>
      <c r="AK797" s="0" t="n">
        <v>3096</v>
      </c>
      <c r="AL797" s="0" t="n">
        <v>1.28</v>
      </c>
    </row>
    <row r="798">
      <c r="A798" s="0" t="inlineStr">
        <is>
          <t>[백석동]</t>
        </is>
      </c>
      <c r="B798" s="0" t="n">
        <v>132164</v>
      </c>
      <c r="C798" s="0" t="n">
        <v>10</v>
      </c>
      <c r="D798" s="0" t="inlineStr">
        <is>
          <t>검암역로열파크씨티푸르지오2단지</t>
        </is>
      </c>
      <c r="E798" s="0" t="inlineStr">
        <is>
          <t>2023.06.</t>
        </is>
      </c>
      <c r="F798" s="0" t="n">
        <v>2426</v>
      </c>
      <c r="G798" s="0" t="n">
        <v>95.81</v>
      </c>
      <c r="H798" s="0" t="n">
        <v>316.74</v>
      </c>
      <c r="I798" s="0" t="n">
        <v>73.13</v>
      </c>
      <c r="J798" s="0" t="n">
        <v>241.77</v>
      </c>
      <c r="K798" s="0" t="n">
        <v>1</v>
      </c>
      <c r="T798" s="0" t="n">
        <v>3</v>
      </c>
      <c r="U798" s="0" t="n">
        <v>4</v>
      </c>
      <c r="V798" s="0" t="inlineStr">
        <is>
          <t>계단식</t>
        </is>
      </c>
      <c r="W798" s="0" t="n">
        <v>316</v>
      </c>
      <c r="X798" s="0" t="n">
        <v>40</v>
      </c>
      <c r="Y798" s="0" t="n">
        <v>16</v>
      </c>
      <c r="Z798" s="0" t="inlineStr">
        <is>
          <t>https://new.land.naver.com/complexes/132164?tab=detail&amp;rf=Y</t>
        </is>
      </c>
      <c r="AA798" s="0" t="inlineStr">
        <is>
          <t>인천시 서구 백석동 170-3번지 일대(한들구역 2블럭1롯트)</t>
        </is>
      </c>
      <c r="AB798" s="0" t="inlineStr">
        <is>
          <t>인천시</t>
        </is>
      </c>
      <c r="AC798" s="0" t="inlineStr">
        <is>
          <t>서구</t>
        </is>
      </c>
      <c r="AD798" s="0" t="inlineStr">
        <is>
          <t>백석동</t>
        </is>
      </c>
      <c r="AG798" s="0" t="inlineStr">
        <is>
          <t>인천시 서구</t>
        </is>
      </c>
      <c r="AH798" s="0" t="n">
        <v>0</v>
      </c>
      <c r="AI798" s="0" t="n">
        <v>239</v>
      </c>
      <c r="AJ798" s="0" t="n">
        <v>13</v>
      </c>
      <c r="AK798" s="0" t="n">
        <v>3096</v>
      </c>
      <c r="AL798" s="0" t="n">
        <v>1.28</v>
      </c>
    </row>
    <row r="799">
      <c r="A799" s="0" t="inlineStr">
        <is>
          <t>[백석동]</t>
        </is>
      </c>
      <c r="B799" s="0" t="n">
        <v>132121</v>
      </c>
      <c r="C799" s="0" t="n">
        <v>1</v>
      </c>
      <c r="D799" s="0" t="inlineStr">
        <is>
          <t>검암역로열파크씨티푸르지오1단지</t>
        </is>
      </c>
      <c r="E799" s="0" t="inlineStr">
        <is>
          <t>2023.06.</t>
        </is>
      </c>
      <c r="F799" s="0" t="n">
        <v>2379</v>
      </c>
      <c r="G799" s="0" t="n">
        <v>25.37</v>
      </c>
      <c r="H799" s="0" t="n">
        <v>83.89</v>
      </c>
      <c r="I799" s="0" t="n">
        <v>18.1</v>
      </c>
      <c r="J799" s="0" t="n">
        <v>59.85</v>
      </c>
      <c r="K799" s="0" t="n">
        <v>535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83A</t>
        </is>
      </c>
      <c r="X799" s="0" t="n">
        <v>40</v>
      </c>
      <c r="Y799" s="0" t="n">
        <v>19</v>
      </c>
      <c r="Z799" s="0" t="inlineStr">
        <is>
          <t>https://new.land.naver.com/complexes/132121?tab=detail&amp;rf=Y</t>
        </is>
      </c>
      <c r="AA799" s="0" t="inlineStr">
        <is>
          <t>인천시 서구 백석동 170-3번지 일대</t>
        </is>
      </c>
      <c r="AB799" s="0" t="inlineStr">
        <is>
          <t>인천시</t>
        </is>
      </c>
      <c r="AC799" s="0" t="inlineStr">
        <is>
          <t>서구</t>
        </is>
      </c>
      <c r="AD799" s="0" t="inlineStr">
        <is>
          <t>백석동</t>
        </is>
      </c>
      <c r="AG799" s="0" t="inlineStr">
        <is>
          <t>인천시 서구</t>
        </is>
      </c>
      <c r="AH799" s="0" t="n">
        <v>0</v>
      </c>
      <c r="AI799" s="0" t="n">
        <v>239</v>
      </c>
      <c r="AJ799" s="0" t="n">
        <v>13</v>
      </c>
      <c r="AK799" s="0" t="n">
        <v>3009</v>
      </c>
      <c r="AL799" s="0" t="n">
        <v>1.26</v>
      </c>
    </row>
    <row r="800">
      <c r="A800" s="0" t="inlineStr">
        <is>
          <t>[백석동]</t>
        </is>
      </c>
      <c r="B800" s="0" t="n">
        <v>132121</v>
      </c>
      <c r="C800" s="0" t="n">
        <v>2</v>
      </c>
      <c r="D800" s="0" t="inlineStr">
        <is>
          <t>검암역로열파크씨티푸르지오1단지</t>
        </is>
      </c>
      <c r="E800" s="0" t="inlineStr">
        <is>
          <t>2023.06.</t>
        </is>
      </c>
      <c r="F800" s="0" t="n">
        <v>2379</v>
      </c>
      <c r="G800" s="0" t="n">
        <v>25.46</v>
      </c>
      <c r="H800" s="0" t="n">
        <v>84.18000000000001</v>
      </c>
      <c r="I800" s="0" t="n">
        <v>18.13</v>
      </c>
      <c r="J800" s="0" t="n">
        <v>59.95</v>
      </c>
      <c r="K800" s="0" t="n">
        <v>149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84B</t>
        </is>
      </c>
      <c r="X800" s="0" t="n">
        <v>40</v>
      </c>
      <c r="Y800" s="0" t="n">
        <v>19</v>
      </c>
      <c r="Z800" s="0" t="inlineStr">
        <is>
          <t>https://new.land.naver.com/complexes/132121?tab=detail&amp;rf=Y</t>
        </is>
      </c>
      <c r="AA800" s="0" t="inlineStr">
        <is>
          <t>인천시 서구 백석동 170-3번지 일대</t>
        </is>
      </c>
      <c r="AB800" s="0" t="inlineStr">
        <is>
          <t>인천시</t>
        </is>
      </c>
      <c r="AC800" s="0" t="inlineStr">
        <is>
          <t>서구</t>
        </is>
      </c>
      <c r="AD800" s="0" t="inlineStr">
        <is>
          <t>백석동</t>
        </is>
      </c>
      <c r="AG800" s="0" t="inlineStr">
        <is>
          <t>인천시 서구</t>
        </is>
      </c>
      <c r="AH800" s="0" t="n">
        <v>0</v>
      </c>
      <c r="AI800" s="0" t="n">
        <v>239</v>
      </c>
      <c r="AJ800" s="0" t="n">
        <v>13</v>
      </c>
      <c r="AK800" s="0" t="n">
        <v>3009</v>
      </c>
      <c r="AL800" s="0" t="n">
        <v>1.26</v>
      </c>
    </row>
    <row r="801">
      <c r="A801" s="0" t="inlineStr">
        <is>
          <t>[백석동]</t>
        </is>
      </c>
      <c r="B801" s="0" t="n">
        <v>132121</v>
      </c>
      <c r="C801" s="0" t="n">
        <v>3</v>
      </c>
      <c r="D801" s="0" t="inlineStr">
        <is>
          <t>검암역로열파크씨티푸르지오1단지</t>
        </is>
      </c>
      <c r="E801" s="0" t="inlineStr">
        <is>
          <t>2023.06.</t>
        </is>
      </c>
      <c r="F801" s="0" t="n">
        <v>2379</v>
      </c>
      <c r="G801" s="0" t="n">
        <v>29.66</v>
      </c>
      <c r="H801" s="0" t="n">
        <v>98.08</v>
      </c>
      <c r="I801" s="0" t="n">
        <v>22.38</v>
      </c>
      <c r="J801" s="0" t="n">
        <v>74</v>
      </c>
      <c r="K801" s="0" t="n">
        <v>324</v>
      </c>
      <c r="T801" s="0" t="n">
        <v>3</v>
      </c>
      <c r="U801" s="0" t="n">
        <v>2</v>
      </c>
      <c r="V801" s="0" t="inlineStr">
        <is>
          <t>계단식</t>
        </is>
      </c>
      <c r="W801" s="0" t="inlineStr">
        <is>
          <t>98A</t>
        </is>
      </c>
      <c r="X801" s="0" t="n">
        <v>40</v>
      </c>
      <c r="Y801" s="0" t="n">
        <v>19</v>
      </c>
      <c r="Z801" s="0" t="inlineStr">
        <is>
          <t>https://new.land.naver.com/complexes/132121?tab=detail&amp;rf=Y</t>
        </is>
      </c>
      <c r="AA801" s="0" t="inlineStr">
        <is>
          <t>인천시 서구 백석동 170-3번지 일대</t>
        </is>
      </c>
      <c r="AB801" s="0" t="inlineStr">
        <is>
          <t>인천시</t>
        </is>
      </c>
      <c r="AC801" s="0" t="inlineStr">
        <is>
          <t>서구</t>
        </is>
      </c>
      <c r="AD801" s="0" t="inlineStr">
        <is>
          <t>백석동</t>
        </is>
      </c>
      <c r="AG801" s="0" t="inlineStr">
        <is>
          <t>인천시 서구</t>
        </is>
      </c>
      <c r="AH801" s="0" t="n">
        <v>0</v>
      </c>
      <c r="AI801" s="0" t="n">
        <v>239</v>
      </c>
      <c r="AJ801" s="0" t="n">
        <v>13</v>
      </c>
      <c r="AK801" s="0" t="n">
        <v>3009</v>
      </c>
      <c r="AL801" s="0" t="n">
        <v>1.26</v>
      </c>
    </row>
    <row r="802">
      <c r="A802" s="0" t="inlineStr">
        <is>
          <t>[백석동]</t>
        </is>
      </c>
      <c r="B802" s="0" t="n">
        <v>132121</v>
      </c>
      <c r="C802" s="0" t="n">
        <v>4</v>
      </c>
      <c r="D802" s="0" t="inlineStr">
        <is>
          <t>검암역로열파크씨티푸르지오1단지</t>
        </is>
      </c>
      <c r="E802" s="0" t="inlineStr">
        <is>
          <t>2023.06.</t>
        </is>
      </c>
      <c r="F802" s="0" t="n">
        <v>2379</v>
      </c>
      <c r="G802" s="0" t="n">
        <v>29.98</v>
      </c>
      <c r="H802" s="0" t="n">
        <v>99.13</v>
      </c>
      <c r="I802" s="0" t="n">
        <v>22.38</v>
      </c>
      <c r="J802" s="0" t="n">
        <v>74</v>
      </c>
      <c r="K802" s="0" t="n">
        <v>404</v>
      </c>
      <c r="T802" s="0" t="n">
        <v>3</v>
      </c>
      <c r="U802" s="0" t="n">
        <v>2</v>
      </c>
      <c r="V802" s="0" t="inlineStr">
        <is>
          <t>계단식</t>
        </is>
      </c>
      <c r="W802" s="0" t="inlineStr">
        <is>
          <t>99B</t>
        </is>
      </c>
      <c r="X802" s="0" t="n">
        <v>40</v>
      </c>
      <c r="Y802" s="0" t="n">
        <v>19</v>
      </c>
      <c r="Z802" s="0" t="inlineStr">
        <is>
          <t>https://new.land.naver.com/complexes/132121?tab=detail&amp;rf=Y</t>
        </is>
      </c>
      <c r="AA802" s="0" t="inlineStr">
        <is>
          <t>인천시 서구 백석동 170-3번지 일대</t>
        </is>
      </c>
      <c r="AB802" s="0" t="inlineStr">
        <is>
          <t>인천시</t>
        </is>
      </c>
      <c r="AC802" s="0" t="inlineStr">
        <is>
          <t>서구</t>
        </is>
      </c>
      <c r="AD802" s="0" t="inlineStr">
        <is>
          <t>백석동</t>
        </is>
      </c>
      <c r="AG802" s="0" t="inlineStr">
        <is>
          <t>인천시 서구</t>
        </is>
      </c>
      <c r="AH802" s="0" t="n">
        <v>0</v>
      </c>
      <c r="AI802" s="0" t="n">
        <v>239</v>
      </c>
      <c r="AJ802" s="0" t="n">
        <v>13</v>
      </c>
      <c r="AK802" s="0" t="n">
        <v>3009</v>
      </c>
      <c r="AL802" s="0" t="n">
        <v>1.26</v>
      </c>
    </row>
    <row r="803">
      <c r="A803" s="0" t="inlineStr">
        <is>
          <t>[백석동]</t>
        </is>
      </c>
      <c r="B803" s="0" t="n">
        <v>132121</v>
      </c>
      <c r="C803" s="0" t="n">
        <v>5</v>
      </c>
      <c r="D803" s="0" t="inlineStr">
        <is>
          <t>검암역로열파크씨티푸르지오1단지</t>
        </is>
      </c>
      <c r="E803" s="0" t="inlineStr">
        <is>
          <t>2023.06.</t>
        </is>
      </c>
      <c r="F803" s="0" t="n">
        <v>2379</v>
      </c>
      <c r="G803" s="0" t="n">
        <v>33.87</v>
      </c>
      <c r="H803" s="0" t="n">
        <v>111.97</v>
      </c>
      <c r="I803" s="0" t="n">
        <v>25.7</v>
      </c>
      <c r="J803" s="0" t="n">
        <v>84.97</v>
      </c>
      <c r="K803" s="0" t="n">
        <v>478</v>
      </c>
      <c r="T803" s="0" t="n">
        <v>3</v>
      </c>
      <c r="U803" s="0" t="n">
        <v>2</v>
      </c>
      <c r="V803" s="0" t="inlineStr">
        <is>
          <t>계단식</t>
        </is>
      </c>
      <c r="W803" s="0" t="inlineStr">
        <is>
          <t>111A</t>
        </is>
      </c>
      <c r="X803" s="0" t="n">
        <v>40</v>
      </c>
      <c r="Y803" s="0" t="n">
        <v>19</v>
      </c>
      <c r="Z803" s="0" t="inlineStr">
        <is>
          <t>https://new.land.naver.com/complexes/132121?tab=detail&amp;rf=Y</t>
        </is>
      </c>
      <c r="AA803" s="0" t="inlineStr">
        <is>
          <t>인천시 서구 백석동 170-3번지 일대</t>
        </is>
      </c>
      <c r="AB803" s="0" t="inlineStr">
        <is>
          <t>인천시</t>
        </is>
      </c>
      <c r="AC803" s="0" t="inlineStr">
        <is>
          <t>서구</t>
        </is>
      </c>
      <c r="AD803" s="0" t="inlineStr">
        <is>
          <t>백석동</t>
        </is>
      </c>
      <c r="AG803" s="0" t="inlineStr">
        <is>
          <t>인천시 서구</t>
        </is>
      </c>
      <c r="AH803" s="0" t="n">
        <v>0</v>
      </c>
      <c r="AI803" s="0" t="n">
        <v>239</v>
      </c>
      <c r="AJ803" s="0" t="n">
        <v>13</v>
      </c>
      <c r="AK803" s="0" t="n">
        <v>3009</v>
      </c>
      <c r="AL803" s="0" t="n">
        <v>1.26</v>
      </c>
    </row>
    <row r="804">
      <c r="A804" s="0" t="inlineStr">
        <is>
          <t>[백석동]</t>
        </is>
      </c>
      <c r="B804" s="0" t="n">
        <v>132121</v>
      </c>
      <c r="C804" s="0" t="n">
        <v>6</v>
      </c>
      <c r="D804" s="0" t="inlineStr">
        <is>
          <t>검암역로열파크씨티푸르지오1단지</t>
        </is>
      </c>
      <c r="E804" s="0" t="inlineStr">
        <is>
          <t>2023.06.</t>
        </is>
      </c>
      <c r="F804" s="0" t="n">
        <v>2379</v>
      </c>
      <c r="G804" s="0" t="n">
        <v>33.84</v>
      </c>
      <c r="H804" s="0" t="n">
        <v>111.89</v>
      </c>
      <c r="I804" s="0" t="n">
        <v>25.69</v>
      </c>
      <c r="J804" s="0" t="n">
        <v>84.94</v>
      </c>
      <c r="K804" s="0" t="n">
        <v>171</v>
      </c>
      <c r="T804" s="0" t="n">
        <v>3</v>
      </c>
      <c r="U804" s="0" t="n">
        <v>2</v>
      </c>
      <c r="V804" s="0" t="inlineStr">
        <is>
          <t>계단식</t>
        </is>
      </c>
      <c r="W804" s="0" t="inlineStr">
        <is>
          <t>111B</t>
        </is>
      </c>
      <c r="X804" s="0" t="n">
        <v>40</v>
      </c>
      <c r="Y804" s="0" t="n">
        <v>19</v>
      </c>
      <c r="Z804" s="0" t="inlineStr">
        <is>
          <t>https://new.land.naver.com/complexes/132121?tab=detail&amp;rf=Y</t>
        </is>
      </c>
      <c r="AA804" s="0" t="inlineStr">
        <is>
          <t>인천시 서구 백석동 170-3번지 일대</t>
        </is>
      </c>
      <c r="AB804" s="0" t="inlineStr">
        <is>
          <t>인천시</t>
        </is>
      </c>
      <c r="AC804" s="0" t="inlineStr">
        <is>
          <t>서구</t>
        </is>
      </c>
      <c r="AD804" s="0" t="inlineStr">
        <is>
          <t>백석동</t>
        </is>
      </c>
      <c r="AG804" s="0" t="inlineStr">
        <is>
          <t>인천시 서구</t>
        </is>
      </c>
      <c r="AH804" s="0" t="n">
        <v>0</v>
      </c>
      <c r="AI804" s="0" t="n">
        <v>239</v>
      </c>
      <c r="AJ804" s="0" t="n">
        <v>13</v>
      </c>
      <c r="AK804" s="0" t="n">
        <v>3009</v>
      </c>
      <c r="AL804" s="0" t="n">
        <v>1.26</v>
      </c>
    </row>
    <row r="805">
      <c r="A805" s="0" t="inlineStr">
        <is>
          <t>[백석동]</t>
        </is>
      </c>
      <c r="B805" s="0" t="n">
        <v>132121</v>
      </c>
      <c r="C805" s="0" t="n">
        <v>7</v>
      </c>
      <c r="D805" s="0" t="inlineStr">
        <is>
          <t>검암역로열파크씨티푸르지오1단지</t>
        </is>
      </c>
      <c r="E805" s="0" t="inlineStr">
        <is>
          <t>2023.06.</t>
        </is>
      </c>
      <c r="F805" s="0" t="n">
        <v>2379</v>
      </c>
      <c r="G805" s="0" t="n">
        <v>33.91</v>
      </c>
      <c r="H805" s="0" t="n">
        <v>112.13</v>
      </c>
      <c r="I805" s="0" t="n">
        <v>25.68</v>
      </c>
      <c r="J805" s="0" t="n">
        <v>84.91</v>
      </c>
      <c r="K805" s="0" t="n">
        <v>116</v>
      </c>
      <c r="T805" s="0" t="n">
        <v>3</v>
      </c>
      <c r="U805" s="0" t="n">
        <v>2</v>
      </c>
      <c r="V805" s="0" t="inlineStr">
        <is>
          <t>계단식</t>
        </is>
      </c>
      <c r="W805" s="0" t="inlineStr">
        <is>
          <t>112C</t>
        </is>
      </c>
      <c r="X805" s="0" t="n">
        <v>40</v>
      </c>
      <c r="Y805" s="0" t="n">
        <v>19</v>
      </c>
      <c r="Z805" s="0" t="inlineStr">
        <is>
          <t>https://new.land.naver.com/complexes/132121?tab=detail&amp;rf=Y</t>
        </is>
      </c>
      <c r="AA805" s="0" t="inlineStr">
        <is>
          <t>인천시 서구 백석동 170-3번지 일대</t>
        </is>
      </c>
      <c r="AB805" s="0" t="inlineStr">
        <is>
          <t>인천시</t>
        </is>
      </c>
      <c r="AC805" s="0" t="inlineStr">
        <is>
          <t>서구</t>
        </is>
      </c>
      <c r="AD805" s="0" t="inlineStr">
        <is>
          <t>백석동</t>
        </is>
      </c>
      <c r="AG805" s="0" t="inlineStr">
        <is>
          <t>인천시 서구</t>
        </is>
      </c>
      <c r="AH805" s="0" t="n">
        <v>0</v>
      </c>
      <c r="AI805" s="0" t="n">
        <v>239</v>
      </c>
      <c r="AJ805" s="0" t="n">
        <v>13</v>
      </c>
      <c r="AK805" s="0" t="n">
        <v>3009</v>
      </c>
      <c r="AL805" s="0" t="n">
        <v>1.26</v>
      </c>
    </row>
    <row r="806">
      <c r="A806" s="0" t="inlineStr">
        <is>
          <t>[백석동]</t>
        </is>
      </c>
      <c r="B806" s="0" t="n">
        <v>132121</v>
      </c>
      <c r="C806" s="0" t="n">
        <v>8</v>
      </c>
      <c r="D806" s="0" t="inlineStr">
        <is>
          <t>검암역로열파크씨티푸르지오1단지</t>
        </is>
      </c>
      <c r="E806" s="0" t="inlineStr">
        <is>
          <t>2023.06.</t>
        </is>
      </c>
      <c r="F806" s="0" t="n">
        <v>2379</v>
      </c>
      <c r="G806" s="0" t="n">
        <v>39.63</v>
      </c>
      <c r="H806" s="0" t="n">
        <v>131.03</v>
      </c>
      <c r="I806" s="0" t="n">
        <v>30.83</v>
      </c>
      <c r="J806" s="0" t="n">
        <v>101.95</v>
      </c>
      <c r="K806" s="0" t="n">
        <v>191</v>
      </c>
      <c r="T806" s="0" t="n">
        <v>3</v>
      </c>
      <c r="U806" s="0" t="n">
        <v>2</v>
      </c>
      <c r="V806" s="0" t="inlineStr">
        <is>
          <t>계단식</t>
        </is>
      </c>
      <c r="W806" s="0" t="n">
        <v>131</v>
      </c>
      <c r="X806" s="0" t="n">
        <v>40</v>
      </c>
      <c r="Y806" s="0" t="n">
        <v>19</v>
      </c>
      <c r="Z806" s="0" t="inlineStr">
        <is>
          <t>https://new.land.naver.com/complexes/132121?tab=detail&amp;rf=Y</t>
        </is>
      </c>
      <c r="AA806" s="0" t="inlineStr">
        <is>
          <t>인천시 서구 백석동 170-3번지 일대</t>
        </is>
      </c>
      <c r="AB806" s="0" t="inlineStr">
        <is>
          <t>인천시</t>
        </is>
      </c>
      <c r="AC806" s="0" t="inlineStr">
        <is>
          <t>서구</t>
        </is>
      </c>
      <c r="AD806" s="0" t="inlineStr">
        <is>
          <t>백석동</t>
        </is>
      </c>
      <c r="AG806" s="0" t="inlineStr">
        <is>
          <t>인천시 서구</t>
        </is>
      </c>
      <c r="AH806" s="0" t="n">
        <v>0</v>
      </c>
      <c r="AI806" s="0" t="n">
        <v>239</v>
      </c>
      <c r="AJ806" s="0" t="n">
        <v>13</v>
      </c>
      <c r="AK806" s="0" t="n">
        <v>3009</v>
      </c>
      <c r="AL806" s="0" t="n">
        <v>1.26</v>
      </c>
    </row>
    <row r="807">
      <c r="A807" s="0" t="inlineStr">
        <is>
          <t>[백석동]</t>
        </is>
      </c>
      <c r="B807" s="0" t="n">
        <v>132121</v>
      </c>
      <c r="C807" s="0" t="n">
        <v>9</v>
      </c>
      <c r="D807" s="0" t="inlineStr">
        <is>
          <t>검암역로열파크씨티푸르지오1단지</t>
        </is>
      </c>
      <c r="E807" s="0" t="inlineStr">
        <is>
          <t>2023.06.</t>
        </is>
      </c>
      <c r="F807" s="0" t="n">
        <v>2379</v>
      </c>
      <c r="G807" s="0" t="n">
        <v>61.45</v>
      </c>
      <c r="H807" s="0" t="n">
        <v>203.17</v>
      </c>
      <c r="I807" s="0" t="n">
        <v>46.19</v>
      </c>
      <c r="J807" s="0" t="n">
        <v>152.71</v>
      </c>
      <c r="K807" s="0" t="n">
        <v>10</v>
      </c>
      <c r="T807" s="0" t="n">
        <v>4</v>
      </c>
      <c r="U807" s="0" t="n">
        <v>3</v>
      </c>
      <c r="V807" s="0" t="inlineStr">
        <is>
          <t>계단식</t>
        </is>
      </c>
      <c r="W807" s="0" t="n">
        <v>203</v>
      </c>
      <c r="X807" s="0" t="n">
        <v>40</v>
      </c>
      <c r="Y807" s="0" t="n">
        <v>19</v>
      </c>
      <c r="Z807" s="0" t="inlineStr">
        <is>
          <t>https://new.land.naver.com/complexes/132121?tab=detail&amp;rf=Y</t>
        </is>
      </c>
      <c r="AA807" s="0" t="inlineStr">
        <is>
          <t>인천시 서구 백석동 170-3번지 일대</t>
        </is>
      </c>
      <c r="AB807" s="0" t="inlineStr">
        <is>
          <t>인천시</t>
        </is>
      </c>
      <c r="AC807" s="0" t="inlineStr">
        <is>
          <t>서구</t>
        </is>
      </c>
      <c r="AD807" s="0" t="inlineStr">
        <is>
          <t>백석동</t>
        </is>
      </c>
      <c r="AG807" s="0" t="inlineStr">
        <is>
          <t>인천시 서구</t>
        </is>
      </c>
      <c r="AH807" s="0" t="n">
        <v>0</v>
      </c>
      <c r="AI807" s="0" t="n">
        <v>239</v>
      </c>
      <c r="AJ807" s="0" t="n">
        <v>13</v>
      </c>
      <c r="AK807" s="0" t="n">
        <v>3009</v>
      </c>
      <c r="AL807" s="0" t="n">
        <v>1.26</v>
      </c>
    </row>
    <row r="808">
      <c r="A808" s="0" t="inlineStr">
        <is>
          <t>[백석동]</t>
        </is>
      </c>
      <c r="B808" s="0" t="n">
        <v>132121</v>
      </c>
      <c r="C808" s="0" t="n">
        <v>10</v>
      </c>
      <c r="D808" s="0" t="inlineStr">
        <is>
          <t>검암역로열파크씨티푸르지오1단지</t>
        </is>
      </c>
      <c r="E808" s="0" t="inlineStr">
        <is>
          <t>2023.06.</t>
        </is>
      </c>
      <c r="F808" s="0" t="n">
        <v>2379</v>
      </c>
      <c r="G808" s="0" t="n">
        <v>95.54000000000001</v>
      </c>
      <c r="H808" s="0" t="n">
        <v>315.85</v>
      </c>
      <c r="I808" s="0" t="n">
        <v>73.13</v>
      </c>
      <c r="J808" s="0" t="n">
        <v>241.77</v>
      </c>
      <c r="K808" s="0" t="n">
        <v>1</v>
      </c>
      <c r="T808" s="0" t="n">
        <v>3</v>
      </c>
      <c r="U808" s="0" t="n">
        <v>4</v>
      </c>
      <c r="V808" s="0" t="inlineStr">
        <is>
          <t>계단식</t>
        </is>
      </c>
      <c r="W808" s="0" t="n">
        <v>315</v>
      </c>
      <c r="X808" s="0" t="n">
        <v>40</v>
      </c>
      <c r="Y808" s="0" t="n">
        <v>19</v>
      </c>
      <c r="Z808" s="0" t="inlineStr">
        <is>
          <t>https://new.land.naver.com/complexes/132121?tab=detail&amp;rf=Y</t>
        </is>
      </c>
      <c r="AA808" s="0" t="inlineStr">
        <is>
          <t>인천시 서구 백석동 170-3번지 일대</t>
        </is>
      </c>
      <c r="AB808" s="0" t="inlineStr">
        <is>
          <t>인천시</t>
        </is>
      </c>
      <c r="AC808" s="0" t="inlineStr">
        <is>
          <t>서구</t>
        </is>
      </c>
      <c r="AD808" s="0" t="inlineStr">
        <is>
          <t>백석동</t>
        </is>
      </c>
      <c r="AG808" s="0" t="inlineStr">
        <is>
          <t>인천시 서구</t>
        </is>
      </c>
      <c r="AH808" s="0" t="n">
        <v>0</v>
      </c>
      <c r="AI808" s="0" t="n">
        <v>239</v>
      </c>
      <c r="AJ808" s="0" t="n">
        <v>13</v>
      </c>
      <c r="AK808" s="0" t="n">
        <v>3009</v>
      </c>
      <c r="AL808" s="0" t="n">
        <v>1.26</v>
      </c>
    </row>
    <row r="809">
      <c r="A809" s="0" t="inlineStr">
        <is>
          <t>[불로동]</t>
        </is>
      </c>
      <c r="B809" s="0" t="n">
        <v>2519</v>
      </c>
      <c r="C809" s="0" t="n">
        <v>1</v>
      </c>
      <c r="D809" s="0" t="inlineStr">
        <is>
          <t>퀸스타운신명</t>
        </is>
      </c>
      <c r="E809" s="0" t="inlineStr">
        <is>
          <t>1998.11.</t>
        </is>
      </c>
      <c r="F809" s="0" t="n">
        <v>614</v>
      </c>
      <c r="G809" s="0" t="n">
        <v>24.1</v>
      </c>
      <c r="H809" s="0" t="n">
        <v>79.7</v>
      </c>
      <c r="I809" s="0" t="n">
        <v>18.06</v>
      </c>
      <c r="J809" s="0" t="n">
        <v>59.72</v>
      </c>
      <c r="K809" s="0" t="n">
        <v>234</v>
      </c>
      <c r="T809" s="0" t="n">
        <v>3</v>
      </c>
      <c r="U809" s="0" t="n">
        <v>1</v>
      </c>
      <c r="V809" s="0" t="inlineStr">
        <is>
          <t>계단식</t>
        </is>
      </c>
      <c r="W809" s="0" t="inlineStr">
        <is>
          <t>79A</t>
        </is>
      </c>
      <c r="X809" s="0" t="n">
        <v>20</v>
      </c>
      <c r="Y809" s="0" t="n">
        <v>16</v>
      </c>
      <c r="Z809" s="0" t="inlineStr">
        <is>
          <t>https://new.land.naver.com/complexes/2519?tab=detail&amp;rf=Y</t>
        </is>
      </c>
      <c r="AA809" s="0" t="inlineStr">
        <is>
          <t>인천시 서구 불로동 312-2</t>
        </is>
      </c>
      <c r="AB809" s="0" t="inlineStr">
        <is>
          <t>인천시</t>
        </is>
      </c>
      <c r="AC809" s="0" t="inlineStr">
        <is>
          <t>서구</t>
        </is>
      </c>
      <c r="AD809" s="0" t="inlineStr">
        <is>
          <t>불로동</t>
        </is>
      </c>
      <c r="AG809" s="0" t="inlineStr">
        <is>
          <t>인천시 서구 검단로 834</t>
        </is>
      </c>
      <c r="AH809" s="0" t="n">
        <v>0</v>
      </c>
      <c r="AI809" s="0" t="n">
        <v>249</v>
      </c>
      <c r="AJ809" s="0" t="n">
        <v>19</v>
      </c>
      <c r="AK809" s="0" t="n">
        <v>627</v>
      </c>
      <c r="AL809" s="0" t="n">
        <v>1.02</v>
      </c>
    </row>
    <row r="810">
      <c r="A810" s="0" t="inlineStr">
        <is>
          <t>[불로동]</t>
        </is>
      </c>
      <c r="B810" s="0" t="n">
        <v>2519</v>
      </c>
      <c r="C810" s="0" t="n">
        <v>2</v>
      </c>
      <c r="D810" s="0" t="inlineStr">
        <is>
          <t>퀸스타운신명</t>
        </is>
      </c>
      <c r="E810" s="0" t="inlineStr">
        <is>
          <t>1998.11.</t>
        </is>
      </c>
      <c r="F810" s="0" t="n">
        <v>614</v>
      </c>
      <c r="G810" s="0" t="n">
        <v>24.35</v>
      </c>
      <c r="H810" s="0" t="n">
        <v>80.5</v>
      </c>
      <c r="I810" s="0" t="n">
        <v>18.14</v>
      </c>
      <c r="J810" s="0" t="n">
        <v>59.97</v>
      </c>
      <c r="K810" s="0" t="n">
        <v>76</v>
      </c>
      <c r="T810" s="0" t="n">
        <v>3</v>
      </c>
      <c r="U810" s="0" t="n">
        <v>1</v>
      </c>
      <c r="V810" s="0" t="inlineStr">
        <is>
          <t>계단식</t>
        </is>
      </c>
      <c r="W810" s="0" t="inlineStr">
        <is>
          <t>80B</t>
        </is>
      </c>
      <c r="X810" s="0" t="n">
        <v>20</v>
      </c>
      <c r="Y810" s="0" t="n">
        <v>16</v>
      </c>
      <c r="Z810" s="0" t="inlineStr">
        <is>
          <t>https://new.land.naver.com/complexes/2519?tab=detail&amp;rf=Y</t>
        </is>
      </c>
      <c r="AA810" s="0" t="inlineStr">
        <is>
          <t>인천시 서구 불로동 312-2</t>
        </is>
      </c>
      <c r="AB810" s="0" t="inlineStr">
        <is>
          <t>인천시</t>
        </is>
      </c>
      <c r="AC810" s="0" t="inlineStr">
        <is>
          <t>서구</t>
        </is>
      </c>
      <c r="AD810" s="0" t="inlineStr">
        <is>
          <t>불로동</t>
        </is>
      </c>
      <c r="AG810" s="0" t="inlineStr">
        <is>
          <t>인천시 서구 검단로 834</t>
        </is>
      </c>
      <c r="AH810" s="0" t="n">
        <v>0</v>
      </c>
      <c r="AI810" s="0" t="n">
        <v>249</v>
      </c>
      <c r="AJ810" s="0" t="n">
        <v>19</v>
      </c>
      <c r="AK810" s="0" t="n">
        <v>627</v>
      </c>
      <c r="AL810" s="0" t="n">
        <v>1.02</v>
      </c>
    </row>
    <row r="811">
      <c r="A811" s="0" t="inlineStr">
        <is>
          <t>[불로동]</t>
        </is>
      </c>
      <c r="B811" s="0" t="n">
        <v>2519</v>
      </c>
      <c r="C811" s="0" t="n">
        <v>3</v>
      </c>
      <c r="D811" s="0" t="inlineStr">
        <is>
          <t>퀸스타운신명</t>
        </is>
      </c>
      <c r="E811" s="0" t="inlineStr">
        <is>
          <t>1998.11.</t>
        </is>
      </c>
      <c r="F811" s="0" t="n">
        <v>614</v>
      </c>
      <c r="G811" s="0" t="n">
        <v>32.67</v>
      </c>
      <c r="H811" s="0" t="n">
        <v>108</v>
      </c>
      <c r="I811" s="0" t="n">
        <v>25.7</v>
      </c>
      <c r="J811" s="0" t="n">
        <v>84.98999999999999</v>
      </c>
      <c r="K811" s="0" t="n">
        <v>224</v>
      </c>
      <c r="T811" s="0" t="n">
        <v>3</v>
      </c>
      <c r="U811" s="0" t="n">
        <v>2</v>
      </c>
      <c r="V811" s="0" t="inlineStr">
        <is>
          <t>계단식</t>
        </is>
      </c>
      <c r="W811" s="0" t="n">
        <v>108</v>
      </c>
      <c r="X811" s="0" t="n">
        <v>20</v>
      </c>
      <c r="Y811" s="0" t="n">
        <v>16</v>
      </c>
      <c r="Z811" s="0" t="inlineStr">
        <is>
          <t>https://new.land.naver.com/complexes/2519?tab=detail&amp;rf=Y</t>
        </is>
      </c>
      <c r="AA811" s="0" t="inlineStr">
        <is>
          <t>인천시 서구 불로동 312-2</t>
        </is>
      </c>
      <c r="AB811" s="0" t="inlineStr">
        <is>
          <t>인천시</t>
        </is>
      </c>
      <c r="AC811" s="0" t="inlineStr">
        <is>
          <t>서구</t>
        </is>
      </c>
      <c r="AD811" s="0" t="inlineStr">
        <is>
          <t>불로동</t>
        </is>
      </c>
      <c r="AG811" s="0" t="inlineStr">
        <is>
          <t>인천시 서구 검단로 834</t>
        </is>
      </c>
      <c r="AH811" s="0" t="n">
        <v>0</v>
      </c>
      <c r="AI811" s="0" t="n">
        <v>249</v>
      </c>
      <c r="AJ811" s="0" t="n">
        <v>19</v>
      </c>
      <c r="AK811" s="0" t="n">
        <v>627</v>
      </c>
      <c r="AL811" s="0" t="n">
        <v>1.02</v>
      </c>
    </row>
    <row r="812">
      <c r="A812" s="0" t="inlineStr">
        <is>
          <t>[불로동]</t>
        </is>
      </c>
      <c r="B812" s="0" t="n">
        <v>2519</v>
      </c>
      <c r="C812" s="0" t="n">
        <v>4</v>
      </c>
      <c r="D812" s="0" t="inlineStr">
        <is>
          <t>퀸스타운신명</t>
        </is>
      </c>
      <c r="E812" s="0" t="inlineStr">
        <is>
          <t>1998.11.</t>
        </is>
      </c>
      <c r="F812" s="0" t="n">
        <v>614</v>
      </c>
      <c r="G812" s="0" t="n">
        <v>50.05</v>
      </c>
      <c r="H812" s="0" t="n">
        <v>165.46</v>
      </c>
      <c r="I812" s="0" t="n">
        <v>40.82</v>
      </c>
      <c r="J812" s="0" t="n">
        <v>134.97</v>
      </c>
      <c r="K812" s="0" t="n">
        <v>80</v>
      </c>
      <c r="T812" s="0" t="n">
        <v>4</v>
      </c>
      <c r="U812" s="0" t="n">
        <v>2</v>
      </c>
      <c r="V812" s="0" t="inlineStr">
        <is>
          <t>계단식</t>
        </is>
      </c>
      <c r="W812" s="0" t="n">
        <v>165</v>
      </c>
      <c r="X812" s="0" t="n">
        <v>20</v>
      </c>
      <c r="Y812" s="0" t="n">
        <v>16</v>
      </c>
      <c r="Z812" s="0" t="inlineStr">
        <is>
          <t>https://new.land.naver.com/complexes/2519?tab=detail&amp;rf=Y</t>
        </is>
      </c>
      <c r="AA812" s="0" t="inlineStr">
        <is>
          <t>인천시 서구 불로동 312-2</t>
        </is>
      </c>
      <c r="AB812" s="0" t="inlineStr">
        <is>
          <t>인천시</t>
        </is>
      </c>
      <c r="AC812" s="0" t="inlineStr">
        <is>
          <t>서구</t>
        </is>
      </c>
      <c r="AD812" s="0" t="inlineStr">
        <is>
          <t>불로동</t>
        </is>
      </c>
      <c r="AG812" s="0" t="inlineStr">
        <is>
          <t>인천시 서구 검단로 834</t>
        </is>
      </c>
      <c r="AH812" s="0" t="n">
        <v>0</v>
      </c>
      <c r="AI812" s="0" t="n">
        <v>249</v>
      </c>
      <c r="AJ812" s="0" t="n">
        <v>19</v>
      </c>
      <c r="AK812" s="0" t="n">
        <v>627</v>
      </c>
      <c r="AL812" s="0" t="n">
        <v>1.02</v>
      </c>
    </row>
    <row r="813">
      <c r="A813" s="0" t="inlineStr">
        <is>
          <t>[불로동]</t>
        </is>
      </c>
      <c r="B813" s="0" t="n">
        <v>26120</v>
      </c>
      <c r="C813" s="0" t="n">
        <v>1</v>
      </c>
      <c r="D813" s="0" t="inlineStr">
        <is>
          <t>삼보해피하임2차</t>
        </is>
      </c>
      <c r="E813" s="0" t="inlineStr">
        <is>
          <t>2007.11.</t>
        </is>
      </c>
      <c r="F813" s="0" t="n">
        <v>482</v>
      </c>
      <c r="G813" s="0" t="n">
        <v>35.02</v>
      </c>
      <c r="H813" s="0" t="n">
        <v>115.77</v>
      </c>
      <c r="I813" s="0" t="n">
        <v>25.7</v>
      </c>
      <c r="J813" s="0" t="n">
        <v>84.98999999999999</v>
      </c>
      <c r="K813" s="0" t="n">
        <v>406</v>
      </c>
      <c r="T813" s="0" t="n">
        <v>3</v>
      </c>
      <c r="U813" s="0" t="n">
        <v>2</v>
      </c>
      <c r="V813" s="0" t="inlineStr">
        <is>
          <t>계단식</t>
        </is>
      </c>
      <c r="W813" s="0" t="n">
        <v>115</v>
      </c>
      <c r="X813" s="0" t="n">
        <v>20</v>
      </c>
      <c r="Y813" s="0" t="n">
        <v>16</v>
      </c>
      <c r="Z813" s="0" t="inlineStr">
        <is>
          <t>https://new.land.naver.com/complexes/26120?tab=detail&amp;rf=Y</t>
        </is>
      </c>
      <c r="AA813" s="0" t="inlineStr">
        <is>
          <t>인천시 서구 불로동 793-1</t>
        </is>
      </c>
      <c r="AB813" s="0" t="inlineStr">
        <is>
          <t>인천시</t>
        </is>
      </c>
      <c r="AC813" s="0" t="inlineStr">
        <is>
          <t>서구</t>
        </is>
      </c>
      <c r="AD813" s="0" t="inlineStr">
        <is>
          <t>불로동</t>
        </is>
      </c>
      <c r="AG813" s="0" t="inlineStr">
        <is>
          <t>인천시 서구 검단로744번3길 8</t>
        </is>
      </c>
      <c r="AH813" s="0" t="n">
        <v>0</v>
      </c>
      <c r="AI813" s="0" t="n">
        <v>224</v>
      </c>
      <c r="AJ813" s="0" t="n">
        <v>16</v>
      </c>
      <c r="AK813" s="0" t="n">
        <v>543</v>
      </c>
      <c r="AL813" s="0" t="n">
        <v>1.13</v>
      </c>
    </row>
    <row r="814">
      <c r="A814" s="0" t="inlineStr">
        <is>
          <t>[불로동]</t>
        </is>
      </c>
      <c r="B814" s="0" t="n">
        <v>26120</v>
      </c>
      <c r="C814" s="0" t="n">
        <v>2</v>
      </c>
      <c r="D814" s="0" t="inlineStr">
        <is>
          <t>삼보해피하임2차</t>
        </is>
      </c>
      <c r="E814" s="0" t="inlineStr">
        <is>
          <t>2007.11.</t>
        </is>
      </c>
      <c r="F814" s="0" t="n">
        <v>482</v>
      </c>
      <c r="G814" s="0" t="n">
        <v>44.14</v>
      </c>
      <c r="H814" s="0" t="n">
        <v>145.95</v>
      </c>
      <c r="I814" s="0" t="n">
        <v>34.51</v>
      </c>
      <c r="J814" s="0" t="n">
        <v>114.11</v>
      </c>
      <c r="K814" s="0" t="n">
        <v>76</v>
      </c>
      <c r="T814" s="0" t="n">
        <v>4</v>
      </c>
      <c r="U814" s="0" t="n">
        <v>2</v>
      </c>
      <c r="V814" s="0" t="inlineStr">
        <is>
          <t>계단식</t>
        </is>
      </c>
      <c r="W814" s="0" t="n">
        <v>145</v>
      </c>
      <c r="X814" s="0" t="n">
        <v>20</v>
      </c>
      <c r="Y814" s="0" t="n">
        <v>16</v>
      </c>
      <c r="Z814" s="0" t="inlineStr">
        <is>
          <t>https://new.land.naver.com/complexes/26120?tab=detail&amp;rf=Y</t>
        </is>
      </c>
      <c r="AA814" s="0" t="inlineStr">
        <is>
          <t>인천시 서구 불로동 793-1</t>
        </is>
      </c>
      <c r="AB814" s="0" t="inlineStr">
        <is>
          <t>인천시</t>
        </is>
      </c>
      <c r="AC814" s="0" t="inlineStr">
        <is>
          <t>서구</t>
        </is>
      </c>
      <c r="AD814" s="0" t="inlineStr">
        <is>
          <t>불로동</t>
        </is>
      </c>
      <c r="AG814" s="0" t="inlineStr">
        <is>
          <t>인천시 서구 검단로744번3길 8</t>
        </is>
      </c>
      <c r="AH814" s="0" t="n">
        <v>0</v>
      </c>
      <c r="AI814" s="0" t="n">
        <v>224</v>
      </c>
      <c r="AJ814" s="0" t="n">
        <v>16</v>
      </c>
      <c r="AK814" s="0" t="n">
        <v>543</v>
      </c>
      <c r="AL814" s="0" t="n">
        <v>1.13</v>
      </c>
    </row>
    <row r="815">
      <c r="A815" s="0" t="inlineStr">
        <is>
          <t>[불로동]</t>
        </is>
      </c>
      <c r="B815" s="0" t="n">
        <v>123561</v>
      </c>
      <c r="C815" s="0" t="n">
        <v>1</v>
      </c>
      <c r="D815" s="0" t="inlineStr">
        <is>
          <t>찬솔팰리스</t>
        </is>
      </c>
      <c r="E815" s="0" t="inlineStr">
        <is>
          <t>2010.10.</t>
        </is>
      </c>
      <c r="F815" s="0" t="n">
        <v>48</v>
      </c>
      <c r="G815" s="0" t="n">
        <v>20.9</v>
      </c>
      <c r="H815" s="0" t="n">
        <v>69.12</v>
      </c>
      <c r="I815" s="0" t="n">
        <v>16.13</v>
      </c>
      <c r="J815" s="0" t="n">
        <v>53.35</v>
      </c>
      <c r="K815" s="0" t="n">
        <v>4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69A</t>
        </is>
      </c>
      <c r="X815" s="0" t="n">
        <v>5</v>
      </c>
      <c r="Y815" s="0" t="n">
        <v>5</v>
      </c>
      <c r="Z815" s="0" t="inlineStr">
        <is>
          <t>https://new.land.naver.com/complexes/123561?tab=detail&amp;rf=Y</t>
        </is>
      </c>
      <c r="AA815" s="0" t="inlineStr">
        <is>
          <t>인천시 서구 불로동 804-2</t>
        </is>
      </c>
      <c r="AB815" s="0" t="inlineStr">
        <is>
          <t>인천시</t>
        </is>
      </c>
      <c r="AC815" s="0" t="inlineStr">
        <is>
          <t>서구</t>
        </is>
      </c>
      <c r="AD815" s="0" t="inlineStr">
        <is>
          <t>불로동</t>
        </is>
      </c>
      <c r="AG815" s="0" t="inlineStr">
        <is>
          <t>인천시 서구 검단로744번3길 64</t>
        </is>
      </c>
      <c r="AH815" s="0" t="n">
        <v>0</v>
      </c>
      <c r="AI815" s="0" t="n">
        <v>185</v>
      </c>
      <c r="AJ815" s="0" t="n">
        <v>49</v>
      </c>
      <c r="AK815" s="0" t="n">
        <v>48</v>
      </c>
      <c r="AL815" s="0" t="n">
        <v>1</v>
      </c>
    </row>
    <row r="816">
      <c r="A816" s="0" t="inlineStr">
        <is>
          <t>[불로동]</t>
        </is>
      </c>
      <c r="B816" s="0" t="n">
        <v>123561</v>
      </c>
      <c r="C816" s="0" t="n">
        <v>2</v>
      </c>
      <c r="D816" s="0" t="inlineStr">
        <is>
          <t>찬솔팰리스</t>
        </is>
      </c>
      <c r="E816" s="0" t="inlineStr">
        <is>
          <t>2010.10.</t>
        </is>
      </c>
      <c r="F816" s="0" t="n">
        <v>48</v>
      </c>
      <c r="G816" s="0" t="n">
        <v>21.2</v>
      </c>
      <c r="H816" s="0" t="n">
        <v>70.11</v>
      </c>
      <c r="I816" s="0" t="n">
        <v>16.31</v>
      </c>
      <c r="J816" s="0" t="n">
        <v>53.94</v>
      </c>
      <c r="K816" s="0" t="n">
        <v>1</v>
      </c>
      <c r="T816" s="0" t="n">
        <v>3</v>
      </c>
      <c r="U816" s="0" t="n">
        <v>2</v>
      </c>
      <c r="V816" s="0" t="inlineStr">
        <is>
          <t>계단식</t>
        </is>
      </c>
      <c r="W816" s="0" t="inlineStr">
        <is>
          <t>70B</t>
        </is>
      </c>
      <c r="X816" s="0" t="n">
        <v>5</v>
      </c>
      <c r="Y816" s="0" t="n">
        <v>5</v>
      </c>
      <c r="Z816" s="0" t="inlineStr">
        <is>
          <t>https://new.land.naver.com/complexes/123561?tab=detail&amp;rf=Y</t>
        </is>
      </c>
      <c r="AA816" s="0" t="inlineStr">
        <is>
          <t>인천시 서구 불로동 804-2</t>
        </is>
      </c>
      <c r="AB816" s="0" t="inlineStr">
        <is>
          <t>인천시</t>
        </is>
      </c>
      <c r="AC816" s="0" t="inlineStr">
        <is>
          <t>서구</t>
        </is>
      </c>
      <c r="AD816" s="0" t="inlineStr">
        <is>
          <t>불로동</t>
        </is>
      </c>
      <c r="AG816" s="0" t="inlineStr">
        <is>
          <t>인천시 서구 검단로744번3길 64</t>
        </is>
      </c>
      <c r="AH816" s="0" t="n">
        <v>0</v>
      </c>
      <c r="AI816" s="0" t="n">
        <v>185</v>
      </c>
      <c r="AJ816" s="0" t="n">
        <v>49</v>
      </c>
      <c r="AK816" s="0" t="n">
        <v>48</v>
      </c>
      <c r="AL816" s="0" t="n">
        <v>1</v>
      </c>
    </row>
    <row r="817">
      <c r="A817" s="0" t="inlineStr">
        <is>
          <t>[불로동]</t>
        </is>
      </c>
      <c r="B817" s="0" t="n">
        <v>123561</v>
      </c>
      <c r="C817" s="0" t="n">
        <v>3</v>
      </c>
      <c r="D817" s="0" t="inlineStr">
        <is>
          <t>찬솔팰리스</t>
        </is>
      </c>
      <c r="E817" s="0" t="inlineStr">
        <is>
          <t>2010.10.</t>
        </is>
      </c>
      <c r="F817" s="0" t="n">
        <v>48</v>
      </c>
      <c r="G817" s="0" t="n">
        <v>22.57</v>
      </c>
      <c r="H817" s="0" t="n">
        <v>74.64</v>
      </c>
      <c r="I817" s="0" t="n">
        <v>17.43</v>
      </c>
      <c r="J817" s="0" t="n">
        <v>57.63</v>
      </c>
      <c r="K817" s="0" t="n">
        <v>24</v>
      </c>
      <c r="T817" s="0" t="n">
        <v>3</v>
      </c>
      <c r="U817" s="0" t="n">
        <v>2</v>
      </c>
      <c r="V817" s="0" t="inlineStr">
        <is>
          <t>계단식</t>
        </is>
      </c>
      <c r="W817" s="0" t="inlineStr">
        <is>
          <t>74A</t>
        </is>
      </c>
      <c r="X817" s="0" t="n">
        <v>5</v>
      </c>
      <c r="Y817" s="0" t="n">
        <v>5</v>
      </c>
      <c r="Z817" s="0" t="inlineStr">
        <is>
          <t>https://new.land.naver.com/complexes/123561?tab=detail&amp;rf=Y</t>
        </is>
      </c>
      <c r="AA817" s="0" t="inlineStr">
        <is>
          <t>인천시 서구 불로동 804-2</t>
        </is>
      </c>
      <c r="AB817" s="0" t="inlineStr">
        <is>
          <t>인천시</t>
        </is>
      </c>
      <c r="AC817" s="0" t="inlineStr">
        <is>
          <t>서구</t>
        </is>
      </c>
      <c r="AD817" s="0" t="inlineStr">
        <is>
          <t>불로동</t>
        </is>
      </c>
      <c r="AG817" s="0" t="inlineStr">
        <is>
          <t>인천시 서구 검단로744번3길 64</t>
        </is>
      </c>
      <c r="AH817" s="0" t="n">
        <v>0</v>
      </c>
      <c r="AI817" s="0" t="n">
        <v>185</v>
      </c>
      <c r="AJ817" s="0" t="n">
        <v>49</v>
      </c>
      <c r="AK817" s="0" t="n">
        <v>48</v>
      </c>
      <c r="AL817" s="0" t="n">
        <v>1</v>
      </c>
    </row>
    <row r="818">
      <c r="A818" s="0" t="inlineStr">
        <is>
          <t>[불로동]</t>
        </is>
      </c>
      <c r="B818" s="0" t="n">
        <v>123561</v>
      </c>
      <c r="C818" s="0" t="n">
        <v>4</v>
      </c>
      <c r="D818" s="0" t="inlineStr">
        <is>
          <t>찬솔팰리스</t>
        </is>
      </c>
      <c r="E818" s="0" t="inlineStr">
        <is>
          <t>2010.10.</t>
        </is>
      </c>
      <c r="F818" s="0" t="n">
        <v>48</v>
      </c>
      <c r="G818" s="0" t="n">
        <v>23.37</v>
      </c>
      <c r="H818" s="0" t="n">
        <v>77.26000000000001</v>
      </c>
      <c r="I818" s="0" t="n">
        <v>17.91</v>
      </c>
      <c r="J818" s="0" t="n">
        <v>59.22</v>
      </c>
      <c r="K818" s="0" t="n">
        <v>4</v>
      </c>
      <c r="T818" s="0" t="n">
        <v>3</v>
      </c>
      <c r="U818" s="0" t="n">
        <v>2</v>
      </c>
      <c r="V818" s="0" t="inlineStr">
        <is>
          <t>계단식</t>
        </is>
      </c>
      <c r="W818" s="0" t="inlineStr">
        <is>
          <t>77B</t>
        </is>
      </c>
      <c r="X818" s="0" t="n">
        <v>5</v>
      </c>
      <c r="Y818" s="0" t="n">
        <v>5</v>
      </c>
      <c r="Z818" s="0" t="inlineStr">
        <is>
          <t>https://new.land.naver.com/complexes/123561?tab=detail&amp;rf=Y</t>
        </is>
      </c>
      <c r="AA818" s="0" t="inlineStr">
        <is>
          <t>인천시 서구 불로동 804-2</t>
        </is>
      </c>
      <c r="AB818" s="0" t="inlineStr">
        <is>
          <t>인천시</t>
        </is>
      </c>
      <c r="AC818" s="0" t="inlineStr">
        <is>
          <t>서구</t>
        </is>
      </c>
      <c r="AD818" s="0" t="inlineStr">
        <is>
          <t>불로동</t>
        </is>
      </c>
      <c r="AG818" s="0" t="inlineStr">
        <is>
          <t>인천시 서구 검단로744번3길 64</t>
        </is>
      </c>
      <c r="AH818" s="0" t="n">
        <v>0</v>
      </c>
      <c r="AI818" s="0" t="n">
        <v>185</v>
      </c>
      <c r="AJ818" s="0" t="n">
        <v>49</v>
      </c>
      <c r="AK818" s="0" t="n">
        <v>48</v>
      </c>
      <c r="AL818" s="0" t="n">
        <v>1</v>
      </c>
    </row>
    <row r="819">
      <c r="A819" s="0" t="inlineStr">
        <is>
          <t>[불로동]</t>
        </is>
      </c>
      <c r="B819" s="0" t="n">
        <v>123561</v>
      </c>
      <c r="C819" s="0" t="n">
        <v>5</v>
      </c>
      <c r="D819" s="0" t="inlineStr">
        <is>
          <t>찬솔팰리스</t>
        </is>
      </c>
      <c r="E819" s="0" t="inlineStr">
        <is>
          <t>2010.10.</t>
        </is>
      </c>
      <c r="F819" s="0" t="n">
        <v>48</v>
      </c>
      <c r="G819" s="0" t="n">
        <v>23.96</v>
      </c>
      <c r="H819" s="0" t="n">
        <v>79.23</v>
      </c>
      <c r="I819" s="0" t="n">
        <v>18.54</v>
      </c>
      <c r="J819" s="0" t="n">
        <v>61.3</v>
      </c>
      <c r="K819" s="0" t="n">
        <v>8</v>
      </c>
      <c r="T819" s="0" t="n">
        <v>3</v>
      </c>
      <c r="U819" s="0" t="n">
        <v>2</v>
      </c>
      <c r="V819" s="0" t="inlineStr">
        <is>
          <t>계단식</t>
        </is>
      </c>
      <c r="W819" s="0" t="inlineStr">
        <is>
          <t>79B</t>
        </is>
      </c>
      <c r="X819" s="0" t="n">
        <v>5</v>
      </c>
      <c r="Y819" s="0" t="n">
        <v>5</v>
      </c>
      <c r="Z819" s="0" t="inlineStr">
        <is>
          <t>https://new.land.naver.com/complexes/123561?tab=detail&amp;rf=Y</t>
        </is>
      </c>
      <c r="AA819" s="0" t="inlineStr">
        <is>
          <t>인천시 서구 불로동 804-2</t>
        </is>
      </c>
      <c r="AB819" s="0" t="inlineStr">
        <is>
          <t>인천시</t>
        </is>
      </c>
      <c r="AC819" s="0" t="inlineStr">
        <is>
          <t>서구</t>
        </is>
      </c>
      <c r="AD819" s="0" t="inlineStr">
        <is>
          <t>불로동</t>
        </is>
      </c>
      <c r="AG819" s="0" t="inlineStr">
        <is>
          <t>인천시 서구 검단로744번3길 64</t>
        </is>
      </c>
      <c r="AH819" s="0" t="n">
        <v>0</v>
      </c>
      <c r="AI819" s="0" t="n">
        <v>185</v>
      </c>
      <c r="AJ819" s="0" t="n">
        <v>49</v>
      </c>
      <c r="AK819" s="0" t="n">
        <v>48</v>
      </c>
      <c r="AL819" s="0" t="n">
        <v>1</v>
      </c>
    </row>
    <row r="820">
      <c r="A820" s="0" t="inlineStr">
        <is>
          <t>[불로동]</t>
        </is>
      </c>
      <c r="B820" s="0" t="n">
        <v>123561</v>
      </c>
      <c r="C820" s="0" t="n">
        <v>6</v>
      </c>
      <c r="D820" s="0" t="inlineStr">
        <is>
          <t>찬솔팰리스</t>
        </is>
      </c>
      <c r="E820" s="0" t="inlineStr">
        <is>
          <t>2010.10.</t>
        </is>
      </c>
      <c r="F820" s="0" t="n">
        <v>48</v>
      </c>
      <c r="G820" s="0" t="n">
        <v>24.1</v>
      </c>
      <c r="H820" s="0" t="n">
        <v>79.69</v>
      </c>
      <c r="I820" s="0" t="n">
        <v>18.49</v>
      </c>
      <c r="J820" s="0" t="n">
        <v>61.15</v>
      </c>
      <c r="K820" s="0" t="n">
        <v>4</v>
      </c>
      <c r="T820" s="0" t="n">
        <v>3</v>
      </c>
      <c r="U820" s="0" t="n">
        <v>2</v>
      </c>
      <c r="V820" s="0" t="inlineStr">
        <is>
          <t>계단식</t>
        </is>
      </c>
      <c r="W820" s="0" t="inlineStr">
        <is>
          <t>79A</t>
        </is>
      </c>
      <c r="X820" s="0" t="n">
        <v>5</v>
      </c>
      <c r="Y820" s="0" t="n">
        <v>5</v>
      </c>
      <c r="Z820" s="0" t="inlineStr">
        <is>
          <t>https://new.land.naver.com/complexes/123561?tab=detail&amp;rf=Y</t>
        </is>
      </c>
      <c r="AA820" s="0" t="inlineStr">
        <is>
          <t>인천시 서구 불로동 804-2</t>
        </is>
      </c>
      <c r="AB820" s="0" t="inlineStr">
        <is>
          <t>인천시</t>
        </is>
      </c>
      <c r="AC820" s="0" t="inlineStr">
        <is>
          <t>서구</t>
        </is>
      </c>
      <c r="AD820" s="0" t="inlineStr">
        <is>
          <t>불로동</t>
        </is>
      </c>
      <c r="AG820" s="0" t="inlineStr">
        <is>
          <t>인천시 서구 검단로744번3길 64</t>
        </is>
      </c>
      <c r="AH820" s="0" t="n">
        <v>0</v>
      </c>
      <c r="AI820" s="0" t="n">
        <v>185</v>
      </c>
      <c r="AJ820" s="0" t="n">
        <v>49</v>
      </c>
      <c r="AK820" s="0" t="n">
        <v>48</v>
      </c>
      <c r="AL820" s="0" t="n">
        <v>1</v>
      </c>
    </row>
    <row r="821">
      <c r="A821" s="0" t="inlineStr">
        <is>
          <t>[불로동]</t>
        </is>
      </c>
      <c r="B821" s="0" t="n">
        <v>123561</v>
      </c>
      <c r="C821" s="0" t="n">
        <v>7</v>
      </c>
      <c r="D821" s="0" t="inlineStr">
        <is>
          <t>찬솔팰리스</t>
        </is>
      </c>
      <c r="E821" s="0" t="inlineStr">
        <is>
          <t>2010.10.</t>
        </is>
      </c>
      <c r="F821" s="0" t="n">
        <v>48</v>
      </c>
      <c r="G821" s="0" t="n">
        <v>24.42</v>
      </c>
      <c r="H821" s="0" t="n">
        <v>80.73</v>
      </c>
      <c r="I821" s="0" t="n">
        <v>18.86</v>
      </c>
      <c r="J821" s="0" t="n">
        <v>62.38</v>
      </c>
      <c r="K821" s="0" t="n">
        <v>3</v>
      </c>
      <c r="T821" s="0" t="n">
        <v>3</v>
      </c>
      <c r="U821" s="0" t="n">
        <v>2</v>
      </c>
      <c r="V821" s="0" t="inlineStr">
        <is>
          <t>계단식</t>
        </is>
      </c>
      <c r="W821" s="0" t="inlineStr">
        <is>
          <t>80C</t>
        </is>
      </c>
      <c r="X821" s="0" t="n">
        <v>5</v>
      </c>
      <c r="Y821" s="0" t="n">
        <v>5</v>
      </c>
      <c r="Z821" s="0" t="inlineStr">
        <is>
          <t>https://new.land.naver.com/complexes/123561?tab=detail&amp;rf=Y</t>
        </is>
      </c>
      <c r="AA821" s="0" t="inlineStr">
        <is>
          <t>인천시 서구 불로동 804-2</t>
        </is>
      </c>
      <c r="AB821" s="0" t="inlineStr">
        <is>
          <t>인천시</t>
        </is>
      </c>
      <c r="AC821" s="0" t="inlineStr">
        <is>
          <t>서구</t>
        </is>
      </c>
      <c r="AD821" s="0" t="inlineStr">
        <is>
          <t>불로동</t>
        </is>
      </c>
      <c r="AG821" s="0" t="inlineStr">
        <is>
          <t>인천시 서구 검단로744번3길 64</t>
        </is>
      </c>
      <c r="AH821" s="0" t="n">
        <v>0</v>
      </c>
      <c r="AI821" s="0" t="n">
        <v>185</v>
      </c>
      <c r="AJ821" s="0" t="n">
        <v>49</v>
      </c>
      <c r="AK821" s="0" t="n">
        <v>48</v>
      </c>
      <c r="AL821" s="0" t="n">
        <v>1</v>
      </c>
    </row>
    <row r="822">
      <c r="A822" s="0" t="inlineStr">
        <is>
          <t>[불로동]</t>
        </is>
      </c>
      <c r="B822" s="0" t="n">
        <v>13496</v>
      </c>
      <c r="C822" s="0" t="n">
        <v>1</v>
      </c>
      <c r="D822" s="0" t="inlineStr">
        <is>
          <t>백두퀸스빌</t>
        </is>
      </c>
      <c r="E822" s="0" t="inlineStr">
        <is>
          <t>2001.02.</t>
        </is>
      </c>
      <c r="F822" s="0" t="n">
        <v>19</v>
      </c>
      <c r="G822" s="0" t="n">
        <v>46.17</v>
      </c>
      <c r="H822" s="0" t="n">
        <v>152.64</v>
      </c>
      <c r="I822" s="0" t="n">
        <v>42.22</v>
      </c>
      <c r="J822" s="0" t="n">
        <v>139.59</v>
      </c>
      <c r="K822" s="0" t="n">
        <v>9</v>
      </c>
      <c r="T822" s="0" t="n">
        <v>4</v>
      </c>
      <c r="U822" s="0" t="n">
        <v>2</v>
      </c>
      <c r="V822" s="0" t="inlineStr">
        <is>
          <t>계단식</t>
        </is>
      </c>
      <c r="W822" s="0" t="n">
        <v>152</v>
      </c>
      <c r="X822" s="0" t="n">
        <v>10</v>
      </c>
      <c r="Y822" s="0" t="n">
        <v>9</v>
      </c>
      <c r="Z822" s="0" t="inlineStr">
        <is>
          <t>https://new.land.naver.com/complexes/13496?tab=detail&amp;rf=Y</t>
        </is>
      </c>
      <c r="AA822" s="0" t="inlineStr">
        <is>
          <t>인천시 서구 불로동 775-9</t>
        </is>
      </c>
      <c r="AB822" s="0" t="inlineStr">
        <is>
          <t>인천시</t>
        </is>
      </c>
      <c r="AC822" s="0" t="inlineStr">
        <is>
          <t>서구</t>
        </is>
      </c>
      <c r="AD822" s="0" t="inlineStr">
        <is>
          <t>불로동</t>
        </is>
      </c>
      <c r="AG822" s="0" t="inlineStr">
        <is>
          <t>인천시 서구 검단로769번길 11</t>
        </is>
      </c>
      <c r="AH822" s="0" t="n">
        <v>0</v>
      </c>
      <c r="AI822" s="0" t="n">
        <v>199</v>
      </c>
      <c r="AJ822" s="0" t="n">
        <v>21</v>
      </c>
      <c r="AK822" s="0" t="n">
        <v>31</v>
      </c>
      <c r="AL822" s="0" t="n">
        <v>1.63</v>
      </c>
    </row>
    <row r="823">
      <c r="A823" s="0" t="inlineStr">
        <is>
          <t>[불로동]</t>
        </is>
      </c>
      <c r="B823" s="0" t="n">
        <v>13496</v>
      </c>
      <c r="C823" s="0" t="n">
        <v>2</v>
      </c>
      <c r="D823" s="0" t="inlineStr">
        <is>
          <t>백두퀸스빌</t>
        </is>
      </c>
      <c r="E823" s="0" t="inlineStr">
        <is>
          <t>2001.02.</t>
        </is>
      </c>
      <c r="F823" s="0" t="n">
        <v>19</v>
      </c>
      <c r="G823" s="0" t="n">
        <v>55</v>
      </c>
      <c r="H823" s="0" t="n">
        <v>181.84</v>
      </c>
      <c r="I823" s="0" t="n">
        <v>50.3</v>
      </c>
      <c r="J823" s="0" t="n">
        <v>166.29</v>
      </c>
      <c r="K823" s="0" t="n">
        <v>9</v>
      </c>
      <c r="T823" s="0" t="n">
        <v>4</v>
      </c>
      <c r="U823" s="0" t="n">
        <v>2</v>
      </c>
      <c r="V823" s="0" t="inlineStr">
        <is>
          <t>계단식</t>
        </is>
      </c>
      <c r="W823" s="0" t="n">
        <v>181</v>
      </c>
      <c r="X823" s="0" t="n">
        <v>10</v>
      </c>
      <c r="Y823" s="0" t="n">
        <v>9</v>
      </c>
      <c r="Z823" s="0" t="inlineStr">
        <is>
          <t>https://new.land.naver.com/complexes/13496?tab=detail&amp;rf=Y</t>
        </is>
      </c>
      <c r="AA823" s="0" t="inlineStr">
        <is>
          <t>인천시 서구 불로동 775-9</t>
        </is>
      </c>
      <c r="AB823" s="0" t="inlineStr">
        <is>
          <t>인천시</t>
        </is>
      </c>
      <c r="AC823" s="0" t="inlineStr">
        <is>
          <t>서구</t>
        </is>
      </c>
      <c r="AD823" s="0" t="inlineStr">
        <is>
          <t>불로동</t>
        </is>
      </c>
      <c r="AG823" s="0" t="inlineStr">
        <is>
          <t>인천시 서구 검단로769번길 11</t>
        </is>
      </c>
      <c r="AH823" s="0" t="n">
        <v>0</v>
      </c>
      <c r="AI823" s="0" t="n">
        <v>199</v>
      </c>
      <c r="AJ823" s="0" t="n">
        <v>21</v>
      </c>
      <c r="AK823" s="0" t="n">
        <v>31</v>
      </c>
      <c r="AL823" s="0" t="n">
        <v>1.63</v>
      </c>
    </row>
    <row r="824">
      <c r="A824" s="0" t="inlineStr">
        <is>
          <t>[불로동]</t>
        </is>
      </c>
      <c r="B824" s="0" t="n">
        <v>13496</v>
      </c>
      <c r="C824" s="0" t="n">
        <v>3</v>
      </c>
      <c r="D824" s="0" t="inlineStr">
        <is>
          <t>백두퀸스빌</t>
        </is>
      </c>
      <c r="E824" s="0" t="inlineStr">
        <is>
          <t>2001.02.</t>
        </is>
      </c>
      <c r="F824" s="0" t="n">
        <v>19</v>
      </c>
      <c r="G824" s="0" t="n">
        <v>72.87</v>
      </c>
      <c r="H824" s="0" t="n">
        <v>240.92</v>
      </c>
      <c r="I824" s="0" t="n">
        <v>66.64</v>
      </c>
      <c r="J824" s="0" t="n">
        <v>220.32</v>
      </c>
      <c r="K824" s="0" t="n">
        <v>1</v>
      </c>
      <c r="T824" s="0" t="n">
        <v>5</v>
      </c>
      <c r="U824" s="0" t="n">
        <v>2</v>
      </c>
      <c r="V824" s="0" t="inlineStr">
        <is>
          <t>계단식</t>
        </is>
      </c>
      <c r="W824" s="0" t="n">
        <v>240</v>
      </c>
      <c r="X824" s="0" t="n">
        <v>10</v>
      </c>
      <c r="Y824" s="0" t="n">
        <v>9</v>
      </c>
      <c r="Z824" s="0" t="inlineStr">
        <is>
          <t>https://new.land.naver.com/complexes/13496?tab=detail&amp;rf=Y</t>
        </is>
      </c>
      <c r="AA824" s="0" t="inlineStr">
        <is>
          <t>인천시 서구 불로동 775-9</t>
        </is>
      </c>
      <c r="AB824" s="0" t="inlineStr">
        <is>
          <t>인천시</t>
        </is>
      </c>
      <c r="AC824" s="0" t="inlineStr">
        <is>
          <t>서구</t>
        </is>
      </c>
      <c r="AD824" s="0" t="inlineStr">
        <is>
          <t>불로동</t>
        </is>
      </c>
      <c r="AG824" s="0" t="inlineStr">
        <is>
          <t>인천시 서구 검단로769번길 11</t>
        </is>
      </c>
      <c r="AH824" s="0" t="n">
        <v>0</v>
      </c>
      <c r="AI824" s="0" t="n">
        <v>199</v>
      </c>
      <c r="AJ824" s="0" t="n">
        <v>21</v>
      </c>
      <c r="AK824" s="0" t="n">
        <v>31</v>
      </c>
      <c r="AL824" s="0" t="n">
        <v>1.63</v>
      </c>
    </row>
    <row r="825">
      <c r="A825" s="0" t="inlineStr">
        <is>
          <t>[불로동]</t>
        </is>
      </c>
      <c r="B825" s="0" t="n">
        <v>8360</v>
      </c>
      <c r="C825" s="0" t="n">
        <v>1</v>
      </c>
      <c r="D825" s="0" t="inlineStr">
        <is>
          <t>백두</t>
        </is>
      </c>
      <c r="E825" s="0" t="inlineStr">
        <is>
          <t>1995.12.</t>
        </is>
      </c>
      <c r="F825" s="0" t="n">
        <v>175</v>
      </c>
      <c r="G825" s="0" t="n">
        <v>30.8</v>
      </c>
      <c r="H825" s="0" t="n">
        <v>101.82</v>
      </c>
      <c r="I825" s="0" t="n">
        <v>18.07</v>
      </c>
      <c r="J825" s="0" t="n">
        <v>59.76</v>
      </c>
      <c r="K825" s="0" t="n">
        <v>90</v>
      </c>
      <c r="T825" s="0" t="n">
        <v>3</v>
      </c>
      <c r="U825" s="0" t="n">
        <v>1</v>
      </c>
      <c r="V825" s="0" t="inlineStr">
        <is>
          <t>복도식</t>
        </is>
      </c>
      <c r="W825" s="0" t="n">
        <v>101</v>
      </c>
      <c r="X825" s="0" t="n">
        <v>15</v>
      </c>
      <c r="Y825" s="0" t="n">
        <v>10</v>
      </c>
      <c r="Z825" s="0" t="inlineStr">
        <is>
          <t>https://new.land.naver.com/complexes/8360?tab=detail&amp;rf=Y</t>
        </is>
      </c>
      <c r="AA825" s="0" t="inlineStr">
        <is>
          <t>인천시 서구 불로동 776-1</t>
        </is>
      </c>
      <c r="AB825" s="0" t="inlineStr">
        <is>
          <t>인천시</t>
        </is>
      </c>
      <c r="AC825" s="0" t="inlineStr">
        <is>
          <t>서구</t>
        </is>
      </c>
      <c r="AD825" s="0" t="inlineStr">
        <is>
          <t>불로동</t>
        </is>
      </c>
      <c r="AG825" s="0" t="inlineStr">
        <is>
          <t>인천시 서구 검단로777번길 5</t>
        </is>
      </c>
      <c r="AH825" s="0" t="n">
        <v>0</v>
      </c>
      <c r="AI825" s="0" t="n">
        <v>351</v>
      </c>
      <c r="AJ825" s="0" t="n">
        <v>33</v>
      </c>
      <c r="AK825" s="0" t="n">
        <v>116</v>
      </c>
      <c r="AL825" s="0" t="n">
        <v>0.66</v>
      </c>
    </row>
    <row r="826">
      <c r="A826" s="0" t="inlineStr">
        <is>
          <t>[불로동]</t>
        </is>
      </c>
      <c r="B826" s="0" t="n">
        <v>8360</v>
      </c>
      <c r="C826" s="0" t="n">
        <v>2</v>
      </c>
      <c r="D826" s="0" t="inlineStr">
        <is>
          <t>백두</t>
        </is>
      </c>
      <c r="E826" s="0" t="inlineStr">
        <is>
          <t>1995.12.</t>
        </is>
      </c>
      <c r="F826" s="0" t="n">
        <v>175</v>
      </c>
      <c r="G826" s="0" t="n">
        <v>39.39</v>
      </c>
      <c r="H826" s="0" t="n">
        <v>130.24</v>
      </c>
      <c r="I826" s="0" t="n">
        <v>25.66</v>
      </c>
      <c r="J826" s="0" t="n">
        <v>84.84</v>
      </c>
      <c r="K826" s="0" t="n">
        <v>70</v>
      </c>
      <c r="T826" s="0" t="n">
        <v>3</v>
      </c>
      <c r="U826" s="0" t="n">
        <v>2</v>
      </c>
      <c r="V826" s="0" t="inlineStr">
        <is>
          <t>계단식</t>
        </is>
      </c>
      <c r="W826" s="0" t="n">
        <v>130</v>
      </c>
      <c r="X826" s="0" t="n">
        <v>15</v>
      </c>
      <c r="Y826" s="0" t="n">
        <v>10</v>
      </c>
      <c r="Z826" s="0" t="inlineStr">
        <is>
          <t>https://new.land.naver.com/complexes/8360?tab=detail&amp;rf=Y</t>
        </is>
      </c>
      <c r="AA826" s="0" t="inlineStr">
        <is>
          <t>인천시 서구 불로동 776-1</t>
        </is>
      </c>
      <c r="AB826" s="0" t="inlineStr">
        <is>
          <t>인천시</t>
        </is>
      </c>
      <c r="AC826" s="0" t="inlineStr">
        <is>
          <t>서구</t>
        </is>
      </c>
      <c r="AD826" s="0" t="inlineStr">
        <is>
          <t>불로동</t>
        </is>
      </c>
      <c r="AG826" s="0" t="inlineStr">
        <is>
          <t>인천시 서구 검단로777번길 5</t>
        </is>
      </c>
      <c r="AH826" s="0" t="n">
        <v>0</v>
      </c>
      <c r="AI826" s="0" t="n">
        <v>351</v>
      </c>
      <c r="AJ826" s="0" t="n">
        <v>33</v>
      </c>
      <c r="AK826" s="0" t="n">
        <v>116</v>
      </c>
      <c r="AL826" s="0" t="n">
        <v>0.66</v>
      </c>
    </row>
    <row r="827">
      <c r="A827" s="0" t="inlineStr">
        <is>
          <t>[불로동]</t>
        </is>
      </c>
      <c r="B827" s="0" t="n">
        <v>8360</v>
      </c>
      <c r="C827" s="0" t="n">
        <v>3</v>
      </c>
      <c r="D827" s="0" t="inlineStr">
        <is>
          <t>백두</t>
        </is>
      </c>
      <c r="E827" s="0" t="inlineStr">
        <is>
          <t>1995.12.</t>
        </is>
      </c>
      <c r="F827" s="0" t="n">
        <v>175</v>
      </c>
      <c r="G827" s="0" t="n">
        <v>50.83</v>
      </c>
      <c r="H827" s="0" t="n">
        <v>168.05</v>
      </c>
      <c r="I827" s="0" t="n">
        <v>33.11</v>
      </c>
      <c r="J827" s="0" t="n">
        <v>109.47</v>
      </c>
      <c r="K827" s="0" t="n">
        <v>15</v>
      </c>
      <c r="T827" s="0" t="n">
        <v>4</v>
      </c>
      <c r="U827" s="0" t="n">
        <v>2</v>
      </c>
      <c r="V827" s="0" t="inlineStr">
        <is>
          <t>계단식</t>
        </is>
      </c>
      <c r="W827" s="0" t="n">
        <v>168</v>
      </c>
      <c r="X827" s="0" t="n">
        <v>15</v>
      </c>
      <c r="Y827" s="0" t="n">
        <v>10</v>
      </c>
      <c r="Z827" s="0" t="inlineStr">
        <is>
          <t>https://new.land.naver.com/complexes/8360?tab=detail&amp;rf=Y</t>
        </is>
      </c>
      <c r="AA827" s="0" t="inlineStr">
        <is>
          <t>인천시 서구 불로동 776-1</t>
        </is>
      </c>
      <c r="AB827" s="0" t="inlineStr">
        <is>
          <t>인천시</t>
        </is>
      </c>
      <c r="AC827" s="0" t="inlineStr">
        <is>
          <t>서구</t>
        </is>
      </c>
      <c r="AD827" s="0" t="inlineStr">
        <is>
          <t>불로동</t>
        </is>
      </c>
      <c r="AG827" s="0" t="inlineStr">
        <is>
          <t>인천시 서구 검단로777번길 5</t>
        </is>
      </c>
      <c r="AH827" s="0" t="n">
        <v>0</v>
      </c>
      <c r="AI827" s="0" t="n">
        <v>351</v>
      </c>
      <c r="AJ827" s="0" t="n">
        <v>33</v>
      </c>
      <c r="AK827" s="0" t="n">
        <v>116</v>
      </c>
      <c r="AL827" s="0" t="n">
        <v>0.66</v>
      </c>
    </row>
    <row r="828">
      <c r="A828" s="0" t="inlineStr">
        <is>
          <t>[불로동]</t>
        </is>
      </c>
      <c r="B828" s="0" t="n">
        <v>26116</v>
      </c>
      <c r="C828" s="0" t="n">
        <v>1</v>
      </c>
      <c r="D828" s="0" t="inlineStr">
        <is>
          <t>불로한일타운</t>
        </is>
      </c>
      <c r="E828" s="0" t="inlineStr">
        <is>
          <t>2008.04.</t>
        </is>
      </c>
      <c r="F828" s="0" t="n">
        <v>138</v>
      </c>
      <c r="G828" s="0" t="n">
        <v>25.25</v>
      </c>
      <c r="H828" s="0" t="n">
        <v>83.48</v>
      </c>
      <c r="I828" s="0" t="n">
        <v>18.06</v>
      </c>
      <c r="J828" s="0" t="n">
        <v>59.72</v>
      </c>
      <c r="K828" s="0" t="n">
        <v>67</v>
      </c>
      <c r="T828" s="0" t="n">
        <v>3</v>
      </c>
      <c r="U828" s="0" t="n">
        <v>1</v>
      </c>
      <c r="V828" s="0" t="inlineStr">
        <is>
          <t>계단식</t>
        </is>
      </c>
      <c r="W828" s="0" t="n">
        <v>83</v>
      </c>
      <c r="X828" s="0" t="n">
        <v>18</v>
      </c>
      <c r="Y828" s="0" t="n">
        <v>16</v>
      </c>
      <c r="Z828" s="0" t="inlineStr">
        <is>
          <t>https://new.land.naver.com/complexes/26116?tab=detail&amp;rf=Y</t>
        </is>
      </c>
      <c r="AA828" s="0" t="inlineStr">
        <is>
          <t>인천시 서구 불로동 178</t>
        </is>
      </c>
      <c r="AB828" s="0" t="inlineStr">
        <is>
          <t>인천시</t>
        </is>
      </c>
      <c r="AC828" s="0" t="inlineStr">
        <is>
          <t>서구</t>
        </is>
      </c>
      <c r="AD828" s="0" t="inlineStr">
        <is>
          <t>불로동</t>
        </is>
      </c>
      <c r="AG828" s="0" t="inlineStr">
        <is>
          <t>인천시 서구 검단로 841</t>
        </is>
      </c>
      <c r="AH828" s="0" t="n">
        <v>0</v>
      </c>
      <c r="AI828" s="0" t="n">
        <v>205</v>
      </c>
      <c r="AJ828" s="0" t="n">
        <v>15</v>
      </c>
      <c r="AK828" s="0" t="n">
        <v>153</v>
      </c>
      <c r="AL828" s="0" t="n">
        <v>1.11</v>
      </c>
    </row>
    <row r="829">
      <c r="A829" s="0" t="inlineStr">
        <is>
          <t>[불로동]</t>
        </is>
      </c>
      <c r="B829" s="0" t="n">
        <v>26116</v>
      </c>
      <c r="C829" s="0" t="n">
        <v>2</v>
      </c>
      <c r="D829" s="0" t="inlineStr">
        <is>
          <t>불로한일타운</t>
        </is>
      </c>
      <c r="E829" s="0" t="inlineStr">
        <is>
          <t>2008.04.</t>
        </is>
      </c>
      <c r="F829" s="0" t="n">
        <v>138</v>
      </c>
      <c r="G829" s="0" t="n">
        <v>33.72</v>
      </c>
      <c r="H829" s="0" t="n">
        <v>111.5</v>
      </c>
      <c r="I829" s="0" t="n">
        <v>25.54</v>
      </c>
      <c r="J829" s="0" t="n">
        <v>84.44</v>
      </c>
      <c r="K829" s="0" t="n">
        <v>71</v>
      </c>
      <c r="T829" s="0" t="n">
        <v>3</v>
      </c>
      <c r="U829" s="0" t="n">
        <v>2</v>
      </c>
      <c r="V829" s="0" t="inlineStr">
        <is>
          <t>계단식</t>
        </is>
      </c>
      <c r="W829" s="0" t="n">
        <v>111</v>
      </c>
      <c r="X829" s="0" t="n">
        <v>18</v>
      </c>
      <c r="Y829" s="0" t="n">
        <v>16</v>
      </c>
      <c r="Z829" s="0" t="inlineStr">
        <is>
          <t>https://new.land.naver.com/complexes/26116?tab=detail&amp;rf=Y</t>
        </is>
      </c>
      <c r="AA829" s="0" t="inlineStr">
        <is>
          <t>인천시 서구 불로동 178</t>
        </is>
      </c>
      <c r="AB829" s="0" t="inlineStr">
        <is>
          <t>인천시</t>
        </is>
      </c>
      <c r="AC829" s="0" t="inlineStr">
        <is>
          <t>서구</t>
        </is>
      </c>
      <c r="AD829" s="0" t="inlineStr">
        <is>
          <t>불로동</t>
        </is>
      </c>
      <c r="AG829" s="0" t="inlineStr">
        <is>
          <t>인천시 서구 검단로 841</t>
        </is>
      </c>
      <c r="AH829" s="0" t="n">
        <v>0</v>
      </c>
      <c r="AI829" s="0" t="n">
        <v>205</v>
      </c>
      <c r="AJ829" s="0" t="n">
        <v>15</v>
      </c>
      <c r="AK829" s="0" t="n">
        <v>153</v>
      </c>
      <c r="AL829" s="0" t="n">
        <v>1.11</v>
      </c>
    </row>
    <row r="830">
      <c r="A830" s="0" t="inlineStr">
        <is>
          <t>[불로동]</t>
        </is>
      </c>
      <c r="B830" s="0" t="n">
        <v>11376</v>
      </c>
      <c r="C830" s="0" t="n">
        <v>1</v>
      </c>
      <c r="D830" s="0" t="inlineStr">
        <is>
          <t>불로e-편한세상</t>
        </is>
      </c>
      <c r="E830" s="0" t="inlineStr">
        <is>
          <t>2005.06.</t>
        </is>
      </c>
      <c r="F830" s="0" t="n">
        <v>545</v>
      </c>
      <c r="G830" s="0" t="n">
        <v>24.1</v>
      </c>
      <c r="H830" s="0" t="n">
        <v>79.69</v>
      </c>
      <c r="I830" s="0" t="n">
        <v>18.08</v>
      </c>
      <c r="J830" s="0" t="n">
        <v>59.79</v>
      </c>
      <c r="K830" s="0" t="n">
        <v>250</v>
      </c>
      <c r="T830" s="0" t="n">
        <v>3</v>
      </c>
      <c r="U830" s="0" t="n">
        <v>2</v>
      </c>
      <c r="V830" s="0" t="inlineStr">
        <is>
          <t>계단식</t>
        </is>
      </c>
      <c r="W830" s="0" t="n">
        <v>79</v>
      </c>
      <c r="X830" s="0" t="n">
        <v>20</v>
      </c>
      <c r="Y830" s="0" t="n">
        <v>12</v>
      </c>
      <c r="Z830" s="0" t="inlineStr">
        <is>
          <t>https://new.land.naver.com/complexes/11376?tab=detail&amp;rf=Y</t>
        </is>
      </c>
      <c r="AA830" s="0" t="inlineStr">
        <is>
          <t>인천시 서구 불로동 806</t>
        </is>
      </c>
      <c r="AB830" s="0" t="inlineStr">
        <is>
          <t>인천시</t>
        </is>
      </c>
      <c r="AC830" s="0" t="inlineStr">
        <is>
          <t>서구</t>
        </is>
      </c>
      <c r="AD830" s="0" t="inlineStr">
        <is>
          <t>불로동</t>
        </is>
      </c>
      <c r="AG830" s="0" t="inlineStr">
        <is>
          <t>인천시 서구 고산후로 398</t>
        </is>
      </c>
      <c r="AH830" s="0" t="n">
        <v>0</v>
      </c>
      <c r="AI830" s="0" t="n">
        <v>229</v>
      </c>
      <c r="AJ830" s="0" t="n">
        <v>18</v>
      </c>
      <c r="AK830" s="0" t="n">
        <v>554</v>
      </c>
      <c r="AL830" s="0" t="n">
        <v>1.02</v>
      </c>
    </row>
    <row r="831">
      <c r="A831" s="0" t="inlineStr">
        <is>
          <t>[불로동]</t>
        </is>
      </c>
      <c r="B831" s="0" t="n">
        <v>11376</v>
      </c>
      <c r="C831" s="0" t="n">
        <v>2</v>
      </c>
      <c r="D831" s="0" t="inlineStr">
        <is>
          <t>불로e-편한세상</t>
        </is>
      </c>
      <c r="E831" s="0" t="inlineStr">
        <is>
          <t>2005.06.</t>
        </is>
      </c>
      <c r="F831" s="0" t="n">
        <v>545</v>
      </c>
      <c r="G831" s="0" t="n">
        <v>29.56</v>
      </c>
      <c r="H831" s="0" t="n">
        <v>97.73999999999999</v>
      </c>
      <c r="I831" s="0" t="n">
        <v>22.18</v>
      </c>
      <c r="J831" s="0" t="n">
        <v>73.34</v>
      </c>
      <c r="K831" s="0" t="n">
        <v>103</v>
      </c>
      <c r="T831" s="0" t="n">
        <v>3</v>
      </c>
      <c r="U831" s="0" t="n">
        <v>2</v>
      </c>
      <c r="V831" s="0" t="inlineStr">
        <is>
          <t>계단식</t>
        </is>
      </c>
      <c r="W831" s="0" t="n">
        <v>97</v>
      </c>
      <c r="X831" s="0" t="n">
        <v>20</v>
      </c>
      <c r="Y831" s="0" t="n">
        <v>12</v>
      </c>
      <c r="Z831" s="0" t="inlineStr">
        <is>
          <t>https://new.land.naver.com/complexes/11376?tab=detail&amp;rf=Y</t>
        </is>
      </c>
      <c r="AA831" s="0" t="inlineStr">
        <is>
          <t>인천시 서구 불로동 806</t>
        </is>
      </c>
      <c r="AB831" s="0" t="inlineStr">
        <is>
          <t>인천시</t>
        </is>
      </c>
      <c r="AC831" s="0" t="inlineStr">
        <is>
          <t>서구</t>
        </is>
      </c>
      <c r="AD831" s="0" t="inlineStr">
        <is>
          <t>불로동</t>
        </is>
      </c>
      <c r="AG831" s="0" t="inlineStr">
        <is>
          <t>인천시 서구 고산후로 398</t>
        </is>
      </c>
      <c r="AH831" s="0" t="n">
        <v>0</v>
      </c>
      <c r="AI831" s="0" t="n">
        <v>229</v>
      </c>
      <c r="AJ831" s="0" t="n">
        <v>18</v>
      </c>
      <c r="AK831" s="0" t="n">
        <v>554</v>
      </c>
      <c r="AL831" s="0" t="n">
        <v>1.02</v>
      </c>
    </row>
    <row r="832">
      <c r="A832" s="0" t="inlineStr">
        <is>
          <t>[불로동]</t>
        </is>
      </c>
      <c r="B832" s="0" t="n">
        <v>11376</v>
      </c>
      <c r="C832" s="0" t="n">
        <v>3</v>
      </c>
      <c r="D832" s="0" t="inlineStr">
        <is>
          <t>불로e-편한세상</t>
        </is>
      </c>
      <c r="E832" s="0" t="inlineStr">
        <is>
          <t>2005.06.</t>
        </is>
      </c>
      <c r="F832" s="0" t="n">
        <v>545</v>
      </c>
      <c r="G832" s="0" t="n">
        <v>34.21</v>
      </c>
      <c r="H832" s="0" t="n">
        <v>113.1</v>
      </c>
      <c r="I832" s="0" t="n">
        <v>25.67</v>
      </c>
      <c r="J832" s="0" t="n">
        <v>84.86</v>
      </c>
      <c r="K832" s="0" t="n">
        <v>192</v>
      </c>
      <c r="T832" s="0" t="n">
        <v>3</v>
      </c>
      <c r="U832" s="0" t="n">
        <v>2</v>
      </c>
      <c r="V832" s="0" t="inlineStr">
        <is>
          <t>계단식</t>
        </is>
      </c>
      <c r="W832" s="0" t="n">
        <v>113</v>
      </c>
      <c r="X832" s="0" t="n">
        <v>20</v>
      </c>
      <c r="Y832" s="0" t="n">
        <v>12</v>
      </c>
      <c r="Z832" s="0" t="inlineStr">
        <is>
          <t>https://new.land.naver.com/complexes/11376?tab=detail&amp;rf=Y</t>
        </is>
      </c>
      <c r="AA832" s="0" t="inlineStr">
        <is>
          <t>인천시 서구 불로동 806</t>
        </is>
      </c>
      <c r="AB832" s="0" t="inlineStr">
        <is>
          <t>인천시</t>
        </is>
      </c>
      <c r="AC832" s="0" t="inlineStr">
        <is>
          <t>서구</t>
        </is>
      </c>
      <c r="AD832" s="0" t="inlineStr">
        <is>
          <t>불로동</t>
        </is>
      </c>
      <c r="AG832" s="0" t="inlineStr">
        <is>
          <t>인천시 서구 고산후로 398</t>
        </is>
      </c>
      <c r="AH832" s="0" t="n">
        <v>0</v>
      </c>
      <c r="AI832" s="0" t="n">
        <v>229</v>
      </c>
      <c r="AJ832" s="0" t="n">
        <v>18</v>
      </c>
      <c r="AK832" s="0" t="n">
        <v>554</v>
      </c>
      <c r="AL832" s="0" t="n">
        <v>1.02</v>
      </c>
    </row>
    <row r="833">
      <c r="A833" s="0" t="inlineStr">
        <is>
          <t>[불로동]</t>
        </is>
      </c>
      <c r="B833" s="0" t="n">
        <v>118605</v>
      </c>
      <c r="C833" s="0" t="n">
        <v>1</v>
      </c>
      <c r="D833" s="0" t="inlineStr">
        <is>
          <t>천우명가</t>
        </is>
      </c>
      <c r="E833" s="0" t="inlineStr">
        <is>
          <t>2010.10.</t>
        </is>
      </c>
      <c r="F833" s="0" t="n">
        <v>38</v>
      </c>
      <c r="G833" s="0" t="n">
        <v>14.12</v>
      </c>
      <c r="H833" s="0" t="n">
        <v>46.68</v>
      </c>
      <c r="I833" s="0" t="n">
        <v>11.94</v>
      </c>
      <c r="J833" s="0" t="n">
        <v>39.49</v>
      </c>
      <c r="K833" s="0" t="n">
        <v>3</v>
      </c>
      <c r="T833" s="0" t="n">
        <v>1</v>
      </c>
      <c r="U833" s="0" t="n">
        <v>1</v>
      </c>
      <c r="V833" s="0" t="inlineStr">
        <is>
          <t>계단식</t>
        </is>
      </c>
      <c r="W833" s="0" t="n">
        <v>46</v>
      </c>
      <c r="X833" s="0" t="n">
        <v>5</v>
      </c>
      <c r="Y833" s="0" t="n">
        <v>4</v>
      </c>
      <c r="Z833" s="0" t="inlineStr">
        <is>
          <t>https://new.land.naver.com/complexes/118605?tab=detail&amp;rf=Y</t>
        </is>
      </c>
      <c r="AA833" s="0" t="inlineStr">
        <is>
          <t>인천시 서구 불로동 800-4</t>
        </is>
      </c>
      <c r="AB833" s="0" t="inlineStr">
        <is>
          <t>인천시</t>
        </is>
      </c>
      <c r="AC833" s="0" t="inlineStr">
        <is>
          <t>서구</t>
        </is>
      </c>
      <c r="AD833" s="0" t="inlineStr">
        <is>
          <t>불로동</t>
        </is>
      </c>
      <c r="AG833" s="0" t="inlineStr">
        <is>
          <t>인천시 서구 검단로744번3길 70</t>
        </is>
      </c>
      <c r="AH833" s="0" t="n">
        <v>0</v>
      </c>
      <c r="AI833" s="0" t="n">
        <v>0</v>
      </c>
      <c r="AJ833" s="0" t="n">
        <v>0</v>
      </c>
      <c r="AK833" s="0" t="n">
        <v>38</v>
      </c>
      <c r="AL833" s="0" t="n">
        <v>1</v>
      </c>
    </row>
    <row r="834">
      <c r="A834" s="0" t="inlineStr">
        <is>
          <t>[불로동]</t>
        </is>
      </c>
      <c r="B834" s="0" t="n">
        <v>118605</v>
      </c>
      <c r="C834" s="0" t="n">
        <v>2</v>
      </c>
      <c r="D834" s="0" t="inlineStr">
        <is>
          <t>천우명가</t>
        </is>
      </c>
      <c r="E834" s="0" t="inlineStr">
        <is>
          <t>2010.10.</t>
        </is>
      </c>
      <c r="F834" s="0" t="n">
        <v>38</v>
      </c>
      <c r="G834" s="0" t="n">
        <v>14.75</v>
      </c>
      <c r="H834" s="0" t="n">
        <v>48.77</v>
      </c>
      <c r="I834" s="0" t="n">
        <v>12.48</v>
      </c>
      <c r="J834" s="0" t="n">
        <v>41.26</v>
      </c>
      <c r="K834" s="0" t="n">
        <v>3</v>
      </c>
      <c r="T834" s="0" t="n">
        <v>2</v>
      </c>
      <c r="U834" s="0" t="n">
        <v>1</v>
      </c>
      <c r="V834" s="0" t="inlineStr">
        <is>
          <t>계단식</t>
        </is>
      </c>
      <c r="W834" s="0" t="n">
        <v>48</v>
      </c>
      <c r="X834" s="0" t="n">
        <v>5</v>
      </c>
      <c r="Y834" s="0" t="n">
        <v>4</v>
      </c>
      <c r="Z834" s="0" t="inlineStr">
        <is>
          <t>https://new.land.naver.com/complexes/118605?tab=detail&amp;rf=Y</t>
        </is>
      </c>
      <c r="AA834" s="0" t="inlineStr">
        <is>
          <t>인천시 서구 불로동 800-4</t>
        </is>
      </c>
      <c r="AB834" s="0" t="inlineStr">
        <is>
          <t>인천시</t>
        </is>
      </c>
      <c r="AC834" s="0" t="inlineStr">
        <is>
          <t>서구</t>
        </is>
      </c>
      <c r="AD834" s="0" t="inlineStr">
        <is>
          <t>불로동</t>
        </is>
      </c>
      <c r="AG834" s="0" t="inlineStr">
        <is>
          <t>인천시 서구 검단로744번3길 70</t>
        </is>
      </c>
      <c r="AH834" s="0" t="n">
        <v>0</v>
      </c>
      <c r="AI834" s="0" t="n">
        <v>0</v>
      </c>
      <c r="AJ834" s="0" t="n">
        <v>0</v>
      </c>
      <c r="AK834" s="0" t="n">
        <v>38</v>
      </c>
      <c r="AL834" s="0" t="n">
        <v>1</v>
      </c>
    </row>
    <row r="835">
      <c r="A835" s="0" t="inlineStr">
        <is>
          <t>[불로동]</t>
        </is>
      </c>
      <c r="B835" s="0" t="n">
        <v>118605</v>
      </c>
      <c r="C835" s="0" t="n">
        <v>3</v>
      </c>
      <c r="D835" s="0" t="inlineStr">
        <is>
          <t>천우명가</t>
        </is>
      </c>
      <c r="E835" s="0" t="inlineStr">
        <is>
          <t>2010.10.</t>
        </is>
      </c>
      <c r="F835" s="0" t="n">
        <v>38</v>
      </c>
      <c r="G835" s="0" t="n">
        <v>19.22</v>
      </c>
      <c r="H835" s="0" t="n">
        <v>63.56</v>
      </c>
      <c r="I835" s="0" t="n">
        <v>16.63</v>
      </c>
      <c r="J835" s="0" t="n">
        <v>54.99</v>
      </c>
      <c r="K835" s="0" t="n">
        <v>2</v>
      </c>
      <c r="T835" s="0" t="n">
        <v>2</v>
      </c>
      <c r="U835" s="0" t="n">
        <v>1</v>
      </c>
      <c r="V835" s="0" t="inlineStr">
        <is>
          <t>계단식</t>
        </is>
      </c>
      <c r="W835" s="0" t="n">
        <v>63</v>
      </c>
      <c r="X835" s="0" t="n">
        <v>5</v>
      </c>
      <c r="Y835" s="0" t="n">
        <v>4</v>
      </c>
      <c r="Z835" s="0" t="inlineStr">
        <is>
          <t>https://new.land.naver.com/complexes/118605?tab=detail&amp;rf=Y</t>
        </is>
      </c>
      <c r="AA835" s="0" t="inlineStr">
        <is>
          <t>인천시 서구 불로동 800-4</t>
        </is>
      </c>
      <c r="AB835" s="0" t="inlineStr">
        <is>
          <t>인천시</t>
        </is>
      </c>
      <c r="AC835" s="0" t="inlineStr">
        <is>
          <t>서구</t>
        </is>
      </c>
      <c r="AD835" s="0" t="inlineStr">
        <is>
          <t>불로동</t>
        </is>
      </c>
      <c r="AG835" s="0" t="inlineStr">
        <is>
          <t>인천시 서구 검단로744번3길 70</t>
        </is>
      </c>
      <c r="AH835" s="0" t="n">
        <v>0</v>
      </c>
      <c r="AI835" s="0" t="n">
        <v>0</v>
      </c>
      <c r="AJ835" s="0" t="n">
        <v>0</v>
      </c>
      <c r="AK835" s="0" t="n">
        <v>38</v>
      </c>
      <c r="AL835" s="0" t="n">
        <v>1</v>
      </c>
    </row>
    <row r="836">
      <c r="A836" s="0" t="inlineStr">
        <is>
          <t>[불로동]</t>
        </is>
      </c>
      <c r="B836" s="0" t="n">
        <v>118605</v>
      </c>
      <c r="C836" s="0" t="n">
        <v>4</v>
      </c>
      <c r="D836" s="0" t="inlineStr">
        <is>
          <t>천우명가</t>
        </is>
      </c>
      <c r="E836" s="0" t="inlineStr">
        <is>
          <t>2010.10.</t>
        </is>
      </c>
      <c r="F836" s="0" t="n">
        <v>38</v>
      </c>
      <c r="G836" s="0" t="n">
        <v>20.34</v>
      </c>
      <c r="H836" s="0" t="n">
        <v>67.26000000000001</v>
      </c>
      <c r="I836" s="0" t="n">
        <v>17.21</v>
      </c>
      <c r="J836" s="0" t="n">
        <v>56.9</v>
      </c>
      <c r="K836" s="0" t="n">
        <v>4</v>
      </c>
      <c r="T836" s="0" t="n">
        <v>3</v>
      </c>
      <c r="U836" s="0" t="n">
        <v>1</v>
      </c>
      <c r="V836" s="0" t="inlineStr">
        <is>
          <t>계단식</t>
        </is>
      </c>
      <c r="W836" s="0" t="n">
        <v>67</v>
      </c>
      <c r="X836" s="0" t="n">
        <v>5</v>
      </c>
      <c r="Y836" s="0" t="n">
        <v>4</v>
      </c>
      <c r="Z836" s="0" t="inlineStr">
        <is>
          <t>https://new.land.naver.com/complexes/118605?tab=detail&amp;rf=Y</t>
        </is>
      </c>
      <c r="AA836" s="0" t="inlineStr">
        <is>
          <t>인천시 서구 불로동 800-4</t>
        </is>
      </c>
      <c r="AB836" s="0" t="inlineStr">
        <is>
          <t>인천시</t>
        </is>
      </c>
      <c r="AC836" s="0" t="inlineStr">
        <is>
          <t>서구</t>
        </is>
      </c>
      <c r="AD836" s="0" t="inlineStr">
        <is>
          <t>불로동</t>
        </is>
      </c>
      <c r="AG836" s="0" t="inlineStr">
        <is>
          <t>인천시 서구 검단로744번3길 70</t>
        </is>
      </c>
      <c r="AH836" s="0" t="n">
        <v>0</v>
      </c>
      <c r="AI836" s="0" t="n">
        <v>0</v>
      </c>
      <c r="AJ836" s="0" t="n">
        <v>0</v>
      </c>
      <c r="AK836" s="0" t="n">
        <v>38</v>
      </c>
      <c r="AL836" s="0" t="n">
        <v>1</v>
      </c>
    </row>
    <row r="837">
      <c r="A837" s="0" t="inlineStr">
        <is>
          <t>[불로동]</t>
        </is>
      </c>
      <c r="B837" s="0" t="n">
        <v>118605</v>
      </c>
      <c r="C837" s="0" t="n">
        <v>5</v>
      </c>
      <c r="D837" s="0" t="inlineStr">
        <is>
          <t>천우명가</t>
        </is>
      </c>
      <c r="E837" s="0" t="inlineStr">
        <is>
          <t>2010.10.</t>
        </is>
      </c>
      <c r="F837" s="0" t="n">
        <v>38</v>
      </c>
      <c r="G837" s="0" t="n">
        <v>20.52</v>
      </c>
      <c r="H837" s="0" t="n">
        <v>67.84</v>
      </c>
      <c r="I837" s="0" t="n">
        <v>17.75</v>
      </c>
      <c r="J837" s="0" t="n">
        <v>58.69</v>
      </c>
      <c r="K837" s="0" t="n">
        <v>4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67C</t>
        </is>
      </c>
      <c r="X837" s="0" t="n">
        <v>5</v>
      </c>
      <c r="Y837" s="0" t="n">
        <v>4</v>
      </c>
      <c r="Z837" s="0" t="inlineStr">
        <is>
          <t>https://new.land.naver.com/complexes/118605?tab=detail&amp;rf=Y</t>
        </is>
      </c>
      <c r="AA837" s="0" t="inlineStr">
        <is>
          <t>인천시 서구 불로동 800-4</t>
        </is>
      </c>
      <c r="AB837" s="0" t="inlineStr">
        <is>
          <t>인천시</t>
        </is>
      </c>
      <c r="AC837" s="0" t="inlineStr">
        <is>
          <t>서구</t>
        </is>
      </c>
      <c r="AD837" s="0" t="inlineStr">
        <is>
          <t>불로동</t>
        </is>
      </c>
      <c r="AG837" s="0" t="inlineStr">
        <is>
          <t>인천시 서구 검단로744번3길 70</t>
        </is>
      </c>
      <c r="AH837" s="0" t="n">
        <v>0</v>
      </c>
      <c r="AI837" s="0" t="n">
        <v>0</v>
      </c>
      <c r="AJ837" s="0" t="n">
        <v>0</v>
      </c>
      <c r="AK837" s="0" t="n">
        <v>38</v>
      </c>
      <c r="AL837" s="0" t="n">
        <v>1</v>
      </c>
    </row>
    <row r="838">
      <c r="A838" s="0" t="inlineStr">
        <is>
          <t>[불로동]</t>
        </is>
      </c>
      <c r="B838" s="0" t="n">
        <v>118605</v>
      </c>
      <c r="C838" s="0" t="n">
        <v>6</v>
      </c>
      <c r="D838" s="0" t="inlineStr">
        <is>
          <t>천우명가</t>
        </is>
      </c>
      <c r="E838" s="0" t="inlineStr">
        <is>
          <t>2010.10.</t>
        </is>
      </c>
      <c r="F838" s="0" t="n">
        <v>38</v>
      </c>
      <c r="G838" s="0" t="n">
        <v>20.65</v>
      </c>
      <c r="H838" s="0" t="n">
        <v>68.28</v>
      </c>
      <c r="I838" s="0" t="n">
        <v>17.47</v>
      </c>
      <c r="J838" s="0" t="n">
        <v>57.77</v>
      </c>
      <c r="K838" s="0" t="n">
        <v>4</v>
      </c>
      <c r="T838" s="0" t="n">
        <v>3</v>
      </c>
      <c r="U838" s="0" t="n">
        <v>1</v>
      </c>
      <c r="V838" s="0" t="inlineStr">
        <is>
          <t>계단식</t>
        </is>
      </c>
      <c r="W838" s="0" t="inlineStr">
        <is>
          <t>68A</t>
        </is>
      </c>
      <c r="X838" s="0" t="n">
        <v>5</v>
      </c>
      <c r="Y838" s="0" t="n">
        <v>4</v>
      </c>
      <c r="Z838" s="0" t="inlineStr">
        <is>
          <t>https://new.land.naver.com/complexes/118605?tab=detail&amp;rf=Y</t>
        </is>
      </c>
      <c r="AA838" s="0" t="inlineStr">
        <is>
          <t>인천시 서구 불로동 800-4</t>
        </is>
      </c>
      <c r="AB838" s="0" t="inlineStr">
        <is>
          <t>인천시</t>
        </is>
      </c>
      <c r="AC838" s="0" t="inlineStr">
        <is>
          <t>서구</t>
        </is>
      </c>
      <c r="AD838" s="0" t="inlineStr">
        <is>
          <t>불로동</t>
        </is>
      </c>
      <c r="AG838" s="0" t="inlineStr">
        <is>
          <t>인천시 서구 검단로744번3길 70</t>
        </is>
      </c>
      <c r="AH838" s="0" t="n">
        <v>0</v>
      </c>
      <c r="AI838" s="0" t="n">
        <v>0</v>
      </c>
      <c r="AJ838" s="0" t="n">
        <v>0</v>
      </c>
      <c r="AK838" s="0" t="n">
        <v>38</v>
      </c>
      <c r="AL838" s="0" t="n">
        <v>1</v>
      </c>
    </row>
    <row r="839">
      <c r="A839" s="0" t="inlineStr">
        <is>
          <t>[불로동]</t>
        </is>
      </c>
      <c r="B839" s="0" t="n">
        <v>118605</v>
      </c>
      <c r="C839" s="0" t="n">
        <v>7</v>
      </c>
      <c r="D839" s="0" t="inlineStr">
        <is>
          <t>천우명가</t>
        </is>
      </c>
      <c r="E839" s="0" t="inlineStr">
        <is>
          <t>2010.10.</t>
        </is>
      </c>
      <c r="F839" s="0" t="n">
        <v>38</v>
      </c>
      <c r="G839" s="0" t="n">
        <v>21.29</v>
      </c>
      <c r="H839" s="0" t="n">
        <v>70.41</v>
      </c>
      <c r="I839" s="0" t="n">
        <v>18.01</v>
      </c>
      <c r="J839" s="0" t="n">
        <v>59.57</v>
      </c>
      <c r="K839" s="0" t="n">
        <v>4</v>
      </c>
      <c r="T839" s="0" t="n">
        <v>3</v>
      </c>
      <c r="U839" s="0" t="n">
        <v>1</v>
      </c>
      <c r="V839" s="0" t="inlineStr">
        <is>
          <t>계단식</t>
        </is>
      </c>
      <c r="W839" s="0" t="inlineStr">
        <is>
          <t>70B</t>
        </is>
      </c>
      <c r="X839" s="0" t="n">
        <v>5</v>
      </c>
      <c r="Y839" s="0" t="n">
        <v>4</v>
      </c>
      <c r="Z839" s="0" t="inlineStr">
        <is>
          <t>https://new.land.naver.com/complexes/118605?tab=detail&amp;rf=Y</t>
        </is>
      </c>
      <c r="AA839" s="0" t="inlineStr">
        <is>
          <t>인천시 서구 불로동 800-4</t>
        </is>
      </c>
      <c r="AB839" s="0" t="inlineStr">
        <is>
          <t>인천시</t>
        </is>
      </c>
      <c r="AC839" s="0" t="inlineStr">
        <is>
          <t>서구</t>
        </is>
      </c>
      <c r="AD839" s="0" t="inlineStr">
        <is>
          <t>불로동</t>
        </is>
      </c>
      <c r="AG839" s="0" t="inlineStr">
        <is>
          <t>인천시 서구 검단로744번3길 70</t>
        </is>
      </c>
      <c r="AH839" s="0" t="n">
        <v>0</v>
      </c>
      <c r="AI839" s="0" t="n">
        <v>0</v>
      </c>
      <c r="AJ839" s="0" t="n">
        <v>0</v>
      </c>
      <c r="AK839" s="0" t="n">
        <v>38</v>
      </c>
      <c r="AL839" s="0" t="n">
        <v>1</v>
      </c>
    </row>
    <row r="840">
      <c r="A840" s="0" t="inlineStr">
        <is>
          <t>[불로동]</t>
        </is>
      </c>
      <c r="B840" s="0" t="n">
        <v>118605</v>
      </c>
      <c r="C840" s="0" t="n">
        <v>8</v>
      </c>
      <c r="D840" s="0" t="inlineStr">
        <is>
          <t>천우명가</t>
        </is>
      </c>
      <c r="E840" s="0" t="inlineStr">
        <is>
          <t>2010.10.</t>
        </is>
      </c>
      <c r="F840" s="0" t="n">
        <v>38</v>
      </c>
      <c r="G840" s="0" t="n">
        <v>23.14</v>
      </c>
      <c r="H840" s="0" t="n">
        <v>76.52</v>
      </c>
      <c r="I840" s="0" t="n">
        <v>20.02</v>
      </c>
      <c r="J840" s="0" t="n">
        <v>66.2</v>
      </c>
      <c r="K840" s="0" t="n">
        <v>4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76</v>
      </c>
      <c r="X840" s="0" t="n">
        <v>5</v>
      </c>
      <c r="Y840" s="0" t="n">
        <v>4</v>
      </c>
      <c r="Z840" s="0" t="inlineStr">
        <is>
          <t>https://new.land.naver.com/complexes/118605?tab=detail&amp;rf=Y</t>
        </is>
      </c>
      <c r="AA840" s="0" t="inlineStr">
        <is>
          <t>인천시 서구 불로동 800-4</t>
        </is>
      </c>
      <c r="AB840" s="0" t="inlineStr">
        <is>
          <t>인천시</t>
        </is>
      </c>
      <c r="AC840" s="0" t="inlineStr">
        <is>
          <t>서구</t>
        </is>
      </c>
      <c r="AD840" s="0" t="inlineStr">
        <is>
          <t>불로동</t>
        </is>
      </c>
      <c r="AG840" s="0" t="inlineStr">
        <is>
          <t>인천시 서구 검단로744번3길 70</t>
        </is>
      </c>
      <c r="AH840" s="0" t="n">
        <v>0</v>
      </c>
      <c r="AI840" s="0" t="n">
        <v>0</v>
      </c>
      <c r="AJ840" s="0" t="n">
        <v>0</v>
      </c>
      <c r="AK840" s="0" t="n">
        <v>38</v>
      </c>
      <c r="AL840" s="0" t="n">
        <v>1</v>
      </c>
    </row>
    <row r="841">
      <c r="A841" s="0" t="inlineStr">
        <is>
          <t>[불로동]</t>
        </is>
      </c>
      <c r="B841" s="0" t="n">
        <v>118605</v>
      </c>
      <c r="C841" s="0" t="n">
        <v>9</v>
      </c>
      <c r="D841" s="0" t="inlineStr">
        <is>
          <t>천우명가</t>
        </is>
      </c>
      <c r="E841" s="0" t="inlineStr">
        <is>
          <t>2010.10.</t>
        </is>
      </c>
      <c r="F841" s="0" t="n">
        <v>38</v>
      </c>
      <c r="G841" s="0" t="n">
        <v>26.23</v>
      </c>
      <c r="H841" s="0" t="n">
        <v>86.72</v>
      </c>
      <c r="I841" s="0" t="n">
        <v>22.69</v>
      </c>
      <c r="J841" s="0" t="n">
        <v>75.02</v>
      </c>
      <c r="K841" s="0" t="n">
        <v>4</v>
      </c>
      <c r="T841" s="0" t="n">
        <v>3</v>
      </c>
      <c r="U841" s="0" t="n">
        <v>2</v>
      </c>
      <c r="V841" s="0" t="inlineStr">
        <is>
          <t>계단식</t>
        </is>
      </c>
      <c r="W841" s="0" t="n">
        <v>86</v>
      </c>
      <c r="X841" s="0" t="n">
        <v>5</v>
      </c>
      <c r="Y841" s="0" t="n">
        <v>4</v>
      </c>
      <c r="Z841" s="0" t="inlineStr">
        <is>
          <t>https://new.land.naver.com/complexes/118605?tab=detail&amp;rf=Y</t>
        </is>
      </c>
      <c r="AA841" s="0" t="inlineStr">
        <is>
          <t>인천시 서구 불로동 800-4</t>
        </is>
      </c>
      <c r="AB841" s="0" t="inlineStr">
        <is>
          <t>인천시</t>
        </is>
      </c>
      <c r="AC841" s="0" t="inlineStr">
        <is>
          <t>서구</t>
        </is>
      </c>
      <c r="AD841" s="0" t="inlineStr">
        <is>
          <t>불로동</t>
        </is>
      </c>
      <c r="AG841" s="0" t="inlineStr">
        <is>
          <t>인천시 서구 검단로744번3길 70</t>
        </is>
      </c>
      <c r="AH841" s="0" t="n">
        <v>0</v>
      </c>
      <c r="AI841" s="0" t="n">
        <v>0</v>
      </c>
      <c r="AJ841" s="0" t="n">
        <v>0</v>
      </c>
      <c r="AK841" s="0" t="n">
        <v>38</v>
      </c>
      <c r="AL841" s="0" t="n">
        <v>1</v>
      </c>
    </row>
    <row r="842">
      <c r="A842" s="0" t="inlineStr">
        <is>
          <t>[불로동]</t>
        </is>
      </c>
      <c r="B842" s="0" t="n">
        <v>118605</v>
      </c>
      <c r="C842" s="0" t="n">
        <v>10</v>
      </c>
      <c r="D842" s="0" t="inlineStr">
        <is>
          <t>천우명가</t>
        </is>
      </c>
      <c r="E842" s="0" t="inlineStr">
        <is>
          <t>2010.10.</t>
        </is>
      </c>
      <c r="F842" s="0" t="n">
        <v>38</v>
      </c>
      <c r="G842" s="0" t="n">
        <v>27.01</v>
      </c>
      <c r="H842" s="0" t="n">
        <v>89.31</v>
      </c>
      <c r="I842" s="0" t="n">
        <v>23.37</v>
      </c>
      <c r="J842" s="0" t="n">
        <v>77.26000000000001</v>
      </c>
      <c r="K842" s="0" t="n">
        <v>4</v>
      </c>
      <c r="T842" s="0" t="n">
        <v>3</v>
      </c>
      <c r="U842" s="0" t="n">
        <v>2</v>
      </c>
      <c r="V842" s="0" t="inlineStr">
        <is>
          <t>계단식</t>
        </is>
      </c>
      <c r="W842" s="0" t="n">
        <v>89</v>
      </c>
      <c r="X842" s="0" t="n">
        <v>5</v>
      </c>
      <c r="Y842" s="0" t="n">
        <v>4</v>
      </c>
      <c r="Z842" s="0" t="inlineStr">
        <is>
          <t>https://new.land.naver.com/complexes/118605?tab=detail&amp;rf=Y</t>
        </is>
      </c>
      <c r="AA842" s="0" t="inlineStr">
        <is>
          <t>인천시 서구 불로동 800-4</t>
        </is>
      </c>
      <c r="AB842" s="0" t="inlineStr">
        <is>
          <t>인천시</t>
        </is>
      </c>
      <c r="AC842" s="0" t="inlineStr">
        <is>
          <t>서구</t>
        </is>
      </c>
      <c r="AD842" s="0" t="inlineStr">
        <is>
          <t>불로동</t>
        </is>
      </c>
      <c r="AG842" s="0" t="inlineStr">
        <is>
          <t>인천시 서구 검단로744번3길 70</t>
        </is>
      </c>
      <c r="AH842" s="0" t="n">
        <v>0</v>
      </c>
      <c r="AI842" s="0" t="n">
        <v>0</v>
      </c>
      <c r="AJ842" s="0" t="n">
        <v>0</v>
      </c>
      <c r="AK842" s="0" t="n">
        <v>38</v>
      </c>
      <c r="AL842" s="0" t="n">
        <v>1</v>
      </c>
    </row>
    <row r="843">
      <c r="A843" s="0" t="inlineStr">
        <is>
          <t>[불로동]</t>
        </is>
      </c>
      <c r="B843" s="0" t="n">
        <v>118605</v>
      </c>
      <c r="C843" s="0" t="n">
        <v>11</v>
      </c>
      <c r="D843" s="0" t="inlineStr">
        <is>
          <t>천우명가</t>
        </is>
      </c>
      <c r="E843" s="0" t="inlineStr">
        <is>
          <t>2010.10.</t>
        </is>
      </c>
      <c r="F843" s="0" t="n">
        <v>38</v>
      </c>
      <c r="G843" s="0" t="n">
        <v>29.39</v>
      </c>
      <c r="H843" s="0" t="n">
        <v>97.18000000000001</v>
      </c>
      <c r="I843" s="0" t="n">
        <v>24.86</v>
      </c>
      <c r="J843" s="0" t="n">
        <v>82.2</v>
      </c>
      <c r="K843" s="0" t="n">
        <v>1</v>
      </c>
      <c r="T843" s="0" t="n">
        <v>3</v>
      </c>
      <c r="U843" s="0" t="n">
        <v>2</v>
      </c>
      <c r="V843" s="0" t="inlineStr">
        <is>
          <t>계단식</t>
        </is>
      </c>
      <c r="W843" s="0" t="n">
        <v>97</v>
      </c>
      <c r="X843" s="0" t="n">
        <v>5</v>
      </c>
      <c r="Y843" s="0" t="n">
        <v>4</v>
      </c>
      <c r="Z843" s="0" t="inlineStr">
        <is>
          <t>https://new.land.naver.com/complexes/118605?tab=detail&amp;rf=Y</t>
        </is>
      </c>
      <c r="AA843" s="0" t="inlineStr">
        <is>
          <t>인천시 서구 불로동 800-4</t>
        </is>
      </c>
      <c r="AB843" s="0" t="inlineStr">
        <is>
          <t>인천시</t>
        </is>
      </c>
      <c r="AC843" s="0" t="inlineStr">
        <is>
          <t>서구</t>
        </is>
      </c>
      <c r="AD843" s="0" t="inlineStr">
        <is>
          <t>불로동</t>
        </is>
      </c>
      <c r="AG843" s="0" t="inlineStr">
        <is>
          <t>인천시 서구 검단로744번3길 70</t>
        </is>
      </c>
      <c r="AH843" s="0" t="n">
        <v>0</v>
      </c>
      <c r="AI843" s="0" t="n">
        <v>0</v>
      </c>
      <c r="AJ843" s="0" t="n">
        <v>0</v>
      </c>
      <c r="AK843" s="0" t="n">
        <v>38</v>
      </c>
      <c r="AL843" s="0" t="n">
        <v>1</v>
      </c>
    </row>
    <row r="844">
      <c r="A844" s="0" t="inlineStr">
        <is>
          <t>[불로동]</t>
        </is>
      </c>
      <c r="B844" s="0" t="n">
        <v>118605</v>
      </c>
      <c r="C844" s="0" t="n">
        <v>12</v>
      </c>
      <c r="D844" s="0" t="inlineStr">
        <is>
          <t>천우명가</t>
        </is>
      </c>
      <c r="E844" s="0" t="inlineStr">
        <is>
          <t>2010.10.</t>
        </is>
      </c>
      <c r="F844" s="0" t="n">
        <v>38</v>
      </c>
      <c r="G844" s="0" t="n">
        <v>38.19</v>
      </c>
      <c r="H844" s="0" t="n">
        <v>126.28</v>
      </c>
      <c r="I844" s="0" t="n">
        <v>33.04</v>
      </c>
      <c r="J844" s="0" t="n">
        <v>109.25</v>
      </c>
      <c r="K844" s="0" t="n">
        <v>1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126</v>
      </c>
      <c r="X844" s="0" t="n">
        <v>5</v>
      </c>
      <c r="Y844" s="0" t="n">
        <v>4</v>
      </c>
      <c r="Z844" s="0" t="inlineStr">
        <is>
          <t>https://new.land.naver.com/complexes/118605?tab=detail&amp;rf=Y</t>
        </is>
      </c>
      <c r="AA844" s="0" t="inlineStr">
        <is>
          <t>인천시 서구 불로동 800-4</t>
        </is>
      </c>
      <c r="AB844" s="0" t="inlineStr">
        <is>
          <t>인천시</t>
        </is>
      </c>
      <c r="AC844" s="0" t="inlineStr">
        <is>
          <t>서구</t>
        </is>
      </c>
      <c r="AD844" s="0" t="inlineStr">
        <is>
          <t>불로동</t>
        </is>
      </c>
      <c r="AG844" s="0" t="inlineStr">
        <is>
          <t>인천시 서구 검단로744번3길 70</t>
        </is>
      </c>
      <c r="AH844" s="0" t="n">
        <v>0</v>
      </c>
      <c r="AI844" s="0" t="n">
        <v>0</v>
      </c>
      <c r="AJ844" s="0" t="n">
        <v>0</v>
      </c>
      <c r="AK844" s="0" t="n">
        <v>38</v>
      </c>
      <c r="AL844" s="0" t="n">
        <v>1</v>
      </c>
    </row>
    <row r="845">
      <c r="A845" s="0" t="inlineStr">
        <is>
          <t>[불로동]</t>
        </is>
      </c>
      <c r="B845" s="0" t="n">
        <v>8168</v>
      </c>
      <c r="C845" s="0" t="n">
        <v>1</v>
      </c>
      <c r="D845" s="0" t="inlineStr">
        <is>
          <t>퀸스타운길훈</t>
        </is>
      </c>
      <c r="E845" s="0" t="inlineStr">
        <is>
          <t>1999.06.</t>
        </is>
      </c>
      <c r="F845" s="0" t="n">
        <v>628</v>
      </c>
      <c r="G845" s="0" t="n">
        <v>24.11</v>
      </c>
      <c r="H845" s="0" t="n">
        <v>79.72</v>
      </c>
      <c r="I845" s="0" t="n">
        <v>18.06</v>
      </c>
      <c r="J845" s="0" t="n">
        <v>59.72</v>
      </c>
      <c r="K845" s="0" t="n">
        <v>228</v>
      </c>
      <c r="T845" s="0" t="n">
        <v>3</v>
      </c>
      <c r="U845" s="0" t="n">
        <v>1</v>
      </c>
      <c r="V845" s="0" t="inlineStr">
        <is>
          <t>계단식</t>
        </is>
      </c>
      <c r="W845" s="0" t="n">
        <v>79</v>
      </c>
      <c r="X845" s="0" t="n">
        <v>20</v>
      </c>
      <c r="Y845" s="0" t="n">
        <v>19</v>
      </c>
      <c r="Z845" s="0" t="inlineStr">
        <is>
          <t>https://new.land.naver.com/complexes/8168?tab=detail&amp;rf=Y</t>
        </is>
      </c>
      <c r="AA845" s="0" t="inlineStr">
        <is>
          <t>인천시 서구 불로동 372</t>
        </is>
      </c>
      <c r="AB845" s="0" t="inlineStr">
        <is>
          <t>인천시</t>
        </is>
      </c>
      <c r="AC845" s="0" t="inlineStr">
        <is>
          <t>서구</t>
        </is>
      </c>
      <c r="AD845" s="0" t="inlineStr">
        <is>
          <t>불로동</t>
        </is>
      </c>
      <c r="AG845" s="0" t="inlineStr">
        <is>
          <t>인천시 서구 검단로 786</t>
        </is>
      </c>
      <c r="AH845" s="0" t="n">
        <v>0</v>
      </c>
      <c r="AI845" s="0" t="n">
        <v>246</v>
      </c>
      <c r="AJ845" s="0" t="n">
        <v>13</v>
      </c>
      <c r="AK845" s="0" t="n">
        <v>644</v>
      </c>
      <c r="AL845" s="0" t="n">
        <v>1.03</v>
      </c>
    </row>
    <row r="846">
      <c r="A846" s="0" t="inlineStr">
        <is>
          <t>[불로동]</t>
        </is>
      </c>
      <c r="B846" s="0" t="n">
        <v>8168</v>
      </c>
      <c r="C846" s="0" t="n">
        <v>2</v>
      </c>
      <c r="D846" s="0" t="inlineStr">
        <is>
          <t>퀸스타운길훈</t>
        </is>
      </c>
      <c r="E846" s="0" t="inlineStr">
        <is>
          <t>1999.06.</t>
        </is>
      </c>
      <c r="F846" s="0" t="n">
        <v>628</v>
      </c>
      <c r="G846" s="0" t="n">
        <v>32.67</v>
      </c>
      <c r="H846" s="0" t="n">
        <v>108.01</v>
      </c>
      <c r="I846" s="0" t="n">
        <v>25.7</v>
      </c>
      <c r="J846" s="0" t="n">
        <v>84.98999999999999</v>
      </c>
      <c r="K846" s="0" t="n">
        <v>400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108</v>
      </c>
      <c r="X846" s="0" t="n">
        <v>20</v>
      </c>
      <c r="Y846" s="0" t="n">
        <v>19</v>
      </c>
      <c r="Z846" s="0" t="inlineStr">
        <is>
          <t>https://new.land.naver.com/complexes/8168?tab=detail&amp;rf=Y</t>
        </is>
      </c>
      <c r="AA846" s="0" t="inlineStr">
        <is>
          <t>인천시 서구 불로동 372</t>
        </is>
      </c>
      <c r="AB846" s="0" t="inlineStr">
        <is>
          <t>인천시</t>
        </is>
      </c>
      <c r="AC846" s="0" t="inlineStr">
        <is>
          <t>서구</t>
        </is>
      </c>
      <c r="AD846" s="0" t="inlineStr">
        <is>
          <t>불로동</t>
        </is>
      </c>
      <c r="AG846" s="0" t="inlineStr">
        <is>
          <t>인천시 서구 검단로 786</t>
        </is>
      </c>
      <c r="AH846" s="0" t="n">
        <v>0</v>
      </c>
      <c r="AI846" s="0" t="n">
        <v>246</v>
      </c>
      <c r="AJ846" s="0" t="n">
        <v>13</v>
      </c>
      <c r="AK846" s="0" t="n">
        <v>644</v>
      </c>
      <c r="AL846" s="0" t="n">
        <v>1.03</v>
      </c>
    </row>
    <row r="847">
      <c r="A847" s="0" t="inlineStr">
        <is>
          <t>[불로동]</t>
        </is>
      </c>
      <c r="B847" s="0" t="n">
        <v>2333</v>
      </c>
      <c r="C847" s="0" t="n">
        <v>1</v>
      </c>
      <c r="D847" s="0" t="inlineStr">
        <is>
          <t>월드</t>
        </is>
      </c>
      <c r="E847" s="0" t="inlineStr">
        <is>
          <t>1998.05.</t>
        </is>
      </c>
      <c r="F847" s="0" t="n">
        <v>1699</v>
      </c>
      <c r="G847" s="0" t="n">
        <v>24.57</v>
      </c>
      <c r="H847" s="0" t="n">
        <v>81.23</v>
      </c>
      <c r="I847" s="0" t="n">
        <v>18.08</v>
      </c>
      <c r="J847" s="0" t="n">
        <v>59.77</v>
      </c>
      <c r="K847" s="0" t="n">
        <v>240</v>
      </c>
      <c r="T847" s="0" t="n">
        <v>3</v>
      </c>
      <c r="U847" s="0" t="n">
        <v>1</v>
      </c>
      <c r="V847" s="0" t="inlineStr">
        <is>
          <t>계단식</t>
        </is>
      </c>
      <c r="W847" s="0" t="inlineStr">
        <is>
          <t>81B</t>
        </is>
      </c>
      <c r="X847" s="0" t="n">
        <v>20</v>
      </c>
      <c r="Y847" s="0" t="n">
        <v>9</v>
      </c>
      <c r="Z847" s="0" t="inlineStr">
        <is>
          <t>https://new.land.naver.com/complexes/2333?tab=detail&amp;rf=Y</t>
        </is>
      </c>
      <c r="AA847" s="0" t="inlineStr">
        <is>
          <t>인천시 서구 불로동 308</t>
        </is>
      </c>
      <c r="AB847" s="0" t="inlineStr">
        <is>
          <t>인천시</t>
        </is>
      </c>
      <c r="AC847" s="0" t="inlineStr">
        <is>
          <t>서구</t>
        </is>
      </c>
      <c r="AD847" s="0" t="inlineStr">
        <is>
          <t>불로동</t>
        </is>
      </c>
      <c r="AG847" s="0" t="inlineStr">
        <is>
          <t>인천시 서구 검단로 836</t>
        </is>
      </c>
      <c r="AH847" s="0" t="n">
        <v>0</v>
      </c>
      <c r="AI847" s="0" t="n">
        <v>244</v>
      </c>
      <c r="AJ847" s="0" t="n">
        <v>17</v>
      </c>
      <c r="AK847" s="0" t="n">
        <v>1892</v>
      </c>
      <c r="AL847" s="0" t="n">
        <v>1.11</v>
      </c>
    </row>
    <row r="848">
      <c r="A848" s="0" t="inlineStr">
        <is>
          <t>[불로동]</t>
        </is>
      </c>
      <c r="B848" s="0" t="n">
        <v>2333</v>
      </c>
      <c r="C848" s="0" t="n">
        <v>2</v>
      </c>
      <c r="D848" s="0" t="inlineStr">
        <is>
          <t>월드</t>
        </is>
      </c>
      <c r="E848" s="0" t="inlineStr">
        <is>
          <t>1998.05.</t>
        </is>
      </c>
      <c r="F848" s="0" t="n">
        <v>1699</v>
      </c>
      <c r="G848" s="0" t="n">
        <v>24.78</v>
      </c>
      <c r="H848" s="0" t="n">
        <v>81.93000000000001</v>
      </c>
      <c r="I848" s="0" t="n">
        <v>18.09</v>
      </c>
      <c r="J848" s="0" t="n">
        <v>59.83</v>
      </c>
      <c r="K848" s="0" t="n">
        <v>177</v>
      </c>
      <c r="T848" s="0" t="n">
        <v>3</v>
      </c>
      <c r="U848" s="0" t="n">
        <v>1</v>
      </c>
      <c r="V848" s="0" t="inlineStr">
        <is>
          <t>계단식</t>
        </is>
      </c>
      <c r="W848" s="0" t="inlineStr">
        <is>
          <t>81A</t>
        </is>
      </c>
      <c r="X848" s="0" t="n">
        <v>20</v>
      </c>
      <c r="Y848" s="0" t="n">
        <v>9</v>
      </c>
      <c r="Z848" s="0" t="inlineStr">
        <is>
          <t>https://new.land.naver.com/complexes/2333?tab=detail&amp;rf=Y</t>
        </is>
      </c>
      <c r="AA848" s="0" t="inlineStr">
        <is>
          <t>인천시 서구 불로동 308</t>
        </is>
      </c>
      <c r="AB848" s="0" t="inlineStr">
        <is>
          <t>인천시</t>
        </is>
      </c>
      <c r="AC848" s="0" t="inlineStr">
        <is>
          <t>서구</t>
        </is>
      </c>
      <c r="AD848" s="0" t="inlineStr">
        <is>
          <t>불로동</t>
        </is>
      </c>
      <c r="AG848" s="0" t="inlineStr">
        <is>
          <t>인천시 서구 검단로 836</t>
        </is>
      </c>
      <c r="AH848" s="0" t="n">
        <v>0</v>
      </c>
      <c r="AI848" s="0" t="n">
        <v>244</v>
      </c>
      <c r="AJ848" s="0" t="n">
        <v>17</v>
      </c>
      <c r="AK848" s="0" t="n">
        <v>1892</v>
      </c>
      <c r="AL848" s="0" t="n">
        <v>1.11</v>
      </c>
    </row>
    <row r="849">
      <c r="A849" s="0" t="inlineStr">
        <is>
          <t>[불로동]</t>
        </is>
      </c>
      <c r="B849" s="0" t="n">
        <v>2333</v>
      </c>
      <c r="C849" s="0" t="n">
        <v>3</v>
      </c>
      <c r="D849" s="0" t="inlineStr">
        <is>
          <t>월드</t>
        </is>
      </c>
      <c r="E849" s="0" t="inlineStr">
        <is>
          <t>1998.05.</t>
        </is>
      </c>
      <c r="F849" s="0" t="n">
        <v>1699</v>
      </c>
      <c r="G849" s="0" t="n">
        <v>24.98</v>
      </c>
      <c r="H849" s="0" t="n">
        <v>82.59</v>
      </c>
      <c r="I849" s="0" t="n">
        <v>18.06</v>
      </c>
      <c r="J849" s="0" t="n">
        <v>59.73</v>
      </c>
      <c r="K849" s="0" t="n">
        <v>240</v>
      </c>
      <c r="T849" s="0" t="n">
        <v>2</v>
      </c>
      <c r="U849" s="0" t="n">
        <v>1</v>
      </c>
      <c r="V849" s="0" t="inlineStr">
        <is>
          <t>계단식</t>
        </is>
      </c>
      <c r="W849" s="0" t="inlineStr">
        <is>
          <t>82C</t>
        </is>
      </c>
      <c r="X849" s="0" t="n">
        <v>20</v>
      </c>
      <c r="Y849" s="0" t="n">
        <v>9</v>
      </c>
      <c r="Z849" s="0" t="inlineStr">
        <is>
          <t>https://new.land.naver.com/complexes/2333?tab=detail&amp;rf=Y</t>
        </is>
      </c>
      <c r="AA849" s="0" t="inlineStr">
        <is>
          <t>인천시 서구 불로동 308</t>
        </is>
      </c>
      <c r="AB849" s="0" t="inlineStr">
        <is>
          <t>인천시</t>
        </is>
      </c>
      <c r="AC849" s="0" t="inlineStr">
        <is>
          <t>서구</t>
        </is>
      </c>
      <c r="AD849" s="0" t="inlineStr">
        <is>
          <t>불로동</t>
        </is>
      </c>
      <c r="AG849" s="0" t="inlineStr">
        <is>
          <t>인천시 서구 검단로 836</t>
        </is>
      </c>
      <c r="AH849" s="0" t="n">
        <v>0</v>
      </c>
      <c r="AI849" s="0" t="n">
        <v>244</v>
      </c>
      <c r="AJ849" s="0" t="n">
        <v>17</v>
      </c>
      <c r="AK849" s="0" t="n">
        <v>1892</v>
      </c>
      <c r="AL849" s="0" t="n">
        <v>1.11</v>
      </c>
    </row>
    <row r="850">
      <c r="A850" s="0" t="inlineStr">
        <is>
          <t>[불로동]</t>
        </is>
      </c>
      <c r="B850" s="0" t="n">
        <v>2333</v>
      </c>
      <c r="C850" s="0" t="n">
        <v>4</v>
      </c>
      <c r="D850" s="0" t="inlineStr">
        <is>
          <t>월드</t>
        </is>
      </c>
      <c r="E850" s="0" t="inlineStr">
        <is>
          <t>1998.05.</t>
        </is>
      </c>
      <c r="F850" s="0" t="n">
        <v>1699</v>
      </c>
      <c r="G850" s="0" t="n">
        <v>25.4</v>
      </c>
      <c r="H850" s="0" t="n">
        <v>83.97</v>
      </c>
      <c r="I850" s="0" t="n">
        <v>18.11</v>
      </c>
      <c r="J850" s="0" t="n">
        <v>59.89</v>
      </c>
      <c r="K850" s="0" t="n">
        <v>150</v>
      </c>
      <c r="T850" s="0" t="n">
        <v>3</v>
      </c>
      <c r="U850" s="0" t="n">
        <v>1</v>
      </c>
      <c r="V850" s="0" t="inlineStr">
        <is>
          <t>계단식</t>
        </is>
      </c>
      <c r="W850" s="0" t="inlineStr">
        <is>
          <t>83D</t>
        </is>
      </c>
      <c r="X850" s="0" t="n">
        <v>20</v>
      </c>
      <c r="Y850" s="0" t="n">
        <v>9</v>
      </c>
      <c r="Z850" s="0" t="inlineStr">
        <is>
          <t>https://new.land.naver.com/complexes/2333?tab=detail&amp;rf=Y</t>
        </is>
      </c>
      <c r="AA850" s="0" t="inlineStr">
        <is>
          <t>인천시 서구 불로동 308</t>
        </is>
      </c>
      <c r="AB850" s="0" t="inlineStr">
        <is>
          <t>인천시</t>
        </is>
      </c>
      <c r="AC850" s="0" t="inlineStr">
        <is>
          <t>서구</t>
        </is>
      </c>
      <c r="AD850" s="0" t="inlineStr">
        <is>
          <t>불로동</t>
        </is>
      </c>
      <c r="AG850" s="0" t="inlineStr">
        <is>
          <t>인천시 서구 검단로 836</t>
        </is>
      </c>
      <c r="AH850" s="0" t="n">
        <v>0</v>
      </c>
      <c r="AI850" s="0" t="n">
        <v>244</v>
      </c>
      <c r="AJ850" s="0" t="n">
        <v>17</v>
      </c>
      <c r="AK850" s="0" t="n">
        <v>1892</v>
      </c>
      <c r="AL850" s="0" t="n">
        <v>1.11</v>
      </c>
    </row>
    <row r="851">
      <c r="A851" s="0" t="inlineStr">
        <is>
          <t>[불로동]</t>
        </is>
      </c>
      <c r="B851" s="0" t="n">
        <v>2333</v>
      </c>
      <c r="C851" s="0" t="n">
        <v>5</v>
      </c>
      <c r="D851" s="0" t="inlineStr">
        <is>
          <t>월드</t>
        </is>
      </c>
      <c r="E851" s="0" t="inlineStr">
        <is>
          <t>1998.05.</t>
        </is>
      </c>
      <c r="F851" s="0" t="n">
        <v>1699</v>
      </c>
      <c r="G851" s="0" t="n">
        <v>33.01</v>
      </c>
      <c r="H851" s="0" t="n">
        <v>109.14</v>
      </c>
      <c r="I851" s="0" t="n">
        <v>25.69</v>
      </c>
      <c r="J851" s="0" t="n">
        <v>84.93000000000001</v>
      </c>
      <c r="K851" s="0" t="n">
        <v>736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109</v>
      </c>
      <c r="X851" s="0" t="n">
        <v>20</v>
      </c>
      <c r="Y851" s="0" t="n">
        <v>9</v>
      </c>
      <c r="Z851" s="0" t="inlineStr">
        <is>
          <t>https://new.land.naver.com/complexes/2333?tab=detail&amp;rf=Y</t>
        </is>
      </c>
      <c r="AA851" s="0" t="inlineStr">
        <is>
          <t>인천시 서구 불로동 308</t>
        </is>
      </c>
      <c r="AB851" s="0" t="inlineStr">
        <is>
          <t>인천시</t>
        </is>
      </c>
      <c r="AC851" s="0" t="inlineStr">
        <is>
          <t>서구</t>
        </is>
      </c>
      <c r="AD851" s="0" t="inlineStr">
        <is>
          <t>불로동</t>
        </is>
      </c>
      <c r="AG851" s="0" t="inlineStr">
        <is>
          <t>인천시 서구 검단로 836</t>
        </is>
      </c>
      <c r="AH851" s="0" t="n">
        <v>0</v>
      </c>
      <c r="AI851" s="0" t="n">
        <v>244</v>
      </c>
      <c r="AJ851" s="0" t="n">
        <v>17</v>
      </c>
      <c r="AK851" s="0" t="n">
        <v>1892</v>
      </c>
      <c r="AL851" s="0" t="n">
        <v>1.11</v>
      </c>
    </row>
    <row r="852">
      <c r="A852" s="0" t="inlineStr">
        <is>
          <t>[불로동]</t>
        </is>
      </c>
      <c r="B852" s="0" t="n">
        <v>2333</v>
      </c>
      <c r="C852" s="0" t="n">
        <v>6</v>
      </c>
      <c r="D852" s="0" t="inlineStr">
        <is>
          <t>월드</t>
        </is>
      </c>
      <c r="E852" s="0" t="inlineStr">
        <is>
          <t>1998.05.</t>
        </is>
      </c>
      <c r="F852" s="0" t="n">
        <v>1699</v>
      </c>
      <c r="G852" s="0" t="n">
        <v>43.86</v>
      </c>
      <c r="H852" s="0" t="n">
        <v>145.02</v>
      </c>
      <c r="I852" s="0" t="n">
        <v>35.49</v>
      </c>
      <c r="J852" s="0" t="n">
        <v>117.35</v>
      </c>
      <c r="K852" s="0" t="n">
        <v>156</v>
      </c>
      <c r="T852" s="0" t="n">
        <v>4</v>
      </c>
      <c r="U852" s="0" t="n">
        <v>2</v>
      </c>
      <c r="V852" s="0" t="inlineStr">
        <is>
          <t>계단식</t>
        </is>
      </c>
      <c r="W852" s="0" t="n">
        <v>145</v>
      </c>
      <c r="X852" s="0" t="n">
        <v>20</v>
      </c>
      <c r="Y852" s="0" t="n">
        <v>9</v>
      </c>
      <c r="Z852" s="0" t="inlineStr">
        <is>
          <t>https://new.land.naver.com/complexes/2333?tab=detail&amp;rf=Y</t>
        </is>
      </c>
      <c r="AA852" s="0" t="inlineStr">
        <is>
          <t>인천시 서구 불로동 308</t>
        </is>
      </c>
      <c r="AB852" s="0" t="inlineStr">
        <is>
          <t>인천시</t>
        </is>
      </c>
      <c r="AC852" s="0" t="inlineStr">
        <is>
          <t>서구</t>
        </is>
      </c>
      <c r="AD852" s="0" t="inlineStr">
        <is>
          <t>불로동</t>
        </is>
      </c>
      <c r="AG852" s="0" t="inlineStr">
        <is>
          <t>인천시 서구 검단로 836</t>
        </is>
      </c>
      <c r="AH852" s="0" t="n">
        <v>0</v>
      </c>
      <c r="AI852" s="0" t="n">
        <v>244</v>
      </c>
      <c r="AJ852" s="0" t="n">
        <v>17</v>
      </c>
      <c r="AK852" s="0" t="n">
        <v>1892</v>
      </c>
      <c r="AL852" s="0" t="n">
        <v>1.11</v>
      </c>
    </row>
    <row r="853">
      <c r="A853" s="0" t="inlineStr">
        <is>
          <t>[불로동]</t>
        </is>
      </c>
      <c r="B853" s="0" t="n">
        <v>125319</v>
      </c>
      <c r="C853" s="0" t="n">
        <v>1</v>
      </c>
      <c r="D853" s="0" t="inlineStr">
        <is>
          <t>검단대광로제비앙센트럴포레</t>
        </is>
      </c>
      <c r="E853" s="0" t="inlineStr">
        <is>
          <t>2022.02.</t>
        </is>
      </c>
      <c r="F853" s="0" t="n">
        <v>556</v>
      </c>
      <c r="G853" s="0" t="n">
        <v>25.79</v>
      </c>
      <c r="H853" s="0" t="n">
        <v>85.27</v>
      </c>
      <c r="I853" s="0" t="n">
        <v>18.7</v>
      </c>
      <c r="J853" s="0" t="n">
        <v>61.84</v>
      </c>
      <c r="K853" s="0" t="n">
        <v>175</v>
      </c>
      <c r="T853" s="0" t="n">
        <v>3</v>
      </c>
      <c r="U853" s="0" t="n">
        <v>2</v>
      </c>
      <c r="V853" s="0" t="inlineStr">
        <is>
          <t>계단식</t>
        </is>
      </c>
      <c r="W853" s="0" t="inlineStr">
        <is>
          <t>85A</t>
        </is>
      </c>
      <c r="X853" s="0" t="n">
        <v>27</v>
      </c>
      <c r="Y853" s="0" t="n">
        <v>17</v>
      </c>
      <c r="Z853" s="0" t="inlineStr">
        <is>
          <t>https://new.land.naver.com/complexes/125319?tab=detail&amp;rf=Y</t>
        </is>
      </c>
      <c r="AA853" s="0" t="inlineStr">
        <is>
          <t>인천시 서구 불로동 803-1외 3필지</t>
        </is>
      </c>
      <c r="AB853" s="0" t="inlineStr">
        <is>
          <t>인천시</t>
        </is>
      </c>
      <c r="AC853" s="0" t="inlineStr">
        <is>
          <t>서구</t>
        </is>
      </c>
      <c r="AD853" s="0" t="inlineStr">
        <is>
          <t>불로동</t>
        </is>
      </c>
      <c r="AG853" s="0" t="inlineStr">
        <is>
          <t>인천시 서구 검단로768번길 46</t>
        </is>
      </c>
      <c r="AH853" s="0" t="n">
        <v>0</v>
      </c>
      <c r="AI853" s="0" t="n">
        <v>0</v>
      </c>
      <c r="AJ853" s="0" t="n">
        <v>0</v>
      </c>
      <c r="AK853" s="0" t="n">
        <v>665</v>
      </c>
      <c r="AL853" s="0" t="n">
        <v>1.2</v>
      </c>
    </row>
    <row r="854">
      <c r="A854" s="0" t="inlineStr">
        <is>
          <t>[불로동]</t>
        </is>
      </c>
      <c r="B854" s="0" t="n">
        <v>125319</v>
      </c>
      <c r="C854" s="0" t="n">
        <v>2</v>
      </c>
      <c r="D854" s="0" t="inlineStr">
        <is>
          <t>검단대광로제비앙센트럴포레</t>
        </is>
      </c>
      <c r="E854" s="0" t="inlineStr">
        <is>
          <t>2022.02.</t>
        </is>
      </c>
      <c r="F854" s="0" t="n">
        <v>556</v>
      </c>
      <c r="G854" s="0" t="n">
        <v>26.19</v>
      </c>
      <c r="H854" s="0" t="n">
        <v>86.61</v>
      </c>
      <c r="I854" s="0" t="n">
        <v>18.72</v>
      </c>
      <c r="J854" s="0" t="n">
        <v>61.91</v>
      </c>
      <c r="K854" s="0" t="n">
        <v>78</v>
      </c>
      <c r="T854" s="0" t="n">
        <v>3</v>
      </c>
      <c r="U854" s="0" t="n">
        <v>2</v>
      </c>
      <c r="V854" s="0" t="inlineStr">
        <is>
          <t>계단식</t>
        </is>
      </c>
      <c r="W854" s="0" t="inlineStr">
        <is>
          <t>86B</t>
        </is>
      </c>
      <c r="X854" s="0" t="n">
        <v>27</v>
      </c>
      <c r="Y854" s="0" t="n">
        <v>17</v>
      </c>
      <c r="Z854" s="0" t="inlineStr">
        <is>
          <t>https://new.land.naver.com/complexes/125319?tab=detail&amp;rf=Y</t>
        </is>
      </c>
      <c r="AA854" s="0" t="inlineStr">
        <is>
          <t>인천시 서구 불로동 803-1외 3필지</t>
        </is>
      </c>
      <c r="AB854" s="0" t="inlineStr">
        <is>
          <t>인천시</t>
        </is>
      </c>
      <c r="AC854" s="0" t="inlineStr">
        <is>
          <t>서구</t>
        </is>
      </c>
      <c r="AD854" s="0" t="inlineStr">
        <is>
          <t>불로동</t>
        </is>
      </c>
      <c r="AG854" s="0" t="inlineStr">
        <is>
          <t>인천시 서구 검단로768번길 46</t>
        </is>
      </c>
      <c r="AH854" s="0" t="n">
        <v>0</v>
      </c>
      <c r="AI854" s="0" t="n">
        <v>0</v>
      </c>
      <c r="AJ854" s="0" t="n">
        <v>0</v>
      </c>
      <c r="AK854" s="0" t="n">
        <v>665</v>
      </c>
      <c r="AL854" s="0" t="n">
        <v>1.2</v>
      </c>
    </row>
    <row r="855">
      <c r="A855" s="0" t="inlineStr">
        <is>
          <t>[불로동]</t>
        </is>
      </c>
      <c r="B855" s="0" t="n">
        <v>125319</v>
      </c>
      <c r="C855" s="0" t="n">
        <v>3</v>
      </c>
      <c r="D855" s="0" t="inlineStr">
        <is>
          <t>검단대광로제비앙센트럴포레</t>
        </is>
      </c>
      <c r="E855" s="0" t="inlineStr">
        <is>
          <t>2022.02.</t>
        </is>
      </c>
      <c r="F855" s="0" t="n">
        <v>556</v>
      </c>
      <c r="G855" s="0" t="n">
        <v>30.55</v>
      </c>
      <c r="H855" s="0" t="n">
        <v>101.01</v>
      </c>
      <c r="I855" s="0" t="n">
        <v>22.65</v>
      </c>
      <c r="J855" s="0" t="n">
        <v>74.90000000000001</v>
      </c>
      <c r="K855" s="0" t="n">
        <v>140</v>
      </c>
      <c r="T855" s="0" t="n">
        <v>4</v>
      </c>
      <c r="U855" s="0" t="n">
        <v>2</v>
      </c>
      <c r="V855" s="0" t="inlineStr">
        <is>
          <t>계단식</t>
        </is>
      </c>
      <c r="W855" s="0" t="inlineStr">
        <is>
          <t>101A</t>
        </is>
      </c>
      <c r="X855" s="0" t="n">
        <v>27</v>
      </c>
      <c r="Y855" s="0" t="n">
        <v>17</v>
      </c>
      <c r="Z855" s="0" t="inlineStr">
        <is>
          <t>https://new.land.naver.com/complexes/125319?tab=detail&amp;rf=Y</t>
        </is>
      </c>
      <c r="AA855" s="0" t="inlineStr">
        <is>
          <t>인천시 서구 불로동 803-1외 3필지</t>
        </is>
      </c>
      <c r="AB855" s="0" t="inlineStr">
        <is>
          <t>인천시</t>
        </is>
      </c>
      <c r="AC855" s="0" t="inlineStr">
        <is>
          <t>서구</t>
        </is>
      </c>
      <c r="AD855" s="0" t="inlineStr">
        <is>
          <t>불로동</t>
        </is>
      </c>
      <c r="AG855" s="0" t="inlineStr">
        <is>
          <t>인천시 서구 검단로768번길 46</t>
        </is>
      </c>
      <c r="AH855" s="0" t="n">
        <v>0</v>
      </c>
      <c r="AI855" s="0" t="n">
        <v>0</v>
      </c>
      <c r="AJ855" s="0" t="n">
        <v>0</v>
      </c>
      <c r="AK855" s="0" t="n">
        <v>665</v>
      </c>
      <c r="AL855" s="0" t="n">
        <v>1.2</v>
      </c>
    </row>
    <row r="856">
      <c r="A856" s="0" t="inlineStr">
        <is>
          <t>[불로동]</t>
        </is>
      </c>
      <c r="B856" s="0" t="n">
        <v>125319</v>
      </c>
      <c r="C856" s="0" t="n">
        <v>4</v>
      </c>
      <c r="D856" s="0" t="inlineStr">
        <is>
          <t>검단대광로제비앙센트럴포레</t>
        </is>
      </c>
      <c r="E856" s="0" t="inlineStr">
        <is>
          <t>2022.02.</t>
        </is>
      </c>
      <c r="F856" s="0" t="n">
        <v>556</v>
      </c>
      <c r="G856" s="0" t="n">
        <v>30.96</v>
      </c>
      <c r="H856" s="0" t="n">
        <v>102.38</v>
      </c>
      <c r="I856" s="0" t="n">
        <v>22.66</v>
      </c>
      <c r="J856" s="0" t="n">
        <v>74.93000000000001</v>
      </c>
      <c r="K856" s="0" t="n">
        <v>44</v>
      </c>
      <c r="T856" s="0" t="n">
        <v>4</v>
      </c>
      <c r="U856" s="0" t="n">
        <v>2</v>
      </c>
      <c r="V856" s="0" t="inlineStr">
        <is>
          <t>계단식</t>
        </is>
      </c>
      <c r="W856" s="0" t="inlineStr">
        <is>
          <t>102B</t>
        </is>
      </c>
      <c r="X856" s="0" t="n">
        <v>27</v>
      </c>
      <c r="Y856" s="0" t="n">
        <v>17</v>
      </c>
      <c r="Z856" s="0" t="inlineStr">
        <is>
          <t>https://new.land.naver.com/complexes/125319?tab=detail&amp;rf=Y</t>
        </is>
      </c>
      <c r="AA856" s="0" t="inlineStr">
        <is>
          <t>인천시 서구 불로동 803-1외 3필지</t>
        </is>
      </c>
      <c r="AB856" s="0" t="inlineStr">
        <is>
          <t>인천시</t>
        </is>
      </c>
      <c r="AC856" s="0" t="inlineStr">
        <is>
          <t>서구</t>
        </is>
      </c>
      <c r="AD856" s="0" t="inlineStr">
        <is>
          <t>불로동</t>
        </is>
      </c>
      <c r="AG856" s="0" t="inlineStr">
        <is>
          <t>인천시 서구 검단로768번길 46</t>
        </is>
      </c>
      <c r="AH856" s="0" t="n">
        <v>0</v>
      </c>
      <c r="AI856" s="0" t="n">
        <v>0</v>
      </c>
      <c r="AJ856" s="0" t="n">
        <v>0</v>
      </c>
      <c r="AK856" s="0" t="n">
        <v>665</v>
      </c>
      <c r="AL856" s="0" t="n">
        <v>1.2</v>
      </c>
    </row>
    <row r="857">
      <c r="A857" s="0" t="inlineStr">
        <is>
          <t>[불로동]</t>
        </is>
      </c>
      <c r="B857" s="0" t="n">
        <v>125319</v>
      </c>
      <c r="C857" s="0" t="n">
        <v>5</v>
      </c>
      <c r="D857" s="0" t="inlineStr">
        <is>
          <t>검단대광로제비앙센트럴포레</t>
        </is>
      </c>
      <c r="E857" s="0" t="inlineStr">
        <is>
          <t>2022.02.</t>
        </is>
      </c>
      <c r="F857" s="0" t="n">
        <v>556</v>
      </c>
      <c r="G857" s="0" t="n">
        <v>33.67</v>
      </c>
      <c r="H857" s="0" t="n">
        <v>111.31</v>
      </c>
      <c r="I857" s="0" t="n">
        <v>25.62</v>
      </c>
      <c r="J857" s="0" t="n">
        <v>84.72</v>
      </c>
      <c r="K857" s="0" t="n">
        <v>98</v>
      </c>
      <c r="T857" s="0" t="n">
        <v>4</v>
      </c>
      <c r="U857" s="0" t="n">
        <v>2</v>
      </c>
      <c r="V857" s="0" t="inlineStr">
        <is>
          <t>계단식</t>
        </is>
      </c>
      <c r="W857" s="0" t="inlineStr">
        <is>
          <t>111A</t>
        </is>
      </c>
      <c r="X857" s="0" t="n">
        <v>27</v>
      </c>
      <c r="Y857" s="0" t="n">
        <v>17</v>
      </c>
      <c r="Z857" s="0" t="inlineStr">
        <is>
          <t>https://new.land.naver.com/complexes/125319?tab=detail&amp;rf=Y</t>
        </is>
      </c>
      <c r="AA857" s="0" t="inlineStr">
        <is>
          <t>인천시 서구 불로동 803-1외 3필지</t>
        </is>
      </c>
      <c r="AB857" s="0" t="inlineStr">
        <is>
          <t>인천시</t>
        </is>
      </c>
      <c r="AC857" s="0" t="inlineStr">
        <is>
          <t>서구</t>
        </is>
      </c>
      <c r="AD857" s="0" t="inlineStr">
        <is>
          <t>불로동</t>
        </is>
      </c>
      <c r="AG857" s="0" t="inlineStr">
        <is>
          <t>인천시 서구 검단로768번길 46</t>
        </is>
      </c>
      <c r="AH857" s="0" t="n">
        <v>0</v>
      </c>
      <c r="AI857" s="0" t="n">
        <v>0</v>
      </c>
      <c r="AJ857" s="0" t="n">
        <v>0</v>
      </c>
      <c r="AK857" s="0" t="n">
        <v>665</v>
      </c>
      <c r="AL857" s="0" t="n">
        <v>1.2</v>
      </c>
    </row>
    <row r="858">
      <c r="A858" s="0" t="inlineStr">
        <is>
          <t>[불로동]</t>
        </is>
      </c>
      <c r="B858" s="0" t="n">
        <v>125319</v>
      </c>
      <c r="C858" s="0" t="n">
        <v>6</v>
      </c>
      <c r="D858" s="0" t="inlineStr">
        <is>
          <t>검단대광로제비앙센트럴포레</t>
        </is>
      </c>
      <c r="E858" s="0" t="inlineStr">
        <is>
          <t>2022.02.</t>
        </is>
      </c>
      <c r="F858" s="0" t="n">
        <v>556</v>
      </c>
      <c r="G858" s="0" t="n">
        <v>34.05</v>
      </c>
      <c r="H858" s="0" t="n">
        <v>112.57</v>
      </c>
      <c r="I858" s="0" t="n">
        <v>25.57</v>
      </c>
      <c r="J858" s="0" t="n">
        <v>84.55</v>
      </c>
      <c r="K858" s="0" t="n">
        <v>21</v>
      </c>
      <c r="T858" s="0" t="n">
        <v>4</v>
      </c>
      <c r="U858" s="0" t="n">
        <v>2</v>
      </c>
      <c r="V858" s="0" t="inlineStr">
        <is>
          <t>계단식</t>
        </is>
      </c>
      <c r="W858" s="0" t="inlineStr">
        <is>
          <t>112B</t>
        </is>
      </c>
      <c r="X858" s="0" t="n">
        <v>27</v>
      </c>
      <c r="Y858" s="0" t="n">
        <v>17</v>
      </c>
      <c r="Z858" s="0" t="inlineStr">
        <is>
          <t>https://new.land.naver.com/complexes/125319?tab=detail&amp;rf=Y</t>
        </is>
      </c>
      <c r="AA858" s="0" t="inlineStr">
        <is>
          <t>인천시 서구 불로동 803-1외 3필지</t>
        </is>
      </c>
      <c r="AB858" s="0" t="inlineStr">
        <is>
          <t>인천시</t>
        </is>
      </c>
      <c r="AC858" s="0" t="inlineStr">
        <is>
          <t>서구</t>
        </is>
      </c>
      <c r="AD858" s="0" t="inlineStr">
        <is>
          <t>불로동</t>
        </is>
      </c>
      <c r="AG858" s="0" t="inlineStr">
        <is>
          <t>인천시 서구 검단로768번길 46</t>
        </is>
      </c>
      <c r="AH858" s="0" t="n">
        <v>0</v>
      </c>
      <c r="AI858" s="0" t="n">
        <v>0</v>
      </c>
      <c r="AJ858" s="0" t="n">
        <v>0</v>
      </c>
      <c r="AK858" s="0" t="n">
        <v>665</v>
      </c>
      <c r="AL858" s="0" t="n">
        <v>1.2</v>
      </c>
    </row>
    <row r="859">
      <c r="A859" s="0" t="inlineStr">
        <is>
          <t>[불로동]</t>
        </is>
      </c>
      <c r="B859" s="0" t="n">
        <v>26119</v>
      </c>
      <c r="C859" s="0" t="n">
        <v>1</v>
      </c>
      <c r="D859" s="0" t="inlineStr">
        <is>
          <t>삼보해피하임1차</t>
        </is>
      </c>
      <c r="E859" s="0" t="inlineStr">
        <is>
          <t>2007.11.</t>
        </is>
      </c>
      <c r="F859" s="0" t="n">
        <v>384</v>
      </c>
      <c r="G859" s="0" t="n">
        <v>35.11</v>
      </c>
      <c r="H859" s="0" t="n">
        <v>116.08</v>
      </c>
      <c r="I859" s="0" t="n">
        <v>25.7</v>
      </c>
      <c r="J859" s="0" t="n">
        <v>84.98999999999999</v>
      </c>
      <c r="K859" s="0" t="n">
        <v>310</v>
      </c>
      <c r="T859" s="0" t="n">
        <v>3</v>
      </c>
      <c r="U859" s="0" t="n">
        <v>2</v>
      </c>
      <c r="V859" s="0" t="inlineStr">
        <is>
          <t>계단식</t>
        </is>
      </c>
      <c r="W859" s="0" t="n">
        <v>116</v>
      </c>
      <c r="X859" s="0" t="n">
        <v>19</v>
      </c>
      <c r="Y859" s="0" t="n">
        <v>14</v>
      </c>
      <c r="Z859" s="0" t="inlineStr">
        <is>
          <t>https://new.land.naver.com/complexes/26119?tab=detail&amp;rf=Y</t>
        </is>
      </c>
      <c r="AA859" s="0" t="inlineStr">
        <is>
          <t>인천시 서구 불로동 792-1</t>
        </is>
      </c>
      <c r="AB859" s="0" t="inlineStr">
        <is>
          <t>인천시</t>
        </is>
      </c>
      <c r="AC859" s="0" t="inlineStr">
        <is>
          <t>서구</t>
        </is>
      </c>
      <c r="AD859" s="0" t="inlineStr">
        <is>
          <t>불로동</t>
        </is>
      </c>
      <c r="AG859" s="0" t="inlineStr">
        <is>
          <t>인천시 서구 검단로744번3길 7</t>
        </is>
      </c>
      <c r="AH859" s="0" t="n">
        <v>0</v>
      </c>
      <c r="AI859" s="0" t="n">
        <v>239</v>
      </c>
      <c r="AJ859" s="0" t="n">
        <v>17</v>
      </c>
      <c r="AK859" s="0" t="n">
        <v>433</v>
      </c>
      <c r="AL859" s="0" t="n">
        <v>1.13</v>
      </c>
    </row>
    <row r="860">
      <c r="A860" s="0" t="inlineStr">
        <is>
          <t>[불로동]</t>
        </is>
      </c>
      <c r="B860" s="0" t="n">
        <v>26119</v>
      </c>
      <c r="C860" s="0" t="n">
        <v>2</v>
      </c>
      <c r="D860" s="0" t="inlineStr">
        <is>
          <t>삼보해피하임1차</t>
        </is>
      </c>
      <c r="E860" s="0" t="inlineStr">
        <is>
          <t>2007.11.</t>
        </is>
      </c>
      <c r="F860" s="0" t="n">
        <v>384</v>
      </c>
      <c r="G860" s="0" t="n">
        <v>44.41</v>
      </c>
      <c r="H860" s="0" t="n">
        <v>146.83</v>
      </c>
      <c r="I860" s="0" t="n">
        <v>34.51</v>
      </c>
      <c r="J860" s="0" t="n">
        <v>114.11</v>
      </c>
      <c r="K860" s="0" t="n">
        <v>74</v>
      </c>
      <c r="T860" s="0" t="n">
        <v>4</v>
      </c>
      <c r="U860" s="0" t="n">
        <v>2</v>
      </c>
      <c r="V860" s="0" t="inlineStr">
        <is>
          <t>계단식</t>
        </is>
      </c>
      <c r="W860" s="0" t="n">
        <v>146</v>
      </c>
      <c r="X860" s="0" t="n">
        <v>19</v>
      </c>
      <c r="Y860" s="0" t="n">
        <v>14</v>
      </c>
      <c r="Z860" s="0" t="inlineStr">
        <is>
          <t>https://new.land.naver.com/complexes/26119?tab=detail&amp;rf=Y</t>
        </is>
      </c>
      <c r="AA860" s="0" t="inlineStr">
        <is>
          <t>인천시 서구 불로동 792-1</t>
        </is>
      </c>
      <c r="AB860" s="0" t="inlineStr">
        <is>
          <t>인천시</t>
        </is>
      </c>
      <c r="AC860" s="0" t="inlineStr">
        <is>
          <t>서구</t>
        </is>
      </c>
      <c r="AD860" s="0" t="inlineStr">
        <is>
          <t>불로동</t>
        </is>
      </c>
      <c r="AG860" s="0" t="inlineStr">
        <is>
          <t>인천시 서구 검단로744번3길 7</t>
        </is>
      </c>
      <c r="AH860" s="0" t="n">
        <v>0</v>
      </c>
      <c r="AI860" s="0" t="n">
        <v>239</v>
      </c>
      <c r="AJ860" s="0" t="n">
        <v>17</v>
      </c>
      <c r="AK860" s="0" t="n">
        <v>433</v>
      </c>
      <c r="AL860" s="0" t="n">
        <v>1.13</v>
      </c>
    </row>
    <row r="861">
      <c r="A861" s="0" t="inlineStr">
        <is>
          <t>[불로동]</t>
        </is>
      </c>
      <c r="B861" s="0" t="n">
        <v>25330</v>
      </c>
      <c r="C861" s="0" t="n">
        <v>1</v>
      </c>
      <c r="D861" s="0" t="inlineStr">
        <is>
          <t>신명스카이뷰</t>
        </is>
      </c>
      <c r="E861" s="0" t="inlineStr">
        <is>
          <t>2007.04.</t>
        </is>
      </c>
      <c r="F861" s="0" t="n">
        <v>120</v>
      </c>
      <c r="G861" s="0" t="n">
        <v>24</v>
      </c>
      <c r="H861" s="0" t="n">
        <v>79.34999999999999</v>
      </c>
      <c r="I861" s="0" t="n">
        <v>18.1</v>
      </c>
      <c r="J861" s="0" t="n">
        <v>59.86</v>
      </c>
      <c r="K861" s="0" t="n">
        <v>45</v>
      </c>
      <c r="T861" s="0" t="n">
        <v>2</v>
      </c>
      <c r="U861" s="0" t="n">
        <v>2</v>
      </c>
      <c r="V861" s="0" t="inlineStr">
        <is>
          <t>계단식</t>
        </is>
      </c>
      <c r="W861" s="0" t="inlineStr">
        <is>
          <t>79A</t>
        </is>
      </c>
      <c r="X861" s="0" t="n">
        <v>15</v>
      </c>
      <c r="Y861" s="0" t="n">
        <v>15</v>
      </c>
      <c r="Z861" s="0" t="inlineStr">
        <is>
          <t>https://new.land.naver.com/complexes/25330?tab=detail&amp;rf=Y</t>
        </is>
      </c>
      <c r="AA861" s="0" t="inlineStr">
        <is>
          <t>인천시 서구 불로동 185-40</t>
        </is>
      </c>
      <c r="AB861" s="0" t="inlineStr">
        <is>
          <t>인천시</t>
        </is>
      </c>
      <c r="AC861" s="0" t="inlineStr">
        <is>
          <t>서구</t>
        </is>
      </c>
      <c r="AD861" s="0" t="inlineStr">
        <is>
          <t>불로동</t>
        </is>
      </c>
      <c r="AG861" s="0" t="inlineStr">
        <is>
          <t>인천시 서구 검단로 867</t>
        </is>
      </c>
      <c r="AH861" s="0" t="n">
        <v>0</v>
      </c>
      <c r="AI861" s="0" t="n">
        <v>141</v>
      </c>
      <c r="AJ861" s="0" t="n">
        <v>12</v>
      </c>
      <c r="AK861" s="0" t="n">
        <v>120</v>
      </c>
      <c r="AL861" s="0" t="n">
        <v>1</v>
      </c>
    </row>
    <row r="862">
      <c r="A862" s="0" t="inlineStr">
        <is>
          <t>[불로동]</t>
        </is>
      </c>
      <c r="B862" s="0" t="n">
        <v>25330</v>
      </c>
      <c r="C862" s="0" t="n">
        <v>2</v>
      </c>
      <c r="D862" s="0" t="inlineStr">
        <is>
          <t>신명스카이뷰</t>
        </is>
      </c>
      <c r="E862" s="0" t="inlineStr">
        <is>
          <t>2007.04.</t>
        </is>
      </c>
      <c r="F862" s="0" t="n">
        <v>120</v>
      </c>
      <c r="G862" s="0" t="n">
        <v>24.07</v>
      </c>
      <c r="H862" s="0" t="n">
        <v>79.59999999999999</v>
      </c>
      <c r="I862" s="0" t="n">
        <v>18.08</v>
      </c>
      <c r="J862" s="0" t="n">
        <v>59.79</v>
      </c>
      <c r="K862" s="0" t="n">
        <v>15</v>
      </c>
      <c r="T862" s="0" t="n">
        <v>2</v>
      </c>
      <c r="U862" s="0" t="n">
        <v>2</v>
      </c>
      <c r="V862" s="0" t="inlineStr">
        <is>
          <t>계단식</t>
        </is>
      </c>
      <c r="W862" s="0" t="inlineStr">
        <is>
          <t>79B</t>
        </is>
      </c>
      <c r="X862" s="0" t="n">
        <v>15</v>
      </c>
      <c r="Y862" s="0" t="n">
        <v>15</v>
      </c>
      <c r="Z862" s="0" t="inlineStr">
        <is>
          <t>https://new.land.naver.com/complexes/25330?tab=detail&amp;rf=Y</t>
        </is>
      </c>
      <c r="AA862" s="0" t="inlineStr">
        <is>
          <t>인천시 서구 불로동 185-40</t>
        </is>
      </c>
      <c r="AB862" s="0" t="inlineStr">
        <is>
          <t>인천시</t>
        </is>
      </c>
      <c r="AC862" s="0" t="inlineStr">
        <is>
          <t>서구</t>
        </is>
      </c>
      <c r="AD862" s="0" t="inlineStr">
        <is>
          <t>불로동</t>
        </is>
      </c>
      <c r="AG862" s="0" t="inlineStr">
        <is>
          <t>인천시 서구 검단로 867</t>
        </is>
      </c>
      <c r="AH862" s="0" t="n">
        <v>0</v>
      </c>
      <c r="AI862" s="0" t="n">
        <v>141</v>
      </c>
      <c r="AJ862" s="0" t="n">
        <v>12</v>
      </c>
      <c r="AK862" s="0" t="n">
        <v>120</v>
      </c>
      <c r="AL862" s="0" t="n">
        <v>1</v>
      </c>
    </row>
    <row r="863">
      <c r="A863" s="0" t="inlineStr">
        <is>
          <t>[불로동]</t>
        </is>
      </c>
      <c r="B863" s="0" t="n">
        <v>25330</v>
      </c>
      <c r="C863" s="0" t="n">
        <v>3</v>
      </c>
      <c r="D863" s="0" t="inlineStr">
        <is>
          <t>신명스카이뷰</t>
        </is>
      </c>
      <c r="E863" s="0" t="inlineStr">
        <is>
          <t>2007.04.</t>
        </is>
      </c>
      <c r="F863" s="0" t="n">
        <v>120</v>
      </c>
      <c r="G863" s="0" t="n">
        <v>32.21</v>
      </c>
      <c r="H863" s="0" t="n">
        <v>106.51</v>
      </c>
      <c r="I863" s="0" t="n">
        <v>25.62</v>
      </c>
      <c r="J863" s="0" t="n">
        <v>84.72</v>
      </c>
      <c r="K863" s="0" t="n">
        <v>60</v>
      </c>
      <c r="T863" s="0" t="n">
        <v>3</v>
      </c>
      <c r="U863" s="0" t="n">
        <v>2</v>
      </c>
      <c r="V863" s="0" t="inlineStr">
        <is>
          <t>계단식</t>
        </is>
      </c>
      <c r="W863" s="0" t="n">
        <v>106</v>
      </c>
      <c r="X863" s="0" t="n">
        <v>15</v>
      </c>
      <c r="Y863" s="0" t="n">
        <v>15</v>
      </c>
      <c r="Z863" s="0" t="inlineStr">
        <is>
          <t>https://new.land.naver.com/complexes/25330?tab=detail&amp;rf=Y</t>
        </is>
      </c>
      <c r="AA863" s="0" t="inlineStr">
        <is>
          <t>인천시 서구 불로동 185-40</t>
        </is>
      </c>
      <c r="AB863" s="0" t="inlineStr">
        <is>
          <t>인천시</t>
        </is>
      </c>
      <c r="AC863" s="0" t="inlineStr">
        <is>
          <t>서구</t>
        </is>
      </c>
      <c r="AD863" s="0" t="inlineStr">
        <is>
          <t>불로동</t>
        </is>
      </c>
      <c r="AG863" s="0" t="inlineStr">
        <is>
          <t>인천시 서구 검단로 867</t>
        </is>
      </c>
      <c r="AH863" s="0" t="n">
        <v>0</v>
      </c>
      <c r="AI863" s="0" t="n">
        <v>141</v>
      </c>
      <c r="AJ863" s="0" t="n">
        <v>12</v>
      </c>
      <c r="AK863" s="0" t="n">
        <v>120</v>
      </c>
      <c r="AL863" s="0" t="n">
        <v>1</v>
      </c>
    </row>
    <row r="864">
      <c r="A864" s="0" t="inlineStr">
        <is>
          <t>[불로동]</t>
        </is>
      </c>
      <c r="B864" s="0" t="n">
        <v>23643</v>
      </c>
      <c r="C864" s="0" t="n">
        <v>1</v>
      </c>
      <c r="D864" s="0" t="inlineStr">
        <is>
          <t>금호어울림</t>
        </is>
      </c>
      <c r="E864" s="0" t="inlineStr">
        <is>
          <t>2007.02.</t>
        </is>
      </c>
      <c r="F864" s="0" t="n">
        <v>412</v>
      </c>
      <c r="G864" s="0" t="n">
        <v>32.34</v>
      </c>
      <c r="H864" s="0" t="n">
        <v>106.94</v>
      </c>
      <c r="I864" s="0" t="n">
        <v>25.7</v>
      </c>
      <c r="J864" s="0" t="n">
        <v>84.98999999999999</v>
      </c>
      <c r="K864" s="0" t="n">
        <v>412</v>
      </c>
      <c r="T864" s="0" t="n">
        <v>3</v>
      </c>
      <c r="U864" s="0" t="n">
        <v>2</v>
      </c>
      <c r="V864" s="0" t="inlineStr">
        <is>
          <t>계단식</t>
        </is>
      </c>
      <c r="W864" s="0" t="n">
        <v>106</v>
      </c>
      <c r="X864" s="0" t="n">
        <v>15</v>
      </c>
      <c r="Y864" s="0" t="n">
        <v>13</v>
      </c>
      <c r="Z864" s="0" t="inlineStr">
        <is>
          <t>https://new.land.naver.com/complexes/23643?tab=detail&amp;rf=Y</t>
        </is>
      </c>
      <c r="AA864" s="0" t="inlineStr">
        <is>
          <t>인천시 서구 불로동 798-1</t>
        </is>
      </c>
      <c r="AB864" s="0" t="inlineStr">
        <is>
          <t>인천시</t>
        </is>
      </c>
      <c r="AC864" s="0" t="inlineStr">
        <is>
          <t>서구</t>
        </is>
      </c>
      <c r="AD864" s="0" t="inlineStr">
        <is>
          <t>불로동</t>
        </is>
      </c>
      <c r="AG864" s="0" t="inlineStr">
        <is>
          <t>인천시 서구 검단로768번길 19</t>
        </is>
      </c>
      <c r="AH864" s="0" t="n">
        <v>0</v>
      </c>
      <c r="AI864" s="0" t="n">
        <v>219</v>
      </c>
      <c r="AJ864" s="0" t="n">
        <v>0</v>
      </c>
      <c r="AK864" s="0" t="n">
        <v>417</v>
      </c>
      <c r="AL864" s="0" t="n">
        <v>1.01</v>
      </c>
    </row>
    <row r="865">
      <c r="A865" s="0" t="inlineStr">
        <is>
          <t>[불로동]</t>
        </is>
      </c>
      <c r="B865" s="0" t="n">
        <v>8167</v>
      </c>
      <c r="C865" s="0" t="n">
        <v>1</v>
      </c>
      <c r="D865" s="0" t="inlineStr">
        <is>
          <t>퀸스타운동성</t>
        </is>
      </c>
      <c r="E865" s="0" t="inlineStr">
        <is>
          <t>1999.07.</t>
        </is>
      </c>
      <c r="F865" s="0" t="n">
        <v>635</v>
      </c>
      <c r="G865" s="0" t="n">
        <v>24.35</v>
      </c>
      <c r="H865" s="0" t="n">
        <v>80.52</v>
      </c>
      <c r="I865" s="0" t="n">
        <v>18.14</v>
      </c>
      <c r="J865" s="0" t="n">
        <v>59.97</v>
      </c>
      <c r="K865" s="0" t="n">
        <v>240</v>
      </c>
      <c r="T865" s="0" t="n">
        <v>2</v>
      </c>
      <c r="U865" s="0" t="n">
        <v>1</v>
      </c>
      <c r="V865" s="0" t="inlineStr">
        <is>
          <t>계단식</t>
        </is>
      </c>
      <c r="W865" s="0" t="n">
        <v>80</v>
      </c>
      <c r="X865" s="0" t="n">
        <v>20</v>
      </c>
      <c r="Y865" s="0" t="n">
        <v>20</v>
      </c>
      <c r="Z865" s="0" t="inlineStr">
        <is>
          <t>https://new.land.naver.com/complexes/8167?tab=detail&amp;rf=Y</t>
        </is>
      </c>
      <c r="AA865" s="0" t="inlineStr">
        <is>
          <t>인천시 서구 불로동 316-1</t>
        </is>
      </c>
      <c r="AB865" s="0" t="inlineStr">
        <is>
          <t>인천시</t>
        </is>
      </c>
      <c r="AC865" s="0" t="inlineStr">
        <is>
          <t>서구</t>
        </is>
      </c>
      <c r="AD865" s="0" t="inlineStr">
        <is>
          <t>불로동</t>
        </is>
      </c>
      <c r="AG865" s="0" t="inlineStr">
        <is>
          <t>인천시 서구 검단로 788</t>
        </is>
      </c>
      <c r="AH865" s="0" t="n">
        <v>0</v>
      </c>
      <c r="AI865" s="0" t="n">
        <v>247</v>
      </c>
      <c r="AJ865" s="0" t="n">
        <v>14</v>
      </c>
      <c r="AK865" s="0" t="n">
        <v>655</v>
      </c>
      <c r="AL865" s="0" t="n">
        <v>1.03</v>
      </c>
    </row>
    <row r="866">
      <c r="A866" s="0" t="inlineStr">
        <is>
          <t>[불로동]</t>
        </is>
      </c>
      <c r="B866" s="0" t="n">
        <v>8167</v>
      </c>
      <c r="C866" s="0" t="n">
        <v>2</v>
      </c>
      <c r="D866" s="0" t="inlineStr">
        <is>
          <t>퀸스타운동성</t>
        </is>
      </c>
      <c r="E866" s="0" t="inlineStr">
        <is>
          <t>1999.07.</t>
        </is>
      </c>
      <c r="F866" s="0" t="n">
        <v>635</v>
      </c>
      <c r="G866" s="0" t="n">
        <v>32.77</v>
      </c>
      <c r="H866" s="0" t="n">
        <v>108.34</v>
      </c>
      <c r="I866" s="0" t="n">
        <v>25.7</v>
      </c>
      <c r="J866" s="0" t="n">
        <v>84.98999999999999</v>
      </c>
      <c r="K866" s="0" t="n">
        <v>315</v>
      </c>
      <c r="T866" s="0" t="n">
        <v>3</v>
      </c>
      <c r="U866" s="0" t="n">
        <v>2</v>
      </c>
      <c r="V866" s="0" t="inlineStr">
        <is>
          <t>계단식</t>
        </is>
      </c>
      <c r="W866" s="0" t="n">
        <v>108</v>
      </c>
      <c r="X866" s="0" t="n">
        <v>20</v>
      </c>
      <c r="Y866" s="0" t="n">
        <v>20</v>
      </c>
      <c r="Z866" s="0" t="inlineStr">
        <is>
          <t>https://new.land.naver.com/complexes/8167?tab=detail&amp;rf=Y</t>
        </is>
      </c>
      <c r="AA866" s="0" t="inlineStr">
        <is>
          <t>인천시 서구 불로동 316-1</t>
        </is>
      </c>
      <c r="AB866" s="0" t="inlineStr">
        <is>
          <t>인천시</t>
        </is>
      </c>
      <c r="AC866" s="0" t="inlineStr">
        <is>
          <t>서구</t>
        </is>
      </c>
      <c r="AD866" s="0" t="inlineStr">
        <is>
          <t>불로동</t>
        </is>
      </c>
      <c r="AG866" s="0" t="inlineStr">
        <is>
          <t>인천시 서구 검단로 788</t>
        </is>
      </c>
      <c r="AH866" s="0" t="n">
        <v>0</v>
      </c>
      <c r="AI866" s="0" t="n">
        <v>247</v>
      </c>
      <c r="AJ866" s="0" t="n">
        <v>14</v>
      </c>
      <c r="AK866" s="0" t="n">
        <v>655</v>
      </c>
      <c r="AL866" s="0" t="n">
        <v>1.03</v>
      </c>
    </row>
    <row r="867">
      <c r="A867" s="0" t="inlineStr">
        <is>
          <t>[불로동]</t>
        </is>
      </c>
      <c r="B867" s="0" t="n">
        <v>8167</v>
      </c>
      <c r="C867" s="0" t="n">
        <v>3</v>
      </c>
      <c r="D867" s="0" t="inlineStr">
        <is>
          <t>퀸스타운동성</t>
        </is>
      </c>
      <c r="E867" s="0" t="inlineStr">
        <is>
          <t>1999.07.</t>
        </is>
      </c>
      <c r="F867" s="0" t="n">
        <v>635</v>
      </c>
      <c r="G867" s="0" t="n">
        <v>50.07</v>
      </c>
      <c r="H867" s="0" t="n">
        <v>165.53</v>
      </c>
      <c r="I867" s="0" t="n">
        <v>40.82</v>
      </c>
      <c r="J867" s="0" t="n">
        <v>134.97</v>
      </c>
      <c r="K867" s="0" t="n">
        <v>80</v>
      </c>
      <c r="T867" s="0" t="n">
        <v>4</v>
      </c>
      <c r="U867" s="0" t="n">
        <v>2</v>
      </c>
      <c r="V867" s="0" t="inlineStr">
        <is>
          <t>계단식</t>
        </is>
      </c>
      <c r="W867" s="0" t="n">
        <v>165</v>
      </c>
      <c r="X867" s="0" t="n">
        <v>20</v>
      </c>
      <c r="Y867" s="0" t="n">
        <v>20</v>
      </c>
      <c r="Z867" s="0" t="inlineStr">
        <is>
          <t>https://new.land.naver.com/complexes/8167?tab=detail&amp;rf=Y</t>
        </is>
      </c>
      <c r="AA867" s="0" t="inlineStr">
        <is>
          <t>인천시 서구 불로동 316-1</t>
        </is>
      </c>
      <c r="AB867" s="0" t="inlineStr">
        <is>
          <t>인천시</t>
        </is>
      </c>
      <c r="AC867" s="0" t="inlineStr">
        <is>
          <t>서구</t>
        </is>
      </c>
      <c r="AD867" s="0" t="inlineStr">
        <is>
          <t>불로동</t>
        </is>
      </c>
      <c r="AG867" s="0" t="inlineStr">
        <is>
          <t>인천시 서구 검단로 788</t>
        </is>
      </c>
      <c r="AH867" s="0" t="n">
        <v>0</v>
      </c>
      <c r="AI867" s="0" t="n">
        <v>247</v>
      </c>
      <c r="AJ867" s="0" t="n">
        <v>14</v>
      </c>
      <c r="AK867" s="0" t="n">
        <v>655</v>
      </c>
      <c r="AL867" s="0" t="n">
        <v>1.03</v>
      </c>
    </row>
    <row r="868">
      <c r="A868" s="0" t="inlineStr">
        <is>
          <t>[불로동]</t>
        </is>
      </c>
      <c r="B868" s="0" t="n">
        <v>8166</v>
      </c>
      <c r="C868" s="0" t="n">
        <v>1</v>
      </c>
      <c r="D868" s="0" t="inlineStr">
        <is>
          <t>동부</t>
        </is>
      </c>
      <c r="E868" s="0" t="inlineStr">
        <is>
          <t>1999.11.</t>
        </is>
      </c>
      <c r="F868" s="0" t="n">
        <v>534</v>
      </c>
      <c r="G868" s="0" t="n">
        <v>24.29</v>
      </c>
      <c r="H868" s="0" t="n">
        <v>80.3</v>
      </c>
      <c r="I868" s="0" t="n">
        <v>18.13</v>
      </c>
      <c r="J868" s="0" t="n">
        <v>59.94</v>
      </c>
      <c r="K868" s="0" t="n">
        <v>144</v>
      </c>
      <c r="T868" s="0" t="n">
        <v>2</v>
      </c>
      <c r="U868" s="0" t="n">
        <v>1</v>
      </c>
      <c r="V868" s="0" t="inlineStr">
        <is>
          <t>계단식</t>
        </is>
      </c>
      <c r="W868" s="0" t="n">
        <v>80</v>
      </c>
      <c r="X868" s="0" t="n">
        <v>18</v>
      </c>
      <c r="Y868" s="0" t="n">
        <v>17</v>
      </c>
      <c r="Z868" s="0" t="inlineStr">
        <is>
          <t>https://new.land.naver.com/complexes/8166?tab=detail&amp;rf=Y</t>
        </is>
      </c>
      <c r="AA868" s="0" t="inlineStr">
        <is>
          <t>인천시 서구 불로동 179</t>
        </is>
      </c>
      <c r="AB868" s="0" t="inlineStr">
        <is>
          <t>인천시</t>
        </is>
      </c>
      <c r="AC868" s="0" t="inlineStr">
        <is>
          <t>서구</t>
        </is>
      </c>
      <c r="AD868" s="0" t="inlineStr">
        <is>
          <t>불로동</t>
        </is>
      </c>
      <c r="AG868" s="0" t="inlineStr">
        <is>
          <t>인천시 서구 검단로 851</t>
        </is>
      </c>
      <c r="AH868" s="0" t="n">
        <v>0</v>
      </c>
      <c r="AI868" s="0" t="n">
        <v>221</v>
      </c>
      <c r="AJ868" s="0" t="n">
        <v>19</v>
      </c>
      <c r="AK868" s="0" t="n">
        <v>632</v>
      </c>
      <c r="AL868" s="0" t="n">
        <v>1.18</v>
      </c>
    </row>
    <row r="869">
      <c r="A869" s="0" t="inlineStr">
        <is>
          <t>[불로동]</t>
        </is>
      </c>
      <c r="B869" s="0" t="n">
        <v>8166</v>
      </c>
      <c r="C869" s="0" t="n">
        <v>2</v>
      </c>
      <c r="D869" s="0" t="inlineStr">
        <is>
          <t>동부</t>
        </is>
      </c>
      <c r="E869" s="0" t="inlineStr">
        <is>
          <t>1999.11.</t>
        </is>
      </c>
      <c r="F869" s="0" t="n">
        <v>534</v>
      </c>
      <c r="G869" s="0" t="n">
        <v>33.07</v>
      </c>
      <c r="H869" s="0" t="n">
        <v>109.33</v>
      </c>
      <c r="I869" s="0" t="n">
        <v>25.7</v>
      </c>
      <c r="J869" s="0" t="n">
        <v>84.98999999999999</v>
      </c>
      <c r="K869" s="0" t="n">
        <v>246</v>
      </c>
      <c r="T869" s="0" t="n">
        <v>3</v>
      </c>
      <c r="U869" s="0" t="n">
        <v>2</v>
      </c>
      <c r="V869" s="0" t="inlineStr">
        <is>
          <t>계단식</t>
        </is>
      </c>
      <c r="W869" s="0" t="n">
        <v>109</v>
      </c>
      <c r="X869" s="0" t="n">
        <v>18</v>
      </c>
      <c r="Y869" s="0" t="n">
        <v>17</v>
      </c>
      <c r="Z869" s="0" t="inlineStr">
        <is>
          <t>https://new.land.naver.com/complexes/8166?tab=detail&amp;rf=Y</t>
        </is>
      </c>
      <c r="AA869" s="0" t="inlineStr">
        <is>
          <t>인천시 서구 불로동 179</t>
        </is>
      </c>
      <c r="AB869" s="0" t="inlineStr">
        <is>
          <t>인천시</t>
        </is>
      </c>
      <c r="AC869" s="0" t="inlineStr">
        <is>
          <t>서구</t>
        </is>
      </c>
      <c r="AD869" s="0" t="inlineStr">
        <is>
          <t>불로동</t>
        </is>
      </c>
      <c r="AG869" s="0" t="inlineStr">
        <is>
          <t>인천시 서구 검단로 851</t>
        </is>
      </c>
      <c r="AH869" s="0" t="n">
        <v>0</v>
      </c>
      <c r="AI869" s="0" t="n">
        <v>221</v>
      </c>
      <c r="AJ869" s="0" t="n">
        <v>19</v>
      </c>
      <c r="AK869" s="0" t="n">
        <v>632</v>
      </c>
      <c r="AL869" s="0" t="n">
        <v>1.18</v>
      </c>
    </row>
    <row r="870">
      <c r="A870" s="0" t="inlineStr">
        <is>
          <t>[불로동]</t>
        </is>
      </c>
      <c r="B870" s="0" t="n">
        <v>8166</v>
      </c>
      <c r="C870" s="0" t="n">
        <v>3</v>
      </c>
      <c r="D870" s="0" t="inlineStr">
        <is>
          <t>동부</t>
        </is>
      </c>
      <c r="E870" s="0" t="inlineStr">
        <is>
          <t>1999.11.</t>
        </is>
      </c>
      <c r="F870" s="0" t="n">
        <v>534</v>
      </c>
      <c r="G870" s="0" t="n">
        <v>49.18</v>
      </c>
      <c r="H870" s="0" t="n">
        <v>162.58</v>
      </c>
      <c r="I870" s="0" t="n">
        <v>40.81</v>
      </c>
      <c r="J870" s="0" t="n">
        <v>134.92</v>
      </c>
      <c r="K870" s="0" t="n">
        <v>144</v>
      </c>
      <c r="T870" s="0" t="n">
        <v>4</v>
      </c>
      <c r="U870" s="0" t="n">
        <v>2</v>
      </c>
      <c r="V870" s="0" t="inlineStr">
        <is>
          <t>계단식</t>
        </is>
      </c>
      <c r="W870" s="0" t="n">
        <v>162</v>
      </c>
      <c r="X870" s="0" t="n">
        <v>18</v>
      </c>
      <c r="Y870" s="0" t="n">
        <v>17</v>
      </c>
      <c r="Z870" s="0" t="inlineStr">
        <is>
          <t>https://new.land.naver.com/complexes/8166?tab=detail&amp;rf=Y</t>
        </is>
      </c>
      <c r="AA870" s="0" t="inlineStr">
        <is>
          <t>인천시 서구 불로동 179</t>
        </is>
      </c>
      <c r="AB870" s="0" t="inlineStr">
        <is>
          <t>인천시</t>
        </is>
      </c>
      <c r="AC870" s="0" t="inlineStr">
        <is>
          <t>서구</t>
        </is>
      </c>
      <c r="AD870" s="0" t="inlineStr">
        <is>
          <t>불로동</t>
        </is>
      </c>
      <c r="AG870" s="0" t="inlineStr">
        <is>
          <t>인천시 서구 검단로 851</t>
        </is>
      </c>
      <c r="AH870" s="0" t="n">
        <v>0</v>
      </c>
      <c r="AI870" s="0" t="n">
        <v>221</v>
      </c>
      <c r="AJ870" s="0" t="n">
        <v>19</v>
      </c>
      <c r="AK870" s="0" t="n">
        <v>632</v>
      </c>
      <c r="AL870" s="0" t="n">
        <v>1.18</v>
      </c>
    </row>
    <row r="871">
      <c r="A871" s="0" t="inlineStr">
        <is>
          <t>[불로동]</t>
        </is>
      </c>
      <c r="B871" s="0" t="n">
        <v>8359</v>
      </c>
      <c r="C871" s="0" t="n">
        <v>1</v>
      </c>
      <c r="D871" s="0" t="inlineStr">
        <is>
          <t>연진</t>
        </is>
      </c>
      <c r="E871" s="0" t="inlineStr">
        <is>
          <t>1991.08.</t>
        </is>
      </c>
      <c r="F871" s="0" t="n">
        <v>84</v>
      </c>
      <c r="G871" s="0" t="n">
        <v>20.36</v>
      </c>
      <c r="H871" s="0" t="n">
        <v>67.33</v>
      </c>
      <c r="I871" s="0" t="n">
        <v>15.51</v>
      </c>
      <c r="J871" s="0" t="n">
        <v>51.3</v>
      </c>
      <c r="K871" s="0" t="n">
        <v>72</v>
      </c>
      <c r="T871" s="0" t="n">
        <v>3</v>
      </c>
      <c r="U871" s="0" t="n">
        <v>1</v>
      </c>
      <c r="V871" s="0" t="inlineStr">
        <is>
          <t>계단식</t>
        </is>
      </c>
      <c r="W871" s="0" t="n">
        <v>67</v>
      </c>
      <c r="X871" s="0" t="n">
        <v>6</v>
      </c>
      <c r="Y871" s="0" t="n">
        <v>6</v>
      </c>
      <c r="Z871" s="0" t="inlineStr">
        <is>
          <t>https://new.land.naver.com/complexes/8359?tab=detail&amp;rf=Y</t>
        </is>
      </c>
      <c r="AA871" s="0" t="inlineStr">
        <is>
          <t>인천시 서구 불로동 768-7</t>
        </is>
      </c>
      <c r="AB871" s="0" t="inlineStr">
        <is>
          <t>인천시</t>
        </is>
      </c>
      <c r="AC871" s="0" t="inlineStr">
        <is>
          <t>서구</t>
        </is>
      </c>
      <c r="AD871" s="0" t="inlineStr">
        <is>
          <t>불로동</t>
        </is>
      </c>
      <c r="AG871" s="0" t="inlineStr">
        <is>
          <t>인천시 서구 검단로763번길 21</t>
        </is>
      </c>
      <c r="AH871" s="0" t="n">
        <v>0</v>
      </c>
      <c r="AI871" s="0" t="n">
        <v>0</v>
      </c>
      <c r="AJ871" s="0" t="n">
        <v>0</v>
      </c>
      <c r="AK871" s="0" t="n">
        <v>0</v>
      </c>
      <c r="AL871" s="0" t="n">
        <v>0</v>
      </c>
    </row>
    <row r="872">
      <c r="A872" s="0" t="inlineStr">
        <is>
          <t>[불로동]</t>
        </is>
      </c>
      <c r="B872" s="0" t="n">
        <v>8359</v>
      </c>
      <c r="C872" s="0" t="n">
        <v>2</v>
      </c>
      <c r="D872" s="0" t="inlineStr">
        <is>
          <t>연진</t>
        </is>
      </c>
      <c r="E872" s="0" t="inlineStr">
        <is>
          <t>1991.08.</t>
        </is>
      </c>
      <c r="F872" s="0" t="n">
        <v>84</v>
      </c>
      <c r="G872" s="0" t="n">
        <v>22.69</v>
      </c>
      <c r="H872" s="0" t="n">
        <v>75.04000000000001</v>
      </c>
      <c r="I872" s="0" t="n">
        <v>17.3</v>
      </c>
      <c r="J872" s="0" t="n">
        <v>57.2</v>
      </c>
      <c r="K872" s="0" t="n">
        <v>12</v>
      </c>
      <c r="T872" s="0" t="n">
        <v>3</v>
      </c>
      <c r="U872" s="0" t="n">
        <v>1</v>
      </c>
      <c r="V872" s="0" t="inlineStr">
        <is>
          <t>계단식</t>
        </is>
      </c>
      <c r="W872" s="0" t="n">
        <v>75</v>
      </c>
      <c r="X872" s="0" t="n">
        <v>6</v>
      </c>
      <c r="Y872" s="0" t="n">
        <v>6</v>
      </c>
      <c r="Z872" s="0" t="inlineStr">
        <is>
          <t>https://new.land.naver.com/complexes/8359?tab=detail&amp;rf=Y</t>
        </is>
      </c>
      <c r="AA872" s="0" t="inlineStr">
        <is>
          <t>인천시 서구 불로동 768-7</t>
        </is>
      </c>
      <c r="AB872" s="0" t="inlineStr">
        <is>
          <t>인천시</t>
        </is>
      </c>
      <c r="AC872" s="0" t="inlineStr">
        <is>
          <t>서구</t>
        </is>
      </c>
      <c r="AD872" s="0" t="inlineStr">
        <is>
          <t>불로동</t>
        </is>
      </c>
      <c r="AG872" s="0" t="inlineStr">
        <is>
          <t>인천시 서구 검단로763번길 21</t>
        </is>
      </c>
      <c r="AH872" s="0" t="n">
        <v>0</v>
      </c>
      <c r="AI872" s="0" t="n">
        <v>0</v>
      </c>
      <c r="AJ872" s="0" t="n">
        <v>0</v>
      </c>
      <c r="AK872" s="0" t="n">
        <v>0</v>
      </c>
      <c r="AL872" s="0" t="n">
        <v>0</v>
      </c>
    </row>
    <row r="873">
      <c r="A873" s="0" t="inlineStr">
        <is>
          <t>[석남동]</t>
        </is>
      </c>
      <c r="B873" s="0" t="n">
        <v>22885</v>
      </c>
      <c r="C873" s="0" t="n">
        <v>1</v>
      </c>
      <c r="D873" s="0" t="inlineStr">
        <is>
          <t>동진1차</t>
        </is>
      </c>
      <c r="E873" s="0" t="inlineStr">
        <is>
          <t>1983.12.</t>
        </is>
      </c>
      <c r="F873" s="0" t="n">
        <v>60</v>
      </c>
      <c r="G873" s="0" t="n">
        <v>22.65</v>
      </c>
      <c r="H873" s="0" t="n">
        <v>74.89</v>
      </c>
      <c r="I873" s="0" t="n">
        <v>18.92</v>
      </c>
      <c r="J873" s="0" t="n">
        <v>62.57</v>
      </c>
      <c r="K873" s="0" t="n">
        <v>45</v>
      </c>
      <c r="T873" s="0" t="n">
        <v>3</v>
      </c>
      <c r="U873" s="0" t="n">
        <v>1</v>
      </c>
      <c r="V873" s="0" t="inlineStr">
        <is>
          <t>계단식</t>
        </is>
      </c>
      <c r="W873" s="0" t="inlineStr">
        <is>
          <t>74A</t>
        </is>
      </c>
      <c r="X873" s="0" t="n">
        <v>5</v>
      </c>
      <c r="Y873" s="0" t="n">
        <v>5</v>
      </c>
      <c r="Z873" s="0" t="inlineStr">
        <is>
          <t>https://new.land.naver.com/complexes/22885?tab=detail&amp;rf=Y</t>
        </is>
      </c>
      <c r="AA873" s="0" t="inlineStr">
        <is>
          <t>인천시 서구 석남동 574-4</t>
        </is>
      </c>
      <c r="AB873" s="0" t="inlineStr">
        <is>
          <t>인천시</t>
        </is>
      </c>
      <c r="AC873" s="0" t="inlineStr">
        <is>
          <t>서구</t>
        </is>
      </c>
      <c r="AD873" s="0" t="inlineStr">
        <is>
          <t>석남동</t>
        </is>
      </c>
      <c r="AG873" s="0" t="inlineStr">
        <is>
          <t>인천시 서구 석남로109번길 18</t>
        </is>
      </c>
      <c r="AH873" s="0" t="n">
        <v>0</v>
      </c>
      <c r="AI873" s="0" t="n">
        <v>0</v>
      </c>
      <c r="AJ873" s="0" t="n">
        <v>0</v>
      </c>
      <c r="AK873" s="0" t="n">
        <v>0</v>
      </c>
      <c r="AL873" s="0" t="n">
        <v>0</v>
      </c>
    </row>
    <row r="874">
      <c r="A874" s="0" t="inlineStr">
        <is>
          <t>[석남동]</t>
        </is>
      </c>
      <c r="B874" s="0" t="n">
        <v>22885</v>
      </c>
      <c r="C874" s="0" t="n">
        <v>2</v>
      </c>
      <c r="D874" s="0" t="inlineStr">
        <is>
          <t>동진1차</t>
        </is>
      </c>
      <c r="E874" s="0" t="inlineStr">
        <is>
          <t>1983.12.</t>
        </is>
      </c>
      <c r="F874" s="0" t="n">
        <v>60</v>
      </c>
      <c r="G874" s="0" t="n">
        <v>22.65</v>
      </c>
      <c r="H874" s="0" t="n">
        <v>74.90000000000001</v>
      </c>
      <c r="I874" s="0" t="n">
        <v>18.93</v>
      </c>
      <c r="J874" s="0" t="n">
        <v>62.58</v>
      </c>
      <c r="K874" s="0" t="n">
        <v>15</v>
      </c>
      <c r="T874" s="0" t="n">
        <v>3</v>
      </c>
      <c r="U874" s="0" t="n">
        <v>1</v>
      </c>
      <c r="V874" s="0" t="inlineStr">
        <is>
          <t>계단식</t>
        </is>
      </c>
      <c r="W874" s="0" t="inlineStr">
        <is>
          <t>74B</t>
        </is>
      </c>
      <c r="X874" s="0" t="n">
        <v>5</v>
      </c>
      <c r="Y874" s="0" t="n">
        <v>5</v>
      </c>
      <c r="Z874" s="0" t="inlineStr">
        <is>
          <t>https://new.land.naver.com/complexes/22885?tab=detail&amp;rf=Y</t>
        </is>
      </c>
      <c r="AA874" s="0" t="inlineStr">
        <is>
          <t>인천시 서구 석남동 574-4</t>
        </is>
      </c>
      <c r="AB874" s="0" t="inlineStr">
        <is>
          <t>인천시</t>
        </is>
      </c>
      <c r="AC874" s="0" t="inlineStr">
        <is>
          <t>서구</t>
        </is>
      </c>
      <c r="AD874" s="0" t="inlineStr">
        <is>
          <t>석남동</t>
        </is>
      </c>
      <c r="AG874" s="0" t="inlineStr">
        <is>
          <t>인천시 서구 석남로109번길 18</t>
        </is>
      </c>
      <c r="AH874" s="0" t="n">
        <v>0</v>
      </c>
      <c r="AI874" s="0" t="n">
        <v>0</v>
      </c>
      <c r="AJ874" s="0" t="n">
        <v>0</v>
      </c>
      <c r="AK874" s="0" t="n">
        <v>0</v>
      </c>
      <c r="AL874" s="0" t="n">
        <v>0</v>
      </c>
    </row>
    <row r="875">
      <c r="A875" s="0" t="inlineStr">
        <is>
          <t>[석남동]</t>
        </is>
      </c>
      <c r="B875" s="0" t="n">
        <v>132615</v>
      </c>
      <c r="C875" s="0" t="n">
        <v>1</v>
      </c>
      <c r="D875" s="0" t="inlineStr">
        <is>
          <t>금지개</t>
        </is>
      </c>
      <c r="E875" s="0" t="inlineStr">
        <is>
          <t>2003.03.</t>
        </is>
      </c>
      <c r="F875" s="0" t="n">
        <v>10</v>
      </c>
      <c r="G875" s="0" t="n">
        <v>25.2</v>
      </c>
      <c r="H875" s="0" t="n">
        <v>83.31999999999999</v>
      </c>
      <c r="I875" s="0" t="n">
        <v>23.16</v>
      </c>
      <c r="J875" s="0" t="n">
        <v>76.56999999999999</v>
      </c>
      <c r="K875" s="0" t="n">
        <v>10</v>
      </c>
      <c r="T875" s="0" t="n">
        <v>3</v>
      </c>
      <c r="U875" s="0" t="n">
        <v>2</v>
      </c>
      <c r="V875" s="0" t="inlineStr">
        <is>
          <t>계단식</t>
        </is>
      </c>
      <c r="W875" s="0" t="n">
        <v>83</v>
      </c>
      <c r="X875" s="0" t="n">
        <v>6</v>
      </c>
      <c r="Y875" s="0" t="n">
        <v>6</v>
      </c>
      <c r="Z875" s="0" t="inlineStr">
        <is>
          <t>https://new.land.naver.com/complexes/132615?tab=detail&amp;rf=Y</t>
        </is>
      </c>
      <c r="AA875" s="0" t="inlineStr">
        <is>
          <t>인천시 서구 석남동 496-51</t>
        </is>
      </c>
      <c r="AB875" s="0" t="inlineStr">
        <is>
          <t>인천시</t>
        </is>
      </c>
      <c r="AC875" s="0" t="inlineStr">
        <is>
          <t>서구</t>
        </is>
      </c>
      <c r="AD875" s="0" t="inlineStr">
        <is>
          <t>석남동</t>
        </is>
      </c>
      <c r="AG875" s="0" t="inlineStr">
        <is>
          <t>인천시 서구 신석로122번길 11</t>
        </is>
      </c>
      <c r="AH875" s="0" t="n">
        <v>0</v>
      </c>
      <c r="AI875" s="0" t="n">
        <v>237</v>
      </c>
      <c r="AJ875" s="0" t="n">
        <v>56</v>
      </c>
      <c r="AK875" s="0" t="n">
        <v>9</v>
      </c>
      <c r="AL875" s="0" t="n">
        <v>0.9</v>
      </c>
    </row>
    <row r="876">
      <c r="A876" s="0" t="inlineStr">
        <is>
          <t>[석남동]</t>
        </is>
      </c>
      <c r="B876" s="0" t="n">
        <v>19474</v>
      </c>
      <c r="C876" s="0" t="n">
        <v>1</v>
      </c>
      <c r="D876" s="0" t="inlineStr">
        <is>
          <t>석남경남아너스빌</t>
        </is>
      </c>
      <c r="E876" s="0" t="inlineStr">
        <is>
          <t>2006.11.</t>
        </is>
      </c>
      <c r="F876" s="0" t="n">
        <v>471</v>
      </c>
      <c r="G876" s="0" t="n">
        <v>23.23</v>
      </c>
      <c r="H876" s="0" t="n">
        <v>76.8</v>
      </c>
      <c r="I876" s="0" t="n">
        <v>18.11</v>
      </c>
      <c r="J876" s="0" t="n">
        <v>59.87</v>
      </c>
      <c r="K876" s="0" t="n">
        <v>21</v>
      </c>
      <c r="T876" s="0" t="n">
        <v>3</v>
      </c>
      <c r="U876" s="0" t="n">
        <v>1</v>
      </c>
      <c r="V876" s="0" t="inlineStr">
        <is>
          <t>계단식</t>
        </is>
      </c>
      <c r="W876" s="0" t="n">
        <v>76</v>
      </c>
      <c r="X876" s="0" t="n">
        <v>23</v>
      </c>
      <c r="Y876" s="0" t="n">
        <v>17</v>
      </c>
      <c r="Z876" s="0" t="inlineStr">
        <is>
          <t>https://new.land.naver.com/complexes/19474?tab=detail&amp;rf=Y</t>
        </is>
      </c>
      <c r="AA876" s="0" t="inlineStr">
        <is>
          <t>인천시 서구 석남동 593</t>
        </is>
      </c>
      <c r="AB876" s="0" t="inlineStr">
        <is>
          <t>인천시</t>
        </is>
      </c>
      <c r="AC876" s="0" t="inlineStr">
        <is>
          <t>서구</t>
        </is>
      </c>
      <c r="AD876" s="0" t="inlineStr">
        <is>
          <t>석남동</t>
        </is>
      </c>
      <c r="AG876" s="0" t="inlineStr">
        <is>
          <t>인천시 서구 염곡로 172</t>
        </is>
      </c>
      <c r="AH876" s="0" t="n">
        <v>0</v>
      </c>
      <c r="AI876" s="0" t="n">
        <v>318</v>
      </c>
      <c r="AJ876" s="0" t="n">
        <v>20</v>
      </c>
      <c r="AK876" s="0" t="n">
        <v>477</v>
      </c>
      <c r="AL876" s="0" t="n">
        <v>1.01</v>
      </c>
    </row>
    <row r="877">
      <c r="A877" s="0" t="inlineStr">
        <is>
          <t>[석남동]</t>
        </is>
      </c>
      <c r="B877" s="0" t="n">
        <v>19474</v>
      </c>
      <c r="C877" s="0" t="n">
        <v>2</v>
      </c>
      <c r="D877" s="0" t="inlineStr">
        <is>
          <t>석남경남아너스빌</t>
        </is>
      </c>
      <c r="E877" s="0" t="inlineStr">
        <is>
          <t>2006.11.</t>
        </is>
      </c>
      <c r="F877" s="0" t="n">
        <v>471</v>
      </c>
      <c r="G877" s="0" t="n">
        <v>24.78</v>
      </c>
      <c r="H877" s="0" t="n">
        <v>81.93000000000001</v>
      </c>
      <c r="I877" s="0" t="n">
        <v>18.13</v>
      </c>
      <c r="J877" s="0" t="n">
        <v>59.95</v>
      </c>
      <c r="K877" s="0" t="n">
        <v>92</v>
      </c>
      <c r="T877" s="0" t="n">
        <v>3</v>
      </c>
      <c r="U877" s="0" t="n">
        <v>1</v>
      </c>
      <c r="V877" s="0" t="inlineStr">
        <is>
          <t>계단식</t>
        </is>
      </c>
      <c r="W877" s="0" t="n">
        <v>81</v>
      </c>
      <c r="X877" s="0" t="n">
        <v>23</v>
      </c>
      <c r="Y877" s="0" t="n">
        <v>17</v>
      </c>
      <c r="Z877" s="0" t="inlineStr">
        <is>
          <t>https://new.land.naver.com/complexes/19474?tab=detail&amp;rf=Y</t>
        </is>
      </c>
      <c r="AA877" s="0" t="inlineStr">
        <is>
          <t>인천시 서구 석남동 593</t>
        </is>
      </c>
      <c r="AB877" s="0" t="inlineStr">
        <is>
          <t>인천시</t>
        </is>
      </c>
      <c r="AC877" s="0" t="inlineStr">
        <is>
          <t>서구</t>
        </is>
      </c>
      <c r="AD877" s="0" t="inlineStr">
        <is>
          <t>석남동</t>
        </is>
      </c>
      <c r="AG877" s="0" t="inlineStr">
        <is>
          <t>인천시 서구 염곡로 172</t>
        </is>
      </c>
      <c r="AH877" s="0" t="n">
        <v>0</v>
      </c>
      <c r="AI877" s="0" t="n">
        <v>318</v>
      </c>
      <c r="AJ877" s="0" t="n">
        <v>20</v>
      </c>
      <c r="AK877" s="0" t="n">
        <v>477</v>
      </c>
      <c r="AL877" s="0" t="n">
        <v>1.01</v>
      </c>
    </row>
    <row r="878">
      <c r="A878" s="0" t="inlineStr">
        <is>
          <t>[석남동]</t>
        </is>
      </c>
      <c r="B878" s="0" t="n">
        <v>19474</v>
      </c>
      <c r="C878" s="0" t="n">
        <v>3</v>
      </c>
      <c r="D878" s="0" t="inlineStr">
        <is>
          <t>석남경남아너스빌</t>
        </is>
      </c>
      <c r="E878" s="0" t="inlineStr">
        <is>
          <t>2006.11.</t>
        </is>
      </c>
      <c r="F878" s="0" t="n">
        <v>471</v>
      </c>
      <c r="G878" s="0" t="n">
        <v>25.21</v>
      </c>
      <c r="H878" s="0" t="n">
        <v>83.36</v>
      </c>
      <c r="I878" s="0" t="n">
        <v>18.13</v>
      </c>
      <c r="J878" s="0" t="n">
        <v>59.95</v>
      </c>
      <c r="K878" s="0" t="n">
        <v>36</v>
      </c>
      <c r="T878" s="0" t="n">
        <v>3</v>
      </c>
      <c r="U878" s="0" t="n">
        <v>1</v>
      </c>
      <c r="V878" s="0" t="inlineStr">
        <is>
          <t>계단식</t>
        </is>
      </c>
      <c r="W878" s="0" t="n">
        <v>83</v>
      </c>
      <c r="X878" s="0" t="n">
        <v>23</v>
      </c>
      <c r="Y878" s="0" t="n">
        <v>17</v>
      </c>
      <c r="Z878" s="0" t="inlineStr">
        <is>
          <t>https://new.land.naver.com/complexes/19474?tab=detail&amp;rf=Y</t>
        </is>
      </c>
      <c r="AA878" s="0" t="inlineStr">
        <is>
          <t>인천시 서구 석남동 593</t>
        </is>
      </c>
      <c r="AB878" s="0" t="inlineStr">
        <is>
          <t>인천시</t>
        </is>
      </c>
      <c r="AC878" s="0" t="inlineStr">
        <is>
          <t>서구</t>
        </is>
      </c>
      <c r="AD878" s="0" t="inlineStr">
        <is>
          <t>석남동</t>
        </is>
      </c>
      <c r="AG878" s="0" t="inlineStr">
        <is>
          <t>인천시 서구 염곡로 172</t>
        </is>
      </c>
      <c r="AH878" s="0" t="n">
        <v>0</v>
      </c>
      <c r="AI878" s="0" t="n">
        <v>318</v>
      </c>
      <c r="AJ878" s="0" t="n">
        <v>20</v>
      </c>
      <c r="AK878" s="0" t="n">
        <v>477</v>
      </c>
      <c r="AL878" s="0" t="n">
        <v>1.01</v>
      </c>
    </row>
    <row r="879">
      <c r="A879" s="0" t="inlineStr">
        <is>
          <t>[석남동]</t>
        </is>
      </c>
      <c r="B879" s="0" t="n">
        <v>19474</v>
      </c>
      <c r="C879" s="0" t="n">
        <v>4</v>
      </c>
      <c r="D879" s="0" t="inlineStr">
        <is>
          <t>석남경남아너스빌</t>
        </is>
      </c>
      <c r="E879" s="0" t="inlineStr">
        <is>
          <t>2006.11.</t>
        </is>
      </c>
      <c r="F879" s="0" t="n">
        <v>471</v>
      </c>
      <c r="G879" s="0" t="n">
        <v>27.41</v>
      </c>
      <c r="H879" s="0" t="n">
        <v>90.62</v>
      </c>
      <c r="I879" s="0" t="n">
        <v>21.26</v>
      </c>
      <c r="J879" s="0" t="n">
        <v>70.3</v>
      </c>
      <c r="K879" s="0" t="n">
        <v>41</v>
      </c>
      <c r="T879" s="0" t="n">
        <v>3</v>
      </c>
      <c r="U879" s="0" t="n">
        <v>2</v>
      </c>
      <c r="V879" s="0" t="inlineStr">
        <is>
          <t>계단식</t>
        </is>
      </c>
      <c r="W879" s="0" t="n">
        <v>90</v>
      </c>
      <c r="X879" s="0" t="n">
        <v>23</v>
      </c>
      <c r="Y879" s="0" t="n">
        <v>17</v>
      </c>
      <c r="Z879" s="0" t="inlineStr">
        <is>
          <t>https://new.land.naver.com/complexes/19474?tab=detail&amp;rf=Y</t>
        </is>
      </c>
      <c r="AA879" s="0" t="inlineStr">
        <is>
          <t>인천시 서구 석남동 593</t>
        </is>
      </c>
      <c r="AB879" s="0" t="inlineStr">
        <is>
          <t>인천시</t>
        </is>
      </c>
      <c r="AC879" s="0" t="inlineStr">
        <is>
          <t>서구</t>
        </is>
      </c>
      <c r="AD879" s="0" t="inlineStr">
        <is>
          <t>석남동</t>
        </is>
      </c>
      <c r="AG879" s="0" t="inlineStr">
        <is>
          <t>인천시 서구 염곡로 172</t>
        </is>
      </c>
      <c r="AH879" s="0" t="n">
        <v>0</v>
      </c>
      <c r="AI879" s="0" t="n">
        <v>318</v>
      </c>
      <c r="AJ879" s="0" t="n">
        <v>20</v>
      </c>
      <c r="AK879" s="0" t="n">
        <v>477</v>
      </c>
      <c r="AL879" s="0" t="n">
        <v>1.01</v>
      </c>
    </row>
    <row r="880">
      <c r="A880" s="0" t="inlineStr">
        <is>
          <t>[석남동]</t>
        </is>
      </c>
      <c r="B880" s="0" t="n">
        <v>19474</v>
      </c>
      <c r="C880" s="0" t="n">
        <v>5</v>
      </c>
      <c r="D880" s="0" t="inlineStr">
        <is>
          <t>석남경남아너스빌</t>
        </is>
      </c>
      <c r="E880" s="0" t="inlineStr">
        <is>
          <t>2006.11.</t>
        </is>
      </c>
      <c r="F880" s="0" t="n">
        <v>471</v>
      </c>
      <c r="G880" s="0" t="n">
        <v>31.71</v>
      </c>
      <c r="H880" s="0" t="n">
        <v>104.83</v>
      </c>
      <c r="I880" s="0" t="n">
        <v>25.67</v>
      </c>
      <c r="J880" s="0" t="n">
        <v>84.88</v>
      </c>
      <c r="K880" s="0" t="n">
        <v>78</v>
      </c>
      <c r="T880" s="0" t="n">
        <v>3</v>
      </c>
      <c r="U880" s="0" t="n">
        <v>2</v>
      </c>
      <c r="V880" s="0" t="inlineStr">
        <is>
          <t>계단식</t>
        </is>
      </c>
      <c r="W880" s="0" t="inlineStr">
        <is>
          <t>104A</t>
        </is>
      </c>
      <c r="X880" s="0" t="n">
        <v>23</v>
      </c>
      <c r="Y880" s="0" t="n">
        <v>17</v>
      </c>
      <c r="Z880" s="0" t="inlineStr">
        <is>
          <t>https://new.land.naver.com/complexes/19474?tab=detail&amp;rf=Y</t>
        </is>
      </c>
      <c r="AA880" s="0" t="inlineStr">
        <is>
          <t>인천시 서구 석남동 593</t>
        </is>
      </c>
      <c r="AB880" s="0" t="inlineStr">
        <is>
          <t>인천시</t>
        </is>
      </c>
      <c r="AC880" s="0" t="inlineStr">
        <is>
          <t>서구</t>
        </is>
      </c>
      <c r="AD880" s="0" t="inlineStr">
        <is>
          <t>석남동</t>
        </is>
      </c>
      <c r="AG880" s="0" t="inlineStr">
        <is>
          <t>인천시 서구 염곡로 172</t>
        </is>
      </c>
      <c r="AH880" s="0" t="n">
        <v>0</v>
      </c>
      <c r="AI880" s="0" t="n">
        <v>318</v>
      </c>
      <c r="AJ880" s="0" t="n">
        <v>20</v>
      </c>
      <c r="AK880" s="0" t="n">
        <v>477</v>
      </c>
      <c r="AL880" s="0" t="n">
        <v>1.01</v>
      </c>
    </row>
    <row r="881">
      <c r="A881" s="0" t="inlineStr">
        <is>
          <t>[석남동]</t>
        </is>
      </c>
      <c r="B881" s="0" t="n">
        <v>19474</v>
      </c>
      <c r="C881" s="0" t="n">
        <v>6</v>
      </c>
      <c r="D881" s="0" t="inlineStr">
        <is>
          <t>석남경남아너스빌</t>
        </is>
      </c>
      <c r="E881" s="0" t="inlineStr">
        <is>
          <t>2006.11.</t>
        </is>
      </c>
      <c r="F881" s="0" t="n">
        <v>471</v>
      </c>
      <c r="G881" s="0" t="n">
        <v>32.19</v>
      </c>
      <c r="H881" s="0" t="n">
        <v>106.43</v>
      </c>
      <c r="I881" s="0" t="n">
        <v>25.69</v>
      </c>
      <c r="J881" s="0" t="n">
        <v>84.94</v>
      </c>
      <c r="K881" s="0" t="n">
        <v>84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106C</t>
        </is>
      </c>
      <c r="X881" s="0" t="n">
        <v>23</v>
      </c>
      <c r="Y881" s="0" t="n">
        <v>17</v>
      </c>
      <c r="Z881" s="0" t="inlineStr">
        <is>
          <t>https://new.land.naver.com/complexes/19474?tab=detail&amp;rf=Y</t>
        </is>
      </c>
      <c r="AA881" s="0" t="inlineStr">
        <is>
          <t>인천시 서구 석남동 593</t>
        </is>
      </c>
      <c r="AB881" s="0" t="inlineStr">
        <is>
          <t>인천시</t>
        </is>
      </c>
      <c r="AC881" s="0" t="inlineStr">
        <is>
          <t>서구</t>
        </is>
      </c>
      <c r="AD881" s="0" t="inlineStr">
        <is>
          <t>석남동</t>
        </is>
      </c>
      <c r="AG881" s="0" t="inlineStr">
        <is>
          <t>인천시 서구 염곡로 172</t>
        </is>
      </c>
      <c r="AH881" s="0" t="n">
        <v>0</v>
      </c>
      <c r="AI881" s="0" t="n">
        <v>318</v>
      </c>
      <c r="AJ881" s="0" t="n">
        <v>20</v>
      </c>
      <c r="AK881" s="0" t="n">
        <v>477</v>
      </c>
      <c r="AL881" s="0" t="n">
        <v>1.01</v>
      </c>
    </row>
    <row r="882">
      <c r="A882" s="0" t="inlineStr">
        <is>
          <t>[석남동]</t>
        </is>
      </c>
      <c r="B882" s="0" t="n">
        <v>19474</v>
      </c>
      <c r="C882" s="0" t="n">
        <v>7</v>
      </c>
      <c r="D882" s="0" t="inlineStr">
        <is>
          <t>석남경남아너스빌</t>
        </is>
      </c>
      <c r="E882" s="0" t="inlineStr">
        <is>
          <t>2006.11.</t>
        </is>
      </c>
      <c r="F882" s="0" t="n">
        <v>471</v>
      </c>
      <c r="G882" s="0" t="n">
        <v>32.37</v>
      </c>
      <c r="H882" s="0" t="n">
        <v>107.02</v>
      </c>
      <c r="I882" s="0" t="n">
        <v>25.65</v>
      </c>
      <c r="J882" s="0" t="n">
        <v>84.81999999999999</v>
      </c>
      <c r="K882" s="0" t="n">
        <v>40</v>
      </c>
      <c r="T882" s="0" t="n">
        <v>3</v>
      </c>
      <c r="U882" s="0" t="n">
        <v>2</v>
      </c>
      <c r="V882" s="0" t="inlineStr">
        <is>
          <t>계단식</t>
        </is>
      </c>
      <c r="W882" s="0" t="inlineStr">
        <is>
          <t>107A1</t>
        </is>
      </c>
      <c r="X882" s="0" t="n">
        <v>23</v>
      </c>
      <c r="Y882" s="0" t="n">
        <v>17</v>
      </c>
      <c r="Z882" s="0" t="inlineStr">
        <is>
          <t>https://new.land.naver.com/complexes/19474?tab=detail&amp;rf=Y</t>
        </is>
      </c>
      <c r="AA882" s="0" t="inlineStr">
        <is>
          <t>인천시 서구 석남동 593</t>
        </is>
      </c>
      <c r="AB882" s="0" t="inlineStr">
        <is>
          <t>인천시</t>
        </is>
      </c>
      <c r="AC882" s="0" t="inlineStr">
        <is>
          <t>서구</t>
        </is>
      </c>
      <c r="AD882" s="0" t="inlineStr">
        <is>
          <t>석남동</t>
        </is>
      </c>
      <c r="AG882" s="0" t="inlineStr">
        <is>
          <t>인천시 서구 염곡로 172</t>
        </is>
      </c>
      <c r="AH882" s="0" t="n">
        <v>0</v>
      </c>
      <c r="AI882" s="0" t="n">
        <v>318</v>
      </c>
      <c r="AJ882" s="0" t="n">
        <v>20</v>
      </c>
      <c r="AK882" s="0" t="n">
        <v>477</v>
      </c>
      <c r="AL882" s="0" t="n">
        <v>1.01</v>
      </c>
    </row>
    <row r="883">
      <c r="A883" s="0" t="inlineStr">
        <is>
          <t>[석남동]</t>
        </is>
      </c>
      <c r="B883" s="0" t="n">
        <v>19474</v>
      </c>
      <c r="C883" s="0" t="n">
        <v>8</v>
      </c>
      <c r="D883" s="0" t="inlineStr">
        <is>
          <t>석남경남아너스빌</t>
        </is>
      </c>
      <c r="E883" s="0" t="inlineStr">
        <is>
          <t>2006.11.</t>
        </is>
      </c>
      <c r="F883" s="0" t="n">
        <v>471</v>
      </c>
      <c r="G883" s="0" t="n">
        <v>32.78</v>
      </c>
      <c r="H883" s="0" t="n">
        <v>108.38</v>
      </c>
      <c r="I883" s="0" t="n">
        <v>25.66</v>
      </c>
      <c r="J883" s="0" t="n">
        <v>84.84999999999999</v>
      </c>
      <c r="K883" s="0" t="n">
        <v>20</v>
      </c>
      <c r="T883" s="0" t="n">
        <v>3</v>
      </c>
      <c r="U883" s="0" t="n">
        <v>2</v>
      </c>
      <c r="V883" s="0" t="inlineStr">
        <is>
          <t>계단식</t>
        </is>
      </c>
      <c r="W883" s="0" t="inlineStr">
        <is>
          <t>108B</t>
        </is>
      </c>
      <c r="X883" s="0" t="n">
        <v>23</v>
      </c>
      <c r="Y883" s="0" t="n">
        <v>17</v>
      </c>
      <c r="Z883" s="0" t="inlineStr">
        <is>
          <t>https://new.land.naver.com/complexes/19474?tab=detail&amp;rf=Y</t>
        </is>
      </c>
      <c r="AA883" s="0" t="inlineStr">
        <is>
          <t>인천시 서구 석남동 593</t>
        </is>
      </c>
      <c r="AB883" s="0" t="inlineStr">
        <is>
          <t>인천시</t>
        </is>
      </c>
      <c r="AC883" s="0" t="inlineStr">
        <is>
          <t>서구</t>
        </is>
      </c>
      <c r="AD883" s="0" t="inlineStr">
        <is>
          <t>석남동</t>
        </is>
      </c>
      <c r="AG883" s="0" t="inlineStr">
        <is>
          <t>인천시 서구 염곡로 172</t>
        </is>
      </c>
      <c r="AH883" s="0" t="n">
        <v>0</v>
      </c>
      <c r="AI883" s="0" t="n">
        <v>318</v>
      </c>
      <c r="AJ883" s="0" t="n">
        <v>20</v>
      </c>
      <c r="AK883" s="0" t="n">
        <v>477</v>
      </c>
      <c r="AL883" s="0" t="n">
        <v>1.01</v>
      </c>
    </row>
    <row r="884">
      <c r="A884" s="0" t="inlineStr">
        <is>
          <t>[석남동]</t>
        </is>
      </c>
      <c r="B884" s="0" t="n">
        <v>19474</v>
      </c>
      <c r="C884" s="0" t="n">
        <v>9</v>
      </c>
      <c r="D884" s="0" t="inlineStr">
        <is>
          <t>석남경남아너스빌</t>
        </is>
      </c>
      <c r="E884" s="0" t="inlineStr">
        <is>
          <t>2006.11.</t>
        </is>
      </c>
      <c r="F884" s="0" t="n">
        <v>471</v>
      </c>
      <c r="G884" s="0" t="n">
        <v>32.95</v>
      </c>
      <c r="H884" s="0" t="n">
        <v>108.95</v>
      </c>
      <c r="I884" s="0" t="n">
        <v>25.7</v>
      </c>
      <c r="J884" s="0" t="n">
        <v>84.98</v>
      </c>
      <c r="K884" s="0" t="n">
        <v>18</v>
      </c>
      <c r="T884" s="0" t="n">
        <v>3</v>
      </c>
      <c r="U884" s="0" t="n">
        <v>2</v>
      </c>
      <c r="V884" s="0" t="inlineStr">
        <is>
          <t>계단식</t>
        </is>
      </c>
      <c r="W884" s="0" t="inlineStr">
        <is>
          <t>108C</t>
        </is>
      </c>
      <c r="X884" s="0" t="n">
        <v>23</v>
      </c>
      <c r="Y884" s="0" t="n">
        <v>17</v>
      </c>
      <c r="Z884" s="0" t="inlineStr">
        <is>
          <t>https://new.land.naver.com/complexes/19474?tab=detail&amp;rf=Y</t>
        </is>
      </c>
      <c r="AA884" s="0" t="inlineStr">
        <is>
          <t>인천시 서구 석남동 593</t>
        </is>
      </c>
      <c r="AB884" s="0" t="inlineStr">
        <is>
          <t>인천시</t>
        </is>
      </c>
      <c r="AC884" s="0" t="inlineStr">
        <is>
          <t>서구</t>
        </is>
      </c>
      <c r="AD884" s="0" t="inlineStr">
        <is>
          <t>석남동</t>
        </is>
      </c>
      <c r="AG884" s="0" t="inlineStr">
        <is>
          <t>인천시 서구 염곡로 172</t>
        </is>
      </c>
      <c r="AH884" s="0" t="n">
        <v>0</v>
      </c>
      <c r="AI884" s="0" t="n">
        <v>318</v>
      </c>
      <c r="AJ884" s="0" t="n">
        <v>20</v>
      </c>
      <c r="AK884" s="0" t="n">
        <v>477</v>
      </c>
      <c r="AL884" s="0" t="n">
        <v>1.01</v>
      </c>
    </row>
    <row r="885">
      <c r="A885" s="0" t="inlineStr">
        <is>
          <t>[석남동]</t>
        </is>
      </c>
      <c r="B885" s="0" t="n">
        <v>19474</v>
      </c>
      <c r="C885" s="0" t="n">
        <v>10</v>
      </c>
      <c r="D885" s="0" t="inlineStr">
        <is>
          <t>석남경남아너스빌</t>
        </is>
      </c>
      <c r="E885" s="0" t="inlineStr">
        <is>
          <t>2006.11.</t>
        </is>
      </c>
      <c r="F885" s="0" t="n">
        <v>471</v>
      </c>
      <c r="G885" s="0" t="n">
        <v>32.83</v>
      </c>
      <c r="H885" s="0" t="n">
        <v>108.56</v>
      </c>
      <c r="I885" s="0" t="n">
        <v>25.7</v>
      </c>
      <c r="J885" s="0" t="n">
        <v>84.98</v>
      </c>
      <c r="K885" s="0" t="n">
        <v>18</v>
      </c>
      <c r="T885" s="0" t="n">
        <v>3</v>
      </c>
      <c r="U885" s="0" t="n">
        <v>2</v>
      </c>
      <c r="V885" s="0" t="inlineStr">
        <is>
          <t>계단식</t>
        </is>
      </c>
      <c r="W885" s="0" t="inlineStr">
        <is>
          <t>108D</t>
        </is>
      </c>
      <c r="X885" s="0" t="n">
        <v>23</v>
      </c>
      <c r="Y885" s="0" t="n">
        <v>17</v>
      </c>
      <c r="Z885" s="0" t="inlineStr">
        <is>
          <t>https://new.land.naver.com/complexes/19474?tab=detail&amp;rf=Y</t>
        </is>
      </c>
      <c r="AA885" s="0" t="inlineStr">
        <is>
          <t>인천시 서구 석남동 593</t>
        </is>
      </c>
      <c r="AB885" s="0" t="inlineStr">
        <is>
          <t>인천시</t>
        </is>
      </c>
      <c r="AC885" s="0" t="inlineStr">
        <is>
          <t>서구</t>
        </is>
      </c>
      <c r="AD885" s="0" t="inlineStr">
        <is>
          <t>석남동</t>
        </is>
      </c>
      <c r="AG885" s="0" t="inlineStr">
        <is>
          <t>인천시 서구 염곡로 172</t>
        </is>
      </c>
      <c r="AH885" s="0" t="n">
        <v>0</v>
      </c>
      <c r="AI885" s="0" t="n">
        <v>318</v>
      </c>
      <c r="AJ885" s="0" t="n">
        <v>20</v>
      </c>
      <c r="AK885" s="0" t="n">
        <v>477</v>
      </c>
      <c r="AL885" s="0" t="n">
        <v>1.01</v>
      </c>
    </row>
    <row r="886">
      <c r="A886" s="0" t="inlineStr">
        <is>
          <t>[석남동]</t>
        </is>
      </c>
      <c r="B886" s="0" t="n">
        <v>19474</v>
      </c>
      <c r="C886" s="0" t="n">
        <v>11</v>
      </c>
      <c r="D886" s="0" t="inlineStr">
        <is>
          <t>석남경남아너스빌</t>
        </is>
      </c>
      <c r="E886" s="0" t="inlineStr">
        <is>
          <t>2006.11.</t>
        </is>
      </c>
      <c r="F886" s="0" t="n">
        <v>471</v>
      </c>
      <c r="G886" s="0" t="n">
        <v>35.63</v>
      </c>
      <c r="H886" s="0" t="n">
        <v>117.79</v>
      </c>
      <c r="I886" s="0" t="n">
        <v>25.67</v>
      </c>
      <c r="J886" s="0" t="n">
        <v>84.88</v>
      </c>
      <c r="K886" s="0" t="n">
        <v>23</v>
      </c>
      <c r="T886" s="0" t="n">
        <v>3</v>
      </c>
      <c r="U886" s="0" t="n">
        <v>2</v>
      </c>
      <c r="V886" s="0" t="inlineStr">
        <is>
          <t>계단식</t>
        </is>
      </c>
      <c r="W886" s="0" t="n">
        <v>117</v>
      </c>
      <c r="X886" s="0" t="n">
        <v>23</v>
      </c>
      <c r="Y886" s="0" t="n">
        <v>17</v>
      </c>
      <c r="Z886" s="0" t="inlineStr">
        <is>
          <t>https://new.land.naver.com/complexes/19474?tab=detail&amp;rf=Y</t>
        </is>
      </c>
      <c r="AA886" s="0" t="inlineStr">
        <is>
          <t>인천시 서구 석남동 593</t>
        </is>
      </c>
      <c r="AB886" s="0" t="inlineStr">
        <is>
          <t>인천시</t>
        </is>
      </c>
      <c r="AC886" s="0" t="inlineStr">
        <is>
          <t>서구</t>
        </is>
      </c>
      <c r="AD886" s="0" t="inlineStr">
        <is>
          <t>석남동</t>
        </is>
      </c>
      <c r="AG886" s="0" t="inlineStr">
        <is>
          <t>인천시 서구 염곡로 172</t>
        </is>
      </c>
      <c r="AH886" s="0" t="n">
        <v>0</v>
      </c>
      <c r="AI886" s="0" t="n">
        <v>318</v>
      </c>
      <c r="AJ886" s="0" t="n">
        <v>20</v>
      </c>
      <c r="AK886" s="0" t="n">
        <v>477</v>
      </c>
      <c r="AL886" s="0" t="n">
        <v>1.01</v>
      </c>
    </row>
    <row r="887">
      <c r="A887" s="0" t="inlineStr">
        <is>
          <t>[석남동]</t>
        </is>
      </c>
      <c r="B887" s="0" t="n">
        <v>9325</v>
      </c>
      <c r="C887" s="0" t="n">
        <v>1</v>
      </c>
      <c r="D887" s="0" t="inlineStr">
        <is>
          <t>석남2차</t>
        </is>
      </c>
      <c r="E887" s="0" t="inlineStr">
        <is>
          <t>1983.04.</t>
        </is>
      </c>
      <c r="F887" s="0" t="n">
        <v>30</v>
      </c>
      <c r="G887" s="0" t="n">
        <v>16.06</v>
      </c>
      <c r="H887" s="0" t="n">
        <v>53.1</v>
      </c>
      <c r="I887" s="0" t="n">
        <v>14.38</v>
      </c>
      <c r="J887" s="0" t="n">
        <v>47.55</v>
      </c>
      <c r="K887" s="0" t="n">
        <v>30</v>
      </c>
      <c r="T887" s="0" t="n">
        <v>2</v>
      </c>
      <c r="U887" s="0" t="n">
        <v>1</v>
      </c>
      <c r="V887" s="0" t="inlineStr">
        <is>
          <t>계단식</t>
        </is>
      </c>
      <c r="W887" s="0" t="n">
        <v>53</v>
      </c>
      <c r="X887" s="0" t="n">
        <v>5</v>
      </c>
      <c r="Y887" s="0" t="n">
        <v>5</v>
      </c>
      <c r="Z887" s="0" t="inlineStr">
        <is>
          <t>https://new.land.naver.com/complexes/9325?tab=detail&amp;rf=Y</t>
        </is>
      </c>
      <c r="AA887" s="0" t="inlineStr">
        <is>
          <t>인천시 서구 석남동 544-1</t>
        </is>
      </c>
      <c r="AB887" s="0" t="inlineStr">
        <is>
          <t>인천시</t>
        </is>
      </c>
      <c r="AC887" s="0" t="inlineStr">
        <is>
          <t>서구</t>
        </is>
      </c>
      <c r="AD887" s="0" t="inlineStr">
        <is>
          <t>석남동</t>
        </is>
      </c>
      <c r="AG887" s="0" t="inlineStr">
        <is>
          <t>인천시 서구 길주로 104</t>
        </is>
      </c>
      <c r="AH887" s="0" t="n">
        <v>0</v>
      </c>
      <c r="AI887" s="0" t="n">
        <v>0</v>
      </c>
      <c r="AJ887" s="0" t="n">
        <v>0</v>
      </c>
      <c r="AK887" s="0" t="n">
        <v>0</v>
      </c>
      <c r="AL887" s="0" t="n">
        <v>0</v>
      </c>
    </row>
    <row r="888">
      <c r="A888" s="0" t="inlineStr">
        <is>
          <t>[석남동]</t>
        </is>
      </c>
      <c r="B888" s="0" t="n">
        <v>114865</v>
      </c>
      <c r="C888" s="0" t="n">
        <v>1</v>
      </c>
      <c r="D888" s="0" t="inlineStr">
        <is>
          <t>해드림(도시형)</t>
        </is>
      </c>
      <c r="E888" s="0" t="inlineStr">
        <is>
          <t>2015.04.</t>
        </is>
      </c>
      <c r="F888" s="0" t="n">
        <v>52</v>
      </c>
      <c r="G888" s="0" t="n">
        <v>15.67</v>
      </c>
      <c r="H888" s="0" t="n">
        <v>51.81</v>
      </c>
      <c r="I888" s="0" t="n">
        <v>11.96</v>
      </c>
      <c r="J888" s="0" t="n">
        <v>39.56</v>
      </c>
      <c r="K888" s="0" t="n">
        <v>16</v>
      </c>
      <c r="T888" s="0" t="n">
        <v>2</v>
      </c>
      <c r="U888" s="0" t="n">
        <v>1</v>
      </c>
      <c r="V888" s="0" t="inlineStr">
        <is>
          <t>계단식</t>
        </is>
      </c>
      <c r="W888" s="0" t="n">
        <v>51</v>
      </c>
      <c r="X888" s="0" t="n">
        <v>13</v>
      </c>
      <c r="Y888" s="0" t="n">
        <v>13</v>
      </c>
      <c r="Z888" s="0" t="inlineStr">
        <is>
          <t>https://new.land.naver.com/complexes/114865?tab=detail&amp;rf=Y</t>
        </is>
      </c>
      <c r="AA888" s="0" t="inlineStr">
        <is>
          <t>인천시 서구 석남동 497-17</t>
        </is>
      </c>
      <c r="AB888" s="0" t="inlineStr">
        <is>
          <t>인천시</t>
        </is>
      </c>
      <c r="AC888" s="0" t="inlineStr">
        <is>
          <t>서구</t>
        </is>
      </c>
      <c r="AD888" s="0" t="inlineStr">
        <is>
          <t>석남동</t>
        </is>
      </c>
      <c r="AG888" s="0" t="inlineStr">
        <is>
          <t>인천시 서구 신석로 116</t>
        </is>
      </c>
      <c r="AH888" s="0" t="n">
        <v>0</v>
      </c>
      <c r="AI888" s="0" t="n">
        <v>664</v>
      </c>
      <c r="AJ888" s="0" t="n">
        <v>68</v>
      </c>
      <c r="AK888" s="0" t="n">
        <v>38</v>
      </c>
      <c r="AL888" s="0" t="n">
        <v>0.73</v>
      </c>
    </row>
    <row r="889">
      <c r="A889" s="0" t="inlineStr">
        <is>
          <t>[석남동]</t>
        </is>
      </c>
      <c r="B889" s="0" t="n">
        <v>114865</v>
      </c>
      <c r="C889" s="0" t="n">
        <v>2</v>
      </c>
      <c r="D889" s="0" t="inlineStr">
        <is>
          <t>해드림(도시형)</t>
        </is>
      </c>
      <c r="E889" s="0" t="inlineStr">
        <is>
          <t>2015.04.</t>
        </is>
      </c>
      <c r="F889" s="0" t="n">
        <v>52</v>
      </c>
      <c r="G889" s="0" t="n">
        <v>17.12</v>
      </c>
      <c r="H889" s="0" t="n">
        <v>56.6</v>
      </c>
      <c r="I889" s="0" t="n">
        <v>13.05</v>
      </c>
      <c r="J889" s="0" t="n">
        <v>43.17</v>
      </c>
      <c r="K889" s="0" t="n">
        <v>1</v>
      </c>
      <c r="T889" s="0" t="n">
        <v>2</v>
      </c>
      <c r="U889" s="0" t="n">
        <v>1</v>
      </c>
      <c r="V889" s="0" t="inlineStr">
        <is>
          <t>계단식</t>
        </is>
      </c>
      <c r="W889" s="0" t="inlineStr">
        <is>
          <t>56A</t>
        </is>
      </c>
      <c r="X889" s="0" t="n">
        <v>13</v>
      </c>
      <c r="Y889" s="0" t="n">
        <v>13</v>
      </c>
      <c r="Z889" s="0" t="inlineStr">
        <is>
          <t>https://new.land.naver.com/complexes/114865?tab=detail&amp;rf=Y</t>
        </is>
      </c>
      <c r="AA889" s="0" t="inlineStr">
        <is>
          <t>인천시 서구 석남동 497-17</t>
        </is>
      </c>
      <c r="AB889" s="0" t="inlineStr">
        <is>
          <t>인천시</t>
        </is>
      </c>
      <c r="AC889" s="0" t="inlineStr">
        <is>
          <t>서구</t>
        </is>
      </c>
      <c r="AD889" s="0" t="inlineStr">
        <is>
          <t>석남동</t>
        </is>
      </c>
      <c r="AG889" s="0" t="inlineStr">
        <is>
          <t>인천시 서구 신석로 116</t>
        </is>
      </c>
      <c r="AH889" s="0" t="n">
        <v>0</v>
      </c>
      <c r="AI889" s="0" t="n">
        <v>664</v>
      </c>
      <c r="AJ889" s="0" t="n">
        <v>68</v>
      </c>
      <c r="AK889" s="0" t="n">
        <v>38</v>
      </c>
      <c r="AL889" s="0" t="n">
        <v>0.73</v>
      </c>
    </row>
    <row r="890">
      <c r="A890" s="0" t="inlineStr">
        <is>
          <t>[석남동]</t>
        </is>
      </c>
      <c r="B890" s="0" t="n">
        <v>114865</v>
      </c>
      <c r="C890" s="0" t="n">
        <v>3</v>
      </c>
      <c r="D890" s="0" t="inlineStr">
        <is>
          <t>해드림(도시형)</t>
        </is>
      </c>
      <c r="E890" s="0" t="inlineStr">
        <is>
          <t>2015.04.</t>
        </is>
      </c>
      <c r="F890" s="0" t="n">
        <v>52</v>
      </c>
      <c r="G890" s="0" t="n">
        <v>17.16</v>
      </c>
      <c r="H890" s="0" t="n">
        <v>56.76</v>
      </c>
      <c r="I890" s="0" t="n">
        <v>13.06</v>
      </c>
      <c r="J890" s="0" t="n">
        <v>43.19</v>
      </c>
      <c r="K890" s="0" t="n">
        <v>1</v>
      </c>
      <c r="T890" s="0" t="n">
        <v>2</v>
      </c>
      <c r="U890" s="0" t="n">
        <v>1</v>
      </c>
      <c r="V890" s="0" t="inlineStr">
        <is>
          <t>계단식</t>
        </is>
      </c>
      <c r="W890" s="0" t="inlineStr">
        <is>
          <t>56B</t>
        </is>
      </c>
      <c r="X890" s="0" t="n">
        <v>13</v>
      </c>
      <c r="Y890" s="0" t="n">
        <v>13</v>
      </c>
      <c r="Z890" s="0" t="inlineStr">
        <is>
          <t>https://new.land.naver.com/complexes/114865?tab=detail&amp;rf=Y</t>
        </is>
      </c>
      <c r="AA890" s="0" t="inlineStr">
        <is>
          <t>인천시 서구 석남동 497-17</t>
        </is>
      </c>
      <c r="AB890" s="0" t="inlineStr">
        <is>
          <t>인천시</t>
        </is>
      </c>
      <c r="AC890" s="0" t="inlineStr">
        <is>
          <t>서구</t>
        </is>
      </c>
      <c r="AD890" s="0" t="inlineStr">
        <is>
          <t>석남동</t>
        </is>
      </c>
      <c r="AG890" s="0" t="inlineStr">
        <is>
          <t>인천시 서구 신석로 116</t>
        </is>
      </c>
      <c r="AH890" s="0" t="n">
        <v>0</v>
      </c>
      <c r="AI890" s="0" t="n">
        <v>664</v>
      </c>
      <c r="AJ890" s="0" t="n">
        <v>68</v>
      </c>
      <c r="AK890" s="0" t="n">
        <v>38</v>
      </c>
      <c r="AL890" s="0" t="n">
        <v>0.73</v>
      </c>
    </row>
    <row r="891">
      <c r="A891" s="0" t="inlineStr">
        <is>
          <t>[석남동]</t>
        </is>
      </c>
      <c r="B891" s="0" t="n">
        <v>114865</v>
      </c>
      <c r="C891" s="0" t="n">
        <v>4</v>
      </c>
      <c r="D891" s="0" t="inlineStr">
        <is>
          <t>해드림(도시형)</t>
        </is>
      </c>
      <c r="E891" s="0" t="inlineStr">
        <is>
          <t>2015.04.</t>
        </is>
      </c>
      <c r="F891" s="0" t="n">
        <v>52</v>
      </c>
      <c r="G891" s="0" t="n">
        <v>18</v>
      </c>
      <c r="H891" s="0" t="n">
        <v>59.52</v>
      </c>
      <c r="I891" s="0" t="n">
        <v>13.81</v>
      </c>
      <c r="J891" s="0" t="n">
        <v>45.66</v>
      </c>
      <c r="K891" s="0" t="n">
        <v>16</v>
      </c>
      <c r="T891" s="0" t="n">
        <v>2</v>
      </c>
      <c r="U891" s="0" t="n">
        <v>1</v>
      </c>
      <c r="V891" s="0" t="inlineStr">
        <is>
          <t>계단식</t>
        </is>
      </c>
      <c r="W891" s="0" t="inlineStr">
        <is>
          <t>59B</t>
        </is>
      </c>
      <c r="X891" s="0" t="n">
        <v>13</v>
      </c>
      <c r="Y891" s="0" t="n">
        <v>13</v>
      </c>
      <c r="Z891" s="0" t="inlineStr">
        <is>
          <t>https://new.land.naver.com/complexes/114865?tab=detail&amp;rf=Y</t>
        </is>
      </c>
      <c r="AA891" s="0" t="inlineStr">
        <is>
          <t>인천시 서구 석남동 497-17</t>
        </is>
      </c>
      <c r="AB891" s="0" t="inlineStr">
        <is>
          <t>인천시</t>
        </is>
      </c>
      <c r="AC891" s="0" t="inlineStr">
        <is>
          <t>서구</t>
        </is>
      </c>
      <c r="AD891" s="0" t="inlineStr">
        <is>
          <t>석남동</t>
        </is>
      </c>
      <c r="AG891" s="0" t="inlineStr">
        <is>
          <t>인천시 서구 신석로 116</t>
        </is>
      </c>
      <c r="AH891" s="0" t="n">
        <v>0</v>
      </c>
      <c r="AI891" s="0" t="n">
        <v>664</v>
      </c>
      <c r="AJ891" s="0" t="n">
        <v>68</v>
      </c>
      <c r="AK891" s="0" t="n">
        <v>38</v>
      </c>
      <c r="AL891" s="0" t="n">
        <v>0.73</v>
      </c>
    </row>
    <row r="892">
      <c r="A892" s="0" t="inlineStr">
        <is>
          <t>[석남동]</t>
        </is>
      </c>
      <c r="B892" s="0" t="n">
        <v>114865</v>
      </c>
      <c r="C892" s="0" t="n">
        <v>5</v>
      </c>
      <c r="D892" s="0" t="inlineStr">
        <is>
          <t>해드림(도시형)</t>
        </is>
      </c>
      <c r="E892" s="0" t="inlineStr">
        <is>
          <t>2015.04.</t>
        </is>
      </c>
      <c r="F892" s="0" t="n">
        <v>52</v>
      </c>
      <c r="G892" s="0" t="n">
        <v>18.06</v>
      </c>
      <c r="H892" s="0" t="n">
        <v>59.72</v>
      </c>
      <c r="I892" s="0" t="n">
        <v>13.84</v>
      </c>
      <c r="J892" s="0" t="n">
        <v>45.78</v>
      </c>
      <c r="K892" s="0" t="n">
        <v>9</v>
      </c>
      <c r="T892" s="0" t="n">
        <v>2</v>
      </c>
      <c r="U892" s="0" t="n">
        <v>1</v>
      </c>
      <c r="V892" s="0" t="inlineStr">
        <is>
          <t>계단식</t>
        </is>
      </c>
      <c r="W892" s="0" t="inlineStr">
        <is>
          <t>59A</t>
        </is>
      </c>
      <c r="X892" s="0" t="n">
        <v>13</v>
      </c>
      <c r="Y892" s="0" t="n">
        <v>13</v>
      </c>
      <c r="Z892" s="0" t="inlineStr">
        <is>
          <t>https://new.land.naver.com/complexes/114865?tab=detail&amp;rf=Y</t>
        </is>
      </c>
      <c r="AA892" s="0" t="inlineStr">
        <is>
          <t>인천시 서구 석남동 497-17</t>
        </is>
      </c>
      <c r="AB892" s="0" t="inlineStr">
        <is>
          <t>인천시</t>
        </is>
      </c>
      <c r="AC892" s="0" t="inlineStr">
        <is>
          <t>서구</t>
        </is>
      </c>
      <c r="AD892" s="0" t="inlineStr">
        <is>
          <t>석남동</t>
        </is>
      </c>
      <c r="AG892" s="0" t="inlineStr">
        <is>
          <t>인천시 서구 신석로 116</t>
        </is>
      </c>
      <c r="AH892" s="0" t="n">
        <v>0</v>
      </c>
      <c r="AI892" s="0" t="n">
        <v>664</v>
      </c>
      <c r="AJ892" s="0" t="n">
        <v>68</v>
      </c>
      <c r="AK892" s="0" t="n">
        <v>38</v>
      </c>
      <c r="AL892" s="0" t="n">
        <v>0.73</v>
      </c>
    </row>
    <row r="893">
      <c r="A893" s="0" t="inlineStr">
        <is>
          <t>[석남동]</t>
        </is>
      </c>
      <c r="B893" s="0" t="n">
        <v>114865</v>
      </c>
      <c r="C893" s="0" t="n">
        <v>6</v>
      </c>
      <c r="D893" s="0" t="inlineStr">
        <is>
          <t>해드림(도시형)</t>
        </is>
      </c>
      <c r="E893" s="0" t="inlineStr">
        <is>
          <t>2015.04.</t>
        </is>
      </c>
      <c r="F893" s="0" t="n">
        <v>52</v>
      </c>
      <c r="G893" s="0" t="n">
        <v>18.13</v>
      </c>
      <c r="H893" s="0" t="n">
        <v>59.94</v>
      </c>
      <c r="I893" s="0" t="n">
        <v>13.88</v>
      </c>
      <c r="J893" s="0" t="n">
        <v>45.91</v>
      </c>
      <c r="K893" s="0" t="n">
        <v>1</v>
      </c>
      <c r="T893" s="0" t="n">
        <v>2</v>
      </c>
      <c r="U893" s="0" t="n">
        <v>1</v>
      </c>
      <c r="V893" s="0" t="inlineStr">
        <is>
          <t>계단식</t>
        </is>
      </c>
      <c r="W893" s="0" t="inlineStr">
        <is>
          <t>59D</t>
        </is>
      </c>
      <c r="X893" s="0" t="n">
        <v>13</v>
      </c>
      <c r="Y893" s="0" t="n">
        <v>13</v>
      </c>
      <c r="Z893" s="0" t="inlineStr">
        <is>
          <t>https://new.land.naver.com/complexes/114865?tab=detail&amp;rf=Y</t>
        </is>
      </c>
      <c r="AA893" s="0" t="inlineStr">
        <is>
          <t>인천시 서구 석남동 497-17</t>
        </is>
      </c>
      <c r="AB893" s="0" t="inlineStr">
        <is>
          <t>인천시</t>
        </is>
      </c>
      <c r="AC893" s="0" t="inlineStr">
        <is>
          <t>서구</t>
        </is>
      </c>
      <c r="AD893" s="0" t="inlineStr">
        <is>
          <t>석남동</t>
        </is>
      </c>
      <c r="AG893" s="0" t="inlineStr">
        <is>
          <t>인천시 서구 신석로 116</t>
        </is>
      </c>
      <c r="AH893" s="0" t="n">
        <v>0</v>
      </c>
      <c r="AI893" s="0" t="n">
        <v>664</v>
      </c>
      <c r="AJ893" s="0" t="n">
        <v>68</v>
      </c>
      <c r="AK893" s="0" t="n">
        <v>38</v>
      </c>
      <c r="AL893" s="0" t="n">
        <v>0.73</v>
      </c>
    </row>
    <row r="894">
      <c r="A894" s="0" t="inlineStr">
        <is>
          <t>[석남동]</t>
        </is>
      </c>
      <c r="B894" s="0" t="n">
        <v>114865</v>
      </c>
      <c r="C894" s="0" t="n">
        <v>7</v>
      </c>
      <c r="D894" s="0" t="inlineStr">
        <is>
          <t>해드림(도시형)</t>
        </is>
      </c>
      <c r="E894" s="0" t="inlineStr">
        <is>
          <t>2015.04.</t>
        </is>
      </c>
      <c r="F894" s="0" t="n">
        <v>52</v>
      </c>
      <c r="G894" s="0" t="n">
        <v>18.19</v>
      </c>
      <c r="H894" s="0" t="n">
        <v>60.14</v>
      </c>
      <c r="I894" s="0" t="n">
        <v>13.95</v>
      </c>
      <c r="J894" s="0" t="n">
        <v>46.13</v>
      </c>
      <c r="K894" s="0" t="n">
        <v>8</v>
      </c>
      <c r="T894" s="0" t="n">
        <v>2</v>
      </c>
      <c r="U894" s="0" t="n">
        <v>1</v>
      </c>
      <c r="V894" s="0" t="inlineStr">
        <is>
          <t>계단식</t>
        </is>
      </c>
      <c r="W894" s="0" t="inlineStr">
        <is>
          <t>60C</t>
        </is>
      </c>
      <c r="X894" s="0" t="n">
        <v>13</v>
      </c>
      <c r="Y894" s="0" t="n">
        <v>13</v>
      </c>
      <c r="Z894" s="0" t="inlineStr">
        <is>
          <t>https://new.land.naver.com/complexes/114865?tab=detail&amp;rf=Y</t>
        </is>
      </c>
      <c r="AA894" s="0" t="inlineStr">
        <is>
          <t>인천시 서구 석남동 497-17</t>
        </is>
      </c>
      <c r="AB894" s="0" t="inlineStr">
        <is>
          <t>인천시</t>
        </is>
      </c>
      <c r="AC894" s="0" t="inlineStr">
        <is>
          <t>서구</t>
        </is>
      </c>
      <c r="AD894" s="0" t="inlineStr">
        <is>
          <t>석남동</t>
        </is>
      </c>
      <c r="AG894" s="0" t="inlineStr">
        <is>
          <t>인천시 서구 신석로 116</t>
        </is>
      </c>
      <c r="AH894" s="0" t="n">
        <v>0</v>
      </c>
      <c r="AI894" s="0" t="n">
        <v>664</v>
      </c>
      <c r="AJ894" s="0" t="n">
        <v>68</v>
      </c>
      <c r="AK894" s="0" t="n">
        <v>38</v>
      </c>
      <c r="AL894" s="0" t="n">
        <v>0.73</v>
      </c>
    </row>
    <row r="895">
      <c r="A895" s="0" t="inlineStr">
        <is>
          <t>[석남동]</t>
        </is>
      </c>
      <c r="B895" s="0" t="n">
        <v>141670</v>
      </c>
      <c r="C895" s="0" t="n">
        <v>1</v>
      </c>
      <c r="D895" s="0" t="inlineStr">
        <is>
          <t>바롬채(도시형)</t>
        </is>
      </c>
      <c r="E895" s="0" t="inlineStr">
        <is>
          <t>2021.04.</t>
        </is>
      </c>
      <c r="F895" s="0" t="n">
        <v>42</v>
      </c>
      <c r="G895" s="0" t="n">
        <v>18.28</v>
      </c>
      <c r="H895" s="0" t="n">
        <v>60.46</v>
      </c>
      <c r="I895" s="0" t="n">
        <v>13.99</v>
      </c>
      <c r="J895" s="0" t="n">
        <v>46.26</v>
      </c>
      <c r="K895" s="0" t="n">
        <v>14</v>
      </c>
      <c r="T895" s="0" t="n">
        <v>1</v>
      </c>
      <c r="U895" s="0" t="n">
        <v>1</v>
      </c>
      <c r="V895" s="0" t="inlineStr">
        <is>
          <t>복합식</t>
        </is>
      </c>
      <c r="W895" s="0" t="n">
        <v>60</v>
      </c>
      <c r="X895" s="0" t="n">
        <v>16</v>
      </c>
      <c r="Y895" s="0" t="n">
        <v>15</v>
      </c>
      <c r="Z895" s="0" t="inlineStr">
        <is>
          <t>https://new.land.naver.com/complexes/141670?tab=detail&amp;rf=Y</t>
        </is>
      </c>
      <c r="AA895" s="0" t="inlineStr">
        <is>
          <t>인천시 서구 석남동 199-300</t>
        </is>
      </c>
      <c r="AB895" s="0" t="inlineStr">
        <is>
          <t>인천시</t>
        </is>
      </c>
      <c r="AC895" s="0" t="inlineStr">
        <is>
          <t>서구</t>
        </is>
      </c>
      <c r="AD895" s="0" t="inlineStr">
        <is>
          <t>석남동</t>
        </is>
      </c>
      <c r="AG895" s="0" t="inlineStr">
        <is>
          <t>인천시 서구 율도로15번길 4</t>
        </is>
      </c>
      <c r="AH895" s="0" t="n">
        <v>0</v>
      </c>
      <c r="AI895" s="0" t="n">
        <v>244</v>
      </c>
      <c r="AJ895" s="0" t="n">
        <v>39</v>
      </c>
      <c r="AK895" s="0" t="n">
        <v>54</v>
      </c>
      <c r="AL895" s="0" t="n">
        <v>1.29</v>
      </c>
    </row>
    <row r="896">
      <c r="A896" s="0" t="inlineStr">
        <is>
          <t>[석남동]</t>
        </is>
      </c>
      <c r="B896" s="0" t="n">
        <v>141670</v>
      </c>
      <c r="C896" s="0" t="n">
        <v>2</v>
      </c>
      <c r="D896" s="0" t="inlineStr">
        <is>
          <t>바롬채(도시형)</t>
        </is>
      </c>
      <c r="E896" s="0" t="inlineStr">
        <is>
          <t>2021.04.</t>
        </is>
      </c>
      <c r="F896" s="0" t="n">
        <v>42</v>
      </c>
      <c r="G896" s="0" t="n">
        <v>18.72</v>
      </c>
      <c r="H896" s="0" t="n">
        <v>61.91</v>
      </c>
      <c r="I896" s="0" t="n">
        <v>14.34</v>
      </c>
      <c r="J896" s="0" t="n">
        <v>47.43</v>
      </c>
      <c r="K896" s="0" t="n">
        <v>14</v>
      </c>
      <c r="T896" s="0" t="n">
        <v>1</v>
      </c>
      <c r="U896" s="0" t="n">
        <v>1</v>
      </c>
      <c r="V896" s="0" t="inlineStr">
        <is>
          <t>복합식</t>
        </is>
      </c>
      <c r="W896" s="0" t="inlineStr">
        <is>
          <t>61A</t>
        </is>
      </c>
      <c r="X896" s="0" t="n">
        <v>16</v>
      </c>
      <c r="Y896" s="0" t="n">
        <v>15</v>
      </c>
      <c r="Z896" s="0" t="inlineStr">
        <is>
          <t>https://new.land.naver.com/complexes/141670?tab=detail&amp;rf=Y</t>
        </is>
      </c>
      <c r="AA896" s="0" t="inlineStr">
        <is>
          <t>인천시 서구 석남동 199-300</t>
        </is>
      </c>
      <c r="AB896" s="0" t="inlineStr">
        <is>
          <t>인천시</t>
        </is>
      </c>
      <c r="AC896" s="0" t="inlineStr">
        <is>
          <t>서구</t>
        </is>
      </c>
      <c r="AD896" s="0" t="inlineStr">
        <is>
          <t>석남동</t>
        </is>
      </c>
      <c r="AG896" s="0" t="inlineStr">
        <is>
          <t>인천시 서구 율도로15번길 4</t>
        </is>
      </c>
      <c r="AH896" s="0" t="n">
        <v>0</v>
      </c>
      <c r="AI896" s="0" t="n">
        <v>244</v>
      </c>
      <c r="AJ896" s="0" t="n">
        <v>39</v>
      </c>
      <c r="AK896" s="0" t="n">
        <v>54</v>
      </c>
      <c r="AL896" s="0" t="n">
        <v>1.29</v>
      </c>
    </row>
    <row r="897">
      <c r="A897" s="0" t="inlineStr">
        <is>
          <t>[석남동]</t>
        </is>
      </c>
      <c r="B897" s="0" t="n">
        <v>141670</v>
      </c>
      <c r="C897" s="0" t="n">
        <v>3</v>
      </c>
      <c r="D897" s="0" t="inlineStr">
        <is>
          <t>바롬채(도시형)</t>
        </is>
      </c>
      <c r="E897" s="0" t="inlineStr">
        <is>
          <t>2021.04.</t>
        </is>
      </c>
      <c r="F897" s="0" t="n">
        <v>42</v>
      </c>
      <c r="G897" s="0" t="n">
        <v>19.47</v>
      </c>
      <c r="H897" s="0" t="n">
        <v>64.38</v>
      </c>
      <c r="I897" s="0" t="n">
        <v>14.96</v>
      </c>
      <c r="J897" s="0" t="n">
        <v>49.48</v>
      </c>
      <c r="K897" s="0" t="n">
        <v>13</v>
      </c>
      <c r="T897" s="0" t="n">
        <v>1</v>
      </c>
      <c r="U897" s="0" t="n">
        <v>1</v>
      </c>
      <c r="V897" s="0" t="inlineStr">
        <is>
          <t>복합식</t>
        </is>
      </c>
      <c r="W897" s="0" t="inlineStr">
        <is>
          <t>64B</t>
        </is>
      </c>
      <c r="X897" s="0" t="n">
        <v>16</v>
      </c>
      <c r="Y897" s="0" t="n">
        <v>15</v>
      </c>
      <c r="Z897" s="0" t="inlineStr">
        <is>
          <t>https://new.land.naver.com/complexes/141670?tab=detail&amp;rf=Y</t>
        </is>
      </c>
      <c r="AA897" s="0" t="inlineStr">
        <is>
          <t>인천시 서구 석남동 199-300</t>
        </is>
      </c>
      <c r="AB897" s="0" t="inlineStr">
        <is>
          <t>인천시</t>
        </is>
      </c>
      <c r="AC897" s="0" t="inlineStr">
        <is>
          <t>서구</t>
        </is>
      </c>
      <c r="AD897" s="0" t="inlineStr">
        <is>
          <t>석남동</t>
        </is>
      </c>
      <c r="AG897" s="0" t="inlineStr">
        <is>
          <t>인천시 서구 율도로15번길 4</t>
        </is>
      </c>
      <c r="AH897" s="0" t="n">
        <v>0</v>
      </c>
      <c r="AI897" s="0" t="n">
        <v>244</v>
      </c>
      <c r="AJ897" s="0" t="n">
        <v>39</v>
      </c>
      <c r="AK897" s="0" t="n">
        <v>54</v>
      </c>
      <c r="AL897" s="0" t="n">
        <v>1.29</v>
      </c>
    </row>
    <row r="898">
      <c r="A898" s="0" t="inlineStr">
        <is>
          <t>[석남동]</t>
        </is>
      </c>
      <c r="B898" s="0" t="n">
        <v>141670</v>
      </c>
      <c r="C898" s="0" t="n">
        <v>4</v>
      </c>
      <c r="D898" s="0" t="inlineStr">
        <is>
          <t>바롬채(도시형)</t>
        </is>
      </c>
      <c r="E898" s="0" t="inlineStr">
        <is>
          <t>2021.04.</t>
        </is>
      </c>
      <c r="F898" s="0" t="n">
        <v>42</v>
      </c>
      <c r="G898" s="0" t="n">
        <v>19.56</v>
      </c>
      <c r="H898" s="0" t="n">
        <v>64.68000000000001</v>
      </c>
      <c r="I898" s="0" t="n">
        <v>15.05</v>
      </c>
      <c r="J898" s="0" t="n">
        <v>49.78</v>
      </c>
      <c r="K898" s="0" t="n">
        <v>1</v>
      </c>
      <c r="T898" s="0" t="n">
        <v>1</v>
      </c>
      <c r="U898" s="0" t="n">
        <v>1</v>
      </c>
      <c r="V898" s="0" t="inlineStr">
        <is>
          <t>복합식</t>
        </is>
      </c>
      <c r="W898" s="0" t="n">
        <v>64</v>
      </c>
      <c r="X898" s="0" t="n">
        <v>16</v>
      </c>
      <c r="Y898" s="0" t="n">
        <v>15</v>
      </c>
      <c r="Z898" s="0" t="inlineStr">
        <is>
          <t>https://new.land.naver.com/complexes/141670?tab=detail&amp;rf=Y</t>
        </is>
      </c>
      <c r="AA898" s="0" t="inlineStr">
        <is>
          <t>인천시 서구 석남동 199-300</t>
        </is>
      </c>
      <c r="AB898" s="0" t="inlineStr">
        <is>
          <t>인천시</t>
        </is>
      </c>
      <c r="AC898" s="0" t="inlineStr">
        <is>
          <t>서구</t>
        </is>
      </c>
      <c r="AD898" s="0" t="inlineStr">
        <is>
          <t>석남동</t>
        </is>
      </c>
      <c r="AG898" s="0" t="inlineStr">
        <is>
          <t>인천시 서구 율도로15번길 4</t>
        </is>
      </c>
      <c r="AH898" s="0" t="n">
        <v>0</v>
      </c>
      <c r="AI898" s="0" t="n">
        <v>244</v>
      </c>
      <c r="AJ898" s="0" t="n">
        <v>39</v>
      </c>
      <c r="AK898" s="0" t="n">
        <v>54</v>
      </c>
      <c r="AL898" s="0" t="n">
        <v>1.29</v>
      </c>
    </row>
    <row r="899">
      <c r="A899" s="0" t="inlineStr">
        <is>
          <t>[석남동]</t>
        </is>
      </c>
      <c r="B899" s="0" t="n">
        <v>9910</v>
      </c>
      <c r="C899" s="0" t="n">
        <v>1</v>
      </c>
      <c r="D899" s="0" t="inlineStr">
        <is>
          <t>석남하이빌</t>
        </is>
      </c>
      <c r="E899" s="0" t="inlineStr">
        <is>
          <t>1996.06.</t>
        </is>
      </c>
      <c r="F899" s="0" t="n">
        <v>16</v>
      </c>
      <c r="G899" s="0" t="n">
        <v>31.47</v>
      </c>
      <c r="H899" s="0" t="n">
        <v>104.06</v>
      </c>
      <c r="I899" s="0" t="n">
        <v>22.36</v>
      </c>
      <c r="J899" s="0" t="n">
        <v>73.92</v>
      </c>
      <c r="K899" s="0" t="n">
        <v>16</v>
      </c>
      <c r="T899" s="0" t="n">
        <v>3</v>
      </c>
      <c r="U899" s="0" t="n">
        <v>1</v>
      </c>
      <c r="V899" s="0" t="inlineStr">
        <is>
          <t>계단식</t>
        </is>
      </c>
      <c r="W899" s="0" t="n">
        <v>104</v>
      </c>
      <c r="X899" s="0" t="n">
        <v>7</v>
      </c>
      <c r="Y899" s="0" t="n">
        <v>7</v>
      </c>
      <c r="Z899" s="0" t="inlineStr">
        <is>
          <t>https://new.land.naver.com/complexes/9910?tab=detail&amp;rf=Y</t>
        </is>
      </c>
      <c r="AA899" s="0" t="inlineStr">
        <is>
          <t>인천시 서구 석남동 502-4</t>
        </is>
      </c>
      <c r="AB899" s="0" t="inlineStr">
        <is>
          <t>인천시</t>
        </is>
      </c>
      <c r="AC899" s="0" t="inlineStr">
        <is>
          <t>서구</t>
        </is>
      </c>
      <c r="AD899" s="0" t="inlineStr">
        <is>
          <t>석남동</t>
        </is>
      </c>
      <c r="AG899" s="0" t="inlineStr">
        <is>
          <t>인천시 서구 길주로 119</t>
        </is>
      </c>
      <c r="AH899" s="0" t="n">
        <v>0</v>
      </c>
      <c r="AI899" s="0" t="n">
        <v>353</v>
      </c>
      <c r="AJ899" s="0" t="n">
        <v>67</v>
      </c>
      <c r="AK899" s="0" t="n">
        <v>31</v>
      </c>
      <c r="AL899" s="0" t="n">
        <v>1.94</v>
      </c>
    </row>
    <row r="900">
      <c r="A900" s="0" t="inlineStr">
        <is>
          <t>[석남동]</t>
        </is>
      </c>
      <c r="B900" s="0" t="n">
        <v>10287</v>
      </c>
      <c r="C900" s="0" t="n">
        <v>1</v>
      </c>
      <c r="D900" s="0" t="inlineStr">
        <is>
          <t>대명</t>
        </is>
      </c>
      <c r="E900" s="0" t="inlineStr">
        <is>
          <t>1998.04.</t>
        </is>
      </c>
      <c r="F900" s="0" t="n">
        <v>184</v>
      </c>
      <c r="G900" s="0" t="n">
        <v>17.46</v>
      </c>
      <c r="H900" s="0" t="n">
        <v>57.72</v>
      </c>
      <c r="I900" s="0" t="n">
        <v>11.87</v>
      </c>
      <c r="J900" s="0" t="n">
        <v>39.25</v>
      </c>
      <c r="K900" s="0" t="n">
        <v>112</v>
      </c>
      <c r="T900" s="0" t="n">
        <v>2</v>
      </c>
      <c r="U900" s="0" t="n">
        <v>1</v>
      </c>
      <c r="V900" s="0" t="inlineStr">
        <is>
          <t>복도식</t>
        </is>
      </c>
      <c r="W900" s="0" t="n">
        <v>57</v>
      </c>
      <c r="X900" s="0" t="n">
        <v>18</v>
      </c>
      <c r="Y900" s="0" t="n">
        <v>8</v>
      </c>
      <c r="Z900" s="0" t="inlineStr">
        <is>
          <t>https://new.land.naver.com/complexes/10287?tab=detail&amp;rf=Y</t>
        </is>
      </c>
      <c r="AA900" s="0" t="inlineStr">
        <is>
          <t>인천시 서구 석남동 209</t>
        </is>
      </c>
      <c r="AB900" s="0" t="inlineStr">
        <is>
          <t>인천시</t>
        </is>
      </c>
      <c r="AC900" s="0" t="inlineStr">
        <is>
          <t>서구</t>
        </is>
      </c>
      <c r="AD900" s="0" t="inlineStr">
        <is>
          <t>석남동</t>
        </is>
      </c>
      <c r="AG900" s="0" t="inlineStr">
        <is>
          <t>인천시 서구 새오개로 4</t>
        </is>
      </c>
      <c r="AH900" s="0" t="n">
        <v>0</v>
      </c>
      <c r="AI900" s="0" t="n">
        <v>245</v>
      </c>
      <c r="AJ900" s="0" t="n">
        <v>24</v>
      </c>
      <c r="AK900" s="0" t="n">
        <v>111</v>
      </c>
      <c r="AL900" s="0" t="n">
        <v>0.6</v>
      </c>
    </row>
    <row r="901">
      <c r="A901" s="0" t="inlineStr">
        <is>
          <t>[석남동]</t>
        </is>
      </c>
      <c r="B901" s="0" t="n">
        <v>10287</v>
      </c>
      <c r="C901" s="0" t="n">
        <v>2</v>
      </c>
      <c r="D901" s="0" t="inlineStr">
        <is>
          <t>대명</t>
        </is>
      </c>
      <c r="E901" s="0" t="inlineStr">
        <is>
          <t>1998.04.</t>
        </is>
      </c>
      <c r="F901" s="0" t="n">
        <v>184</v>
      </c>
      <c r="G901" s="0" t="n">
        <v>24.29</v>
      </c>
      <c r="H901" s="0" t="n">
        <v>80.31999999999999</v>
      </c>
      <c r="I901" s="0" t="n">
        <v>18.07</v>
      </c>
      <c r="J901" s="0" t="n">
        <v>59.76</v>
      </c>
      <c r="K901" s="0" t="n">
        <v>72</v>
      </c>
      <c r="T901" s="0" t="n">
        <v>3</v>
      </c>
      <c r="U901" s="0" t="n">
        <v>1</v>
      </c>
      <c r="V901" s="0" t="inlineStr">
        <is>
          <t>계단식</t>
        </is>
      </c>
      <c r="W901" s="0" t="n">
        <v>80</v>
      </c>
      <c r="X901" s="0" t="n">
        <v>18</v>
      </c>
      <c r="Y901" s="0" t="n">
        <v>8</v>
      </c>
      <c r="Z901" s="0" t="inlineStr">
        <is>
          <t>https://new.land.naver.com/complexes/10287?tab=detail&amp;rf=Y</t>
        </is>
      </c>
      <c r="AA901" s="0" t="inlineStr">
        <is>
          <t>인천시 서구 석남동 209</t>
        </is>
      </c>
      <c r="AB901" s="0" t="inlineStr">
        <is>
          <t>인천시</t>
        </is>
      </c>
      <c r="AC901" s="0" t="inlineStr">
        <is>
          <t>서구</t>
        </is>
      </c>
      <c r="AD901" s="0" t="inlineStr">
        <is>
          <t>석남동</t>
        </is>
      </c>
      <c r="AG901" s="0" t="inlineStr">
        <is>
          <t>인천시 서구 새오개로 4</t>
        </is>
      </c>
      <c r="AH901" s="0" t="n">
        <v>0</v>
      </c>
      <c r="AI901" s="0" t="n">
        <v>245</v>
      </c>
      <c r="AJ901" s="0" t="n">
        <v>24</v>
      </c>
      <c r="AK901" s="0" t="n">
        <v>111</v>
      </c>
      <c r="AL901" s="0" t="n">
        <v>0.6</v>
      </c>
    </row>
    <row r="902">
      <c r="A902" s="0" t="inlineStr">
        <is>
          <t>[석남동]</t>
        </is>
      </c>
      <c r="B902" s="0" t="n">
        <v>10459</v>
      </c>
      <c r="C902" s="0" t="n">
        <v>1</v>
      </c>
      <c r="D902" s="0" t="inlineStr">
        <is>
          <t>동우</t>
        </is>
      </c>
      <c r="E902" s="0" t="inlineStr">
        <is>
          <t>1986.12.</t>
        </is>
      </c>
      <c r="F902" s="0" t="n">
        <v>100</v>
      </c>
      <c r="G902" s="0" t="n">
        <v>20.71</v>
      </c>
      <c r="H902" s="0" t="n">
        <v>68.47</v>
      </c>
      <c r="I902" s="0" t="n">
        <v>15.62</v>
      </c>
      <c r="J902" s="0" t="n">
        <v>51.66</v>
      </c>
      <c r="K902" s="0" t="n">
        <v>35</v>
      </c>
      <c r="T902" s="0" t="n">
        <v>2</v>
      </c>
      <c r="U902" s="0" t="n">
        <v>1</v>
      </c>
      <c r="V902" s="0" t="inlineStr">
        <is>
          <t>복합식</t>
        </is>
      </c>
      <c r="W902" s="0" t="n">
        <v>68</v>
      </c>
      <c r="X902" s="0" t="n">
        <v>5</v>
      </c>
      <c r="Y902" s="0" t="n">
        <v>5</v>
      </c>
      <c r="Z902" s="0" t="inlineStr">
        <is>
          <t>https://new.land.naver.com/complexes/10459?tab=detail&amp;rf=Y</t>
        </is>
      </c>
      <c r="AA902" s="0" t="inlineStr">
        <is>
          <t>인천시 서구 석남동 521-2</t>
        </is>
      </c>
      <c r="AB902" s="0" t="inlineStr">
        <is>
          <t>인천시</t>
        </is>
      </c>
      <c r="AC902" s="0" t="inlineStr">
        <is>
          <t>서구</t>
        </is>
      </c>
      <c r="AD902" s="0" t="inlineStr">
        <is>
          <t>석남동</t>
        </is>
      </c>
      <c r="AG902" s="0" t="inlineStr">
        <is>
          <t>인천시 서구 길주로75번길 23</t>
        </is>
      </c>
      <c r="AH902" s="0" t="n">
        <v>0</v>
      </c>
      <c r="AI902" s="0" t="n">
        <v>141</v>
      </c>
      <c r="AJ902" s="0" t="n">
        <v>28</v>
      </c>
      <c r="AK902" s="0" t="n">
        <v>0</v>
      </c>
      <c r="AL902" s="0" t="n">
        <v>0</v>
      </c>
    </row>
    <row r="903">
      <c r="A903" s="0" t="inlineStr">
        <is>
          <t>[석남동]</t>
        </is>
      </c>
      <c r="B903" s="0" t="n">
        <v>10459</v>
      </c>
      <c r="C903" s="0" t="n">
        <v>2</v>
      </c>
      <c r="D903" s="0" t="inlineStr">
        <is>
          <t>동우</t>
        </is>
      </c>
      <c r="E903" s="0" t="inlineStr">
        <is>
          <t>1986.12.</t>
        </is>
      </c>
      <c r="F903" s="0" t="n">
        <v>100</v>
      </c>
      <c r="G903" s="0" t="n">
        <v>21.85</v>
      </c>
      <c r="H903" s="0" t="n">
        <v>72.25</v>
      </c>
      <c r="I903" s="0" t="n">
        <v>16.58</v>
      </c>
      <c r="J903" s="0" t="n">
        <v>54.81</v>
      </c>
      <c r="K903" s="0" t="n">
        <v>65</v>
      </c>
      <c r="T903" s="0" t="n">
        <v>3</v>
      </c>
      <c r="U903" s="0" t="n">
        <v>1</v>
      </c>
      <c r="V903" s="0" t="inlineStr">
        <is>
          <t>계단식</t>
        </is>
      </c>
      <c r="W903" s="0" t="n">
        <v>72</v>
      </c>
      <c r="X903" s="0" t="n">
        <v>5</v>
      </c>
      <c r="Y903" s="0" t="n">
        <v>5</v>
      </c>
      <c r="Z903" s="0" t="inlineStr">
        <is>
          <t>https://new.land.naver.com/complexes/10459?tab=detail&amp;rf=Y</t>
        </is>
      </c>
      <c r="AA903" s="0" t="inlineStr">
        <is>
          <t>인천시 서구 석남동 521-2</t>
        </is>
      </c>
      <c r="AB903" s="0" t="inlineStr">
        <is>
          <t>인천시</t>
        </is>
      </c>
      <c r="AC903" s="0" t="inlineStr">
        <is>
          <t>서구</t>
        </is>
      </c>
      <c r="AD903" s="0" t="inlineStr">
        <is>
          <t>석남동</t>
        </is>
      </c>
      <c r="AG903" s="0" t="inlineStr">
        <is>
          <t>인천시 서구 길주로75번길 23</t>
        </is>
      </c>
      <c r="AH903" s="0" t="n">
        <v>0</v>
      </c>
      <c r="AI903" s="0" t="n">
        <v>141</v>
      </c>
      <c r="AJ903" s="0" t="n">
        <v>28</v>
      </c>
      <c r="AK903" s="0" t="n">
        <v>0</v>
      </c>
      <c r="AL903" s="0" t="n">
        <v>0</v>
      </c>
    </row>
    <row r="904">
      <c r="A904" s="0" t="inlineStr">
        <is>
          <t>[석남동]</t>
        </is>
      </c>
      <c r="B904" s="0" t="n">
        <v>121367</v>
      </c>
      <c r="C904" s="0" t="n">
        <v>1</v>
      </c>
      <c r="D904" s="0" t="inlineStr">
        <is>
          <t>롯데</t>
        </is>
      </c>
      <c r="E904" s="0" t="inlineStr">
        <is>
          <t>2002.01.</t>
        </is>
      </c>
      <c r="F904" s="0" t="n">
        <v>44</v>
      </c>
      <c r="G904" s="0" t="n">
        <v>11.29</v>
      </c>
      <c r="H904" s="0" t="n">
        <v>37.34</v>
      </c>
      <c r="I904" s="0" t="n">
        <v>10</v>
      </c>
      <c r="J904" s="0" t="n">
        <v>33.09</v>
      </c>
      <c r="K904" s="0" t="n">
        <v>4</v>
      </c>
      <c r="T904" s="0" t="n">
        <v>2</v>
      </c>
      <c r="U904" s="0" t="n">
        <v>1</v>
      </c>
      <c r="V904" s="0" t="inlineStr">
        <is>
          <t>계단식</t>
        </is>
      </c>
      <c r="W904" s="0" t="n">
        <v>37</v>
      </c>
      <c r="X904" s="0" t="n">
        <v>5</v>
      </c>
      <c r="Y904" s="0" t="n">
        <v>5</v>
      </c>
      <c r="Z904" s="0" t="inlineStr">
        <is>
          <t>https://new.land.naver.com/complexes/121367?tab=detail&amp;rf=Y</t>
        </is>
      </c>
      <c r="AA904" s="0" t="inlineStr">
        <is>
          <t>인천시 서구 석남동 495-4</t>
        </is>
      </c>
      <c r="AB904" s="0" t="inlineStr">
        <is>
          <t>인천시</t>
        </is>
      </c>
      <c r="AC904" s="0" t="inlineStr">
        <is>
          <t>서구</t>
        </is>
      </c>
      <c r="AD904" s="0" t="inlineStr">
        <is>
          <t>석남동</t>
        </is>
      </c>
      <c r="AG904" s="0" t="inlineStr">
        <is>
          <t>인천시 서구 신석로122번길 29</t>
        </is>
      </c>
      <c r="AH904" s="0" t="n">
        <v>0</v>
      </c>
      <c r="AI904" s="0" t="n">
        <v>0</v>
      </c>
      <c r="AJ904" s="0" t="n">
        <v>0</v>
      </c>
      <c r="AK904" s="0" t="n">
        <v>21</v>
      </c>
      <c r="AL904" s="0" t="n">
        <v>0.48</v>
      </c>
    </row>
    <row r="905">
      <c r="A905" s="0" t="inlineStr">
        <is>
          <t>[석남동]</t>
        </is>
      </c>
      <c r="B905" s="0" t="n">
        <v>121367</v>
      </c>
      <c r="C905" s="0" t="n">
        <v>2</v>
      </c>
      <c r="D905" s="0" t="inlineStr">
        <is>
          <t>롯데</t>
        </is>
      </c>
      <c r="E905" s="0" t="inlineStr">
        <is>
          <t>2002.01.</t>
        </is>
      </c>
      <c r="F905" s="0" t="n">
        <v>44</v>
      </c>
      <c r="G905" s="0" t="n">
        <v>13.39</v>
      </c>
      <c r="H905" s="0" t="n">
        <v>44.27</v>
      </c>
      <c r="I905" s="0" t="n">
        <v>11.86</v>
      </c>
      <c r="J905" s="0" t="n">
        <v>39.21</v>
      </c>
      <c r="K905" s="0" t="n">
        <v>16</v>
      </c>
      <c r="T905" s="0" t="n">
        <v>2</v>
      </c>
      <c r="U905" s="0" t="n">
        <v>1</v>
      </c>
      <c r="V905" s="0" t="inlineStr">
        <is>
          <t>계단식</t>
        </is>
      </c>
      <c r="W905" s="0" t="n">
        <v>44</v>
      </c>
      <c r="X905" s="0" t="n">
        <v>5</v>
      </c>
      <c r="Y905" s="0" t="n">
        <v>5</v>
      </c>
      <c r="Z905" s="0" t="inlineStr">
        <is>
          <t>https://new.land.naver.com/complexes/121367?tab=detail&amp;rf=Y</t>
        </is>
      </c>
      <c r="AA905" s="0" t="inlineStr">
        <is>
          <t>인천시 서구 석남동 495-4</t>
        </is>
      </c>
      <c r="AB905" s="0" t="inlineStr">
        <is>
          <t>인천시</t>
        </is>
      </c>
      <c r="AC905" s="0" t="inlineStr">
        <is>
          <t>서구</t>
        </is>
      </c>
      <c r="AD905" s="0" t="inlineStr">
        <is>
          <t>석남동</t>
        </is>
      </c>
      <c r="AG905" s="0" t="inlineStr">
        <is>
          <t>인천시 서구 신석로122번길 29</t>
        </is>
      </c>
      <c r="AH905" s="0" t="n">
        <v>0</v>
      </c>
      <c r="AI905" s="0" t="n">
        <v>0</v>
      </c>
      <c r="AJ905" s="0" t="n">
        <v>0</v>
      </c>
      <c r="AK905" s="0" t="n">
        <v>21</v>
      </c>
      <c r="AL905" s="0" t="n">
        <v>0.48</v>
      </c>
    </row>
    <row r="906">
      <c r="A906" s="0" t="inlineStr">
        <is>
          <t>[석남동]</t>
        </is>
      </c>
      <c r="B906" s="0" t="n">
        <v>121367</v>
      </c>
      <c r="C906" s="0" t="n">
        <v>3</v>
      </c>
      <c r="D906" s="0" t="inlineStr">
        <is>
          <t>롯데</t>
        </is>
      </c>
      <c r="E906" s="0" t="inlineStr">
        <is>
          <t>2002.01.</t>
        </is>
      </c>
      <c r="F906" s="0" t="n">
        <v>44</v>
      </c>
      <c r="G906" s="0" t="n">
        <v>15.3</v>
      </c>
      <c r="H906" s="0" t="n">
        <v>50.61</v>
      </c>
      <c r="I906" s="0" t="n">
        <v>13.61</v>
      </c>
      <c r="J906" s="0" t="n">
        <v>45.01</v>
      </c>
      <c r="K906" s="0" t="n">
        <v>16</v>
      </c>
      <c r="T906" s="0" t="n">
        <v>2</v>
      </c>
      <c r="U906" s="0" t="n">
        <v>1</v>
      </c>
      <c r="V906" s="0" t="inlineStr">
        <is>
          <t>계단식</t>
        </is>
      </c>
      <c r="W906" s="0" t="inlineStr">
        <is>
          <t>50A</t>
        </is>
      </c>
      <c r="X906" s="0" t="n">
        <v>5</v>
      </c>
      <c r="Y906" s="0" t="n">
        <v>5</v>
      </c>
      <c r="Z906" s="0" t="inlineStr">
        <is>
          <t>https://new.land.naver.com/complexes/121367?tab=detail&amp;rf=Y</t>
        </is>
      </c>
      <c r="AA906" s="0" t="inlineStr">
        <is>
          <t>인천시 서구 석남동 495-4</t>
        </is>
      </c>
      <c r="AB906" s="0" t="inlineStr">
        <is>
          <t>인천시</t>
        </is>
      </c>
      <c r="AC906" s="0" t="inlineStr">
        <is>
          <t>서구</t>
        </is>
      </c>
      <c r="AD906" s="0" t="inlineStr">
        <is>
          <t>석남동</t>
        </is>
      </c>
      <c r="AG906" s="0" t="inlineStr">
        <is>
          <t>인천시 서구 신석로122번길 29</t>
        </is>
      </c>
      <c r="AH906" s="0" t="n">
        <v>0</v>
      </c>
      <c r="AI906" s="0" t="n">
        <v>0</v>
      </c>
      <c r="AJ906" s="0" t="n">
        <v>0</v>
      </c>
      <c r="AK906" s="0" t="n">
        <v>21</v>
      </c>
      <c r="AL906" s="0" t="n">
        <v>0.48</v>
      </c>
    </row>
    <row r="907">
      <c r="A907" s="0" t="inlineStr">
        <is>
          <t>[석남동]</t>
        </is>
      </c>
      <c r="B907" s="0" t="n">
        <v>121367</v>
      </c>
      <c r="C907" s="0" t="n">
        <v>4</v>
      </c>
      <c r="D907" s="0" t="inlineStr">
        <is>
          <t>롯데</t>
        </is>
      </c>
      <c r="E907" s="0" t="inlineStr">
        <is>
          <t>2002.01.</t>
        </is>
      </c>
      <c r="F907" s="0" t="n">
        <v>44</v>
      </c>
      <c r="G907" s="0" t="n">
        <v>15.41</v>
      </c>
      <c r="H907" s="0" t="n">
        <v>50.95</v>
      </c>
      <c r="I907" s="0" t="n">
        <v>13.65</v>
      </c>
      <c r="J907" s="0" t="n">
        <v>45.15</v>
      </c>
      <c r="K907" s="0" t="n">
        <v>4</v>
      </c>
      <c r="T907" s="0" t="n">
        <v>2</v>
      </c>
      <c r="U907" s="0" t="n">
        <v>1</v>
      </c>
      <c r="V907" s="0" t="inlineStr">
        <is>
          <t>계단식</t>
        </is>
      </c>
      <c r="W907" s="0" t="inlineStr">
        <is>
          <t>50B</t>
        </is>
      </c>
      <c r="X907" s="0" t="n">
        <v>5</v>
      </c>
      <c r="Y907" s="0" t="n">
        <v>5</v>
      </c>
      <c r="Z907" s="0" t="inlineStr">
        <is>
          <t>https://new.land.naver.com/complexes/121367?tab=detail&amp;rf=Y</t>
        </is>
      </c>
      <c r="AA907" s="0" t="inlineStr">
        <is>
          <t>인천시 서구 석남동 495-4</t>
        </is>
      </c>
      <c r="AB907" s="0" t="inlineStr">
        <is>
          <t>인천시</t>
        </is>
      </c>
      <c r="AC907" s="0" t="inlineStr">
        <is>
          <t>서구</t>
        </is>
      </c>
      <c r="AD907" s="0" t="inlineStr">
        <is>
          <t>석남동</t>
        </is>
      </c>
      <c r="AG907" s="0" t="inlineStr">
        <is>
          <t>인천시 서구 신석로122번길 29</t>
        </is>
      </c>
      <c r="AH907" s="0" t="n">
        <v>0</v>
      </c>
      <c r="AI907" s="0" t="n">
        <v>0</v>
      </c>
      <c r="AJ907" s="0" t="n">
        <v>0</v>
      </c>
      <c r="AK907" s="0" t="n">
        <v>21</v>
      </c>
      <c r="AL907" s="0" t="n">
        <v>0.48</v>
      </c>
    </row>
    <row r="908">
      <c r="A908" s="0" t="inlineStr">
        <is>
          <t>[석남동]</t>
        </is>
      </c>
      <c r="B908" s="0" t="n">
        <v>121367</v>
      </c>
      <c r="C908" s="0" t="n">
        <v>5</v>
      </c>
      <c r="D908" s="0" t="inlineStr">
        <is>
          <t>롯데</t>
        </is>
      </c>
      <c r="E908" s="0" t="inlineStr">
        <is>
          <t>2002.01.</t>
        </is>
      </c>
      <c r="F908" s="0" t="n">
        <v>44</v>
      </c>
      <c r="G908" s="0" t="n">
        <v>19.36</v>
      </c>
      <c r="H908" s="0" t="n">
        <v>64</v>
      </c>
      <c r="I908" s="0" t="n">
        <v>17.16</v>
      </c>
      <c r="J908" s="0" t="n">
        <v>56.73</v>
      </c>
      <c r="K908" s="0" t="n">
        <v>4</v>
      </c>
      <c r="T908" s="0" t="n">
        <v>3</v>
      </c>
      <c r="U908" s="0" t="n">
        <v>2</v>
      </c>
      <c r="V908" s="0" t="inlineStr">
        <is>
          <t>계단식</t>
        </is>
      </c>
      <c r="W908" s="0" t="n">
        <v>64</v>
      </c>
      <c r="X908" s="0" t="n">
        <v>5</v>
      </c>
      <c r="Y908" s="0" t="n">
        <v>5</v>
      </c>
      <c r="Z908" s="0" t="inlineStr">
        <is>
          <t>https://new.land.naver.com/complexes/121367?tab=detail&amp;rf=Y</t>
        </is>
      </c>
      <c r="AA908" s="0" t="inlineStr">
        <is>
          <t>인천시 서구 석남동 495-4</t>
        </is>
      </c>
      <c r="AB908" s="0" t="inlineStr">
        <is>
          <t>인천시</t>
        </is>
      </c>
      <c r="AC908" s="0" t="inlineStr">
        <is>
          <t>서구</t>
        </is>
      </c>
      <c r="AD908" s="0" t="inlineStr">
        <is>
          <t>석남동</t>
        </is>
      </c>
      <c r="AG908" s="0" t="inlineStr">
        <is>
          <t>인천시 서구 신석로122번길 29</t>
        </is>
      </c>
      <c r="AH908" s="0" t="n">
        <v>0</v>
      </c>
      <c r="AI908" s="0" t="n">
        <v>0</v>
      </c>
      <c r="AJ908" s="0" t="n">
        <v>0</v>
      </c>
      <c r="AK908" s="0" t="n">
        <v>21</v>
      </c>
      <c r="AL908" s="0" t="n">
        <v>0.48</v>
      </c>
    </row>
    <row r="909">
      <c r="A909" s="0" t="inlineStr">
        <is>
          <t>[석남동]</t>
        </is>
      </c>
      <c r="B909" s="0" t="n">
        <v>121792</v>
      </c>
      <c r="C909" s="0" t="n">
        <v>1</v>
      </c>
      <c r="D909" s="0" t="inlineStr">
        <is>
          <t>이화</t>
        </is>
      </c>
      <c r="E909" s="0" t="inlineStr">
        <is>
          <t>2002.06.</t>
        </is>
      </c>
      <c r="F909" s="0" t="n">
        <v>24</v>
      </c>
      <c r="G909" s="0" t="n">
        <v>21.73</v>
      </c>
      <c r="H909" s="0" t="n">
        <v>71.84</v>
      </c>
      <c r="I909" s="0" t="n">
        <v>18.12</v>
      </c>
      <c r="J909" s="0" t="n">
        <v>59.93</v>
      </c>
      <c r="K909" s="0" t="n">
        <v>24</v>
      </c>
      <c r="T909" s="0" t="n">
        <v>3</v>
      </c>
      <c r="U909" s="0" t="n">
        <v>1</v>
      </c>
      <c r="V909" s="0" t="inlineStr">
        <is>
          <t>복합식</t>
        </is>
      </c>
      <c r="W909" s="0" t="n">
        <v>71</v>
      </c>
      <c r="X909" s="0" t="n">
        <v>7</v>
      </c>
      <c r="Y909" s="0" t="n">
        <v>7</v>
      </c>
      <c r="Z909" s="0" t="inlineStr">
        <is>
          <t>https://new.land.naver.com/complexes/121792?tab=detail&amp;rf=Y</t>
        </is>
      </c>
      <c r="AA909" s="0" t="inlineStr">
        <is>
          <t>인천시 서구 석남동 523-2</t>
        </is>
      </c>
      <c r="AB909" s="0" t="inlineStr">
        <is>
          <t>인천시</t>
        </is>
      </c>
      <c r="AC909" s="0" t="inlineStr">
        <is>
          <t>서구</t>
        </is>
      </c>
      <c r="AD909" s="0" t="inlineStr">
        <is>
          <t>석남동</t>
        </is>
      </c>
      <c r="AG909" s="0" t="inlineStr">
        <is>
          <t>인천시 서구 신석로 74-1</t>
        </is>
      </c>
      <c r="AH909" s="0" t="n">
        <v>0</v>
      </c>
      <c r="AI909" s="0" t="n">
        <v>351</v>
      </c>
      <c r="AJ909" s="0" t="n">
        <v>60</v>
      </c>
      <c r="AK909" s="0" t="n">
        <v>14</v>
      </c>
      <c r="AL909" s="0" t="n">
        <v>0.58</v>
      </c>
    </row>
    <row r="910">
      <c r="A910" s="0" t="inlineStr">
        <is>
          <t>[석남동]</t>
        </is>
      </c>
      <c r="B910" s="0" t="n">
        <v>123864</v>
      </c>
      <c r="C910" s="0" t="n">
        <v>1</v>
      </c>
      <c r="D910" s="0" t="inlineStr">
        <is>
          <t>대원</t>
        </is>
      </c>
      <c r="E910" s="0" t="inlineStr">
        <is>
          <t>2018.09.</t>
        </is>
      </c>
      <c r="F910" s="0" t="n">
        <v>52</v>
      </c>
      <c r="G910" s="0" t="n">
        <v>22</v>
      </c>
      <c r="H910" s="0" t="n">
        <v>72.73</v>
      </c>
      <c r="I910" s="0" t="n">
        <v>17.69</v>
      </c>
      <c r="J910" s="0" t="n">
        <v>58.49</v>
      </c>
      <c r="K910" s="0" t="n">
        <v>13</v>
      </c>
      <c r="T910" s="0" t="n">
        <v>3</v>
      </c>
      <c r="U910" s="0" t="n">
        <v>1</v>
      </c>
      <c r="V910" s="0" t="inlineStr">
        <is>
          <t>계단식</t>
        </is>
      </c>
      <c r="W910" s="0" t="inlineStr">
        <is>
          <t>72A</t>
        </is>
      </c>
      <c r="X910" s="0" t="n">
        <v>14</v>
      </c>
      <c r="Y910" s="0" t="n">
        <v>14</v>
      </c>
      <c r="Z910" s="0" t="inlineStr">
        <is>
          <t>https://new.land.naver.com/complexes/123864?tab=detail&amp;rf=Y</t>
        </is>
      </c>
      <c r="AA910" s="0" t="inlineStr">
        <is>
          <t>인천시 서구 석남동 501-1</t>
        </is>
      </c>
      <c r="AB910" s="0" t="inlineStr">
        <is>
          <t>인천시</t>
        </is>
      </c>
      <c r="AC910" s="0" t="inlineStr">
        <is>
          <t>서구</t>
        </is>
      </c>
      <c r="AD910" s="0" t="inlineStr">
        <is>
          <t>석남동</t>
        </is>
      </c>
      <c r="AG910" s="0" t="inlineStr">
        <is>
          <t>인천시 서구 옻우물로14번길 20</t>
        </is>
      </c>
      <c r="AH910" s="0" t="n">
        <v>0</v>
      </c>
      <c r="AI910" s="0" t="n">
        <v>736</v>
      </c>
      <c r="AJ910" s="0" t="n">
        <v>68</v>
      </c>
      <c r="AK910" s="0" t="n">
        <v>41</v>
      </c>
      <c r="AL910" s="0" t="n">
        <v>0.79</v>
      </c>
    </row>
    <row r="911">
      <c r="A911" s="0" t="inlineStr">
        <is>
          <t>[석남동]</t>
        </is>
      </c>
      <c r="B911" s="0" t="n">
        <v>123864</v>
      </c>
      <c r="C911" s="0" t="n">
        <v>2</v>
      </c>
      <c r="D911" s="0" t="inlineStr">
        <is>
          <t>대원</t>
        </is>
      </c>
      <c r="E911" s="0" t="inlineStr">
        <is>
          <t>2018.09.</t>
        </is>
      </c>
      <c r="F911" s="0" t="n">
        <v>52</v>
      </c>
      <c r="G911" s="0" t="n">
        <v>22.32</v>
      </c>
      <c r="H911" s="0" t="n">
        <v>73.79000000000001</v>
      </c>
      <c r="I911" s="0" t="n">
        <v>18.05</v>
      </c>
      <c r="J911" s="0" t="n">
        <v>59.68</v>
      </c>
      <c r="K911" s="0" t="n">
        <v>13</v>
      </c>
      <c r="T911" s="0" t="n">
        <v>3</v>
      </c>
      <c r="U911" s="0" t="n">
        <v>1</v>
      </c>
      <c r="V911" s="0" t="inlineStr">
        <is>
          <t>계단식</t>
        </is>
      </c>
      <c r="W911" s="0" t="inlineStr">
        <is>
          <t>73B</t>
        </is>
      </c>
      <c r="X911" s="0" t="n">
        <v>14</v>
      </c>
      <c r="Y911" s="0" t="n">
        <v>14</v>
      </c>
      <c r="Z911" s="0" t="inlineStr">
        <is>
          <t>https://new.land.naver.com/complexes/123864?tab=detail&amp;rf=Y</t>
        </is>
      </c>
      <c r="AA911" s="0" t="inlineStr">
        <is>
          <t>인천시 서구 석남동 501-1</t>
        </is>
      </c>
      <c r="AB911" s="0" t="inlineStr">
        <is>
          <t>인천시</t>
        </is>
      </c>
      <c r="AC911" s="0" t="inlineStr">
        <is>
          <t>서구</t>
        </is>
      </c>
      <c r="AD911" s="0" t="inlineStr">
        <is>
          <t>석남동</t>
        </is>
      </c>
      <c r="AG911" s="0" t="inlineStr">
        <is>
          <t>인천시 서구 옻우물로14번길 20</t>
        </is>
      </c>
      <c r="AH911" s="0" t="n">
        <v>0</v>
      </c>
      <c r="AI911" s="0" t="n">
        <v>736</v>
      </c>
      <c r="AJ911" s="0" t="n">
        <v>68</v>
      </c>
      <c r="AK911" s="0" t="n">
        <v>41</v>
      </c>
      <c r="AL911" s="0" t="n">
        <v>0.79</v>
      </c>
    </row>
    <row r="912">
      <c r="A912" s="0" t="inlineStr">
        <is>
          <t>[석남동]</t>
        </is>
      </c>
      <c r="B912" s="0" t="n">
        <v>123864</v>
      </c>
      <c r="C912" s="0" t="n">
        <v>3</v>
      </c>
      <c r="D912" s="0" t="inlineStr">
        <is>
          <t>대원</t>
        </is>
      </c>
      <c r="E912" s="0" t="inlineStr">
        <is>
          <t>2018.09.</t>
        </is>
      </c>
      <c r="F912" s="0" t="n">
        <v>52</v>
      </c>
      <c r="G912" s="0" t="n">
        <v>22.4</v>
      </c>
      <c r="H912" s="0" t="n">
        <v>74.06999999999999</v>
      </c>
      <c r="I912" s="0" t="n">
        <v>18.13</v>
      </c>
      <c r="J912" s="0" t="n">
        <v>59.96</v>
      </c>
      <c r="K912" s="0" t="n">
        <v>13</v>
      </c>
      <c r="T912" s="0" t="n">
        <v>3</v>
      </c>
      <c r="U912" s="0" t="n">
        <v>1</v>
      </c>
      <c r="V912" s="0" t="inlineStr">
        <is>
          <t>계단식</t>
        </is>
      </c>
      <c r="W912" s="0" t="inlineStr">
        <is>
          <t>74C</t>
        </is>
      </c>
      <c r="X912" s="0" t="n">
        <v>14</v>
      </c>
      <c r="Y912" s="0" t="n">
        <v>14</v>
      </c>
      <c r="Z912" s="0" t="inlineStr">
        <is>
          <t>https://new.land.naver.com/complexes/123864?tab=detail&amp;rf=Y</t>
        </is>
      </c>
      <c r="AA912" s="0" t="inlineStr">
        <is>
          <t>인천시 서구 석남동 501-1</t>
        </is>
      </c>
      <c r="AB912" s="0" t="inlineStr">
        <is>
          <t>인천시</t>
        </is>
      </c>
      <c r="AC912" s="0" t="inlineStr">
        <is>
          <t>서구</t>
        </is>
      </c>
      <c r="AD912" s="0" t="inlineStr">
        <is>
          <t>석남동</t>
        </is>
      </c>
      <c r="AG912" s="0" t="inlineStr">
        <is>
          <t>인천시 서구 옻우물로14번길 20</t>
        </is>
      </c>
      <c r="AH912" s="0" t="n">
        <v>0</v>
      </c>
      <c r="AI912" s="0" t="n">
        <v>736</v>
      </c>
      <c r="AJ912" s="0" t="n">
        <v>68</v>
      </c>
      <c r="AK912" s="0" t="n">
        <v>41</v>
      </c>
      <c r="AL912" s="0" t="n">
        <v>0.79</v>
      </c>
    </row>
    <row r="913">
      <c r="A913" s="0" t="inlineStr">
        <is>
          <t>[석남동]</t>
        </is>
      </c>
      <c r="B913" s="0" t="n">
        <v>123864</v>
      </c>
      <c r="C913" s="0" t="n">
        <v>4</v>
      </c>
      <c r="D913" s="0" t="inlineStr">
        <is>
          <t>대원</t>
        </is>
      </c>
      <c r="E913" s="0" t="inlineStr">
        <is>
          <t>2018.09.</t>
        </is>
      </c>
      <c r="F913" s="0" t="n">
        <v>52</v>
      </c>
      <c r="G913" s="0" t="n">
        <v>22.69</v>
      </c>
      <c r="H913" s="0" t="n">
        <v>75.02</v>
      </c>
      <c r="I913" s="0" t="n">
        <v>18.11</v>
      </c>
      <c r="J913" s="0" t="n">
        <v>59.89</v>
      </c>
      <c r="K913" s="0" t="n">
        <v>13</v>
      </c>
      <c r="T913" s="0" t="n">
        <v>3</v>
      </c>
      <c r="U913" s="0" t="n">
        <v>1</v>
      </c>
      <c r="V913" s="0" t="inlineStr">
        <is>
          <t>계단식</t>
        </is>
      </c>
      <c r="W913" s="0" t="n">
        <v>75</v>
      </c>
      <c r="X913" s="0" t="n">
        <v>14</v>
      </c>
      <c r="Y913" s="0" t="n">
        <v>14</v>
      </c>
      <c r="Z913" s="0" t="inlineStr">
        <is>
          <t>https://new.land.naver.com/complexes/123864?tab=detail&amp;rf=Y</t>
        </is>
      </c>
      <c r="AA913" s="0" t="inlineStr">
        <is>
          <t>인천시 서구 석남동 501-1</t>
        </is>
      </c>
      <c r="AB913" s="0" t="inlineStr">
        <is>
          <t>인천시</t>
        </is>
      </c>
      <c r="AC913" s="0" t="inlineStr">
        <is>
          <t>서구</t>
        </is>
      </c>
      <c r="AD913" s="0" t="inlineStr">
        <is>
          <t>석남동</t>
        </is>
      </c>
      <c r="AG913" s="0" t="inlineStr">
        <is>
          <t>인천시 서구 옻우물로14번길 20</t>
        </is>
      </c>
      <c r="AH913" s="0" t="n">
        <v>0</v>
      </c>
      <c r="AI913" s="0" t="n">
        <v>736</v>
      </c>
      <c r="AJ913" s="0" t="n">
        <v>68</v>
      </c>
      <c r="AK913" s="0" t="n">
        <v>41</v>
      </c>
      <c r="AL913" s="0" t="n">
        <v>0.79</v>
      </c>
    </row>
    <row r="914">
      <c r="A914" s="0" t="inlineStr">
        <is>
          <t>[석남동]</t>
        </is>
      </c>
      <c r="B914" s="0" t="n">
        <v>104900</v>
      </c>
      <c r="C914" s="0" t="n">
        <v>1</v>
      </c>
      <c r="D914" s="0" t="inlineStr">
        <is>
          <t>대영</t>
        </is>
      </c>
      <c r="E914" s="0" t="inlineStr">
        <is>
          <t>2002.09.</t>
        </is>
      </c>
      <c r="F914" s="0" t="n">
        <v>96</v>
      </c>
      <c r="G914" s="0" t="n">
        <v>9.77</v>
      </c>
      <c r="H914" s="0" t="n">
        <v>32.33</v>
      </c>
      <c r="I914" s="0" t="n">
        <v>8.4</v>
      </c>
      <c r="J914" s="0" t="n">
        <v>27.79</v>
      </c>
      <c r="K914" s="0" t="n">
        <v>3</v>
      </c>
      <c r="T914" s="0" t="n">
        <v>2</v>
      </c>
      <c r="U914" s="0" t="n">
        <v>1</v>
      </c>
      <c r="V914" s="0" t="inlineStr">
        <is>
          <t>복합식</t>
        </is>
      </c>
      <c r="W914" s="0" t="n">
        <v>32</v>
      </c>
      <c r="X914" s="0" t="n">
        <v>5</v>
      </c>
      <c r="Y914" s="0" t="n">
        <v>5</v>
      </c>
      <c r="Z914" s="0" t="inlineStr">
        <is>
          <t>https://new.land.naver.com/complexes/104900?tab=detail&amp;rf=Y</t>
        </is>
      </c>
      <c r="AA914" s="0" t="inlineStr">
        <is>
          <t>인천시 서구 석남동 494-4</t>
        </is>
      </c>
      <c r="AB914" s="0" t="inlineStr">
        <is>
          <t>인천시</t>
        </is>
      </c>
      <c r="AC914" s="0" t="inlineStr">
        <is>
          <t>서구</t>
        </is>
      </c>
      <c r="AD914" s="0" t="inlineStr">
        <is>
          <t>석남동</t>
        </is>
      </c>
      <c r="AG914" s="0" t="inlineStr">
        <is>
          <t>인천시 서구 가석로 254</t>
        </is>
      </c>
      <c r="AH914" s="0" t="n">
        <v>0</v>
      </c>
      <c r="AI914" s="0" t="n">
        <v>0</v>
      </c>
      <c r="AJ914" s="0" t="n">
        <v>0</v>
      </c>
      <c r="AK914" s="0" t="n">
        <v>42</v>
      </c>
      <c r="AL914" s="0" t="n">
        <v>0.44</v>
      </c>
    </row>
    <row r="915">
      <c r="A915" s="0" t="inlineStr">
        <is>
          <t>[석남동]</t>
        </is>
      </c>
      <c r="B915" s="0" t="n">
        <v>104900</v>
      </c>
      <c r="C915" s="0" t="n">
        <v>2</v>
      </c>
      <c r="D915" s="0" t="inlineStr">
        <is>
          <t>대영</t>
        </is>
      </c>
      <c r="E915" s="0" t="inlineStr">
        <is>
          <t>2002.09.</t>
        </is>
      </c>
      <c r="F915" s="0" t="n">
        <v>96</v>
      </c>
      <c r="G915" s="0" t="n">
        <v>12.14</v>
      </c>
      <c r="H915" s="0" t="n">
        <v>40.15</v>
      </c>
      <c r="I915" s="0" t="n">
        <v>10.5</v>
      </c>
      <c r="J915" s="0" t="n">
        <v>34.74</v>
      </c>
      <c r="K915" s="0" t="n">
        <v>12</v>
      </c>
      <c r="T915" s="0" t="n">
        <v>2</v>
      </c>
      <c r="U915" s="0" t="n">
        <v>1</v>
      </c>
      <c r="V915" s="0" t="inlineStr">
        <is>
          <t>계단식</t>
        </is>
      </c>
      <c r="W915" s="0" t="inlineStr">
        <is>
          <t>40B</t>
        </is>
      </c>
      <c r="X915" s="0" t="n">
        <v>5</v>
      </c>
      <c r="Y915" s="0" t="n">
        <v>5</v>
      </c>
      <c r="Z915" s="0" t="inlineStr">
        <is>
          <t>https://new.land.naver.com/complexes/104900?tab=detail&amp;rf=Y</t>
        </is>
      </c>
      <c r="AA915" s="0" t="inlineStr">
        <is>
          <t>인천시 서구 석남동 494-4</t>
        </is>
      </c>
      <c r="AB915" s="0" t="inlineStr">
        <is>
          <t>인천시</t>
        </is>
      </c>
      <c r="AC915" s="0" t="inlineStr">
        <is>
          <t>서구</t>
        </is>
      </c>
      <c r="AD915" s="0" t="inlineStr">
        <is>
          <t>석남동</t>
        </is>
      </c>
      <c r="AG915" s="0" t="inlineStr">
        <is>
          <t>인천시 서구 가석로 254</t>
        </is>
      </c>
      <c r="AH915" s="0" t="n">
        <v>0</v>
      </c>
      <c r="AI915" s="0" t="n">
        <v>0</v>
      </c>
      <c r="AJ915" s="0" t="n">
        <v>0</v>
      </c>
      <c r="AK915" s="0" t="n">
        <v>42</v>
      </c>
      <c r="AL915" s="0" t="n">
        <v>0.44</v>
      </c>
    </row>
    <row r="916">
      <c r="A916" s="0" t="inlineStr">
        <is>
          <t>[석남동]</t>
        </is>
      </c>
      <c r="B916" s="0" t="n">
        <v>104900</v>
      </c>
      <c r="C916" s="0" t="n">
        <v>3</v>
      </c>
      <c r="D916" s="0" t="inlineStr">
        <is>
          <t>대영</t>
        </is>
      </c>
      <c r="E916" s="0" t="inlineStr">
        <is>
          <t>2002.09.</t>
        </is>
      </c>
      <c r="F916" s="0" t="n">
        <v>96</v>
      </c>
      <c r="G916" s="0" t="n">
        <v>12.3</v>
      </c>
      <c r="H916" s="0" t="n">
        <v>40.67</v>
      </c>
      <c r="I916" s="0" t="n">
        <v>10.5</v>
      </c>
      <c r="J916" s="0" t="n">
        <v>34.74</v>
      </c>
      <c r="K916" s="0" t="n">
        <v>11</v>
      </c>
      <c r="T916" s="0" t="n">
        <v>2</v>
      </c>
      <c r="U916" s="0" t="n">
        <v>1</v>
      </c>
      <c r="V916" s="0" t="inlineStr">
        <is>
          <t>계단식</t>
        </is>
      </c>
      <c r="W916" s="0" t="inlineStr">
        <is>
          <t>40A</t>
        </is>
      </c>
      <c r="X916" s="0" t="n">
        <v>5</v>
      </c>
      <c r="Y916" s="0" t="n">
        <v>5</v>
      </c>
      <c r="Z916" s="0" t="inlineStr">
        <is>
          <t>https://new.land.naver.com/complexes/104900?tab=detail&amp;rf=Y</t>
        </is>
      </c>
      <c r="AA916" s="0" t="inlineStr">
        <is>
          <t>인천시 서구 석남동 494-4</t>
        </is>
      </c>
      <c r="AB916" s="0" t="inlineStr">
        <is>
          <t>인천시</t>
        </is>
      </c>
      <c r="AC916" s="0" t="inlineStr">
        <is>
          <t>서구</t>
        </is>
      </c>
      <c r="AD916" s="0" t="inlineStr">
        <is>
          <t>석남동</t>
        </is>
      </c>
      <c r="AG916" s="0" t="inlineStr">
        <is>
          <t>인천시 서구 가석로 254</t>
        </is>
      </c>
      <c r="AH916" s="0" t="n">
        <v>0</v>
      </c>
      <c r="AI916" s="0" t="n">
        <v>0</v>
      </c>
      <c r="AJ916" s="0" t="n">
        <v>0</v>
      </c>
      <c r="AK916" s="0" t="n">
        <v>42</v>
      </c>
      <c r="AL916" s="0" t="n">
        <v>0.44</v>
      </c>
    </row>
    <row r="917">
      <c r="A917" s="0" t="inlineStr">
        <is>
          <t>[석남동]</t>
        </is>
      </c>
      <c r="B917" s="0" t="n">
        <v>104900</v>
      </c>
      <c r="C917" s="0" t="n">
        <v>4</v>
      </c>
      <c r="D917" s="0" t="inlineStr">
        <is>
          <t>대영</t>
        </is>
      </c>
      <c r="E917" s="0" t="inlineStr">
        <is>
          <t>2002.09.</t>
        </is>
      </c>
      <c r="F917" s="0" t="n">
        <v>96</v>
      </c>
      <c r="G917" s="0" t="n">
        <v>13.21</v>
      </c>
      <c r="H917" s="0" t="n">
        <v>43.67</v>
      </c>
      <c r="I917" s="0" t="n">
        <v>11.41</v>
      </c>
      <c r="J917" s="0" t="n">
        <v>37.74</v>
      </c>
      <c r="K917" s="0" t="n">
        <v>1</v>
      </c>
      <c r="T917" s="0" t="n">
        <v>2</v>
      </c>
      <c r="U917" s="0" t="n">
        <v>1</v>
      </c>
      <c r="V917" s="0" t="inlineStr">
        <is>
          <t>복합식</t>
        </is>
      </c>
      <c r="W917" s="0" t="n">
        <v>43</v>
      </c>
      <c r="X917" s="0" t="n">
        <v>5</v>
      </c>
      <c r="Y917" s="0" t="n">
        <v>5</v>
      </c>
      <c r="Z917" s="0" t="inlineStr">
        <is>
          <t>https://new.land.naver.com/complexes/104900?tab=detail&amp;rf=Y</t>
        </is>
      </c>
      <c r="AA917" s="0" t="inlineStr">
        <is>
          <t>인천시 서구 석남동 494-4</t>
        </is>
      </c>
      <c r="AB917" s="0" t="inlineStr">
        <is>
          <t>인천시</t>
        </is>
      </c>
      <c r="AC917" s="0" t="inlineStr">
        <is>
          <t>서구</t>
        </is>
      </c>
      <c r="AD917" s="0" t="inlineStr">
        <is>
          <t>석남동</t>
        </is>
      </c>
      <c r="AG917" s="0" t="inlineStr">
        <is>
          <t>인천시 서구 가석로 254</t>
        </is>
      </c>
      <c r="AH917" s="0" t="n">
        <v>0</v>
      </c>
      <c r="AI917" s="0" t="n">
        <v>0</v>
      </c>
      <c r="AJ917" s="0" t="n">
        <v>0</v>
      </c>
      <c r="AK917" s="0" t="n">
        <v>42</v>
      </c>
      <c r="AL917" s="0" t="n">
        <v>0.44</v>
      </c>
    </row>
    <row r="918">
      <c r="A918" s="0" t="inlineStr">
        <is>
          <t>[석남동]</t>
        </is>
      </c>
      <c r="B918" s="0" t="n">
        <v>104900</v>
      </c>
      <c r="C918" s="0" t="n">
        <v>5</v>
      </c>
      <c r="D918" s="0" t="inlineStr">
        <is>
          <t>대영</t>
        </is>
      </c>
      <c r="E918" s="0" t="inlineStr">
        <is>
          <t>2002.09.</t>
        </is>
      </c>
      <c r="F918" s="0" t="n">
        <v>96</v>
      </c>
      <c r="G918" s="0" t="n">
        <v>15.3</v>
      </c>
      <c r="H918" s="0" t="n">
        <v>50.61</v>
      </c>
      <c r="I918" s="0" t="n">
        <v>13.32</v>
      </c>
      <c r="J918" s="0" t="n">
        <v>44.04</v>
      </c>
      <c r="K918" s="0" t="n">
        <v>36</v>
      </c>
      <c r="T918" s="0" t="n">
        <v>3</v>
      </c>
      <c r="U918" s="0" t="n">
        <v>1</v>
      </c>
      <c r="V918" s="0" t="inlineStr">
        <is>
          <t>계단식</t>
        </is>
      </c>
      <c r="W918" s="0" t="inlineStr">
        <is>
          <t>50A</t>
        </is>
      </c>
      <c r="X918" s="0" t="n">
        <v>5</v>
      </c>
      <c r="Y918" s="0" t="n">
        <v>5</v>
      </c>
      <c r="Z918" s="0" t="inlineStr">
        <is>
          <t>https://new.land.naver.com/complexes/104900?tab=detail&amp;rf=Y</t>
        </is>
      </c>
      <c r="AA918" s="0" t="inlineStr">
        <is>
          <t>인천시 서구 석남동 494-4</t>
        </is>
      </c>
      <c r="AB918" s="0" t="inlineStr">
        <is>
          <t>인천시</t>
        </is>
      </c>
      <c r="AC918" s="0" t="inlineStr">
        <is>
          <t>서구</t>
        </is>
      </c>
      <c r="AD918" s="0" t="inlineStr">
        <is>
          <t>석남동</t>
        </is>
      </c>
      <c r="AG918" s="0" t="inlineStr">
        <is>
          <t>인천시 서구 가석로 254</t>
        </is>
      </c>
      <c r="AH918" s="0" t="n">
        <v>0</v>
      </c>
      <c r="AI918" s="0" t="n">
        <v>0</v>
      </c>
      <c r="AJ918" s="0" t="n">
        <v>0</v>
      </c>
      <c r="AK918" s="0" t="n">
        <v>42</v>
      </c>
      <c r="AL918" s="0" t="n">
        <v>0.44</v>
      </c>
    </row>
    <row r="919">
      <c r="A919" s="0" t="inlineStr">
        <is>
          <t>[석남동]</t>
        </is>
      </c>
      <c r="B919" s="0" t="n">
        <v>104900</v>
      </c>
      <c r="C919" s="0" t="n">
        <v>6</v>
      </c>
      <c r="D919" s="0" t="inlineStr">
        <is>
          <t>대영</t>
        </is>
      </c>
      <c r="E919" s="0" t="inlineStr">
        <is>
          <t>2002.09.</t>
        </is>
      </c>
      <c r="F919" s="0" t="n">
        <v>96</v>
      </c>
      <c r="G919" s="0" t="n">
        <v>15.19</v>
      </c>
      <c r="H919" s="0" t="n">
        <v>50.23</v>
      </c>
      <c r="I919" s="0" t="n">
        <v>13.06</v>
      </c>
      <c r="J919" s="0" t="n">
        <v>43.19</v>
      </c>
      <c r="K919" s="0" t="n">
        <v>33</v>
      </c>
      <c r="T919" s="0" t="n">
        <v>3</v>
      </c>
      <c r="U919" s="0" t="n">
        <v>1</v>
      </c>
      <c r="V919" s="0" t="inlineStr">
        <is>
          <t>계단식</t>
        </is>
      </c>
      <c r="W919" s="0" t="inlineStr">
        <is>
          <t>50B</t>
        </is>
      </c>
      <c r="X919" s="0" t="n">
        <v>5</v>
      </c>
      <c r="Y919" s="0" t="n">
        <v>5</v>
      </c>
      <c r="Z919" s="0" t="inlineStr">
        <is>
          <t>https://new.land.naver.com/complexes/104900?tab=detail&amp;rf=Y</t>
        </is>
      </c>
      <c r="AA919" s="0" t="inlineStr">
        <is>
          <t>인천시 서구 석남동 494-4</t>
        </is>
      </c>
      <c r="AB919" s="0" t="inlineStr">
        <is>
          <t>인천시</t>
        </is>
      </c>
      <c r="AC919" s="0" t="inlineStr">
        <is>
          <t>서구</t>
        </is>
      </c>
      <c r="AD919" s="0" t="inlineStr">
        <is>
          <t>석남동</t>
        </is>
      </c>
      <c r="AG919" s="0" t="inlineStr">
        <is>
          <t>인천시 서구 가석로 254</t>
        </is>
      </c>
      <c r="AH919" s="0" t="n">
        <v>0</v>
      </c>
      <c r="AI919" s="0" t="n">
        <v>0</v>
      </c>
      <c r="AJ919" s="0" t="n">
        <v>0</v>
      </c>
      <c r="AK919" s="0" t="n">
        <v>42</v>
      </c>
      <c r="AL919" s="0" t="n">
        <v>0.44</v>
      </c>
    </row>
    <row r="920">
      <c r="A920" s="0" t="inlineStr">
        <is>
          <t>[석남동]</t>
        </is>
      </c>
      <c r="B920" s="0" t="n">
        <v>9024</v>
      </c>
      <c r="C920" s="0" t="n">
        <v>1</v>
      </c>
      <c r="D920" s="0" t="inlineStr">
        <is>
          <t>롯데우람</t>
        </is>
      </c>
      <c r="E920" s="0" t="inlineStr">
        <is>
          <t>1985.12.</t>
        </is>
      </c>
      <c r="F920" s="0" t="n">
        <v>315</v>
      </c>
      <c r="G920" s="0" t="n">
        <v>19.52</v>
      </c>
      <c r="H920" s="0" t="n">
        <v>64.53</v>
      </c>
      <c r="I920" s="0" t="n">
        <v>15.92</v>
      </c>
      <c r="J920" s="0" t="n">
        <v>52.65</v>
      </c>
      <c r="K920" s="0" t="n">
        <v>175</v>
      </c>
      <c r="T920" s="0" t="n">
        <v>3</v>
      </c>
      <c r="U920" s="0" t="n">
        <v>1</v>
      </c>
      <c r="V920" s="0" t="inlineStr">
        <is>
          <t>계단식</t>
        </is>
      </c>
      <c r="W920" s="0" t="n">
        <v>64</v>
      </c>
      <c r="X920" s="0" t="n">
        <v>5</v>
      </c>
      <c r="Y920" s="0" t="n">
        <v>5</v>
      </c>
      <c r="Z920" s="0" t="inlineStr">
        <is>
          <t>https://new.land.naver.com/complexes/9024?tab=detail&amp;rf=Y</t>
        </is>
      </c>
      <c r="AA920" s="0" t="inlineStr">
        <is>
          <t>인천시 서구 석남동 491-3</t>
        </is>
      </c>
      <c r="AB920" s="0" t="inlineStr">
        <is>
          <t>인천시</t>
        </is>
      </c>
      <c r="AC920" s="0" t="inlineStr">
        <is>
          <t>서구</t>
        </is>
      </c>
      <c r="AD920" s="0" t="inlineStr">
        <is>
          <t>석남동</t>
        </is>
      </c>
      <c r="AG920" s="0" t="inlineStr">
        <is>
          <t>인천시 서구 서달로 91-4</t>
        </is>
      </c>
      <c r="AH920" s="0" t="n">
        <v>0</v>
      </c>
      <c r="AI920" s="0" t="n">
        <v>145</v>
      </c>
      <c r="AJ920" s="0" t="n">
        <v>31</v>
      </c>
      <c r="AK920" s="0" t="n">
        <v>0</v>
      </c>
      <c r="AL920" s="0" t="n">
        <v>0</v>
      </c>
    </row>
    <row r="921">
      <c r="A921" s="0" t="inlineStr">
        <is>
          <t>[석남동]</t>
        </is>
      </c>
      <c r="B921" s="0" t="n">
        <v>9024</v>
      </c>
      <c r="C921" s="0" t="n">
        <v>2</v>
      </c>
      <c r="D921" s="0" t="inlineStr">
        <is>
          <t>롯데우람</t>
        </is>
      </c>
      <c r="E921" s="0" t="inlineStr">
        <is>
          <t>1985.12.</t>
        </is>
      </c>
      <c r="F921" s="0" t="n">
        <v>315</v>
      </c>
      <c r="G921" s="0" t="n">
        <v>21.51</v>
      </c>
      <c r="H921" s="0" t="n">
        <v>71.13</v>
      </c>
      <c r="I921" s="0" t="n">
        <v>17.58</v>
      </c>
      <c r="J921" s="0" t="n">
        <v>58.14</v>
      </c>
      <c r="K921" s="0" t="n">
        <v>120</v>
      </c>
      <c r="T921" s="0" t="n">
        <v>3</v>
      </c>
      <c r="U921" s="0" t="n">
        <v>1</v>
      </c>
      <c r="V921" s="0" t="inlineStr">
        <is>
          <t>계단식</t>
        </is>
      </c>
      <c r="W921" s="0" t="n">
        <v>71</v>
      </c>
      <c r="X921" s="0" t="n">
        <v>5</v>
      </c>
      <c r="Y921" s="0" t="n">
        <v>5</v>
      </c>
      <c r="Z921" s="0" t="inlineStr">
        <is>
          <t>https://new.land.naver.com/complexes/9024?tab=detail&amp;rf=Y</t>
        </is>
      </c>
      <c r="AA921" s="0" t="inlineStr">
        <is>
          <t>인천시 서구 석남동 491-3</t>
        </is>
      </c>
      <c r="AB921" s="0" t="inlineStr">
        <is>
          <t>인천시</t>
        </is>
      </c>
      <c r="AC921" s="0" t="inlineStr">
        <is>
          <t>서구</t>
        </is>
      </c>
      <c r="AD921" s="0" t="inlineStr">
        <is>
          <t>석남동</t>
        </is>
      </c>
      <c r="AG921" s="0" t="inlineStr">
        <is>
          <t>인천시 서구 서달로 91-4</t>
        </is>
      </c>
      <c r="AH921" s="0" t="n">
        <v>0</v>
      </c>
      <c r="AI921" s="0" t="n">
        <v>145</v>
      </c>
      <c r="AJ921" s="0" t="n">
        <v>31</v>
      </c>
      <c r="AK921" s="0" t="n">
        <v>0</v>
      </c>
      <c r="AL921" s="0" t="n">
        <v>0</v>
      </c>
    </row>
    <row r="922">
      <c r="A922" s="0" t="inlineStr">
        <is>
          <t>[석남동]</t>
        </is>
      </c>
      <c r="B922" s="0" t="n">
        <v>9024</v>
      </c>
      <c r="C922" s="0" t="n">
        <v>3</v>
      </c>
      <c r="D922" s="0" t="inlineStr">
        <is>
          <t>롯데우람</t>
        </is>
      </c>
      <c r="E922" s="0" t="inlineStr">
        <is>
          <t>1985.12.</t>
        </is>
      </c>
      <c r="F922" s="0" t="n">
        <v>315</v>
      </c>
      <c r="G922" s="0" t="n">
        <v>23.29</v>
      </c>
      <c r="H922" s="0" t="n">
        <v>77.01000000000001</v>
      </c>
      <c r="I922" s="0" t="n">
        <v>19.52</v>
      </c>
      <c r="J922" s="0" t="n">
        <v>64.53</v>
      </c>
      <c r="K922" s="0" t="n">
        <v>20</v>
      </c>
      <c r="T922" s="0" t="n">
        <v>3</v>
      </c>
      <c r="U922" s="0" t="n">
        <v>1</v>
      </c>
      <c r="V922" s="0" t="inlineStr">
        <is>
          <t>계단식</t>
        </is>
      </c>
      <c r="W922" s="0" t="n">
        <v>77</v>
      </c>
      <c r="X922" s="0" t="n">
        <v>5</v>
      </c>
      <c r="Y922" s="0" t="n">
        <v>5</v>
      </c>
      <c r="Z922" s="0" t="inlineStr">
        <is>
          <t>https://new.land.naver.com/complexes/9024?tab=detail&amp;rf=Y</t>
        </is>
      </c>
      <c r="AA922" s="0" t="inlineStr">
        <is>
          <t>인천시 서구 석남동 491-3</t>
        </is>
      </c>
      <c r="AB922" s="0" t="inlineStr">
        <is>
          <t>인천시</t>
        </is>
      </c>
      <c r="AC922" s="0" t="inlineStr">
        <is>
          <t>서구</t>
        </is>
      </c>
      <c r="AD922" s="0" t="inlineStr">
        <is>
          <t>석남동</t>
        </is>
      </c>
      <c r="AG922" s="0" t="inlineStr">
        <is>
          <t>인천시 서구 서달로 91-4</t>
        </is>
      </c>
      <c r="AH922" s="0" t="n">
        <v>0</v>
      </c>
      <c r="AI922" s="0" t="n">
        <v>145</v>
      </c>
      <c r="AJ922" s="0" t="n">
        <v>31</v>
      </c>
      <c r="AK922" s="0" t="n">
        <v>0</v>
      </c>
      <c r="AL922" s="0" t="n">
        <v>0</v>
      </c>
    </row>
    <row r="923">
      <c r="A923" s="0" t="inlineStr">
        <is>
          <t>[석남동]</t>
        </is>
      </c>
      <c r="B923" s="0" t="n">
        <v>107528</v>
      </c>
      <c r="C923" s="0" t="n">
        <v>1</v>
      </c>
      <c r="D923" s="0" t="inlineStr">
        <is>
          <t>미리내</t>
        </is>
      </c>
      <c r="E923" s="0" t="inlineStr">
        <is>
          <t>2009.08.</t>
        </is>
      </c>
      <c r="F923" s="0" t="n">
        <v>21</v>
      </c>
      <c r="G923" s="0" t="n">
        <v>27.15</v>
      </c>
      <c r="H923" s="0" t="n">
        <v>89.78</v>
      </c>
      <c r="I923" s="0" t="n">
        <v>20.97</v>
      </c>
      <c r="J923" s="0" t="n">
        <v>69.34999999999999</v>
      </c>
      <c r="K923" s="0" t="n">
        <v>14</v>
      </c>
      <c r="T923" s="0" t="n">
        <v>3</v>
      </c>
      <c r="U923" s="0" t="n">
        <v>2</v>
      </c>
      <c r="V923" s="0" t="inlineStr">
        <is>
          <t>복합식</t>
        </is>
      </c>
      <c r="W923" s="0" t="n">
        <v>89</v>
      </c>
      <c r="X923" s="0" t="n">
        <v>10</v>
      </c>
      <c r="Y923" s="0" t="n">
        <v>10</v>
      </c>
      <c r="Z923" s="0" t="inlineStr">
        <is>
          <t>https://new.land.naver.com/complexes/107528?tab=detail&amp;rf=Y</t>
        </is>
      </c>
      <c r="AA923" s="0" t="inlineStr">
        <is>
          <t>인천시 서구 석남동 504-9</t>
        </is>
      </c>
      <c r="AB923" s="0" t="inlineStr">
        <is>
          <t>인천시</t>
        </is>
      </c>
      <c r="AC923" s="0" t="inlineStr">
        <is>
          <t>서구</t>
        </is>
      </c>
      <c r="AD923" s="0" t="inlineStr">
        <is>
          <t>석남동</t>
        </is>
      </c>
      <c r="AG923" s="0" t="inlineStr">
        <is>
          <t>인천시 서구 옻우물로 12</t>
        </is>
      </c>
      <c r="AH923" s="0" t="n">
        <v>0</v>
      </c>
      <c r="AI923" s="0" t="n">
        <v>345</v>
      </c>
      <c r="AJ923" s="0" t="n">
        <v>49</v>
      </c>
      <c r="AK923" s="0" t="n">
        <v>25</v>
      </c>
      <c r="AL923" s="0" t="n">
        <v>1.19</v>
      </c>
    </row>
    <row r="924">
      <c r="A924" s="0" t="inlineStr">
        <is>
          <t>[석남동]</t>
        </is>
      </c>
      <c r="B924" s="0" t="n">
        <v>107528</v>
      </c>
      <c r="C924" s="0" t="n">
        <v>2</v>
      </c>
      <c r="D924" s="0" t="inlineStr">
        <is>
          <t>미리내</t>
        </is>
      </c>
      <c r="E924" s="0" t="inlineStr">
        <is>
          <t>2009.08.</t>
        </is>
      </c>
      <c r="F924" s="0" t="n">
        <v>21</v>
      </c>
      <c r="G924" s="0" t="n">
        <v>27.53</v>
      </c>
      <c r="H924" s="0" t="n">
        <v>91.03</v>
      </c>
      <c r="I924" s="0" t="n">
        <v>21.14</v>
      </c>
      <c r="J924" s="0" t="n">
        <v>69.90000000000001</v>
      </c>
      <c r="K924" s="0" t="n">
        <v>7</v>
      </c>
      <c r="T924" s="0" t="n">
        <v>3</v>
      </c>
      <c r="U924" s="0" t="n">
        <v>2</v>
      </c>
      <c r="V924" s="0" t="inlineStr">
        <is>
          <t>복합식</t>
        </is>
      </c>
      <c r="W924" s="0" t="n">
        <v>91</v>
      </c>
      <c r="X924" s="0" t="n">
        <v>10</v>
      </c>
      <c r="Y924" s="0" t="n">
        <v>10</v>
      </c>
      <c r="Z924" s="0" t="inlineStr">
        <is>
          <t>https://new.land.naver.com/complexes/107528?tab=detail&amp;rf=Y</t>
        </is>
      </c>
      <c r="AA924" s="0" t="inlineStr">
        <is>
          <t>인천시 서구 석남동 504-9</t>
        </is>
      </c>
      <c r="AB924" s="0" t="inlineStr">
        <is>
          <t>인천시</t>
        </is>
      </c>
      <c r="AC924" s="0" t="inlineStr">
        <is>
          <t>서구</t>
        </is>
      </c>
      <c r="AD924" s="0" t="inlineStr">
        <is>
          <t>석남동</t>
        </is>
      </c>
      <c r="AG924" s="0" t="inlineStr">
        <is>
          <t>인천시 서구 옻우물로 12</t>
        </is>
      </c>
      <c r="AH924" s="0" t="n">
        <v>0</v>
      </c>
      <c r="AI924" s="0" t="n">
        <v>345</v>
      </c>
      <c r="AJ924" s="0" t="n">
        <v>49</v>
      </c>
      <c r="AK924" s="0" t="n">
        <v>25</v>
      </c>
      <c r="AL924" s="0" t="n">
        <v>1.19</v>
      </c>
    </row>
    <row r="925">
      <c r="A925" s="0" t="inlineStr">
        <is>
          <t>[석남동]</t>
        </is>
      </c>
      <c r="B925" s="0" t="n">
        <v>102771</v>
      </c>
      <c r="C925" s="0" t="n">
        <v>1</v>
      </c>
      <c r="D925" s="0" t="inlineStr">
        <is>
          <t>아내트</t>
        </is>
      </c>
      <c r="E925" s="0" t="inlineStr">
        <is>
          <t>2010.04.</t>
        </is>
      </c>
      <c r="F925" s="0" t="n">
        <v>18</v>
      </c>
      <c r="G925" s="0" t="n">
        <v>26.86</v>
      </c>
      <c r="H925" s="0" t="n">
        <v>88.81999999999999</v>
      </c>
      <c r="I925" s="0" t="n">
        <v>22.78</v>
      </c>
      <c r="J925" s="0" t="n">
        <v>75.33</v>
      </c>
      <c r="K925" s="0" t="n">
        <v>8</v>
      </c>
      <c r="T925" s="0" t="n">
        <v>3</v>
      </c>
      <c r="U925" s="0" t="n">
        <v>2</v>
      </c>
      <c r="V925" s="0" t="inlineStr">
        <is>
          <t>계단식</t>
        </is>
      </c>
      <c r="W925" s="0" t="inlineStr">
        <is>
          <t>88A</t>
        </is>
      </c>
      <c r="X925" s="0" t="n">
        <v>7</v>
      </c>
      <c r="Y925" s="0" t="n">
        <v>6</v>
      </c>
      <c r="Z925" s="0" t="inlineStr">
        <is>
          <t>https://new.land.naver.com/complexes/102771?tab=detail&amp;rf=Y</t>
        </is>
      </c>
      <c r="AA925" s="0" t="inlineStr">
        <is>
          <t>인천시 서구 석남동 516-5</t>
        </is>
      </c>
      <c r="AB925" s="0" t="inlineStr">
        <is>
          <t>인천시</t>
        </is>
      </c>
      <c r="AC925" s="0" t="inlineStr">
        <is>
          <t>서구</t>
        </is>
      </c>
      <c r="AD925" s="0" t="inlineStr">
        <is>
          <t>석남동</t>
        </is>
      </c>
      <c r="AG925" s="0" t="inlineStr">
        <is>
          <t>인천시 서구 염곡로260번길 23</t>
        </is>
      </c>
      <c r="AH925" s="0" t="n">
        <v>0</v>
      </c>
      <c r="AI925" s="0" t="n">
        <v>275</v>
      </c>
      <c r="AJ925" s="0" t="n">
        <v>59</v>
      </c>
      <c r="AK925" s="0" t="n">
        <v>23</v>
      </c>
      <c r="AL925" s="0" t="n">
        <v>1.28</v>
      </c>
    </row>
    <row r="926">
      <c r="A926" s="0" t="inlineStr">
        <is>
          <t>[석남동]</t>
        </is>
      </c>
      <c r="B926" s="0" t="n">
        <v>102771</v>
      </c>
      <c r="C926" s="0" t="n">
        <v>2</v>
      </c>
      <c r="D926" s="0" t="inlineStr">
        <is>
          <t>아내트</t>
        </is>
      </c>
      <c r="E926" s="0" t="inlineStr">
        <is>
          <t>2010.04.</t>
        </is>
      </c>
      <c r="F926" s="0" t="n">
        <v>18</v>
      </c>
      <c r="G926" s="0" t="n">
        <v>27.37</v>
      </c>
      <c r="H926" s="0" t="n">
        <v>90.48</v>
      </c>
      <c r="I926" s="0" t="n">
        <v>23.21</v>
      </c>
      <c r="J926" s="0" t="n">
        <v>76.73999999999999</v>
      </c>
      <c r="K926" s="0" t="n">
        <v>10</v>
      </c>
      <c r="T926" s="0" t="n">
        <v>3</v>
      </c>
      <c r="U926" s="0" t="n">
        <v>2</v>
      </c>
      <c r="V926" s="0" t="inlineStr">
        <is>
          <t>계단식</t>
        </is>
      </c>
      <c r="W926" s="0" t="inlineStr">
        <is>
          <t>90B</t>
        </is>
      </c>
      <c r="X926" s="0" t="n">
        <v>7</v>
      </c>
      <c r="Y926" s="0" t="n">
        <v>6</v>
      </c>
      <c r="Z926" s="0" t="inlineStr">
        <is>
          <t>https://new.land.naver.com/complexes/102771?tab=detail&amp;rf=Y</t>
        </is>
      </c>
      <c r="AA926" s="0" t="inlineStr">
        <is>
          <t>인천시 서구 석남동 516-5</t>
        </is>
      </c>
      <c r="AB926" s="0" t="inlineStr">
        <is>
          <t>인천시</t>
        </is>
      </c>
      <c r="AC926" s="0" t="inlineStr">
        <is>
          <t>서구</t>
        </is>
      </c>
      <c r="AD926" s="0" t="inlineStr">
        <is>
          <t>석남동</t>
        </is>
      </c>
      <c r="AG926" s="0" t="inlineStr">
        <is>
          <t>인천시 서구 염곡로260번길 23</t>
        </is>
      </c>
      <c r="AH926" s="0" t="n">
        <v>0</v>
      </c>
      <c r="AI926" s="0" t="n">
        <v>275</v>
      </c>
      <c r="AJ926" s="0" t="n">
        <v>59</v>
      </c>
      <c r="AK926" s="0" t="n">
        <v>23</v>
      </c>
      <c r="AL926" s="0" t="n">
        <v>1.28</v>
      </c>
    </row>
    <row r="927">
      <c r="A927" s="0" t="inlineStr">
        <is>
          <t>[석남동]</t>
        </is>
      </c>
      <c r="B927" s="0" t="n">
        <v>11220</v>
      </c>
      <c r="C927" s="0" t="n">
        <v>1</v>
      </c>
      <c r="D927" s="0" t="inlineStr">
        <is>
          <t>한울</t>
        </is>
      </c>
      <c r="E927" s="0" t="inlineStr">
        <is>
          <t>2002.10.</t>
        </is>
      </c>
      <c r="F927" s="0" t="n">
        <v>18</v>
      </c>
      <c r="G927" s="0" t="n">
        <v>18.18</v>
      </c>
      <c r="H927" s="0" t="n">
        <v>60.12</v>
      </c>
      <c r="I927" s="0" t="n">
        <v>15.66</v>
      </c>
      <c r="J927" s="0" t="n">
        <v>51.78</v>
      </c>
      <c r="K927" s="0" t="n">
        <v>2</v>
      </c>
      <c r="T927" s="0" t="n">
        <v>2</v>
      </c>
      <c r="U927" s="0" t="n">
        <v>1</v>
      </c>
      <c r="V927" s="0" t="inlineStr">
        <is>
          <t>복합식</t>
        </is>
      </c>
      <c r="W927" s="0" t="n">
        <v>60</v>
      </c>
      <c r="X927" s="0" t="n">
        <v>10</v>
      </c>
      <c r="Y927" s="0" t="n">
        <v>10</v>
      </c>
      <c r="Z927" s="0" t="inlineStr">
        <is>
          <t>https://new.land.naver.com/complexes/11220?tab=detail&amp;rf=Y</t>
        </is>
      </c>
      <c r="AA927" s="0" t="inlineStr">
        <is>
          <t>인천시 서구 석남동 175-66</t>
        </is>
      </c>
      <c r="AB927" s="0" t="inlineStr">
        <is>
          <t>인천시</t>
        </is>
      </c>
      <c r="AC927" s="0" t="inlineStr">
        <is>
          <t>서구</t>
        </is>
      </c>
      <c r="AD927" s="0" t="inlineStr">
        <is>
          <t>석남동</t>
        </is>
      </c>
      <c r="AG927" s="0" t="inlineStr">
        <is>
          <t>인천시 서구 염곡로 291</t>
        </is>
      </c>
      <c r="AH927" s="0" t="n">
        <v>0</v>
      </c>
      <c r="AI927" s="0" t="n">
        <v>298</v>
      </c>
      <c r="AJ927" s="0" t="n">
        <v>36</v>
      </c>
      <c r="AK927" s="0" t="n">
        <v>12</v>
      </c>
      <c r="AL927" s="0" t="n">
        <v>0.67</v>
      </c>
    </row>
    <row r="928">
      <c r="A928" s="0" t="inlineStr">
        <is>
          <t>[석남동]</t>
        </is>
      </c>
      <c r="B928" s="0" t="n">
        <v>11220</v>
      </c>
      <c r="C928" s="0" t="n">
        <v>2</v>
      </c>
      <c r="D928" s="0" t="inlineStr">
        <is>
          <t>한울</t>
        </is>
      </c>
      <c r="E928" s="0" t="inlineStr">
        <is>
          <t>2002.10.</t>
        </is>
      </c>
      <c r="F928" s="0" t="n">
        <v>18</v>
      </c>
      <c r="G928" s="0" t="n">
        <v>22.12</v>
      </c>
      <c r="H928" s="0" t="n">
        <v>73.15000000000001</v>
      </c>
      <c r="I928" s="0" t="n">
        <v>19.05</v>
      </c>
      <c r="J928" s="0" t="n">
        <v>63</v>
      </c>
      <c r="K928" s="0" t="n">
        <v>1</v>
      </c>
      <c r="T928" s="0" t="n">
        <v>3</v>
      </c>
      <c r="U928" s="0" t="n">
        <v>1</v>
      </c>
      <c r="V928" s="0" t="inlineStr">
        <is>
          <t>복합식</t>
        </is>
      </c>
      <c r="W928" s="0" t="n">
        <v>73</v>
      </c>
      <c r="X928" s="0" t="n">
        <v>10</v>
      </c>
      <c r="Y928" s="0" t="n">
        <v>10</v>
      </c>
      <c r="Z928" s="0" t="inlineStr">
        <is>
          <t>https://new.land.naver.com/complexes/11220?tab=detail&amp;rf=Y</t>
        </is>
      </c>
      <c r="AA928" s="0" t="inlineStr">
        <is>
          <t>인천시 서구 석남동 175-66</t>
        </is>
      </c>
      <c r="AB928" s="0" t="inlineStr">
        <is>
          <t>인천시</t>
        </is>
      </c>
      <c r="AC928" s="0" t="inlineStr">
        <is>
          <t>서구</t>
        </is>
      </c>
      <c r="AD928" s="0" t="inlineStr">
        <is>
          <t>석남동</t>
        </is>
      </c>
      <c r="AG928" s="0" t="inlineStr">
        <is>
          <t>인천시 서구 염곡로 291</t>
        </is>
      </c>
      <c r="AH928" s="0" t="n">
        <v>0</v>
      </c>
      <c r="AI928" s="0" t="n">
        <v>298</v>
      </c>
      <c r="AJ928" s="0" t="n">
        <v>36</v>
      </c>
      <c r="AK928" s="0" t="n">
        <v>12</v>
      </c>
      <c r="AL928" s="0" t="n">
        <v>0.67</v>
      </c>
    </row>
    <row r="929">
      <c r="A929" s="0" t="inlineStr">
        <is>
          <t>[석남동]</t>
        </is>
      </c>
      <c r="B929" s="0" t="n">
        <v>11220</v>
      </c>
      <c r="C929" s="0" t="n">
        <v>3</v>
      </c>
      <c r="D929" s="0" t="inlineStr">
        <is>
          <t>한울</t>
        </is>
      </c>
      <c r="E929" s="0" t="inlineStr">
        <is>
          <t>2002.10.</t>
        </is>
      </c>
      <c r="F929" s="0" t="n">
        <v>18</v>
      </c>
      <c r="G929" s="0" t="n">
        <v>25.92</v>
      </c>
      <c r="H929" s="0" t="n">
        <v>85.7</v>
      </c>
      <c r="I929" s="0" t="n">
        <v>22.32</v>
      </c>
      <c r="J929" s="0" t="n">
        <v>73.79000000000001</v>
      </c>
      <c r="K929" s="0" t="n">
        <v>15</v>
      </c>
      <c r="T929" s="0" t="n">
        <v>3</v>
      </c>
      <c r="U929" s="0" t="n">
        <v>2</v>
      </c>
      <c r="V929" s="0" t="inlineStr">
        <is>
          <t>계단식</t>
        </is>
      </c>
      <c r="W929" s="0" t="n">
        <v>85</v>
      </c>
      <c r="X929" s="0" t="n">
        <v>10</v>
      </c>
      <c r="Y929" s="0" t="n">
        <v>10</v>
      </c>
      <c r="Z929" s="0" t="inlineStr">
        <is>
          <t>https://new.land.naver.com/complexes/11220?tab=detail&amp;rf=Y</t>
        </is>
      </c>
      <c r="AA929" s="0" t="inlineStr">
        <is>
          <t>인천시 서구 석남동 175-66</t>
        </is>
      </c>
      <c r="AB929" s="0" t="inlineStr">
        <is>
          <t>인천시</t>
        </is>
      </c>
      <c r="AC929" s="0" t="inlineStr">
        <is>
          <t>서구</t>
        </is>
      </c>
      <c r="AD929" s="0" t="inlineStr">
        <is>
          <t>석남동</t>
        </is>
      </c>
      <c r="AG929" s="0" t="inlineStr">
        <is>
          <t>인천시 서구 염곡로 291</t>
        </is>
      </c>
      <c r="AH929" s="0" t="n">
        <v>0</v>
      </c>
      <c r="AI929" s="0" t="n">
        <v>298</v>
      </c>
      <c r="AJ929" s="0" t="n">
        <v>36</v>
      </c>
      <c r="AK929" s="0" t="n">
        <v>12</v>
      </c>
      <c r="AL929" s="0" t="n">
        <v>0.67</v>
      </c>
    </row>
    <row r="930">
      <c r="A930" s="0" t="inlineStr">
        <is>
          <t>[석남동]</t>
        </is>
      </c>
      <c r="B930" s="0" t="n">
        <v>10308</v>
      </c>
      <c r="C930" s="0" t="n">
        <v>1</v>
      </c>
      <c r="D930" s="0" t="inlineStr">
        <is>
          <t>신광2차</t>
        </is>
      </c>
      <c r="E930" s="0" t="inlineStr">
        <is>
          <t>1997.01.</t>
        </is>
      </c>
      <c r="F930" s="0" t="n">
        <v>191</v>
      </c>
      <c r="G930" s="0" t="n">
        <v>19.26</v>
      </c>
      <c r="H930" s="0" t="n">
        <v>63.68</v>
      </c>
      <c r="I930" s="0" t="n">
        <v>14.01</v>
      </c>
      <c r="J930" s="0" t="n">
        <v>46.32</v>
      </c>
      <c r="K930" s="0" t="n">
        <v>1</v>
      </c>
      <c r="T930" s="0" t="n">
        <v>2</v>
      </c>
      <c r="U930" s="0" t="n">
        <v>1</v>
      </c>
      <c r="V930" s="0" t="inlineStr">
        <is>
          <t>계단식</t>
        </is>
      </c>
      <c r="W930" s="0" t="n">
        <v>63</v>
      </c>
      <c r="X930" s="0" t="n">
        <v>14</v>
      </c>
      <c r="Y930" s="0" t="n">
        <v>13</v>
      </c>
      <c r="Z930" s="0" t="inlineStr">
        <is>
          <t>https://new.land.naver.com/complexes/10308?tab=detail&amp;rf=Y</t>
        </is>
      </c>
      <c r="AA930" s="0" t="inlineStr">
        <is>
          <t>인천시 서구 석남동 206</t>
        </is>
      </c>
      <c r="AB930" s="0" t="inlineStr">
        <is>
          <t>인천시</t>
        </is>
      </c>
      <c r="AC930" s="0" t="inlineStr">
        <is>
          <t>서구</t>
        </is>
      </c>
      <c r="AD930" s="0" t="inlineStr">
        <is>
          <t>석남동</t>
        </is>
      </c>
      <c r="AG930" s="0" t="inlineStr">
        <is>
          <t>인천시 서구 율도로16번길 28</t>
        </is>
      </c>
      <c r="AH930" s="0" t="n">
        <v>0</v>
      </c>
      <c r="AI930" s="0" t="n">
        <v>392</v>
      </c>
      <c r="AJ930" s="0" t="n">
        <v>33</v>
      </c>
      <c r="AK930" s="0" t="n">
        <v>106</v>
      </c>
      <c r="AL930" s="0" t="n">
        <v>0.55</v>
      </c>
    </row>
    <row r="931">
      <c r="A931" s="0" t="inlineStr">
        <is>
          <t>[석남동]</t>
        </is>
      </c>
      <c r="B931" s="0" t="n">
        <v>10308</v>
      </c>
      <c r="C931" s="0" t="n">
        <v>2</v>
      </c>
      <c r="D931" s="0" t="inlineStr">
        <is>
          <t>신광2차</t>
        </is>
      </c>
      <c r="E931" s="0" t="inlineStr">
        <is>
          <t>1997.01.</t>
        </is>
      </c>
      <c r="F931" s="0" t="n">
        <v>191</v>
      </c>
      <c r="G931" s="0" t="n">
        <v>21.54</v>
      </c>
      <c r="H931" s="0" t="n">
        <v>71.20999999999999</v>
      </c>
      <c r="I931" s="0" t="n">
        <v>15.67</v>
      </c>
      <c r="J931" s="0" t="n">
        <v>51.81</v>
      </c>
      <c r="K931" s="0" t="n">
        <v>25</v>
      </c>
      <c r="T931" s="0" t="n">
        <v>2</v>
      </c>
      <c r="U931" s="0" t="n">
        <v>1</v>
      </c>
      <c r="V931" s="0" t="inlineStr">
        <is>
          <t>계단식</t>
        </is>
      </c>
      <c r="W931" s="0" t="n">
        <v>71</v>
      </c>
      <c r="X931" s="0" t="n">
        <v>14</v>
      </c>
      <c r="Y931" s="0" t="n">
        <v>13</v>
      </c>
      <c r="Z931" s="0" t="inlineStr">
        <is>
          <t>https://new.land.naver.com/complexes/10308?tab=detail&amp;rf=Y</t>
        </is>
      </c>
      <c r="AA931" s="0" t="inlineStr">
        <is>
          <t>인천시 서구 석남동 206</t>
        </is>
      </c>
      <c r="AB931" s="0" t="inlineStr">
        <is>
          <t>인천시</t>
        </is>
      </c>
      <c r="AC931" s="0" t="inlineStr">
        <is>
          <t>서구</t>
        </is>
      </c>
      <c r="AD931" s="0" t="inlineStr">
        <is>
          <t>석남동</t>
        </is>
      </c>
      <c r="AG931" s="0" t="inlineStr">
        <is>
          <t>인천시 서구 율도로16번길 28</t>
        </is>
      </c>
      <c r="AH931" s="0" t="n">
        <v>0</v>
      </c>
      <c r="AI931" s="0" t="n">
        <v>392</v>
      </c>
      <c r="AJ931" s="0" t="n">
        <v>33</v>
      </c>
      <c r="AK931" s="0" t="n">
        <v>106</v>
      </c>
      <c r="AL931" s="0" t="n">
        <v>0.55</v>
      </c>
    </row>
    <row r="932">
      <c r="A932" s="0" t="inlineStr">
        <is>
          <t>[석남동]</t>
        </is>
      </c>
      <c r="B932" s="0" t="n">
        <v>10308</v>
      </c>
      <c r="C932" s="0" t="n">
        <v>3</v>
      </c>
      <c r="D932" s="0" t="inlineStr">
        <is>
          <t>신광2차</t>
        </is>
      </c>
      <c r="E932" s="0" t="inlineStr">
        <is>
          <t>1997.01.</t>
        </is>
      </c>
      <c r="F932" s="0" t="n">
        <v>191</v>
      </c>
      <c r="G932" s="0" t="n">
        <v>22.62</v>
      </c>
      <c r="H932" s="0" t="n">
        <v>74.8</v>
      </c>
      <c r="I932" s="0" t="n">
        <v>16.46</v>
      </c>
      <c r="J932" s="0" t="n">
        <v>54.42</v>
      </c>
      <c r="K932" s="0" t="n">
        <v>5</v>
      </c>
      <c r="T932" s="0" t="n">
        <v>3</v>
      </c>
      <c r="U932" s="0" t="n">
        <v>1</v>
      </c>
      <c r="V932" s="0" t="inlineStr">
        <is>
          <t>계단식</t>
        </is>
      </c>
      <c r="W932" s="0" t="n">
        <v>74</v>
      </c>
      <c r="X932" s="0" t="n">
        <v>14</v>
      </c>
      <c r="Y932" s="0" t="n">
        <v>13</v>
      </c>
      <c r="Z932" s="0" t="inlineStr">
        <is>
          <t>https://new.land.naver.com/complexes/10308?tab=detail&amp;rf=Y</t>
        </is>
      </c>
      <c r="AA932" s="0" t="inlineStr">
        <is>
          <t>인천시 서구 석남동 206</t>
        </is>
      </c>
      <c r="AB932" s="0" t="inlineStr">
        <is>
          <t>인천시</t>
        </is>
      </c>
      <c r="AC932" s="0" t="inlineStr">
        <is>
          <t>서구</t>
        </is>
      </c>
      <c r="AD932" s="0" t="inlineStr">
        <is>
          <t>석남동</t>
        </is>
      </c>
      <c r="AG932" s="0" t="inlineStr">
        <is>
          <t>인천시 서구 율도로16번길 28</t>
        </is>
      </c>
      <c r="AH932" s="0" t="n">
        <v>0</v>
      </c>
      <c r="AI932" s="0" t="n">
        <v>392</v>
      </c>
      <c r="AJ932" s="0" t="n">
        <v>33</v>
      </c>
      <c r="AK932" s="0" t="n">
        <v>106</v>
      </c>
      <c r="AL932" s="0" t="n">
        <v>0.55</v>
      </c>
    </row>
    <row r="933">
      <c r="A933" s="0" t="inlineStr">
        <is>
          <t>[석남동]</t>
        </is>
      </c>
      <c r="B933" s="0" t="n">
        <v>10308</v>
      </c>
      <c r="C933" s="0" t="n">
        <v>4</v>
      </c>
      <c r="D933" s="0" t="inlineStr">
        <is>
          <t>신광2차</t>
        </is>
      </c>
      <c r="E933" s="0" t="inlineStr">
        <is>
          <t>1997.01.</t>
        </is>
      </c>
      <c r="F933" s="0" t="n">
        <v>191</v>
      </c>
      <c r="G933" s="0" t="n">
        <v>24.9</v>
      </c>
      <c r="H933" s="0" t="n">
        <v>82.34</v>
      </c>
      <c r="I933" s="0" t="n">
        <v>18.12</v>
      </c>
      <c r="J933" s="0" t="n">
        <v>59.91</v>
      </c>
      <c r="K933" s="0" t="n">
        <v>160</v>
      </c>
      <c r="T933" s="0" t="n">
        <v>3</v>
      </c>
      <c r="U933" s="0" t="n">
        <v>1</v>
      </c>
      <c r="V933" s="0" t="inlineStr">
        <is>
          <t>계단식</t>
        </is>
      </c>
      <c r="W933" s="0" t="n">
        <v>82</v>
      </c>
      <c r="X933" s="0" t="n">
        <v>14</v>
      </c>
      <c r="Y933" s="0" t="n">
        <v>13</v>
      </c>
      <c r="Z933" s="0" t="inlineStr">
        <is>
          <t>https://new.land.naver.com/complexes/10308?tab=detail&amp;rf=Y</t>
        </is>
      </c>
      <c r="AA933" s="0" t="inlineStr">
        <is>
          <t>인천시 서구 석남동 206</t>
        </is>
      </c>
      <c r="AB933" s="0" t="inlineStr">
        <is>
          <t>인천시</t>
        </is>
      </c>
      <c r="AC933" s="0" t="inlineStr">
        <is>
          <t>서구</t>
        </is>
      </c>
      <c r="AD933" s="0" t="inlineStr">
        <is>
          <t>석남동</t>
        </is>
      </c>
      <c r="AG933" s="0" t="inlineStr">
        <is>
          <t>인천시 서구 율도로16번길 28</t>
        </is>
      </c>
      <c r="AH933" s="0" t="n">
        <v>0</v>
      </c>
      <c r="AI933" s="0" t="n">
        <v>392</v>
      </c>
      <c r="AJ933" s="0" t="n">
        <v>33</v>
      </c>
      <c r="AK933" s="0" t="n">
        <v>106</v>
      </c>
      <c r="AL933" s="0" t="n">
        <v>0.55</v>
      </c>
    </row>
    <row r="934">
      <c r="A934" s="0" t="inlineStr">
        <is>
          <t>[석남동]</t>
        </is>
      </c>
      <c r="B934" s="0" t="n">
        <v>9113</v>
      </c>
      <c r="C934" s="0" t="n">
        <v>1</v>
      </c>
      <c r="D934" s="0" t="inlineStr">
        <is>
          <t>태화</t>
        </is>
      </c>
      <c r="E934" s="0" t="inlineStr">
        <is>
          <t>1990.11.</t>
        </is>
      </c>
      <c r="F934" s="0" t="n">
        <v>299</v>
      </c>
      <c r="G934" s="0" t="n">
        <v>23.29</v>
      </c>
      <c r="H934" s="0" t="n">
        <v>77.01000000000001</v>
      </c>
      <c r="I934" s="0" t="n">
        <v>18.92</v>
      </c>
      <c r="J934" s="0" t="n">
        <v>62.55</v>
      </c>
      <c r="K934" s="0" t="n">
        <v>156</v>
      </c>
      <c r="T934" s="0" t="n">
        <v>3</v>
      </c>
      <c r="U934" s="0" t="n">
        <v>1</v>
      </c>
      <c r="V934" s="0" t="inlineStr">
        <is>
          <t>복도식</t>
        </is>
      </c>
      <c r="W934" s="0" t="n">
        <v>77</v>
      </c>
      <c r="X934" s="0" t="n">
        <v>13</v>
      </c>
      <c r="Y934" s="0" t="n">
        <v>13</v>
      </c>
      <c r="Z934" s="0" t="inlineStr">
        <is>
          <t>https://new.land.naver.com/complexes/9113?tab=detail&amp;rf=Y</t>
        </is>
      </c>
      <c r="AA934" s="0" t="inlineStr">
        <is>
          <t>인천시 서구 석남동 109-55</t>
        </is>
      </c>
      <c r="AB934" s="0" t="inlineStr">
        <is>
          <t>인천시</t>
        </is>
      </c>
      <c r="AC934" s="0" t="inlineStr">
        <is>
          <t>서구</t>
        </is>
      </c>
      <c r="AD934" s="0" t="inlineStr">
        <is>
          <t>석남동</t>
        </is>
      </c>
      <c r="AG934" s="0" t="inlineStr">
        <is>
          <t>인천시 서구 서달로116번길 12</t>
        </is>
      </c>
      <c r="AH934" s="0" t="n">
        <v>0</v>
      </c>
      <c r="AI934" s="0" t="n">
        <v>104</v>
      </c>
      <c r="AJ934" s="0" t="n">
        <v>0</v>
      </c>
      <c r="AK934" s="0" t="n">
        <v>0</v>
      </c>
      <c r="AL934" s="0" t="n">
        <v>0</v>
      </c>
    </row>
    <row r="935">
      <c r="A935" s="0" t="inlineStr">
        <is>
          <t>[석남동]</t>
        </is>
      </c>
      <c r="B935" s="0" t="n">
        <v>9113</v>
      </c>
      <c r="C935" s="0" t="n">
        <v>2</v>
      </c>
      <c r="D935" s="0" t="inlineStr">
        <is>
          <t>태화</t>
        </is>
      </c>
      <c r="E935" s="0" t="inlineStr">
        <is>
          <t>1990.11.</t>
        </is>
      </c>
      <c r="F935" s="0" t="n">
        <v>299</v>
      </c>
      <c r="G935" s="0" t="n">
        <v>27.48</v>
      </c>
      <c r="H935" s="0" t="n">
        <v>90.86</v>
      </c>
      <c r="I935" s="0" t="n">
        <v>22.32</v>
      </c>
      <c r="J935" s="0" t="n">
        <v>73.79000000000001</v>
      </c>
      <c r="K935" s="0" t="n">
        <v>143</v>
      </c>
      <c r="T935" s="0" t="n">
        <v>3</v>
      </c>
      <c r="U935" s="0" t="n">
        <v>1</v>
      </c>
      <c r="V935" s="0" t="inlineStr">
        <is>
          <t>계단식</t>
        </is>
      </c>
      <c r="W935" s="0" t="n">
        <v>90</v>
      </c>
      <c r="X935" s="0" t="n">
        <v>13</v>
      </c>
      <c r="Y935" s="0" t="n">
        <v>13</v>
      </c>
      <c r="Z935" s="0" t="inlineStr">
        <is>
          <t>https://new.land.naver.com/complexes/9113?tab=detail&amp;rf=Y</t>
        </is>
      </c>
      <c r="AA935" s="0" t="inlineStr">
        <is>
          <t>인천시 서구 석남동 109-55</t>
        </is>
      </c>
      <c r="AB935" s="0" t="inlineStr">
        <is>
          <t>인천시</t>
        </is>
      </c>
      <c r="AC935" s="0" t="inlineStr">
        <is>
          <t>서구</t>
        </is>
      </c>
      <c r="AD935" s="0" t="inlineStr">
        <is>
          <t>석남동</t>
        </is>
      </c>
      <c r="AG935" s="0" t="inlineStr">
        <is>
          <t>인천시 서구 서달로116번길 12</t>
        </is>
      </c>
      <c r="AH935" s="0" t="n">
        <v>0</v>
      </c>
      <c r="AI935" s="0" t="n">
        <v>104</v>
      </c>
      <c r="AJ935" s="0" t="n">
        <v>0</v>
      </c>
      <c r="AK935" s="0" t="n">
        <v>0</v>
      </c>
      <c r="AL935" s="0" t="n">
        <v>0</v>
      </c>
    </row>
    <row r="936">
      <c r="A936" s="0" t="inlineStr">
        <is>
          <t>[석남동]</t>
        </is>
      </c>
      <c r="B936" s="0" t="n">
        <v>103707</v>
      </c>
      <c r="C936" s="0" t="n">
        <v>1</v>
      </c>
      <c r="D936" s="0" t="inlineStr">
        <is>
          <t>석남1차</t>
        </is>
      </c>
      <c r="E936" s="0" t="inlineStr">
        <is>
          <t>1983.04.</t>
        </is>
      </c>
      <c r="F936" s="0" t="n">
        <v>30</v>
      </c>
      <c r="G936" s="0" t="n">
        <v>15.6</v>
      </c>
      <c r="H936" s="0" t="n">
        <v>51.6</v>
      </c>
      <c r="I936" s="0" t="n">
        <v>14.08</v>
      </c>
      <c r="J936" s="0" t="n">
        <v>46.56</v>
      </c>
      <c r="K936" s="0" t="n">
        <v>30</v>
      </c>
      <c r="T936" s="0" t="n">
        <v>2</v>
      </c>
      <c r="U936" s="0" t="n">
        <v>1</v>
      </c>
      <c r="V936" s="0" t="inlineStr">
        <is>
          <t>계단식</t>
        </is>
      </c>
      <c r="W936" s="0" t="n">
        <v>51</v>
      </c>
      <c r="X936" s="0" t="n">
        <v>5</v>
      </c>
      <c r="Y936" s="0" t="n">
        <v>5</v>
      </c>
      <c r="Z936" s="0" t="inlineStr">
        <is>
          <t>https://new.land.naver.com/complexes/103707?tab=detail&amp;rf=Y</t>
        </is>
      </c>
      <c r="AA936" s="0" t="inlineStr">
        <is>
          <t>인천시 서구 석남동 502-6</t>
        </is>
      </c>
      <c r="AB936" s="0" t="inlineStr">
        <is>
          <t>인천시</t>
        </is>
      </c>
      <c r="AC936" s="0" t="inlineStr">
        <is>
          <t>서구</t>
        </is>
      </c>
      <c r="AD936" s="0" t="inlineStr">
        <is>
          <t>석남동</t>
        </is>
      </c>
      <c r="AG936" s="0" t="inlineStr">
        <is>
          <t>인천시 서구 신석로112번길 35</t>
        </is>
      </c>
      <c r="AH936" s="0" t="n">
        <v>0</v>
      </c>
      <c r="AI936" s="0" t="n">
        <v>0</v>
      </c>
      <c r="AJ936" s="0" t="n">
        <v>0</v>
      </c>
      <c r="AK936" s="0" t="n">
        <v>0</v>
      </c>
      <c r="AL936" s="0" t="n">
        <v>0</v>
      </c>
    </row>
    <row r="937">
      <c r="A937" s="0" t="inlineStr">
        <is>
          <t>[석남동]</t>
        </is>
      </c>
      <c r="B937" s="0" t="n">
        <v>12069</v>
      </c>
      <c r="C937" s="0" t="n">
        <v>1</v>
      </c>
      <c r="D937" s="0" t="inlineStr">
        <is>
          <t>동아</t>
        </is>
      </c>
      <c r="E937" s="0" t="inlineStr">
        <is>
          <t>1984.11.</t>
        </is>
      </c>
      <c r="F937" s="0" t="n">
        <v>110</v>
      </c>
      <c r="G937" s="0" t="n">
        <v>23.11</v>
      </c>
      <c r="H937" s="0" t="n">
        <v>76.41</v>
      </c>
      <c r="I937" s="0" t="n">
        <v>19.71</v>
      </c>
      <c r="J937" s="0" t="n">
        <v>65.16</v>
      </c>
      <c r="K937" s="0" t="n">
        <v>30</v>
      </c>
      <c r="T937" s="0" t="n">
        <v>3</v>
      </c>
      <c r="U937" s="0" t="n">
        <v>1</v>
      </c>
      <c r="V937" s="0" t="inlineStr">
        <is>
          <t>계단식</t>
        </is>
      </c>
      <c r="W937" s="0" t="n">
        <v>76</v>
      </c>
      <c r="X937" s="0" t="n">
        <v>5</v>
      </c>
      <c r="Y937" s="0" t="n">
        <v>5</v>
      </c>
      <c r="Z937" s="0" t="inlineStr">
        <is>
          <t>https://new.land.naver.com/complexes/12069?tab=detail&amp;rf=Y</t>
        </is>
      </c>
      <c r="AA937" s="0" t="inlineStr">
        <is>
          <t>인천시 서구 석남동 579-2</t>
        </is>
      </c>
      <c r="AB937" s="0" t="inlineStr">
        <is>
          <t>인천시</t>
        </is>
      </c>
      <c r="AC937" s="0" t="inlineStr">
        <is>
          <t>서구</t>
        </is>
      </c>
      <c r="AD937" s="0" t="inlineStr">
        <is>
          <t>석남동</t>
        </is>
      </c>
      <c r="AG937" s="0" t="inlineStr">
        <is>
          <t>인천시 서구 건지로 277</t>
        </is>
      </c>
      <c r="AH937" s="0" t="n">
        <v>0</v>
      </c>
      <c r="AI937" s="0" t="n">
        <v>132</v>
      </c>
      <c r="AJ937" s="0" t="n">
        <v>27</v>
      </c>
      <c r="AK937" s="0" t="n">
        <v>0</v>
      </c>
      <c r="AL937" s="0" t="n">
        <v>0</v>
      </c>
    </row>
    <row r="938">
      <c r="A938" s="0" t="inlineStr">
        <is>
          <t>[석남동]</t>
        </is>
      </c>
      <c r="B938" s="0" t="n">
        <v>12069</v>
      </c>
      <c r="C938" s="0" t="n">
        <v>2</v>
      </c>
      <c r="D938" s="0" t="inlineStr">
        <is>
          <t>동아</t>
        </is>
      </c>
      <c r="E938" s="0" t="inlineStr">
        <is>
          <t>1984.11.</t>
        </is>
      </c>
      <c r="F938" s="0" t="n">
        <v>110</v>
      </c>
      <c r="G938" s="0" t="n">
        <v>24.62</v>
      </c>
      <c r="H938" s="0" t="n">
        <v>81.40000000000001</v>
      </c>
      <c r="I938" s="0" t="n">
        <v>20.89</v>
      </c>
      <c r="J938" s="0" t="n">
        <v>69.06</v>
      </c>
      <c r="K938" s="0" t="n">
        <v>60</v>
      </c>
      <c r="T938" s="0" t="n">
        <v>3</v>
      </c>
      <c r="U938" s="0" t="n">
        <v>1</v>
      </c>
      <c r="V938" s="0" t="inlineStr">
        <is>
          <t>계단식</t>
        </is>
      </c>
      <c r="W938" s="0" t="inlineStr">
        <is>
          <t>81A</t>
        </is>
      </c>
      <c r="X938" s="0" t="n">
        <v>5</v>
      </c>
      <c r="Y938" s="0" t="n">
        <v>5</v>
      </c>
      <c r="Z938" s="0" t="inlineStr">
        <is>
          <t>https://new.land.naver.com/complexes/12069?tab=detail&amp;rf=Y</t>
        </is>
      </c>
      <c r="AA938" s="0" t="inlineStr">
        <is>
          <t>인천시 서구 석남동 579-2</t>
        </is>
      </c>
      <c r="AB938" s="0" t="inlineStr">
        <is>
          <t>인천시</t>
        </is>
      </c>
      <c r="AC938" s="0" t="inlineStr">
        <is>
          <t>서구</t>
        </is>
      </c>
      <c r="AD938" s="0" t="inlineStr">
        <is>
          <t>석남동</t>
        </is>
      </c>
      <c r="AG938" s="0" t="inlineStr">
        <is>
          <t>인천시 서구 건지로 277</t>
        </is>
      </c>
      <c r="AH938" s="0" t="n">
        <v>0</v>
      </c>
      <c r="AI938" s="0" t="n">
        <v>132</v>
      </c>
      <c r="AJ938" s="0" t="n">
        <v>27</v>
      </c>
      <c r="AK938" s="0" t="n">
        <v>0</v>
      </c>
      <c r="AL938" s="0" t="n">
        <v>0</v>
      </c>
    </row>
    <row r="939">
      <c r="A939" s="0" t="inlineStr">
        <is>
          <t>[석남동]</t>
        </is>
      </c>
      <c r="B939" s="0" t="n">
        <v>12069</v>
      </c>
      <c r="C939" s="0" t="n">
        <v>3</v>
      </c>
      <c r="D939" s="0" t="inlineStr">
        <is>
          <t>동아</t>
        </is>
      </c>
      <c r="E939" s="0" t="inlineStr">
        <is>
          <t>1984.11.</t>
        </is>
      </c>
      <c r="F939" s="0" t="n">
        <v>110</v>
      </c>
      <c r="G939" s="0" t="n">
        <v>25.29</v>
      </c>
      <c r="H939" s="0" t="n">
        <v>83.63</v>
      </c>
      <c r="I939" s="0" t="n">
        <v>21.47</v>
      </c>
      <c r="J939" s="0" t="n">
        <v>70.98</v>
      </c>
      <c r="K939" s="0" t="n">
        <v>20</v>
      </c>
      <c r="T939" s="0" t="n">
        <v>3</v>
      </c>
      <c r="U939" s="0" t="n">
        <v>1</v>
      </c>
      <c r="V939" s="0" t="inlineStr">
        <is>
          <t>계단식</t>
        </is>
      </c>
      <c r="W939" s="0" t="inlineStr">
        <is>
          <t>83B</t>
        </is>
      </c>
      <c r="X939" s="0" t="n">
        <v>5</v>
      </c>
      <c r="Y939" s="0" t="n">
        <v>5</v>
      </c>
      <c r="Z939" s="0" t="inlineStr">
        <is>
          <t>https://new.land.naver.com/complexes/12069?tab=detail&amp;rf=Y</t>
        </is>
      </c>
      <c r="AA939" s="0" t="inlineStr">
        <is>
          <t>인천시 서구 석남동 579-2</t>
        </is>
      </c>
      <c r="AB939" s="0" t="inlineStr">
        <is>
          <t>인천시</t>
        </is>
      </c>
      <c r="AC939" s="0" t="inlineStr">
        <is>
          <t>서구</t>
        </is>
      </c>
      <c r="AD939" s="0" t="inlineStr">
        <is>
          <t>석남동</t>
        </is>
      </c>
      <c r="AG939" s="0" t="inlineStr">
        <is>
          <t>인천시 서구 건지로 277</t>
        </is>
      </c>
      <c r="AH939" s="0" t="n">
        <v>0</v>
      </c>
      <c r="AI939" s="0" t="n">
        <v>132</v>
      </c>
      <c r="AJ939" s="0" t="n">
        <v>27</v>
      </c>
      <c r="AK939" s="0" t="n">
        <v>0</v>
      </c>
      <c r="AL939" s="0" t="n">
        <v>0</v>
      </c>
    </row>
    <row r="940">
      <c r="A940" s="0" t="inlineStr">
        <is>
          <t>[석남동]</t>
        </is>
      </c>
      <c r="B940" s="0" t="n">
        <v>24438</v>
      </c>
      <c r="C940" s="0" t="n">
        <v>1</v>
      </c>
      <c r="D940" s="0" t="inlineStr">
        <is>
          <t>아인</t>
        </is>
      </c>
      <c r="E940" s="0" t="inlineStr">
        <is>
          <t>2004.12.</t>
        </is>
      </c>
      <c r="F940" s="0" t="n">
        <v>12</v>
      </c>
      <c r="G940" s="0" t="n">
        <v>27.36</v>
      </c>
      <c r="H940" s="0" t="n">
        <v>90.47</v>
      </c>
      <c r="I940" s="0" t="n">
        <v>23.35</v>
      </c>
      <c r="J940" s="0" t="n">
        <v>77.22</v>
      </c>
      <c r="K940" s="0" t="n">
        <v>6</v>
      </c>
      <c r="T940" s="0" t="n">
        <v>3</v>
      </c>
      <c r="U940" s="0" t="n">
        <v>2</v>
      </c>
      <c r="V940" s="0" t="inlineStr">
        <is>
          <t>계단식</t>
        </is>
      </c>
      <c r="W940" s="0" t="n">
        <v>90</v>
      </c>
      <c r="X940" s="0" t="n">
        <v>8</v>
      </c>
      <c r="Y940" s="0" t="n">
        <v>8</v>
      </c>
      <c r="Z940" s="0" t="inlineStr">
        <is>
          <t>https://new.land.naver.com/complexes/24438?tab=detail&amp;rf=Y</t>
        </is>
      </c>
      <c r="AA940" s="0" t="inlineStr">
        <is>
          <t>인천시 서구 석남동 496-32</t>
        </is>
      </c>
      <c r="AB940" s="0" t="inlineStr">
        <is>
          <t>인천시</t>
        </is>
      </c>
      <c r="AC940" s="0" t="inlineStr">
        <is>
          <t>서구</t>
        </is>
      </c>
      <c r="AD940" s="0" t="inlineStr">
        <is>
          <t>석남동</t>
        </is>
      </c>
      <c r="AG940" s="0" t="inlineStr">
        <is>
          <t>인천시 서구 신석로122번길 17-1</t>
        </is>
      </c>
      <c r="AH940" s="0" t="n">
        <v>0</v>
      </c>
      <c r="AI940" s="0" t="n">
        <v>293</v>
      </c>
      <c r="AJ940" s="0" t="n">
        <v>53</v>
      </c>
      <c r="AK940" s="0" t="n">
        <v>12</v>
      </c>
      <c r="AL940" s="0" t="n">
        <v>1</v>
      </c>
    </row>
    <row r="941">
      <c r="A941" s="0" t="inlineStr">
        <is>
          <t>[석남동]</t>
        </is>
      </c>
      <c r="B941" s="0" t="n">
        <v>24438</v>
      </c>
      <c r="C941" s="0" t="n">
        <v>2</v>
      </c>
      <c r="D941" s="0" t="inlineStr">
        <is>
          <t>아인</t>
        </is>
      </c>
      <c r="E941" s="0" t="inlineStr">
        <is>
          <t>2004.12.</t>
        </is>
      </c>
      <c r="F941" s="0" t="n">
        <v>12</v>
      </c>
      <c r="G941" s="0" t="n">
        <v>27.7</v>
      </c>
      <c r="H941" s="0" t="n">
        <v>91.59</v>
      </c>
      <c r="I941" s="0" t="n">
        <v>23.64</v>
      </c>
      <c r="J941" s="0" t="n">
        <v>78.18000000000001</v>
      </c>
      <c r="K941" s="0" t="n">
        <v>6</v>
      </c>
      <c r="T941" s="0" t="n">
        <v>3</v>
      </c>
      <c r="U941" s="0" t="n">
        <v>2</v>
      </c>
      <c r="V941" s="0" t="inlineStr">
        <is>
          <t>계단식</t>
        </is>
      </c>
      <c r="W941" s="0" t="n">
        <v>91</v>
      </c>
      <c r="X941" s="0" t="n">
        <v>8</v>
      </c>
      <c r="Y941" s="0" t="n">
        <v>8</v>
      </c>
      <c r="Z941" s="0" t="inlineStr">
        <is>
          <t>https://new.land.naver.com/complexes/24438?tab=detail&amp;rf=Y</t>
        </is>
      </c>
      <c r="AA941" s="0" t="inlineStr">
        <is>
          <t>인천시 서구 석남동 496-32</t>
        </is>
      </c>
      <c r="AB941" s="0" t="inlineStr">
        <is>
          <t>인천시</t>
        </is>
      </c>
      <c r="AC941" s="0" t="inlineStr">
        <is>
          <t>서구</t>
        </is>
      </c>
      <c r="AD941" s="0" t="inlineStr">
        <is>
          <t>석남동</t>
        </is>
      </c>
      <c r="AG941" s="0" t="inlineStr">
        <is>
          <t>인천시 서구 신석로122번길 17-1</t>
        </is>
      </c>
      <c r="AH941" s="0" t="n">
        <v>0</v>
      </c>
      <c r="AI941" s="0" t="n">
        <v>293</v>
      </c>
      <c r="AJ941" s="0" t="n">
        <v>53</v>
      </c>
      <c r="AK941" s="0" t="n">
        <v>12</v>
      </c>
      <c r="AL941" s="0" t="n">
        <v>1</v>
      </c>
    </row>
    <row r="942">
      <c r="A942" s="0" t="inlineStr">
        <is>
          <t>[석남동]</t>
        </is>
      </c>
      <c r="B942" s="0" t="n">
        <v>120120</v>
      </c>
      <c r="C942" s="0" t="n">
        <v>1</v>
      </c>
      <c r="D942" s="0" t="inlineStr">
        <is>
          <t>서보</t>
        </is>
      </c>
      <c r="E942" s="0" t="inlineStr">
        <is>
          <t>2008.06.</t>
        </is>
      </c>
      <c r="F942" s="0" t="n">
        <v>32</v>
      </c>
      <c r="G942" s="0" t="n">
        <v>26.51</v>
      </c>
      <c r="H942" s="0" t="n">
        <v>87.64</v>
      </c>
      <c r="I942" s="0" t="n">
        <v>21.63</v>
      </c>
      <c r="J942" s="0" t="n">
        <v>71.51000000000001</v>
      </c>
      <c r="K942" s="0" t="n">
        <v>32</v>
      </c>
      <c r="T942" s="0" t="n">
        <v>3</v>
      </c>
      <c r="U942" s="0" t="n">
        <v>2</v>
      </c>
      <c r="V942" s="0" t="inlineStr">
        <is>
          <t>계단식</t>
        </is>
      </c>
      <c r="W942" s="0" t="n">
        <v>87</v>
      </c>
      <c r="X942" s="0" t="n">
        <v>9</v>
      </c>
      <c r="Y942" s="0" t="n">
        <v>9</v>
      </c>
      <c r="Z942" s="0" t="inlineStr">
        <is>
          <t>https://new.land.naver.com/complexes/120120?tab=detail&amp;rf=Y</t>
        </is>
      </c>
      <c r="AA942" s="0" t="inlineStr">
        <is>
          <t>인천시 서구 석남동 560-18</t>
        </is>
      </c>
      <c r="AB942" s="0" t="inlineStr">
        <is>
          <t>인천시</t>
        </is>
      </c>
      <c r="AC942" s="0" t="inlineStr">
        <is>
          <t>서구</t>
        </is>
      </c>
      <c r="AD942" s="0" t="inlineStr">
        <is>
          <t>석남동</t>
        </is>
      </c>
      <c r="AG942" s="0" t="inlineStr">
        <is>
          <t>인천시 서구 서달로 33</t>
        </is>
      </c>
      <c r="AH942" s="0" t="n">
        <v>0</v>
      </c>
      <c r="AI942" s="0" t="n">
        <v>248</v>
      </c>
      <c r="AJ942" s="0" t="n">
        <v>37</v>
      </c>
      <c r="AK942" s="0" t="n">
        <v>37</v>
      </c>
      <c r="AL942" s="0" t="n">
        <v>1.16</v>
      </c>
    </row>
    <row r="943">
      <c r="A943" s="0" t="inlineStr">
        <is>
          <t>[석남동]</t>
        </is>
      </c>
      <c r="B943" s="0" t="n">
        <v>123133</v>
      </c>
      <c r="C943" s="0" t="n">
        <v>1</v>
      </c>
      <c r="D943" s="0" t="inlineStr">
        <is>
          <t>제니스16차(도시형)</t>
        </is>
      </c>
      <c r="E943" s="0" t="inlineStr">
        <is>
          <t>2017.03.</t>
        </is>
      </c>
      <c r="F943" s="0" t="n">
        <v>36</v>
      </c>
      <c r="G943" s="0" t="n">
        <v>19.22</v>
      </c>
      <c r="H943" s="0" t="n">
        <v>63.56</v>
      </c>
      <c r="I943" s="0" t="n">
        <v>14.73</v>
      </c>
      <c r="J943" s="0" t="n">
        <v>48.71</v>
      </c>
      <c r="K943" s="0" t="n">
        <v>9</v>
      </c>
      <c r="T943" s="0" t="n">
        <v>3</v>
      </c>
      <c r="U943" s="0" t="n">
        <v>2</v>
      </c>
      <c r="V943" s="0" t="inlineStr">
        <is>
          <t>계단식</t>
        </is>
      </c>
      <c r="W943" s="0" t="n">
        <v>63</v>
      </c>
      <c r="X943" s="0" t="n">
        <v>10</v>
      </c>
      <c r="Y943" s="0" t="n">
        <v>10</v>
      </c>
      <c r="Z943" s="0" t="inlineStr">
        <is>
          <t>https://new.land.naver.com/complexes/123133?tab=detail&amp;rf=Y</t>
        </is>
      </c>
      <c r="AA943" s="0" t="inlineStr">
        <is>
          <t>인천시 서구 석남동 507-2</t>
        </is>
      </c>
      <c r="AB943" s="0" t="inlineStr">
        <is>
          <t>인천시</t>
        </is>
      </c>
      <c r="AC943" s="0" t="inlineStr">
        <is>
          <t>서구</t>
        </is>
      </c>
      <c r="AD943" s="0" t="inlineStr">
        <is>
          <t>석남동</t>
        </is>
      </c>
      <c r="AG943" s="0" t="inlineStr">
        <is>
          <t>인천시 서구 옻우물로34번길 4</t>
        </is>
      </c>
      <c r="AH943" s="0" t="n">
        <v>0</v>
      </c>
      <c r="AI943" s="0" t="n">
        <v>632</v>
      </c>
      <c r="AJ943" s="0" t="n">
        <v>58</v>
      </c>
      <c r="AK943" s="0" t="n">
        <v>26</v>
      </c>
      <c r="AL943" s="0" t="n">
        <v>0.72</v>
      </c>
    </row>
    <row r="944">
      <c r="A944" s="0" t="inlineStr">
        <is>
          <t>[석남동]</t>
        </is>
      </c>
      <c r="B944" s="0" t="n">
        <v>123133</v>
      </c>
      <c r="C944" s="0" t="n">
        <v>2</v>
      </c>
      <c r="D944" s="0" t="inlineStr">
        <is>
          <t>제니스16차(도시형)</t>
        </is>
      </c>
      <c r="E944" s="0" t="inlineStr">
        <is>
          <t>2017.03.</t>
        </is>
      </c>
      <c r="F944" s="0" t="n">
        <v>36</v>
      </c>
      <c r="G944" s="0" t="n">
        <v>19.8</v>
      </c>
      <c r="H944" s="0" t="n">
        <v>65.47</v>
      </c>
      <c r="I944" s="0" t="n">
        <v>14.92</v>
      </c>
      <c r="J944" s="0" t="n">
        <v>49.33</v>
      </c>
      <c r="K944" s="0" t="n">
        <v>9</v>
      </c>
      <c r="T944" s="0" t="n">
        <v>3</v>
      </c>
      <c r="U944" s="0" t="n">
        <v>2</v>
      </c>
      <c r="V944" s="0" t="inlineStr">
        <is>
          <t>계단식</t>
        </is>
      </c>
      <c r="W944" s="0" t="inlineStr">
        <is>
          <t>65A</t>
        </is>
      </c>
      <c r="X944" s="0" t="n">
        <v>10</v>
      </c>
      <c r="Y944" s="0" t="n">
        <v>10</v>
      </c>
      <c r="Z944" s="0" t="inlineStr">
        <is>
          <t>https://new.land.naver.com/complexes/123133?tab=detail&amp;rf=Y</t>
        </is>
      </c>
      <c r="AA944" s="0" t="inlineStr">
        <is>
          <t>인천시 서구 석남동 507-2</t>
        </is>
      </c>
      <c r="AB944" s="0" t="inlineStr">
        <is>
          <t>인천시</t>
        </is>
      </c>
      <c r="AC944" s="0" t="inlineStr">
        <is>
          <t>서구</t>
        </is>
      </c>
      <c r="AD944" s="0" t="inlineStr">
        <is>
          <t>석남동</t>
        </is>
      </c>
      <c r="AG944" s="0" t="inlineStr">
        <is>
          <t>인천시 서구 옻우물로34번길 4</t>
        </is>
      </c>
      <c r="AH944" s="0" t="n">
        <v>0</v>
      </c>
      <c r="AI944" s="0" t="n">
        <v>632</v>
      </c>
      <c r="AJ944" s="0" t="n">
        <v>58</v>
      </c>
      <c r="AK944" s="0" t="n">
        <v>26</v>
      </c>
      <c r="AL944" s="0" t="n">
        <v>0.72</v>
      </c>
    </row>
    <row r="945">
      <c r="A945" s="0" t="inlineStr">
        <is>
          <t>[석남동]</t>
        </is>
      </c>
      <c r="B945" s="0" t="n">
        <v>123133</v>
      </c>
      <c r="C945" s="0" t="n">
        <v>3</v>
      </c>
      <c r="D945" s="0" t="inlineStr">
        <is>
          <t>제니스16차(도시형)</t>
        </is>
      </c>
      <c r="E945" s="0" t="inlineStr">
        <is>
          <t>2017.03.</t>
        </is>
      </c>
      <c r="F945" s="0" t="n">
        <v>36</v>
      </c>
      <c r="G945" s="0" t="n">
        <v>19.75</v>
      </c>
      <c r="H945" s="0" t="n">
        <v>65.3</v>
      </c>
      <c r="I945" s="0" t="n">
        <v>15.01</v>
      </c>
      <c r="J945" s="0" t="n">
        <v>49.63</v>
      </c>
      <c r="K945" s="0" t="n">
        <v>9</v>
      </c>
      <c r="T945" s="0" t="n">
        <v>3</v>
      </c>
      <c r="U945" s="0" t="n">
        <v>2</v>
      </c>
      <c r="V945" s="0" t="inlineStr">
        <is>
          <t>계단식</t>
        </is>
      </c>
      <c r="W945" s="0" t="inlineStr">
        <is>
          <t>65B</t>
        </is>
      </c>
      <c r="X945" s="0" t="n">
        <v>10</v>
      </c>
      <c r="Y945" s="0" t="n">
        <v>10</v>
      </c>
      <c r="Z945" s="0" t="inlineStr">
        <is>
          <t>https://new.land.naver.com/complexes/123133?tab=detail&amp;rf=Y</t>
        </is>
      </c>
      <c r="AA945" s="0" t="inlineStr">
        <is>
          <t>인천시 서구 석남동 507-2</t>
        </is>
      </c>
      <c r="AB945" s="0" t="inlineStr">
        <is>
          <t>인천시</t>
        </is>
      </c>
      <c r="AC945" s="0" t="inlineStr">
        <is>
          <t>서구</t>
        </is>
      </c>
      <c r="AD945" s="0" t="inlineStr">
        <is>
          <t>석남동</t>
        </is>
      </c>
      <c r="AG945" s="0" t="inlineStr">
        <is>
          <t>인천시 서구 옻우물로34번길 4</t>
        </is>
      </c>
      <c r="AH945" s="0" t="n">
        <v>0</v>
      </c>
      <c r="AI945" s="0" t="n">
        <v>632</v>
      </c>
      <c r="AJ945" s="0" t="n">
        <v>58</v>
      </c>
      <c r="AK945" s="0" t="n">
        <v>26</v>
      </c>
      <c r="AL945" s="0" t="n">
        <v>0.72</v>
      </c>
    </row>
    <row r="946">
      <c r="A946" s="0" t="inlineStr">
        <is>
          <t>[석남동]</t>
        </is>
      </c>
      <c r="B946" s="0" t="n">
        <v>123133</v>
      </c>
      <c r="C946" s="0" t="n">
        <v>4</v>
      </c>
      <c r="D946" s="0" t="inlineStr">
        <is>
          <t>제니스16차(도시형)</t>
        </is>
      </c>
      <c r="E946" s="0" t="inlineStr">
        <is>
          <t>2017.03.</t>
        </is>
      </c>
      <c r="F946" s="0" t="n">
        <v>36</v>
      </c>
      <c r="G946" s="0" t="n">
        <v>19.88</v>
      </c>
      <c r="H946" s="0" t="n">
        <v>65.73</v>
      </c>
      <c r="I946" s="0" t="n">
        <v>15.01</v>
      </c>
      <c r="J946" s="0" t="n">
        <v>49.65</v>
      </c>
      <c r="K946" s="0" t="n">
        <v>9</v>
      </c>
      <c r="T946" s="0" t="n">
        <v>3</v>
      </c>
      <c r="U946" s="0" t="n">
        <v>2</v>
      </c>
      <c r="V946" s="0" t="inlineStr">
        <is>
          <t>계단식</t>
        </is>
      </c>
      <c r="W946" s="0" t="inlineStr">
        <is>
          <t>65C</t>
        </is>
      </c>
      <c r="X946" s="0" t="n">
        <v>10</v>
      </c>
      <c r="Y946" s="0" t="n">
        <v>10</v>
      </c>
      <c r="Z946" s="0" t="inlineStr">
        <is>
          <t>https://new.land.naver.com/complexes/123133?tab=detail&amp;rf=Y</t>
        </is>
      </c>
      <c r="AA946" s="0" t="inlineStr">
        <is>
          <t>인천시 서구 석남동 507-2</t>
        </is>
      </c>
      <c r="AB946" s="0" t="inlineStr">
        <is>
          <t>인천시</t>
        </is>
      </c>
      <c r="AC946" s="0" t="inlineStr">
        <is>
          <t>서구</t>
        </is>
      </c>
      <c r="AD946" s="0" t="inlineStr">
        <is>
          <t>석남동</t>
        </is>
      </c>
      <c r="AG946" s="0" t="inlineStr">
        <is>
          <t>인천시 서구 옻우물로34번길 4</t>
        </is>
      </c>
      <c r="AH946" s="0" t="n">
        <v>0</v>
      </c>
      <c r="AI946" s="0" t="n">
        <v>632</v>
      </c>
      <c r="AJ946" s="0" t="n">
        <v>58</v>
      </c>
      <c r="AK946" s="0" t="n">
        <v>26</v>
      </c>
      <c r="AL946" s="0" t="n">
        <v>0.72</v>
      </c>
    </row>
    <row r="947">
      <c r="A947" s="0" t="inlineStr">
        <is>
          <t>[석남동]</t>
        </is>
      </c>
      <c r="B947" s="0" t="n">
        <v>103341</v>
      </c>
      <c r="C947" s="0" t="n">
        <v>1</v>
      </c>
      <c r="D947" s="0" t="inlineStr">
        <is>
          <t>인천석남금호어울림2차</t>
        </is>
      </c>
      <c r="E947" s="0" t="inlineStr">
        <is>
          <t>2008.11.</t>
        </is>
      </c>
      <c r="F947" s="0" t="n">
        <v>91</v>
      </c>
      <c r="G947" s="0" t="n">
        <v>24.39</v>
      </c>
      <c r="H947" s="0" t="n">
        <v>80.63</v>
      </c>
      <c r="I947" s="0" t="n">
        <v>18.14</v>
      </c>
      <c r="J947" s="0" t="n">
        <v>59.99</v>
      </c>
      <c r="K947" s="0" t="n">
        <v>45</v>
      </c>
      <c r="T947" s="0" t="n">
        <v>3</v>
      </c>
      <c r="U947" s="0" t="n">
        <v>2</v>
      </c>
      <c r="V947" s="0" t="inlineStr">
        <is>
          <t>계단식</t>
        </is>
      </c>
      <c r="W947" s="0" t="n">
        <v>80</v>
      </c>
      <c r="X947" s="0" t="n">
        <v>23</v>
      </c>
      <c r="Y947" s="0" t="n">
        <v>15</v>
      </c>
      <c r="Z947" s="0" t="inlineStr">
        <is>
          <t>https://new.land.naver.com/complexes/103341?tab=detail&amp;rf=Y</t>
        </is>
      </c>
      <c r="AA947" s="0" t="inlineStr">
        <is>
          <t>인천시 서구 석남동 527-25</t>
        </is>
      </c>
      <c r="AB947" s="0" t="inlineStr">
        <is>
          <t>인천시</t>
        </is>
      </c>
      <c r="AC947" s="0" t="inlineStr">
        <is>
          <t>서구</t>
        </is>
      </c>
      <c r="AD947" s="0" t="inlineStr">
        <is>
          <t>석남동</t>
        </is>
      </c>
      <c r="AG947" s="0" t="inlineStr">
        <is>
          <t>인천시 서구 염곡로 236</t>
        </is>
      </c>
      <c r="AH947" s="0" t="n">
        <v>0</v>
      </c>
      <c r="AI947" s="0" t="n">
        <v>297</v>
      </c>
      <c r="AJ947" s="0" t="n">
        <v>22</v>
      </c>
      <c r="AK947" s="0" t="n">
        <v>98</v>
      </c>
      <c r="AL947" s="0" t="n">
        <v>1.08</v>
      </c>
    </row>
    <row r="948">
      <c r="A948" s="0" t="inlineStr">
        <is>
          <t>[석남동]</t>
        </is>
      </c>
      <c r="B948" s="0" t="n">
        <v>103341</v>
      </c>
      <c r="C948" s="0" t="n">
        <v>2</v>
      </c>
      <c r="D948" s="0" t="inlineStr">
        <is>
          <t>인천석남금호어울림2차</t>
        </is>
      </c>
      <c r="E948" s="0" t="inlineStr">
        <is>
          <t>2008.11.</t>
        </is>
      </c>
      <c r="F948" s="0" t="n">
        <v>91</v>
      </c>
      <c r="G948" s="0" t="n">
        <v>32.37</v>
      </c>
      <c r="H948" s="0" t="n">
        <v>107.03</v>
      </c>
      <c r="I948" s="0" t="n">
        <v>25.7</v>
      </c>
      <c r="J948" s="0" t="n">
        <v>84.98999999999999</v>
      </c>
      <c r="K948" s="0" t="n">
        <v>31</v>
      </c>
      <c r="T948" s="0" t="n">
        <v>3</v>
      </c>
      <c r="U948" s="0" t="n">
        <v>2</v>
      </c>
      <c r="V948" s="0" t="inlineStr">
        <is>
          <t>계단식</t>
        </is>
      </c>
      <c r="W948" s="0" t="n">
        <v>107</v>
      </c>
      <c r="X948" s="0" t="n">
        <v>23</v>
      </c>
      <c r="Y948" s="0" t="n">
        <v>15</v>
      </c>
      <c r="Z948" s="0" t="inlineStr">
        <is>
          <t>https://new.land.naver.com/complexes/103341?tab=detail&amp;rf=Y</t>
        </is>
      </c>
      <c r="AA948" s="0" t="inlineStr">
        <is>
          <t>인천시 서구 석남동 527-25</t>
        </is>
      </c>
      <c r="AB948" s="0" t="inlineStr">
        <is>
          <t>인천시</t>
        </is>
      </c>
      <c r="AC948" s="0" t="inlineStr">
        <is>
          <t>서구</t>
        </is>
      </c>
      <c r="AD948" s="0" t="inlineStr">
        <is>
          <t>석남동</t>
        </is>
      </c>
      <c r="AG948" s="0" t="inlineStr">
        <is>
          <t>인천시 서구 염곡로 236</t>
        </is>
      </c>
      <c r="AH948" s="0" t="n">
        <v>0</v>
      </c>
      <c r="AI948" s="0" t="n">
        <v>297</v>
      </c>
      <c r="AJ948" s="0" t="n">
        <v>22</v>
      </c>
      <c r="AK948" s="0" t="n">
        <v>98</v>
      </c>
      <c r="AL948" s="0" t="n">
        <v>1.08</v>
      </c>
    </row>
    <row r="949">
      <c r="A949" s="0" t="inlineStr">
        <is>
          <t>[석남동]</t>
        </is>
      </c>
      <c r="B949" s="0" t="n">
        <v>103341</v>
      </c>
      <c r="C949" s="0" t="n">
        <v>3</v>
      </c>
      <c r="D949" s="0" t="inlineStr">
        <is>
          <t>인천석남금호어울림2차</t>
        </is>
      </c>
      <c r="E949" s="0" t="inlineStr">
        <is>
          <t>2008.11.</t>
        </is>
      </c>
      <c r="F949" s="0" t="n">
        <v>91</v>
      </c>
      <c r="G949" s="0" t="n">
        <v>38.57</v>
      </c>
      <c r="H949" s="0" t="n">
        <v>127.52</v>
      </c>
      <c r="I949" s="0" t="n">
        <v>30.24</v>
      </c>
      <c r="J949" s="0" t="n">
        <v>99.98999999999999</v>
      </c>
      <c r="K949" s="0" t="n">
        <v>15</v>
      </c>
      <c r="T949" s="0" t="n">
        <v>4</v>
      </c>
      <c r="U949" s="0" t="n">
        <v>2</v>
      </c>
      <c r="V949" s="0" t="inlineStr">
        <is>
          <t>계단식</t>
        </is>
      </c>
      <c r="W949" s="0" t="n">
        <v>127</v>
      </c>
      <c r="X949" s="0" t="n">
        <v>23</v>
      </c>
      <c r="Y949" s="0" t="n">
        <v>15</v>
      </c>
      <c r="Z949" s="0" t="inlineStr">
        <is>
          <t>https://new.land.naver.com/complexes/103341?tab=detail&amp;rf=Y</t>
        </is>
      </c>
      <c r="AA949" s="0" t="inlineStr">
        <is>
          <t>인천시 서구 석남동 527-25</t>
        </is>
      </c>
      <c r="AB949" s="0" t="inlineStr">
        <is>
          <t>인천시</t>
        </is>
      </c>
      <c r="AC949" s="0" t="inlineStr">
        <is>
          <t>서구</t>
        </is>
      </c>
      <c r="AD949" s="0" t="inlineStr">
        <is>
          <t>석남동</t>
        </is>
      </c>
      <c r="AG949" s="0" t="inlineStr">
        <is>
          <t>인천시 서구 염곡로 236</t>
        </is>
      </c>
      <c r="AH949" s="0" t="n">
        <v>0</v>
      </c>
      <c r="AI949" s="0" t="n">
        <v>297</v>
      </c>
      <c r="AJ949" s="0" t="n">
        <v>22</v>
      </c>
      <c r="AK949" s="0" t="n">
        <v>98</v>
      </c>
      <c r="AL949" s="0" t="n">
        <v>1.08</v>
      </c>
    </row>
    <row r="950">
      <c r="A950" s="0" t="inlineStr">
        <is>
          <t>[석남동]</t>
        </is>
      </c>
      <c r="B950" s="0" t="n">
        <v>131191</v>
      </c>
      <c r="C950" s="0" t="n">
        <v>1</v>
      </c>
      <c r="D950" s="0" t="inlineStr">
        <is>
          <t>제니스15차(도시형)</t>
        </is>
      </c>
      <c r="E950" s="0" t="inlineStr">
        <is>
          <t>2016.10.</t>
        </is>
      </c>
      <c r="F950" s="0" t="n">
        <v>44</v>
      </c>
      <c r="G950" s="0" t="n">
        <v>17.2</v>
      </c>
      <c r="H950" s="0" t="n">
        <v>56.88</v>
      </c>
      <c r="I950" s="0" t="n">
        <v>13.83</v>
      </c>
      <c r="J950" s="0" t="n">
        <v>45.74</v>
      </c>
      <c r="K950" s="0" t="n">
        <v>11</v>
      </c>
      <c r="T950" s="0" t="n">
        <v>2</v>
      </c>
      <c r="U950" s="0" t="n">
        <v>1</v>
      </c>
      <c r="V950" s="0" t="inlineStr">
        <is>
          <t>계단식</t>
        </is>
      </c>
      <c r="W950" s="0" t="inlineStr">
        <is>
          <t>56B</t>
        </is>
      </c>
      <c r="X950" s="0" t="n">
        <v>14</v>
      </c>
      <c r="Y950" s="0" t="n">
        <v>14</v>
      </c>
      <c r="Z950" s="0" t="inlineStr">
        <is>
          <t>https://new.land.naver.com/complexes/131191?tab=detail&amp;rf=Y</t>
        </is>
      </c>
      <c r="AA950" s="0" t="inlineStr">
        <is>
          <t>인천시 서구 석남동 520-11</t>
        </is>
      </c>
      <c r="AB950" s="0" t="inlineStr">
        <is>
          <t>인천시</t>
        </is>
      </c>
      <c r="AC950" s="0" t="inlineStr">
        <is>
          <t>서구</t>
        </is>
      </c>
      <c r="AD950" s="0" t="inlineStr">
        <is>
          <t>석남동</t>
        </is>
      </c>
      <c r="AG950" s="0" t="inlineStr">
        <is>
          <t>인천시 서구 염곡로260번길 12</t>
        </is>
      </c>
      <c r="AH950" s="0" t="n">
        <v>0</v>
      </c>
      <c r="AI950" s="0" t="n">
        <v>499</v>
      </c>
      <c r="AJ950" s="0" t="n">
        <v>53</v>
      </c>
      <c r="AK950" s="0" t="n">
        <v>29</v>
      </c>
      <c r="AL950" s="0" t="n">
        <v>0.66</v>
      </c>
    </row>
    <row r="951">
      <c r="A951" s="0" t="inlineStr">
        <is>
          <t>[석남동]</t>
        </is>
      </c>
      <c r="B951" s="0" t="n">
        <v>131191</v>
      </c>
      <c r="C951" s="0" t="n">
        <v>2</v>
      </c>
      <c r="D951" s="0" t="inlineStr">
        <is>
          <t>제니스15차(도시형)</t>
        </is>
      </c>
      <c r="E951" s="0" t="inlineStr">
        <is>
          <t>2016.10.</t>
        </is>
      </c>
      <c r="F951" s="0" t="n">
        <v>44</v>
      </c>
      <c r="G951" s="0" t="n">
        <v>17.37</v>
      </c>
      <c r="H951" s="0" t="n">
        <v>57.44</v>
      </c>
      <c r="I951" s="0" t="n">
        <v>13.82</v>
      </c>
      <c r="J951" s="0" t="n">
        <v>45.71</v>
      </c>
      <c r="K951" s="0" t="n">
        <v>11</v>
      </c>
      <c r="T951" s="0" t="n">
        <v>2</v>
      </c>
      <c r="U951" s="0" t="n">
        <v>1</v>
      </c>
      <c r="V951" s="0" t="inlineStr">
        <is>
          <t>계단식</t>
        </is>
      </c>
      <c r="W951" s="0" t="inlineStr">
        <is>
          <t>57A</t>
        </is>
      </c>
      <c r="X951" s="0" t="n">
        <v>14</v>
      </c>
      <c r="Y951" s="0" t="n">
        <v>14</v>
      </c>
      <c r="Z951" s="0" t="inlineStr">
        <is>
          <t>https://new.land.naver.com/complexes/131191?tab=detail&amp;rf=Y</t>
        </is>
      </c>
      <c r="AA951" s="0" t="inlineStr">
        <is>
          <t>인천시 서구 석남동 520-11</t>
        </is>
      </c>
      <c r="AB951" s="0" t="inlineStr">
        <is>
          <t>인천시</t>
        </is>
      </c>
      <c r="AC951" s="0" t="inlineStr">
        <is>
          <t>서구</t>
        </is>
      </c>
      <c r="AD951" s="0" t="inlineStr">
        <is>
          <t>석남동</t>
        </is>
      </c>
      <c r="AG951" s="0" t="inlineStr">
        <is>
          <t>인천시 서구 염곡로260번길 12</t>
        </is>
      </c>
      <c r="AH951" s="0" t="n">
        <v>0</v>
      </c>
      <c r="AI951" s="0" t="n">
        <v>499</v>
      </c>
      <c r="AJ951" s="0" t="n">
        <v>53</v>
      </c>
      <c r="AK951" s="0" t="n">
        <v>29</v>
      </c>
      <c r="AL951" s="0" t="n">
        <v>0.66</v>
      </c>
    </row>
    <row r="952">
      <c r="A952" s="0" t="inlineStr">
        <is>
          <t>[석남동]</t>
        </is>
      </c>
      <c r="B952" s="0" t="n">
        <v>131191</v>
      </c>
      <c r="C952" s="0" t="n">
        <v>3</v>
      </c>
      <c r="D952" s="0" t="inlineStr">
        <is>
          <t>제니스15차(도시형)</t>
        </is>
      </c>
      <c r="E952" s="0" t="inlineStr">
        <is>
          <t>2016.10.</t>
        </is>
      </c>
      <c r="F952" s="0" t="n">
        <v>44</v>
      </c>
      <c r="G952" s="0" t="n">
        <v>17.95</v>
      </c>
      <c r="H952" s="0" t="n">
        <v>59.37</v>
      </c>
      <c r="I952" s="0" t="n">
        <v>14.11</v>
      </c>
      <c r="J952" s="0" t="n">
        <v>46.67</v>
      </c>
      <c r="K952" s="0" t="n">
        <v>11</v>
      </c>
      <c r="T952" s="0" t="n">
        <v>2</v>
      </c>
      <c r="U952" s="0" t="n">
        <v>1</v>
      </c>
      <c r="V952" s="0" t="inlineStr">
        <is>
          <t>계단식</t>
        </is>
      </c>
      <c r="W952" s="0" t="inlineStr">
        <is>
          <t>59A</t>
        </is>
      </c>
      <c r="X952" s="0" t="n">
        <v>14</v>
      </c>
      <c r="Y952" s="0" t="n">
        <v>14</v>
      </c>
      <c r="Z952" s="0" t="inlineStr">
        <is>
          <t>https://new.land.naver.com/complexes/131191?tab=detail&amp;rf=Y</t>
        </is>
      </c>
      <c r="AA952" s="0" t="inlineStr">
        <is>
          <t>인천시 서구 석남동 520-11</t>
        </is>
      </c>
      <c r="AB952" s="0" t="inlineStr">
        <is>
          <t>인천시</t>
        </is>
      </c>
      <c r="AC952" s="0" t="inlineStr">
        <is>
          <t>서구</t>
        </is>
      </c>
      <c r="AD952" s="0" t="inlineStr">
        <is>
          <t>석남동</t>
        </is>
      </c>
      <c r="AG952" s="0" t="inlineStr">
        <is>
          <t>인천시 서구 염곡로260번길 12</t>
        </is>
      </c>
      <c r="AH952" s="0" t="n">
        <v>0</v>
      </c>
      <c r="AI952" s="0" t="n">
        <v>499</v>
      </c>
      <c r="AJ952" s="0" t="n">
        <v>53</v>
      </c>
      <c r="AK952" s="0" t="n">
        <v>29</v>
      </c>
      <c r="AL952" s="0" t="n">
        <v>0.66</v>
      </c>
    </row>
    <row r="953">
      <c r="A953" s="0" t="inlineStr">
        <is>
          <t>[석남동]</t>
        </is>
      </c>
      <c r="B953" s="0" t="n">
        <v>131191</v>
      </c>
      <c r="C953" s="0" t="n">
        <v>4</v>
      </c>
      <c r="D953" s="0" t="inlineStr">
        <is>
          <t>제니스15차(도시형)</t>
        </is>
      </c>
      <c r="E953" s="0" t="inlineStr">
        <is>
          <t>2016.10.</t>
        </is>
      </c>
      <c r="F953" s="0" t="n">
        <v>44</v>
      </c>
      <c r="G953" s="0" t="n">
        <v>18.26</v>
      </c>
      <c r="H953" s="0" t="n">
        <v>60.37</v>
      </c>
      <c r="I953" s="0" t="n">
        <v>14.5</v>
      </c>
      <c r="J953" s="0" t="n">
        <v>47.95</v>
      </c>
      <c r="K953" s="0" t="n">
        <v>11</v>
      </c>
      <c r="T953" s="0" t="n">
        <v>2</v>
      </c>
      <c r="U953" s="0" t="n">
        <v>1</v>
      </c>
      <c r="V953" s="0" t="inlineStr">
        <is>
          <t>계단식</t>
        </is>
      </c>
      <c r="W953" s="0" t="inlineStr">
        <is>
          <t>60B</t>
        </is>
      </c>
      <c r="X953" s="0" t="n">
        <v>14</v>
      </c>
      <c r="Y953" s="0" t="n">
        <v>14</v>
      </c>
      <c r="Z953" s="0" t="inlineStr">
        <is>
          <t>https://new.land.naver.com/complexes/131191?tab=detail&amp;rf=Y</t>
        </is>
      </c>
      <c r="AA953" s="0" t="inlineStr">
        <is>
          <t>인천시 서구 석남동 520-11</t>
        </is>
      </c>
      <c r="AB953" s="0" t="inlineStr">
        <is>
          <t>인천시</t>
        </is>
      </c>
      <c r="AC953" s="0" t="inlineStr">
        <is>
          <t>서구</t>
        </is>
      </c>
      <c r="AD953" s="0" t="inlineStr">
        <is>
          <t>석남동</t>
        </is>
      </c>
      <c r="AG953" s="0" t="inlineStr">
        <is>
          <t>인천시 서구 염곡로260번길 12</t>
        </is>
      </c>
      <c r="AH953" s="0" t="n">
        <v>0</v>
      </c>
      <c r="AI953" s="0" t="n">
        <v>499</v>
      </c>
      <c r="AJ953" s="0" t="n">
        <v>53</v>
      </c>
      <c r="AK953" s="0" t="n">
        <v>29</v>
      </c>
      <c r="AL953" s="0" t="n">
        <v>0.66</v>
      </c>
    </row>
    <row r="954">
      <c r="A954" s="0" t="inlineStr">
        <is>
          <t>[석남동]</t>
        </is>
      </c>
      <c r="B954" s="0" t="n">
        <v>119407</v>
      </c>
      <c r="C954" s="0" t="n">
        <v>1</v>
      </c>
      <c r="D954" s="0" t="inlineStr">
        <is>
          <t>천지인</t>
        </is>
      </c>
      <c r="E954" s="0" t="inlineStr">
        <is>
          <t>2002.03.</t>
        </is>
      </c>
      <c r="F954" s="0" t="n">
        <v>48</v>
      </c>
      <c r="G954" s="0" t="n">
        <v>14.68</v>
      </c>
      <c r="H954" s="0" t="n">
        <v>48.54</v>
      </c>
      <c r="I954" s="0" t="n">
        <v>12.96</v>
      </c>
      <c r="J954" s="0" t="n">
        <v>42.85</v>
      </c>
      <c r="K954" s="0" t="n">
        <v>8</v>
      </c>
      <c r="T954" s="0" t="n">
        <v>2</v>
      </c>
      <c r="U954" s="0" t="n">
        <v>1</v>
      </c>
      <c r="V954" s="0" t="inlineStr">
        <is>
          <t>계단식</t>
        </is>
      </c>
      <c r="W954" s="0" t="inlineStr">
        <is>
          <t>48A</t>
        </is>
      </c>
      <c r="X954" s="0" t="n">
        <v>5</v>
      </c>
      <c r="Y954" s="0" t="n">
        <v>5</v>
      </c>
      <c r="Z954" s="0" t="inlineStr">
        <is>
          <t>https://new.land.naver.com/complexes/119407?tab=detail&amp;rf=Y</t>
        </is>
      </c>
      <c r="AA954" s="0" t="inlineStr">
        <is>
          <t>인천시 서구 석남동 499-8</t>
        </is>
      </c>
      <c r="AB954" s="0" t="inlineStr">
        <is>
          <t>인천시</t>
        </is>
      </c>
      <c r="AC954" s="0" t="inlineStr">
        <is>
          <t>서구</t>
        </is>
      </c>
      <c r="AD954" s="0" t="inlineStr">
        <is>
          <t>석남동</t>
        </is>
      </c>
      <c r="AG954" s="0" t="inlineStr">
        <is>
          <t>인천시 서구 신석로122번길 18</t>
        </is>
      </c>
      <c r="AH954" s="0" t="n">
        <v>0</v>
      </c>
      <c r="AI954" s="0" t="n">
        <v>0</v>
      </c>
      <c r="AJ954" s="0" t="n">
        <v>0</v>
      </c>
      <c r="AK954" s="0" t="n">
        <v>21</v>
      </c>
      <c r="AL954" s="0" t="n">
        <v>0.44</v>
      </c>
    </row>
    <row r="955">
      <c r="A955" s="0" t="inlineStr">
        <is>
          <t>[석남동]</t>
        </is>
      </c>
      <c r="B955" s="0" t="n">
        <v>119407</v>
      </c>
      <c r="C955" s="0" t="n">
        <v>2</v>
      </c>
      <c r="D955" s="0" t="inlineStr">
        <is>
          <t>천지인</t>
        </is>
      </c>
      <c r="E955" s="0" t="inlineStr">
        <is>
          <t>2002.03.</t>
        </is>
      </c>
      <c r="F955" s="0" t="n">
        <v>48</v>
      </c>
      <c r="G955" s="0" t="n">
        <v>14.98</v>
      </c>
      <c r="H955" s="0" t="n">
        <v>49.55</v>
      </c>
      <c r="I955" s="0" t="n">
        <v>12.96</v>
      </c>
      <c r="J955" s="0" t="n">
        <v>42.85</v>
      </c>
      <c r="K955" s="0" t="n">
        <v>12</v>
      </c>
      <c r="T955" s="0" t="n">
        <v>2</v>
      </c>
      <c r="U955" s="0" t="n">
        <v>1</v>
      </c>
      <c r="V955" s="0" t="inlineStr">
        <is>
          <t>계단식</t>
        </is>
      </c>
      <c r="W955" s="0" t="inlineStr">
        <is>
          <t>49C</t>
        </is>
      </c>
      <c r="X955" s="0" t="n">
        <v>5</v>
      </c>
      <c r="Y955" s="0" t="n">
        <v>5</v>
      </c>
      <c r="Z955" s="0" t="inlineStr">
        <is>
          <t>https://new.land.naver.com/complexes/119407?tab=detail&amp;rf=Y</t>
        </is>
      </c>
      <c r="AA955" s="0" t="inlineStr">
        <is>
          <t>인천시 서구 석남동 499-8</t>
        </is>
      </c>
      <c r="AB955" s="0" t="inlineStr">
        <is>
          <t>인천시</t>
        </is>
      </c>
      <c r="AC955" s="0" t="inlineStr">
        <is>
          <t>서구</t>
        </is>
      </c>
      <c r="AD955" s="0" t="inlineStr">
        <is>
          <t>석남동</t>
        </is>
      </c>
      <c r="AG955" s="0" t="inlineStr">
        <is>
          <t>인천시 서구 신석로122번길 18</t>
        </is>
      </c>
      <c r="AH955" s="0" t="n">
        <v>0</v>
      </c>
      <c r="AI955" s="0" t="n">
        <v>0</v>
      </c>
      <c r="AJ955" s="0" t="n">
        <v>0</v>
      </c>
      <c r="AK955" s="0" t="n">
        <v>21</v>
      </c>
      <c r="AL955" s="0" t="n">
        <v>0.44</v>
      </c>
    </row>
    <row r="956">
      <c r="A956" s="0" t="inlineStr">
        <is>
          <t>[석남동]</t>
        </is>
      </c>
      <c r="B956" s="0" t="n">
        <v>119407</v>
      </c>
      <c r="C956" s="0" t="n">
        <v>3</v>
      </c>
      <c r="D956" s="0" t="inlineStr">
        <is>
          <t>천지인</t>
        </is>
      </c>
      <c r="E956" s="0" t="inlineStr">
        <is>
          <t>2002.03.</t>
        </is>
      </c>
      <c r="F956" s="0" t="n">
        <v>48</v>
      </c>
      <c r="G956" s="0" t="n">
        <v>14.98</v>
      </c>
      <c r="H956" s="0" t="n">
        <v>49.54</v>
      </c>
      <c r="I956" s="0" t="n">
        <v>12.96</v>
      </c>
      <c r="J956" s="0" t="n">
        <v>42.85</v>
      </c>
      <c r="K956" s="0" t="n">
        <v>4</v>
      </c>
      <c r="T956" s="0" t="n">
        <v>2</v>
      </c>
      <c r="U956" s="0" t="n">
        <v>1</v>
      </c>
      <c r="V956" s="0" t="inlineStr">
        <is>
          <t>계단식</t>
        </is>
      </c>
      <c r="W956" s="0" t="inlineStr">
        <is>
          <t>49B</t>
        </is>
      </c>
      <c r="X956" s="0" t="n">
        <v>5</v>
      </c>
      <c r="Y956" s="0" t="n">
        <v>5</v>
      </c>
      <c r="Z956" s="0" t="inlineStr">
        <is>
          <t>https://new.land.naver.com/complexes/119407?tab=detail&amp;rf=Y</t>
        </is>
      </c>
      <c r="AA956" s="0" t="inlineStr">
        <is>
          <t>인천시 서구 석남동 499-8</t>
        </is>
      </c>
      <c r="AB956" s="0" t="inlineStr">
        <is>
          <t>인천시</t>
        </is>
      </c>
      <c r="AC956" s="0" t="inlineStr">
        <is>
          <t>서구</t>
        </is>
      </c>
      <c r="AD956" s="0" t="inlineStr">
        <is>
          <t>석남동</t>
        </is>
      </c>
      <c r="AG956" s="0" t="inlineStr">
        <is>
          <t>인천시 서구 신석로122번길 18</t>
        </is>
      </c>
      <c r="AH956" s="0" t="n">
        <v>0</v>
      </c>
      <c r="AI956" s="0" t="n">
        <v>0</v>
      </c>
      <c r="AJ956" s="0" t="n">
        <v>0</v>
      </c>
      <c r="AK956" s="0" t="n">
        <v>21</v>
      </c>
      <c r="AL956" s="0" t="n">
        <v>0.44</v>
      </c>
    </row>
    <row r="957">
      <c r="A957" s="0" t="inlineStr">
        <is>
          <t>[석남동]</t>
        </is>
      </c>
      <c r="B957" s="0" t="n">
        <v>119407</v>
      </c>
      <c r="C957" s="0" t="n">
        <v>4</v>
      </c>
      <c r="D957" s="0" t="inlineStr">
        <is>
          <t>천지인</t>
        </is>
      </c>
      <c r="E957" s="0" t="inlineStr">
        <is>
          <t>2002.03.</t>
        </is>
      </c>
      <c r="F957" s="0" t="n">
        <v>48</v>
      </c>
      <c r="G957" s="0" t="n">
        <v>20.19</v>
      </c>
      <c r="H957" s="0" t="n">
        <v>66.75</v>
      </c>
      <c r="I957" s="0" t="n">
        <v>18.13</v>
      </c>
      <c r="J957" s="0" t="n">
        <v>59.96</v>
      </c>
      <c r="K957" s="0" t="n">
        <v>16</v>
      </c>
      <c r="T957" s="0" t="n">
        <v>3</v>
      </c>
      <c r="U957" s="0" t="n">
        <v>1</v>
      </c>
      <c r="V957" s="0" t="inlineStr">
        <is>
          <t>계단식</t>
        </is>
      </c>
      <c r="W957" s="0" t="n">
        <v>66</v>
      </c>
      <c r="X957" s="0" t="n">
        <v>5</v>
      </c>
      <c r="Y957" s="0" t="n">
        <v>5</v>
      </c>
      <c r="Z957" s="0" t="inlineStr">
        <is>
          <t>https://new.land.naver.com/complexes/119407?tab=detail&amp;rf=Y</t>
        </is>
      </c>
      <c r="AA957" s="0" t="inlineStr">
        <is>
          <t>인천시 서구 석남동 499-8</t>
        </is>
      </c>
      <c r="AB957" s="0" t="inlineStr">
        <is>
          <t>인천시</t>
        </is>
      </c>
      <c r="AC957" s="0" t="inlineStr">
        <is>
          <t>서구</t>
        </is>
      </c>
      <c r="AD957" s="0" t="inlineStr">
        <is>
          <t>석남동</t>
        </is>
      </c>
      <c r="AG957" s="0" t="inlineStr">
        <is>
          <t>인천시 서구 신석로122번길 18</t>
        </is>
      </c>
      <c r="AH957" s="0" t="n">
        <v>0</v>
      </c>
      <c r="AI957" s="0" t="n">
        <v>0</v>
      </c>
      <c r="AJ957" s="0" t="n">
        <v>0</v>
      </c>
      <c r="AK957" s="0" t="n">
        <v>21</v>
      </c>
      <c r="AL957" s="0" t="n">
        <v>0.44</v>
      </c>
    </row>
    <row r="958">
      <c r="A958" s="0" t="inlineStr">
        <is>
          <t>[석남동]</t>
        </is>
      </c>
      <c r="B958" s="0" t="n">
        <v>119407</v>
      </c>
      <c r="C958" s="0" t="n">
        <v>5</v>
      </c>
      <c r="D958" s="0" t="inlineStr">
        <is>
          <t>천지인</t>
        </is>
      </c>
      <c r="E958" s="0" t="inlineStr">
        <is>
          <t>2002.03.</t>
        </is>
      </c>
      <c r="F958" s="0" t="n">
        <v>48</v>
      </c>
      <c r="G958" s="0" t="n">
        <v>20.54</v>
      </c>
      <c r="H958" s="0" t="n">
        <v>67.92</v>
      </c>
      <c r="I958" s="0" t="n">
        <v>18.13</v>
      </c>
      <c r="J958" s="0" t="n">
        <v>59.96</v>
      </c>
      <c r="K958" s="0" t="n">
        <v>8</v>
      </c>
      <c r="T958" s="0" t="n">
        <v>3</v>
      </c>
      <c r="U958" s="0" t="n">
        <v>1</v>
      </c>
      <c r="V958" s="0" t="inlineStr">
        <is>
          <t>계단식</t>
        </is>
      </c>
      <c r="W958" s="0" t="n">
        <v>67</v>
      </c>
      <c r="X958" s="0" t="n">
        <v>5</v>
      </c>
      <c r="Y958" s="0" t="n">
        <v>5</v>
      </c>
      <c r="Z958" s="0" t="inlineStr">
        <is>
          <t>https://new.land.naver.com/complexes/119407?tab=detail&amp;rf=Y</t>
        </is>
      </c>
      <c r="AA958" s="0" t="inlineStr">
        <is>
          <t>인천시 서구 석남동 499-8</t>
        </is>
      </c>
      <c r="AB958" s="0" t="inlineStr">
        <is>
          <t>인천시</t>
        </is>
      </c>
      <c r="AC958" s="0" t="inlineStr">
        <is>
          <t>서구</t>
        </is>
      </c>
      <c r="AD958" s="0" t="inlineStr">
        <is>
          <t>석남동</t>
        </is>
      </c>
      <c r="AG958" s="0" t="inlineStr">
        <is>
          <t>인천시 서구 신석로122번길 18</t>
        </is>
      </c>
      <c r="AH958" s="0" t="n">
        <v>0</v>
      </c>
      <c r="AI958" s="0" t="n">
        <v>0</v>
      </c>
      <c r="AJ958" s="0" t="n">
        <v>0</v>
      </c>
      <c r="AK958" s="0" t="n">
        <v>21</v>
      </c>
      <c r="AL958" s="0" t="n">
        <v>0.44</v>
      </c>
    </row>
    <row r="959">
      <c r="A959" s="0" t="inlineStr">
        <is>
          <t>[석남동]</t>
        </is>
      </c>
      <c r="B959" s="0" t="n">
        <v>23648</v>
      </c>
      <c r="C959" s="0" t="n">
        <v>1</v>
      </c>
      <c r="D959" s="0" t="inlineStr">
        <is>
          <t>인천석남금호어울림</t>
        </is>
      </c>
      <c r="E959" s="0" t="inlineStr">
        <is>
          <t>2007.11.</t>
        </is>
      </c>
      <c r="F959" s="0" t="n">
        <v>769</v>
      </c>
      <c r="G959" s="0" t="n">
        <v>24.48</v>
      </c>
      <c r="H959" s="0" t="n">
        <v>80.95</v>
      </c>
      <c r="I959" s="0" t="n">
        <v>18.09</v>
      </c>
      <c r="J959" s="0" t="n">
        <v>59.81</v>
      </c>
      <c r="K959" s="0" t="n">
        <v>206</v>
      </c>
      <c r="T959" s="0" t="n">
        <v>3</v>
      </c>
      <c r="U959" s="0" t="n">
        <v>2</v>
      </c>
      <c r="V959" s="0" t="inlineStr">
        <is>
          <t>계단식</t>
        </is>
      </c>
      <c r="W959" s="0" t="n">
        <v>80</v>
      </c>
      <c r="X959" s="0" t="n">
        <v>28</v>
      </c>
      <c r="Y959" s="0" t="n">
        <v>15</v>
      </c>
      <c r="Z959" s="0" t="inlineStr">
        <is>
          <t>https://new.land.naver.com/complexes/23648?tab=detail&amp;rf=Y</t>
        </is>
      </c>
      <c r="AA959" s="0" t="inlineStr">
        <is>
          <t>인천시 서구 석남동 532</t>
        </is>
      </c>
      <c r="AB959" s="0" t="inlineStr">
        <is>
          <t>인천시</t>
        </is>
      </c>
      <c r="AC959" s="0" t="inlineStr">
        <is>
          <t>서구</t>
        </is>
      </c>
      <c r="AD959" s="0" t="inlineStr">
        <is>
          <t>석남동</t>
        </is>
      </c>
      <c r="AG959" s="0" t="inlineStr">
        <is>
          <t>인천시 서구 가정로223번길 28</t>
        </is>
      </c>
      <c r="AH959" s="0" t="n">
        <v>0</v>
      </c>
      <c r="AI959" s="0" t="n">
        <v>249</v>
      </c>
      <c r="AJ959" s="0" t="n">
        <v>18</v>
      </c>
      <c r="AK959" s="0" t="n">
        <v>815</v>
      </c>
      <c r="AL959" s="0" t="n">
        <v>1.06</v>
      </c>
    </row>
    <row r="960">
      <c r="A960" s="0" t="inlineStr">
        <is>
          <t>[석남동]</t>
        </is>
      </c>
      <c r="B960" s="0" t="n">
        <v>23648</v>
      </c>
      <c r="C960" s="0" t="n">
        <v>2</v>
      </c>
      <c r="D960" s="0" t="inlineStr">
        <is>
          <t>인천석남금호어울림</t>
        </is>
      </c>
      <c r="E960" s="0" t="inlineStr">
        <is>
          <t>2007.11.</t>
        </is>
      </c>
      <c r="F960" s="0" t="n">
        <v>769</v>
      </c>
      <c r="G960" s="0" t="n">
        <v>32.47</v>
      </c>
      <c r="H960" s="0" t="n">
        <v>107.37</v>
      </c>
      <c r="I960" s="0" t="n">
        <v>25.65</v>
      </c>
      <c r="J960" s="0" t="n">
        <v>84.8</v>
      </c>
      <c r="K960" s="0" t="n">
        <v>233</v>
      </c>
      <c r="T960" s="0" t="n">
        <v>3</v>
      </c>
      <c r="U960" s="0" t="n">
        <v>2</v>
      </c>
      <c r="V960" s="0" t="inlineStr">
        <is>
          <t>계단식</t>
        </is>
      </c>
      <c r="W960" s="0" t="inlineStr">
        <is>
          <t>107A</t>
        </is>
      </c>
      <c r="X960" s="0" t="n">
        <v>28</v>
      </c>
      <c r="Y960" s="0" t="n">
        <v>15</v>
      </c>
      <c r="Z960" s="0" t="inlineStr">
        <is>
          <t>https://new.land.naver.com/complexes/23648?tab=detail&amp;rf=Y</t>
        </is>
      </c>
      <c r="AA960" s="0" t="inlineStr">
        <is>
          <t>인천시 서구 석남동 532</t>
        </is>
      </c>
      <c r="AB960" s="0" t="inlineStr">
        <is>
          <t>인천시</t>
        </is>
      </c>
      <c r="AC960" s="0" t="inlineStr">
        <is>
          <t>서구</t>
        </is>
      </c>
      <c r="AD960" s="0" t="inlineStr">
        <is>
          <t>석남동</t>
        </is>
      </c>
      <c r="AG960" s="0" t="inlineStr">
        <is>
          <t>인천시 서구 가정로223번길 28</t>
        </is>
      </c>
      <c r="AH960" s="0" t="n">
        <v>0</v>
      </c>
      <c r="AI960" s="0" t="n">
        <v>249</v>
      </c>
      <c r="AJ960" s="0" t="n">
        <v>18</v>
      </c>
      <c r="AK960" s="0" t="n">
        <v>815</v>
      </c>
      <c r="AL960" s="0" t="n">
        <v>1.06</v>
      </c>
    </row>
    <row r="961">
      <c r="A961" s="0" t="inlineStr">
        <is>
          <t>[석남동]</t>
        </is>
      </c>
      <c r="B961" s="0" t="n">
        <v>23648</v>
      </c>
      <c r="C961" s="0" t="n">
        <v>3</v>
      </c>
      <c r="D961" s="0" t="inlineStr">
        <is>
          <t>인천석남금호어울림</t>
        </is>
      </c>
      <c r="E961" s="0" t="inlineStr">
        <is>
          <t>2007.11.</t>
        </is>
      </c>
      <c r="F961" s="0" t="n">
        <v>769</v>
      </c>
      <c r="G961" s="0" t="n">
        <v>32.47</v>
      </c>
      <c r="H961" s="0" t="n">
        <v>107.37</v>
      </c>
      <c r="I961" s="0" t="n">
        <v>25.65</v>
      </c>
      <c r="J961" s="0" t="n">
        <v>84.8</v>
      </c>
      <c r="K961" s="0" t="n">
        <v>228</v>
      </c>
      <c r="T961" s="0" t="n">
        <v>3</v>
      </c>
      <c r="U961" s="0" t="n">
        <v>2</v>
      </c>
      <c r="V961" s="0" t="inlineStr">
        <is>
          <t>계단식</t>
        </is>
      </c>
      <c r="W961" s="0" t="inlineStr">
        <is>
          <t>107B</t>
        </is>
      </c>
      <c r="X961" s="0" t="n">
        <v>28</v>
      </c>
      <c r="Y961" s="0" t="n">
        <v>15</v>
      </c>
      <c r="Z961" s="0" t="inlineStr">
        <is>
          <t>https://new.land.naver.com/complexes/23648?tab=detail&amp;rf=Y</t>
        </is>
      </c>
      <c r="AA961" s="0" t="inlineStr">
        <is>
          <t>인천시 서구 석남동 532</t>
        </is>
      </c>
      <c r="AB961" s="0" t="inlineStr">
        <is>
          <t>인천시</t>
        </is>
      </c>
      <c r="AC961" s="0" t="inlineStr">
        <is>
          <t>서구</t>
        </is>
      </c>
      <c r="AD961" s="0" t="inlineStr">
        <is>
          <t>석남동</t>
        </is>
      </c>
      <c r="AG961" s="0" t="inlineStr">
        <is>
          <t>인천시 서구 가정로223번길 28</t>
        </is>
      </c>
      <c r="AH961" s="0" t="n">
        <v>0</v>
      </c>
      <c r="AI961" s="0" t="n">
        <v>249</v>
      </c>
      <c r="AJ961" s="0" t="n">
        <v>18</v>
      </c>
      <c r="AK961" s="0" t="n">
        <v>815</v>
      </c>
      <c r="AL961" s="0" t="n">
        <v>1.06</v>
      </c>
    </row>
    <row r="962">
      <c r="A962" s="0" t="inlineStr">
        <is>
          <t>[석남동]</t>
        </is>
      </c>
      <c r="B962" s="0" t="n">
        <v>23648</v>
      </c>
      <c r="C962" s="0" t="n">
        <v>4</v>
      </c>
      <c r="D962" s="0" t="inlineStr">
        <is>
          <t>인천석남금호어울림</t>
        </is>
      </c>
      <c r="E962" s="0" t="inlineStr">
        <is>
          <t>2007.11.</t>
        </is>
      </c>
      <c r="F962" s="0" t="n">
        <v>769</v>
      </c>
      <c r="G962" s="0" t="n">
        <v>38.06</v>
      </c>
      <c r="H962" s="0" t="n">
        <v>125.85</v>
      </c>
      <c r="I962" s="0" t="n">
        <v>30.24</v>
      </c>
      <c r="J962" s="0" t="n">
        <v>99.97</v>
      </c>
      <c r="K962" s="0" t="n">
        <v>30</v>
      </c>
      <c r="T962" s="0" t="n">
        <v>4</v>
      </c>
      <c r="U962" s="0" t="n">
        <v>2</v>
      </c>
      <c r="V962" s="0" t="inlineStr">
        <is>
          <t>계단식</t>
        </is>
      </c>
      <c r="W962" s="0" t="n">
        <v>125</v>
      </c>
      <c r="X962" s="0" t="n">
        <v>28</v>
      </c>
      <c r="Y962" s="0" t="n">
        <v>15</v>
      </c>
      <c r="Z962" s="0" t="inlineStr">
        <is>
          <t>https://new.land.naver.com/complexes/23648?tab=detail&amp;rf=Y</t>
        </is>
      </c>
      <c r="AA962" s="0" t="inlineStr">
        <is>
          <t>인천시 서구 석남동 532</t>
        </is>
      </c>
      <c r="AB962" s="0" t="inlineStr">
        <is>
          <t>인천시</t>
        </is>
      </c>
      <c r="AC962" s="0" t="inlineStr">
        <is>
          <t>서구</t>
        </is>
      </c>
      <c r="AD962" s="0" t="inlineStr">
        <is>
          <t>석남동</t>
        </is>
      </c>
      <c r="AG962" s="0" t="inlineStr">
        <is>
          <t>인천시 서구 가정로223번길 28</t>
        </is>
      </c>
      <c r="AH962" s="0" t="n">
        <v>0</v>
      </c>
      <c r="AI962" s="0" t="n">
        <v>249</v>
      </c>
      <c r="AJ962" s="0" t="n">
        <v>18</v>
      </c>
      <c r="AK962" s="0" t="n">
        <v>815</v>
      </c>
      <c r="AL962" s="0" t="n">
        <v>1.06</v>
      </c>
    </row>
    <row r="963">
      <c r="A963" s="0" t="inlineStr">
        <is>
          <t>[석남동]</t>
        </is>
      </c>
      <c r="B963" s="0" t="n">
        <v>23648</v>
      </c>
      <c r="C963" s="0" t="n">
        <v>5</v>
      </c>
      <c r="D963" s="0" t="inlineStr">
        <is>
          <t>인천석남금호어울림</t>
        </is>
      </c>
      <c r="E963" s="0" t="inlineStr">
        <is>
          <t>2007.11.</t>
        </is>
      </c>
      <c r="F963" s="0" t="n">
        <v>769</v>
      </c>
      <c r="G963" s="0" t="n">
        <v>43.3</v>
      </c>
      <c r="H963" s="0" t="n">
        <v>143.15</v>
      </c>
      <c r="I963" s="0" t="n">
        <v>34.66</v>
      </c>
      <c r="J963" s="0" t="n">
        <v>114.59</v>
      </c>
      <c r="K963" s="0" t="n">
        <v>72</v>
      </c>
      <c r="T963" s="0" t="n">
        <v>4</v>
      </c>
      <c r="U963" s="0" t="n">
        <v>2</v>
      </c>
      <c r="V963" s="0" t="inlineStr">
        <is>
          <t>계단식</t>
        </is>
      </c>
      <c r="W963" s="0" t="n">
        <v>143</v>
      </c>
      <c r="X963" s="0" t="n">
        <v>28</v>
      </c>
      <c r="Y963" s="0" t="n">
        <v>15</v>
      </c>
      <c r="Z963" s="0" t="inlineStr">
        <is>
          <t>https://new.land.naver.com/complexes/23648?tab=detail&amp;rf=Y</t>
        </is>
      </c>
      <c r="AA963" s="0" t="inlineStr">
        <is>
          <t>인천시 서구 석남동 532</t>
        </is>
      </c>
      <c r="AB963" s="0" t="inlineStr">
        <is>
          <t>인천시</t>
        </is>
      </c>
      <c r="AC963" s="0" t="inlineStr">
        <is>
          <t>서구</t>
        </is>
      </c>
      <c r="AD963" s="0" t="inlineStr">
        <is>
          <t>석남동</t>
        </is>
      </c>
      <c r="AG963" s="0" t="inlineStr">
        <is>
          <t>인천시 서구 가정로223번길 28</t>
        </is>
      </c>
      <c r="AH963" s="0" t="n">
        <v>0</v>
      </c>
      <c r="AI963" s="0" t="n">
        <v>249</v>
      </c>
      <c r="AJ963" s="0" t="n">
        <v>18</v>
      </c>
      <c r="AK963" s="0" t="n">
        <v>815</v>
      </c>
      <c r="AL963" s="0" t="n">
        <v>1.06</v>
      </c>
    </row>
    <row r="964">
      <c r="A964" s="0" t="inlineStr">
        <is>
          <t>[석남동]</t>
        </is>
      </c>
      <c r="B964" s="0" t="n">
        <v>119410</v>
      </c>
      <c r="C964" s="0" t="n">
        <v>1</v>
      </c>
      <c r="D964" s="0" t="inlineStr">
        <is>
          <t>해드림2차(도시형)</t>
        </is>
      </c>
      <c r="E964" s="0" t="inlineStr">
        <is>
          <t>2016.01.</t>
        </is>
      </c>
      <c r="F964" s="0" t="n">
        <v>52</v>
      </c>
      <c r="G964" s="0" t="n">
        <v>12.8</v>
      </c>
      <c r="H964" s="0" t="n">
        <v>42.33</v>
      </c>
      <c r="I964" s="0" t="n">
        <v>9.84</v>
      </c>
      <c r="J964" s="0" t="n">
        <v>32.53</v>
      </c>
      <c r="K964" s="0" t="n">
        <v>8</v>
      </c>
      <c r="T964" s="0" t="n">
        <v>1</v>
      </c>
      <c r="U964" s="0" t="n">
        <v>1</v>
      </c>
      <c r="V964" s="0" t="inlineStr">
        <is>
          <t>복도식</t>
        </is>
      </c>
      <c r="W964" s="0" t="inlineStr">
        <is>
          <t>42A</t>
        </is>
      </c>
      <c r="X964" s="0" t="n">
        <v>13</v>
      </c>
      <c r="Y964" s="0" t="n">
        <v>11</v>
      </c>
      <c r="Z964" s="0" t="inlineStr">
        <is>
          <t>https://new.land.naver.com/complexes/119410?tab=detail&amp;rf=Y</t>
        </is>
      </c>
      <c r="AA964" s="0" t="inlineStr">
        <is>
          <t>인천시 서구 석남동 497</t>
        </is>
      </c>
      <c r="AB964" s="0" t="inlineStr">
        <is>
          <t>인천시</t>
        </is>
      </c>
      <c r="AC964" s="0" t="inlineStr">
        <is>
          <t>서구</t>
        </is>
      </c>
      <c r="AD964" s="0" t="inlineStr">
        <is>
          <t>석남동</t>
        </is>
      </c>
      <c r="AG964" s="0" t="inlineStr">
        <is>
          <t>인천시 서구 신석로112번길 1</t>
        </is>
      </c>
      <c r="AH964" s="0" t="n">
        <v>0</v>
      </c>
      <c r="AI964" s="0" t="n">
        <v>600</v>
      </c>
      <c r="AJ964" s="0" t="n">
        <v>62</v>
      </c>
      <c r="AK964" s="0" t="n">
        <v>34</v>
      </c>
      <c r="AL964" s="0" t="n">
        <v>0.65</v>
      </c>
    </row>
    <row r="965">
      <c r="A965" s="0" t="inlineStr">
        <is>
          <t>[석남동]</t>
        </is>
      </c>
      <c r="B965" s="0" t="n">
        <v>119410</v>
      </c>
      <c r="C965" s="0" t="n">
        <v>2</v>
      </c>
      <c r="D965" s="0" t="inlineStr">
        <is>
          <t>해드림2차(도시형)</t>
        </is>
      </c>
      <c r="E965" s="0" t="inlineStr">
        <is>
          <t>2016.01.</t>
        </is>
      </c>
      <c r="F965" s="0" t="n">
        <v>52</v>
      </c>
      <c r="G965" s="0" t="n">
        <v>13.6</v>
      </c>
      <c r="H965" s="0" t="n">
        <v>44.98</v>
      </c>
      <c r="I965" s="0" t="n">
        <v>10.53</v>
      </c>
      <c r="J965" s="0" t="n">
        <v>34.81</v>
      </c>
      <c r="K965" s="0" t="n">
        <v>1</v>
      </c>
      <c r="T965" s="0" t="n">
        <v>1</v>
      </c>
      <c r="U965" s="0" t="n">
        <v>1</v>
      </c>
      <c r="V965" s="0" t="inlineStr">
        <is>
          <t>복도식</t>
        </is>
      </c>
      <c r="W965" s="0" t="inlineStr">
        <is>
          <t>44B</t>
        </is>
      </c>
      <c r="X965" s="0" t="n">
        <v>13</v>
      </c>
      <c r="Y965" s="0" t="n">
        <v>11</v>
      </c>
      <c r="Z965" s="0" t="inlineStr">
        <is>
          <t>https://new.land.naver.com/complexes/119410?tab=detail&amp;rf=Y</t>
        </is>
      </c>
      <c r="AA965" s="0" t="inlineStr">
        <is>
          <t>인천시 서구 석남동 497</t>
        </is>
      </c>
      <c r="AB965" s="0" t="inlineStr">
        <is>
          <t>인천시</t>
        </is>
      </c>
      <c r="AC965" s="0" t="inlineStr">
        <is>
          <t>서구</t>
        </is>
      </c>
      <c r="AD965" s="0" t="inlineStr">
        <is>
          <t>석남동</t>
        </is>
      </c>
      <c r="AG965" s="0" t="inlineStr">
        <is>
          <t>인천시 서구 신석로112번길 1</t>
        </is>
      </c>
      <c r="AH965" s="0" t="n">
        <v>0</v>
      </c>
      <c r="AI965" s="0" t="n">
        <v>600</v>
      </c>
      <c r="AJ965" s="0" t="n">
        <v>62</v>
      </c>
      <c r="AK965" s="0" t="n">
        <v>34</v>
      </c>
      <c r="AL965" s="0" t="n">
        <v>0.65</v>
      </c>
    </row>
    <row r="966">
      <c r="A966" s="0" t="inlineStr">
        <is>
          <t>[석남동]</t>
        </is>
      </c>
      <c r="B966" s="0" t="n">
        <v>119410</v>
      </c>
      <c r="C966" s="0" t="n">
        <v>3</v>
      </c>
      <c r="D966" s="0" t="inlineStr">
        <is>
          <t>해드림2차(도시형)</t>
        </is>
      </c>
      <c r="E966" s="0" t="inlineStr">
        <is>
          <t>2016.01.</t>
        </is>
      </c>
      <c r="F966" s="0" t="n">
        <v>52</v>
      </c>
      <c r="G966" s="0" t="n">
        <v>13.82</v>
      </c>
      <c r="H966" s="0" t="n">
        <v>45.69</v>
      </c>
      <c r="I966" s="0" t="n">
        <v>10.66</v>
      </c>
      <c r="J966" s="0" t="n">
        <v>35.27</v>
      </c>
      <c r="K966" s="0" t="n">
        <v>1</v>
      </c>
      <c r="T966" s="0" t="n">
        <v>1</v>
      </c>
      <c r="U966" s="0" t="n">
        <v>1</v>
      </c>
      <c r="V966" s="0" t="inlineStr">
        <is>
          <t>복도식</t>
        </is>
      </c>
      <c r="W966" s="0" t="inlineStr">
        <is>
          <t>45A</t>
        </is>
      </c>
      <c r="X966" s="0" t="n">
        <v>13</v>
      </c>
      <c r="Y966" s="0" t="n">
        <v>11</v>
      </c>
      <c r="Z966" s="0" t="inlineStr">
        <is>
          <t>https://new.land.naver.com/complexes/119410?tab=detail&amp;rf=Y</t>
        </is>
      </c>
      <c r="AA966" s="0" t="inlineStr">
        <is>
          <t>인천시 서구 석남동 497</t>
        </is>
      </c>
      <c r="AB966" s="0" t="inlineStr">
        <is>
          <t>인천시</t>
        </is>
      </c>
      <c r="AC966" s="0" t="inlineStr">
        <is>
          <t>서구</t>
        </is>
      </c>
      <c r="AD966" s="0" t="inlineStr">
        <is>
          <t>석남동</t>
        </is>
      </c>
      <c r="AG966" s="0" t="inlineStr">
        <is>
          <t>인천시 서구 신석로112번길 1</t>
        </is>
      </c>
      <c r="AH966" s="0" t="n">
        <v>0</v>
      </c>
      <c r="AI966" s="0" t="n">
        <v>600</v>
      </c>
      <c r="AJ966" s="0" t="n">
        <v>62</v>
      </c>
      <c r="AK966" s="0" t="n">
        <v>34</v>
      </c>
      <c r="AL966" s="0" t="n">
        <v>0.65</v>
      </c>
    </row>
    <row r="967">
      <c r="A967" s="0" t="inlineStr">
        <is>
          <t>[석남동]</t>
        </is>
      </c>
      <c r="B967" s="0" t="n">
        <v>119410</v>
      </c>
      <c r="C967" s="0" t="n">
        <v>4</v>
      </c>
      <c r="D967" s="0" t="inlineStr">
        <is>
          <t>해드림2차(도시형)</t>
        </is>
      </c>
      <c r="E967" s="0" t="inlineStr">
        <is>
          <t>2016.01.</t>
        </is>
      </c>
      <c r="F967" s="0" t="n">
        <v>52</v>
      </c>
      <c r="G967" s="0" t="n">
        <v>13.69</v>
      </c>
      <c r="H967" s="0" t="n">
        <v>45.27</v>
      </c>
      <c r="I967" s="0" t="n">
        <v>10.73</v>
      </c>
      <c r="J967" s="0" t="n">
        <v>35.49</v>
      </c>
      <c r="K967" s="0" t="n">
        <v>1</v>
      </c>
      <c r="T967" s="0" t="n">
        <v>1</v>
      </c>
      <c r="U967" s="0" t="n">
        <v>1</v>
      </c>
      <c r="V967" s="0" t="inlineStr">
        <is>
          <t>복도식</t>
        </is>
      </c>
      <c r="W967" s="0" t="inlineStr">
        <is>
          <t>45B</t>
        </is>
      </c>
      <c r="X967" s="0" t="n">
        <v>13</v>
      </c>
      <c r="Y967" s="0" t="n">
        <v>11</v>
      </c>
      <c r="Z967" s="0" t="inlineStr">
        <is>
          <t>https://new.land.naver.com/complexes/119410?tab=detail&amp;rf=Y</t>
        </is>
      </c>
      <c r="AA967" s="0" t="inlineStr">
        <is>
          <t>인천시 서구 석남동 497</t>
        </is>
      </c>
      <c r="AB967" s="0" t="inlineStr">
        <is>
          <t>인천시</t>
        </is>
      </c>
      <c r="AC967" s="0" t="inlineStr">
        <is>
          <t>서구</t>
        </is>
      </c>
      <c r="AD967" s="0" t="inlineStr">
        <is>
          <t>석남동</t>
        </is>
      </c>
      <c r="AG967" s="0" t="inlineStr">
        <is>
          <t>인천시 서구 신석로112번길 1</t>
        </is>
      </c>
      <c r="AH967" s="0" t="n">
        <v>0</v>
      </c>
      <c r="AI967" s="0" t="n">
        <v>600</v>
      </c>
      <c r="AJ967" s="0" t="n">
        <v>62</v>
      </c>
      <c r="AK967" s="0" t="n">
        <v>34</v>
      </c>
      <c r="AL967" s="0" t="n">
        <v>0.65</v>
      </c>
    </row>
    <row r="968">
      <c r="A968" s="0" t="inlineStr">
        <is>
          <t>[석남동]</t>
        </is>
      </c>
      <c r="B968" s="0" t="n">
        <v>119410</v>
      </c>
      <c r="C968" s="0" t="n">
        <v>5</v>
      </c>
      <c r="D968" s="0" t="inlineStr">
        <is>
          <t>해드림2차(도시형)</t>
        </is>
      </c>
      <c r="E968" s="0" t="inlineStr">
        <is>
          <t>2016.01.</t>
        </is>
      </c>
      <c r="F968" s="0" t="n">
        <v>52</v>
      </c>
      <c r="G968" s="0" t="n">
        <v>15.12</v>
      </c>
      <c r="H968" s="0" t="n">
        <v>50</v>
      </c>
      <c r="I968" s="0" t="n">
        <v>11.68</v>
      </c>
      <c r="J968" s="0" t="n">
        <v>38.63</v>
      </c>
      <c r="K968" s="0" t="n">
        <v>1</v>
      </c>
      <c r="T968" s="0" t="n">
        <v>1</v>
      </c>
      <c r="U968" s="0" t="n">
        <v>1</v>
      </c>
      <c r="V968" s="0" t="inlineStr">
        <is>
          <t>복도식</t>
        </is>
      </c>
      <c r="W968" s="0" t="inlineStr">
        <is>
          <t>50A</t>
        </is>
      </c>
      <c r="X968" s="0" t="n">
        <v>13</v>
      </c>
      <c r="Y968" s="0" t="n">
        <v>11</v>
      </c>
      <c r="Z968" s="0" t="inlineStr">
        <is>
          <t>https://new.land.naver.com/complexes/119410?tab=detail&amp;rf=Y</t>
        </is>
      </c>
      <c r="AA968" s="0" t="inlineStr">
        <is>
          <t>인천시 서구 석남동 497</t>
        </is>
      </c>
      <c r="AB968" s="0" t="inlineStr">
        <is>
          <t>인천시</t>
        </is>
      </c>
      <c r="AC968" s="0" t="inlineStr">
        <is>
          <t>서구</t>
        </is>
      </c>
      <c r="AD968" s="0" t="inlineStr">
        <is>
          <t>석남동</t>
        </is>
      </c>
      <c r="AG968" s="0" t="inlineStr">
        <is>
          <t>인천시 서구 신석로112번길 1</t>
        </is>
      </c>
      <c r="AH968" s="0" t="n">
        <v>0</v>
      </c>
      <c r="AI968" s="0" t="n">
        <v>600</v>
      </c>
      <c r="AJ968" s="0" t="n">
        <v>62</v>
      </c>
      <c r="AK968" s="0" t="n">
        <v>34</v>
      </c>
      <c r="AL968" s="0" t="n">
        <v>0.65</v>
      </c>
    </row>
    <row r="969">
      <c r="A969" s="0" t="inlineStr">
        <is>
          <t>[석남동]</t>
        </is>
      </c>
      <c r="B969" s="0" t="n">
        <v>119410</v>
      </c>
      <c r="C969" s="0" t="n">
        <v>6</v>
      </c>
      <c r="D969" s="0" t="inlineStr">
        <is>
          <t>해드림2차(도시형)</t>
        </is>
      </c>
      <c r="E969" s="0" t="inlineStr">
        <is>
          <t>2016.01.</t>
        </is>
      </c>
      <c r="F969" s="0" t="n">
        <v>52</v>
      </c>
      <c r="G969" s="0" t="n">
        <v>15.13</v>
      </c>
      <c r="H969" s="0" t="n">
        <v>50.04</v>
      </c>
      <c r="I969" s="0" t="n">
        <v>11.92</v>
      </c>
      <c r="J969" s="0" t="n">
        <v>39.43</v>
      </c>
      <c r="K969" s="0" t="n">
        <v>1</v>
      </c>
      <c r="T969" s="0" t="n">
        <v>1</v>
      </c>
      <c r="U969" s="0" t="n">
        <v>1</v>
      </c>
      <c r="V969" s="0" t="inlineStr">
        <is>
          <t>복도식</t>
        </is>
      </c>
      <c r="W969" s="0" t="inlineStr">
        <is>
          <t>50B</t>
        </is>
      </c>
      <c r="X969" s="0" t="n">
        <v>13</v>
      </c>
      <c r="Y969" s="0" t="n">
        <v>11</v>
      </c>
      <c r="Z969" s="0" t="inlineStr">
        <is>
          <t>https://new.land.naver.com/complexes/119410?tab=detail&amp;rf=Y</t>
        </is>
      </c>
      <c r="AA969" s="0" t="inlineStr">
        <is>
          <t>인천시 서구 석남동 497</t>
        </is>
      </c>
      <c r="AB969" s="0" t="inlineStr">
        <is>
          <t>인천시</t>
        </is>
      </c>
      <c r="AC969" s="0" t="inlineStr">
        <is>
          <t>서구</t>
        </is>
      </c>
      <c r="AD969" s="0" t="inlineStr">
        <is>
          <t>석남동</t>
        </is>
      </c>
      <c r="AG969" s="0" t="inlineStr">
        <is>
          <t>인천시 서구 신석로112번길 1</t>
        </is>
      </c>
      <c r="AH969" s="0" t="n">
        <v>0</v>
      </c>
      <c r="AI969" s="0" t="n">
        <v>600</v>
      </c>
      <c r="AJ969" s="0" t="n">
        <v>62</v>
      </c>
      <c r="AK969" s="0" t="n">
        <v>34</v>
      </c>
      <c r="AL969" s="0" t="n">
        <v>0.65</v>
      </c>
    </row>
    <row r="970">
      <c r="A970" s="0" t="inlineStr">
        <is>
          <t>[석남동]</t>
        </is>
      </c>
      <c r="B970" s="0" t="n">
        <v>119410</v>
      </c>
      <c r="C970" s="0" t="n">
        <v>7</v>
      </c>
      <c r="D970" s="0" t="inlineStr">
        <is>
          <t>해드림2차(도시형)</t>
        </is>
      </c>
      <c r="E970" s="0" t="inlineStr">
        <is>
          <t>2016.01.</t>
        </is>
      </c>
      <c r="F970" s="0" t="n">
        <v>52</v>
      </c>
      <c r="G970" s="0" t="n">
        <v>16.47</v>
      </c>
      <c r="H970" s="0" t="n">
        <v>54.46</v>
      </c>
      <c r="I970" s="0" t="n">
        <v>13.01</v>
      </c>
      <c r="J970" s="0" t="n">
        <v>43.01</v>
      </c>
      <c r="K970" s="0" t="n">
        <v>1</v>
      </c>
      <c r="T970" s="0" t="n">
        <v>1</v>
      </c>
      <c r="U970" s="0" t="n">
        <v>1</v>
      </c>
      <c r="V970" s="0" t="inlineStr">
        <is>
          <t>복도식</t>
        </is>
      </c>
      <c r="W970" s="0" t="n">
        <v>54</v>
      </c>
      <c r="X970" s="0" t="n">
        <v>13</v>
      </c>
      <c r="Y970" s="0" t="n">
        <v>11</v>
      </c>
      <c r="Z970" s="0" t="inlineStr">
        <is>
          <t>https://new.land.naver.com/complexes/119410?tab=detail&amp;rf=Y</t>
        </is>
      </c>
      <c r="AA970" s="0" t="inlineStr">
        <is>
          <t>인천시 서구 석남동 497</t>
        </is>
      </c>
      <c r="AB970" s="0" t="inlineStr">
        <is>
          <t>인천시</t>
        </is>
      </c>
      <c r="AC970" s="0" t="inlineStr">
        <is>
          <t>서구</t>
        </is>
      </c>
      <c r="AD970" s="0" t="inlineStr">
        <is>
          <t>석남동</t>
        </is>
      </c>
      <c r="AG970" s="0" t="inlineStr">
        <is>
          <t>인천시 서구 신석로112번길 1</t>
        </is>
      </c>
      <c r="AH970" s="0" t="n">
        <v>0</v>
      </c>
      <c r="AI970" s="0" t="n">
        <v>600</v>
      </c>
      <c r="AJ970" s="0" t="n">
        <v>62</v>
      </c>
      <c r="AK970" s="0" t="n">
        <v>34</v>
      </c>
      <c r="AL970" s="0" t="n">
        <v>0.65</v>
      </c>
    </row>
    <row r="971">
      <c r="A971" s="0" t="inlineStr">
        <is>
          <t>[석남동]</t>
        </is>
      </c>
      <c r="B971" s="0" t="n">
        <v>119410</v>
      </c>
      <c r="C971" s="0" t="n">
        <v>8</v>
      </c>
      <c r="D971" s="0" t="inlineStr">
        <is>
          <t>해드림2차(도시형)</t>
        </is>
      </c>
      <c r="E971" s="0" t="inlineStr">
        <is>
          <t>2016.01.</t>
        </is>
      </c>
      <c r="F971" s="0" t="n">
        <v>52</v>
      </c>
      <c r="G971" s="0" t="n">
        <v>16.74</v>
      </c>
      <c r="H971" s="0" t="n">
        <v>55.36</v>
      </c>
      <c r="I971" s="0" t="n">
        <v>13.05</v>
      </c>
      <c r="J971" s="0" t="n">
        <v>43.15</v>
      </c>
      <c r="K971" s="0" t="n">
        <v>1</v>
      </c>
      <c r="T971" s="0" t="n">
        <v>1</v>
      </c>
      <c r="U971" s="0" t="n">
        <v>1</v>
      </c>
      <c r="V971" s="0" t="inlineStr">
        <is>
          <t>복도식</t>
        </is>
      </c>
      <c r="W971" s="0" t="inlineStr">
        <is>
          <t>55A</t>
        </is>
      </c>
      <c r="X971" s="0" t="n">
        <v>13</v>
      </c>
      <c r="Y971" s="0" t="n">
        <v>11</v>
      </c>
      <c r="Z971" s="0" t="inlineStr">
        <is>
          <t>https://new.land.naver.com/complexes/119410?tab=detail&amp;rf=Y</t>
        </is>
      </c>
      <c r="AA971" s="0" t="inlineStr">
        <is>
          <t>인천시 서구 석남동 497</t>
        </is>
      </c>
      <c r="AB971" s="0" t="inlineStr">
        <is>
          <t>인천시</t>
        </is>
      </c>
      <c r="AC971" s="0" t="inlineStr">
        <is>
          <t>서구</t>
        </is>
      </c>
      <c r="AD971" s="0" t="inlineStr">
        <is>
          <t>석남동</t>
        </is>
      </c>
      <c r="AG971" s="0" t="inlineStr">
        <is>
          <t>인천시 서구 신석로112번길 1</t>
        </is>
      </c>
      <c r="AH971" s="0" t="n">
        <v>0</v>
      </c>
      <c r="AI971" s="0" t="n">
        <v>600</v>
      </c>
      <c r="AJ971" s="0" t="n">
        <v>62</v>
      </c>
      <c r="AK971" s="0" t="n">
        <v>34</v>
      </c>
      <c r="AL971" s="0" t="n">
        <v>0.65</v>
      </c>
    </row>
    <row r="972">
      <c r="A972" s="0" t="inlineStr">
        <is>
          <t>[석남동]</t>
        </is>
      </c>
      <c r="B972" s="0" t="n">
        <v>119410</v>
      </c>
      <c r="C972" s="0" t="n">
        <v>9</v>
      </c>
      <c r="D972" s="0" t="inlineStr">
        <is>
          <t>해드림2차(도시형)</t>
        </is>
      </c>
      <c r="E972" s="0" t="inlineStr">
        <is>
          <t>2016.01.</t>
        </is>
      </c>
      <c r="F972" s="0" t="n">
        <v>52</v>
      </c>
      <c r="G972" s="0" t="n">
        <v>17.06</v>
      </c>
      <c r="H972" s="0" t="n">
        <v>56.41</v>
      </c>
      <c r="I972" s="0" t="n">
        <v>13.59</v>
      </c>
      <c r="J972" s="0" t="n">
        <v>44.95</v>
      </c>
      <c r="K972" s="0" t="n">
        <v>7</v>
      </c>
      <c r="T972" s="0" t="n">
        <v>1</v>
      </c>
      <c r="U972" s="0" t="n">
        <v>1</v>
      </c>
      <c r="V972" s="0" t="inlineStr">
        <is>
          <t>복도식</t>
        </is>
      </c>
      <c r="W972" s="0" t="inlineStr">
        <is>
          <t>56C</t>
        </is>
      </c>
      <c r="X972" s="0" t="n">
        <v>13</v>
      </c>
      <c r="Y972" s="0" t="n">
        <v>11</v>
      </c>
      <c r="Z972" s="0" t="inlineStr">
        <is>
          <t>https://new.land.naver.com/complexes/119410?tab=detail&amp;rf=Y</t>
        </is>
      </c>
      <c r="AA972" s="0" t="inlineStr">
        <is>
          <t>인천시 서구 석남동 497</t>
        </is>
      </c>
      <c r="AB972" s="0" t="inlineStr">
        <is>
          <t>인천시</t>
        </is>
      </c>
      <c r="AC972" s="0" t="inlineStr">
        <is>
          <t>서구</t>
        </is>
      </c>
      <c r="AD972" s="0" t="inlineStr">
        <is>
          <t>석남동</t>
        </is>
      </c>
      <c r="AG972" s="0" t="inlineStr">
        <is>
          <t>인천시 서구 신석로112번길 1</t>
        </is>
      </c>
      <c r="AH972" s="0" t="n">
        <v>0</v>
      </c>
      <c r="AI972" s="0" t="n">
        <v>600</v>
      </c>
      <c r="AJ972" s="0" t="n">
        <v>62</v>
      </c>
      <c r="AK972" s="0" t="n">
        <v>34</v>
      </c>
      <c r="AL972" s="0" t="n">
        <v>0.65</v>
      </c>
    </row>
    <row r="973">
      <c r="A973" s="0" t="inlineStr">
        <is>
          <t>[석남동]</t>
        </is>
      </c>
      <c r="B973" s="0" t="n">
        <v>119410</v>
      </c>
      <c r="C973" s="0" t="n">
        <v>10</v>
      </c>
      <c r="D973" s="0" t="inlineStr">
        <is>
          <t>해드림2차(도시형)</t>
        </is>
      </c>
      <c r="E973" s="0" t="inlineStr">
        <is>
          <t>2016.01.</t>
        </is>
      </c>
      <c r="F973" s="0" t="n">
        <v>52</v>
      </c>
      <c r="G973" s="0" t="n">
        <v>17.14</v>
      </c>
      <c r="H973" s="0" t="n">
        <v>56.69</v>
      </c>
      <c r="I973" s="0" t="n">
        <v>13.53</v>
      </c>
      <c r="J973" s="0" t="n">
        <v>44.73</v>
      </c>
      <c r="K973" s="0" t="n">
        <v>1</v>
      </c>
      <c r="T973" s="0" t="n">
        <v>1</v>
      </c>
      <c r="U973" s="0" t="n">
        <v>1</v>
      </c>
      <c r="V973" s="0" t="inlineStr">
        <is>
          <t>복도식</t>
        </is>
      </c>
      <c r="W973" s="0" t="inlineStr">
        <is>
          <t>56B</t>
        </is>
      </c>
      <c r="X973" s="0" t="n">
        <v>13</v>
      </c>
      <c r="Y973" s="0" t="n">
        <v>11</v>
      </c>
      <c r="Z973" s="0" t="inlineStr">
        <is>
          <t>https://new.land.naver.com/complexes/119410?tab=detail&amp;rf=Y</t>
        </is>
      </c>
      <c r="AA973" s="0" t="inlineStr">
        <is>
          <t>인천시 서구 석남동 497</t>
        </is>
      </c>
      <c r="AB973" s="0" t="inlineStr">
        <is>
          <t>인천시</t>
        </is>
      </c>
      <c r="AC973" s="0" t="inlineStr">
        <is>
          <t>서구</t>
        </is>
      </c>
      <c r="AD973" s="0" t="inlineStr">
        <is>
          <t>석남동</t>
        </is>
      </c>
      <c r="AG973" s="0" t="inlineStr">
        <is>
          <t>인천시 서구 신석로112번길 1</t>
        </is>
      </c>
      <c r="AH973" s="0" t="n">
        <v>0</v>
      </c>
      <c r="AI973" s="0" t="n">
        <v>600</v>
      </c>
      <c r="AJ973" s="0" t="n">
        <v>62</v>
      </c>
      <c r="AK973" s="0" t="n">
        <v>34</v>
      </c>
      <c r="AL973" s="0" t="n">
        <v>0.65</v>
      </c>
    </row>
    <row r="974">
      <c r="A974" s="0" t="inlineStr">
        <is>
          <t>[석남동]</t>
        </is>
      </c>
      <c r="B974" s="0" t="n">
        <v>119410</v>
      </c>
      <c r="C974" s="0" t="n">
        <v>11</v>
      </c>
      <c r="D974" s="0" t="inlineStr">
        <is>
          <t>해드림2차(도시형)</t>
        </is>
      </c>
      <c r="E974" s="0" t="inlineStr">
        <is>
          <t>2016.01.</t>
        </is>
      </c>
      <c r="F974" s="0" t="n">
        <v>52</v>
      </c>
      <c r="G974" s="0" t="n">
        <v>17.52</v>
      </c>
      <c r="H974" s="0" t="n">
        <v>57.94</v>
      </c>
      <c r="I974" s="0" t="n">
        <v>13.98</v>
      </c>
      <c r="J974" s="0" t="n">
        <v>46.24</v>
      </c>
      <c r="K974" s="0" t="n">
        <v>7</v>
      </c>
      <c r="T974" s="0" t="n">
        <v>1</v>
      </c>
      <c r="U974" s="0" t="n">
        <v>1</v>
      </c>
      <c r="V974" s="0" t="inlineStr">
        <is>
          <t>복도식</t>
        </is>
      </c>
      <c r="W974" s="0" t="inlineStr">
        <is>
          <t>57A</t>
        </is>
      </c>
      <c r="X974" s="0" t="n">
        <v>13</v>
      </c>
      <c r="Y974" s="0" t="n">
        <v>11</v>
      </c>
      <c r="Z974" s="0" t="inlineStr">
        <is>
          <t>https://new.land.naver.com/complexes/119410?tab=detail&amp;rf=Y</t>
        </is>
      </c>
      <c r="AA974" s="0" t="inlineStr">
        <is>
          <t>인천시 서구 석남동 497</t>
        </is>
      </c>
      <c r="AB974" s="0" t="inlineStr">
        <is>
          <t>인천시</t>
        </is>
      </c>
      <c r="AC974" s="0" t="inlineStr">
        <is>
          <t>서구</t>
        </is>
      </c>
      <c r="AD974" s="0" t="inlineStr">
        <is>
          <t>석남동</t>
        </is>
      </c>
      <c r="AG974" s="0" t="inlineStr">
        <is>
          <t>인천시 서구 신석로112번길 1</t>
        </is>
      </c>
      <c r="AH974" s="0" t="n">
        <v>0</v>
      </c>
      <c r="AI974" s="0" t="n">
        <v>600</v>
      </c>
      <c r="AJ974" s="0" t="n">
        <v>62</v>
      </c>
      <c r="AK974" s="0" t="n">
        <v>34</v>
      </c>
      <c r="AL974" s="0" t="n">
        <v>0.65</v>
      </c>
    </row>
    <row r="975">
      <c r="A975" s="0" t="inlineStr">
        <is>
          <t>[석남동]</t>
        </is>
      </c>
      <c r="B975" s="0" t="n">
        <v>119410</v>
      </c>
      <c r="C975" s="0" t="n">
        <v>12</v>
      </c>
      <c r="D975" s="0" t="inlineStr">
        <is>
          <t>해드림2차(도시형)</t>
        </is>
      </c>
      <c r="E975" s="0" t="inlineStr">
        <is>
          <t>2016.01.</t>
        </is>
      </c>
      <c r="F975" s="0" t="n">
        <v>52</v>
      </c>
      <c r="G975" s="0" t="n">
        <v>17.32</v>
      </c>
      <c r="H975" s="0" t="n">
        <v>57.27</v>
      </c>
      <c r="I975" s="0" t="n">
        <v>13.67</v>
      </c>
      <c r="J975" s="0" t="n">
        <v>45.2</v>
      </c>
      <c r="K975" s="0" t="n">
        <v>7</v>
      </c>
      <c r="T975" s="0" t="n">
        <v>1</v>
      </c>
      <c r="U975" s="0" t="n">
        <v>1</v>
      </c>
      <c r="V975" s="0" t="inlineStr">
        <is>
          <t>복도식</t>
        </is>
      </c>
      <c r="W975" s="0" t="inlineStr">
        <is>
          <t>57D</t>
        </is>
      </c>
      <c r="X975" s="0" t="n">
        <v>13</v>
      </c>
      <c r="Y975" s="0" t="n">
        <v>11</v>
      </c>
      <c r="Z975" s="0" t="inlineStr">
        <is>
          <t>https://new.land.naver.com/complexes/119410?tab=detail&amp;rf=Y</t>
        </is>
      </c>
      <c r="AA975" s="0" t="inlineStr">
        <is>
          <t>인천시 서구 석남동 497</t>
        </is>
      </c>
      <c r="AB975" s="0" t="inlineStr">
        <is>
          <t>인천시</t>
        </is>
      </c>
      <c r="AC975" s="0" t="inlineStr">
        <is>
          <t>서구</t>
        </is>
      </c>
      <c r="AD975" s="0" t="inlineStr">
        <is>
          <t>석남동</t>
        </is>
      </c>
      <c r="AG975" s="0" t="inlineStr">
        <is>
          <t>인천시 서구 신석로112번길 1</t>
        </is>
      </c>
      <c r="AH975" s="0" t="n">
        <v>0</v>
      </c>
      <c r="AI975" s="0" t="n">
        <v>600</v>
      </c>
      <c r="AJ975" s="0" t="n">
        <v>62</v>
      </c>
      <c r="AK975" s="0" t="n">
        <v>34</v>
      </c>
      <c r="AL975" s="0" t="n">
        <v>0.65</v>
      </c>
    </row>
    <row r="976">
      <c r="A976" s="0" t="inlineStr">
        <is>
          <t>[석남동]</t>
        </is>
      </c>
      <c r="B976" s="0" t="n">
        <v>119410</v>
      </c>
      <c r="C976" s="0" t="n">
        <v>13</v>
      </c>
      <c r="D976" s="0" t="inlineStr">
        <is>
          <t>해드림2차(도시형)</t>
        </is>
      </c>
      <c r="E976" s="0" t="inlineStr">
        <is>
          <t>2016.01.</t>
        </is>
      </c>
      <c r="F976" s="0" t="n">
        <v>52</v>
      </c>
      <c r="G976" s="0" t="n">
        <v>17.82</v>
      </c>
      <c r="H976" s="0" t="n">
        <v>58.91</v>
      </c>
      <c r="I976" s="0" t="n">
        <v>14.15</v>
      </c>
      <c r="J976" s="0" t="n">
        <v>46.79</v>
      </c>
      <c r="K976" s="0" t="n">
        <v>7</v>
      </c>
      <c r="T976" s="0" t="n">
        <v>1</v>
      </c>
      <c r="U976" s="0" t="n">
        <v>1</v>
      </c>
      <c r="V976" s="0" t="inlineStr">
        <is>
          <t>복도식</t>
        </is>
      </c>
      <c r="W976" s="0" t="inlineStr">
        <is>
          <t>58B</t>
        </is>
      </c>
      <c r="X976" s="0" t="n">
        <v>13</v>
      </c>
      <c r="Y976" s="0" t="n">
        <v>11</v>
      </c>
      <c r="Z976" s="0" t="inlineStr">
        <is>
          <t>https://new.land.naver.com/complexes/119410?tab=detail&amp;rf=Y</t>
        </is>
      </c>
      <c r="AA976" s="0" t="inlineStr">
        <is>
          <t>인천시 서구 석남동 497</t>
        </is>
      </c>
      <c r="AB976" s="0" t="inlineStr">
        <is>
          <t>인천시</t>
        </is>
      </c>
      <c r="AC976" s="0" t="inlineStr">
        <is>
          <t>서구</t>
        </is>
      </c>
      <c r="AD976" s="0" t="inlineStr">
        <is>
          <t>석남동</t>
        </is>
      </c>
      <c r="AG976" s="0" t="inlineStr">
        <is>
          <t>인천시 서구 신석로112번길 1</t>
        </is>
      </c>
      <c r="AH976" s="0" t="n">
        <v>0</v>
      </c>
      <c r="AI976" s="0" t="n">
        <v>600</v>
      </c>
      <c r="AJ976" s="0" t="n">
        <v>62</v>
      </c>
      <c r="AK976" s="0" t="n">
        <v>34</v>
      </c>
      <c r="AL976" s="0" t="n">
        <v>0.65</v>
      </c>
    </row>
    <row r="977">
      <c r="A977" s="0" t="inlineStr">
        <is>
          <t>[석남동]</t>
        </is>
      </c>
      <c r="B977" s="0" t="n">
        <v>119410</v>
      </c>
      <c r="C977" s="0" t="n">
        <v>14</v>
      </c>
      <c r="D977" s="0" t="inlineStr">
        <is>
          <t>해드림2차(도시형)</t>
        </is>
      </c>
      <c r="E977" s="0" t="inlineStr">
        <is>
          <t>2016.01.</t>
        </is>
      </c>
      <c r="F977" s="0" t="n">
        <v>52</v>
      </c>
      <c r="G977" s="0" t="n">
        <v>18.97</v>
      </c>
      <c r="H977" s="0" t="n">
        <v>62.72</v>
      </c>
      <c r="I977" s="0" t="n">
        <v>15.11</v>
      </c>
      <c r="J977" s="0" t="n">
        <v>49.96</v>
      </c>
      <c r="K977" s="0" t="n">
        <v>7</v>
      </c>
      <c r="T977" s="0" t="n">
        <v>1</v>
      </c>
      <c r="U977" s="0" t="n">
        <v>1</v>
      </c>
      <c r="V977" s="0" t="inlineStr">
        <is>
          <t>복도식</t>
        </is>
      </c>
      <c r="W977" s="0" t="inlineStr">
        <is>
          <t>62B</t>
        </is>
      </c>
      <c r="X977" s="0" t="n">
        <v>13</v>
      </c>
      <c r="Y977" s="0" t="n">
        <v>11</v>
      </c>
      <c r="Z977" s="0" t="inlineStr">
        <is>
          <t>https://new.land.naver.com/complexes/119410?tab=detail&amp;rf=Y</t>
        </is>
      </c>
      <c r="AA977" s="0" t="inlineStr">
        <is>
          <t>인천시 서구 석남동 497</t>
        </is>
      </c>
      <c r="AB977" s="0" t="inlineStr">
        <is>
          <t>인천시</t>
        </is>
      </c>
      <c r="AC977" s="0" t="inlineStr">
        <is>
          <t>서구</t>
        </is>
      </c>
      <c r="AD977" s="0" t="inlineStr">
        <is>
          <t>석남동</t>
        </is>
      </c>
      <c r="AG977" s="0" t="inlineStr">
        <is>
          <t>인천시 서구 신석로112번길 1</t>
        </is>
      </c>
      <c r="AH977" s="0" t="n">
        <v>0</v>
      </c>
      <c r="AI977" s="0" t="n">
        <v>600</v>
      </c>
      <c r="AJ977" s="0" t="n">
        <v>62</v>
      </c>
      <c r="AK977" s="0" t="n">
        <v>34</v>
      </c>
      <c r="AL977" s="0" t="n">
        <v>0.65</v>
      </c>
    </row>
    <row r="978">
      <c r="A978" s="0" t="inlineStr">
        <is>
          <t>[석남동]</t>
        </is>
      </c>
      <c r="B978" s="0" t="n">
        <v>119410</v>
      </c>
      <c r="C978" s="0" t="n">
        <v>15</v>
      </c>
      <c r="D978" s="0" t="inlineStr">
        <is>
          <t>해드림2차(도시형)</t>
        </is>
      </c>
      <c r="E978" s="0" t="inlineStr">
        <is>
          <t>2016.01.</t>
        </is>
      </c>
      <c r="F978" s="0" t="n">
        <v>52</v>
      </c>
      <c r="G978" s="0" t="n">
        <v>18.8</v>
      </c>
      <c r="H978" s="0" t="n">
        <v>62.16</v>
      </c>
      <c r="I978" s="0" t="n">
        <v>14.74</v>
      </c>
      <c r="J978" s="0" t="n">
        <v>48.74</v>
      </c>
      <c r="K978" s="0" t="n">
        <v>1</v>
      </c>
      <c r="T978" s="0" t="n">
        <v>1</v>
      </c>
      <c r="U978" s="0" t="n">
        <v>1</v>
      </c>
      <c r="V978" s="0" t="inlineStr">
        <is>
          <t>복도식</t>
        </is>
      </c>
      <c r="W978" s="0" t="inlineStr">
        <is>
          <t>62A</t>
        </is>
      </c>
      <c r="X978" s="0" t="n">
        <v>13</v>
      </c>
      <c r="Y978" s="0" t="n">
        <v>11</v>
      </c>
      <c r="Z978" s="0" t="inlineStr">
        <is>
          <t>https://new.land.naver.com/complexes/119410?tab=detail&amp;rf=Y</t>
        </is>
      </c>
      <c r="AA978" s="0" t="inlineStr">
        <is>
          <t>인천시 서구 석남동 497</t>
        </is>
      </c>
      <c r="AB978" s="0" t="inlineStr">
        <is>
          <t>인천시</t>
        </is>
      </c>
      <c r="AC978" s="0" t="inlineStr">
        <is>
          <t>서구</t>
        </is>
      </c>
      <c r="AD978" s="0" t="inlineStr">
        <is>
          <t>석남동</t>
        </is>
      </c>
      <c r="AG978" s="0" t="inlineStr">
        <is>
          <t>인천시 서구 신석로112번길 1</t>
        </is>
      </c>
      <c r="AH978" s="0" t="n">
        <v>0</v>
      </c>
      <c r="AI978" s="0" t="n">
        <v>600</v>
      </c>
      <c r="AJ978" s="0" t="n">
        <v>62</v>
      </c>
      <c r="AK978" s="0" t="n">
        <v>34</v>
      </c>
      <c r="AL978" s="0" t="n">
        <v>0.65</v>
      </c>
    </row>
    <row r="979">
      <c r="A979" s="0" t="inlineStr">
        <is>
          <t>[석남동]</t>
        </is>
      </c>
      <c r="B979" s="0" t="n">
        <v>9326</v>
      </c>
      <c r="C979" s="0" t="n">
        <v>1</v>
      </c>
      <c r="D979" s="0" t="inlineStr">
        <is>
          <t>우주</t>
        </is>
      </c>
      <c r="E979" s="0" t="inlineStr">
        <is>
          <t>1979.08.</t>
        </is>
      </c>
      <c r="F979" s="0" t="n">
        <v>48</v>
      </c>
      <c r="G979" s="0" t="n">
        <v>18.83</v>
      </c>
      <c r="H979" s="0" t="n">
        <v>62.25</v>
      </c>
      <c r="I979" s="0" t="n">
        <v>17</v>
      </c>
      <c r="J979" s="0" t="n">
        <v>56.23</v>
      </c>
      <c r="K979" s="0" t="n">
        <v>30</v>
      </c>
      <c r="T979" s="0" t="n">
        <v>3</v>
      </c>
      <c r="U979" s="0" t="n">
        <v>1</v>
      </c>
      <c r="V979" s="0" t="inlineStr">
        <is>
          <t>계단식</t>
        </is>
      </c>
      <c r="W979" s="0" t="n">
        <v>62</v>
      </c>
      <c r="X979" s="0" t="n">
        <v>3</v>
      </c>
      <c r="Y979" s="0" t="n">
        <v>3</v>
      </c>
      <c r="Z979" s="0" t="inlineStr">
        <is>
          <t>https://new.land.naver.com/complexes/9326?tab=detail&amp;rf=Y</t>
        </is>
      </c>
      <c r="AA979" s="0" t="inlineStr">
        <is>
          <t>인천시 서구 석남동 506-3</t>
        </is>
      </c>
      <c r="AB979" s="0" t="inlineStr">
        <is>
          <t>인천시</t>
        </is>
      </c>
      <c r="AC979" s="0" t="inlineStr">
        <is>
          <t>서구</t>
        </is>
      </c>
      <c r="AD979" s="0" t="inlineStr">
        <is>
          <t>석남동</t>
        </is>
      </c>
      <c r="AG979" s="0" t="inlineStr">
        <is>
          <t>인천시 서구 옻우물로 22-1</t>
        </is>
      </c>
      <c r="AH979" s="0" t="n">
        <v>0</v>
      </c>
      <c r="AI979" s="0" t="n">
        <v>0</v>
      </c>
      <c r="AJ979" s="0" t="n">
        <v>0</v>
      </c>
      <c r="AK979" s="0" t="n">
        <v>0</v>
      </c>
      <c r="AL979" s="0" t="n">
        <v>0</v>
      </c>
    </row>
    <row r="980">
      <c r="A980" s="0" t="inlineStr">
        <is>
          <t>[석남동]</t>
        </is>
      </c>
      <c r="B980" s="0" t="n">
        <v>9326</v>
      </c>
      <c r="C980" s="0" t="n">
        <v>2</v>
      </c>
      <c r="D980" s="0" t="inlineStr">
        <is>
          <t>우주</t>
        </is>
      </c>
      <c r="E980" s="0" t="inlineStr">
        <is>
          <t>1979.08.</t>
        </is>
      </c>
      <c r="F980" s="0" t="n">
        <v>48</v>
      </c>
      <c r="G980" s="0" t="n">
        <v>21.44</v>
      </c>
      <c r="H980" s="0" t="n">
        <v>70.88</v>
      </c>
      <c r="I980" s="0" t="n">
        <v>19.28</v>
      </c>
      <c r="J980" s="0" t="n">
        <v>63.74</v>
      </c>
      <c r="K980" s="0" t="n">
        <v>18</v>
      </c>
      <c r="T980" s="0" t="n">
        <v>3</v>
      </c>
      <c r="U980" s="0" t="n">
        <v>1</v>
      </c>
      <c r="V980" s="0" t="inlineStr">
        <is>
          <t>계단식</t>
        </is>
      </c>
      <c r="W980" s="0" t="n">
        <v>70</v>
      </c>
      <c r="X980" s="0" t="n">
        <v>3</v>
      </c>
      <c r="Y980" s="0" t="n">
        <v>3</v>
      </c>
      <c r="Z980" s="0" t="inlineStr">
        <is>
          <t>https://new.land.naver.com/complexes/9326?tab=detail&amp;rf=Y</t>
        </is>
      </c>
      <c r="AA980" s="0" t="inlineStr">
        <is>
          <t>인천시 서구 석남동 506-3</t>
        </is>
      </c>
      <c r="AB980" s="0" t="inlineStr">
        <is>
          <t>인천시</t>
        </is>
      </c>
      <c r="AC980" s="0" t="inlineStr">
        <is>
          <t>서구</t>
        </is>
      </c>
      <c r="AD980" s="0" t="inlineStr">
        <is>
          <t>석남동</t>
        </is>
      </c>
      <c r="AG980" s="0" t="inlineStr">
        <is>
          <t>인천시 서구 옻우물로 22-1</t>
        </is>
      </c>
      <c r="AH980" s="0" t="n">
        <v>0</v>
      </c>
      <c r="AI980" s="0" t="n">
        <v>0</v>
      </c>
      <c r="AJ980" s="0" t="n">
        <v>0</v>
      </c>
      <c r="AK980" s="0" t="n">
        <v>0</v>
      </c>
      <c r="AL980" s="0" t="n">
        <v>0</v>
      </c>
    </row>
    <row r="981">
      <c r="A981" s="0" t="inlineStr">
        <is>
          <t>[석남동]</t>
        </is>
      </c>
      <c r="B981" s="0" t="n">
        <v>13476</v>
      </c>
      <c r="C981" s="0" t="n">
        <v>1</v>
      </c>
      <c r="D981" s="0" t="inlineStr">
        <is>
          <t>거보플러스</t>
        </is>
      </c>
      <c r="E981" s="0" t="inlineStr">
        <is>
          <t>2003.03.</t>
        </is>
      </c>
      <c r="F981" s="0" t="n">
        <v>23</v>
      </c>
      <c r="G981" s="0" t="n">
        <v>17.72</v>
      </c>
      <c r="H981" s="0" t="n">
        <v>58.6</v>
      </c>
      <c r="I981" s="0" t="n">
        <v>17.72</v>
      </c>
      <c r="J981" s="0" t="n">
        <v>58.6</v>
      </c>
      <c r="K981" s="0" t="n">
        <v>16</v>
      </c>
      <c r="T981" s="0" t="n">
        <v>2</v>
      </c>
      <c r="U981" s="0" t="n">
        <v>1</v>
      </c>
      <c r="V981" s="0" t="inlineStr">
        <is>
          <t>계단식</t>
        </is>
      </c>
      <c r="W981" s="0" t="inlineStr">
        <is>
          <t>58A</t>
        </is>
      </c>
      <c r="X981" s="0" t="n">
        <v>10</v>
      </c>
      <c r="Y981" s="0" t="n">
        <v>9</v>
      </c>
      <c r="Z981" s="0" t="inlineStr">
        <is>
          <t>https://new.land.naver.com/complexes/13476?tab=detail&amp;rf=Y</t>
        </is>
      </c>
      <c r="AA981" s="0" t="inlineStr">
        <is>
          <t>인천시 서구 석남동 490-6</t>
        </is>
      </c>
      <c r="AB981" s="0" t="inlineStr">
        <is>
          <t>인천시</t>
        </is>
      </c>
      <c r="AC981" s="0" t="inlineStr">
        <is>
          <t>서구</t>
        </is>
      </c>
      <c r="AD981" s="0" t="inlineStr">
        <is>
          <t>석남동</t>
        </is>
      </c>
      <c r="AG981" s="0" t="inlineStr">
        <is>
          <t>인천시 서구 가석로 264</t>
        </is>
      </c>
      <c r="AH981" s="0" t="n">
        <v>0</v>
      </c>
      <c r="AI981" s="0" t="n">
        <v>295</v>
      </c>
      <c r="AJ981" s="0" t="n">
        <v>59</v>
      </c>
      <c r="AK981" s="0" t="n">
        <v>21</v>
      </c>
      <c r="AL981" s="0" t="n">
        <v>0.91</v>
      </c>
    </row>
    <row r="982">
      <c r="A982" s="0" t="inlineStr">
        <is>
          <t>[석남동]</t>
        </is>
      </c>
      <c r="B982" s="0" t="n">
        <v>13476</v>
      </c>
      <c r="C982" s="0" t="n">
        <v>2</v>
      </c>
      <c r="D982" s="0" t="inlineStr">
        <is>
          <t>거보플러스</t>
        </is>
      </c>
      <c r="E982" s="0" t="inlineStr">
        <is>
          <t>2003.03.</t>
        </is>
      </c>
      <c r="F982" s="0" t="n">
        <v>23</v>
      </c>
      <c r="G982" s="0" t="n">
        <v>18.03</v>
      </c>
      <c r="H982" s="0" t="n">
        <v>59.63</v>
      </c>
      <c r="I982" s="0" t="n">
        <v>18.03</v>
      </c>
      <c r="J982" s="0" t="n">
        <v>59.63</v>
      </c>
      <c r="K982" s="0" t="n">
        <v>7</v>
      </c>
      <c r="T982" s="0" t="n">
        <v>2</v>
      </c>
      <c r="U982" s="0" t="n">
        <v>1</v>
      </c>
      <c r="V982" s="0" t="inlineStr">
        <is>
          <t>계단식</t>
        </is>
      </c>
      <c r="W982" s="0" t="inlineStr">
        <is>
          <t>59B</t>
        </is>
      </c>
      <c r="X982" s="0" t="n">
        <v>10</v>
      </c>
      <c r="Y982" s="0" t="n">
        <v>9</v>
      </c>
      <c r="Z982" s="0" t="inlineStr">
        <is>
          <t>https://new.land.naver.com/complexes/13476?tab=detail&amp;rf=Y</t>
        </is>
      </c>
      <c r="AA982" s="0" t="inlineStr">
        <is>
          <t>인천시 서구 석남동 490-6</t>
        </is>
      </c>
      <c r="AB982" s="0" t="inlineStr">
        <is>
          <t>인천시</t>
        </is>
      </c>
      <c r="AC982" s="0" t="inlineStr">
        <is>
          <t>서구</t>
        </is>
      </c>
      <c r="AD982" s="0" t="inlineStr">
        <is>
          <t>석남동</t>
        </is>
      </c>
      <c r="AG982" s="0" t="inlineStr">
        <is>
          <t>인천시 서구 가석로 264</t>
        </is>
      </c>
      <c r="AH982" s="0" t="n">
        <v>0</v>
      </c>
      <c r="AI982" s="0" t="n">
        <v>295</v>
      </c>
      <c r="AJ982" s="0" t="n">
        <v>59</v>
      </c>
      <c r="AK982" s="0" t="n">
        <v>21</v>
      </c>
      <c r="AL982" s="0" t="n">
        <v>0.91</v>
      </c>
    </row>
    <row r="983">
      <c r="A983" s="0" t="inlineStr">
        <is>
          <t>[석남동]</t>
        </is>
      </c>
      <c r="B983" s="0" t="n">
        <v>141541</v>
      </c>
      <c r="C983" s="0" t="n">
        <v>1</v>
      </c>
      <c r="D983" s="0" t="inlineStr">
        <is>
          <t>대준</t>
        </is>
      </c>
      <c r="E983" s="0" t="inlineStr">
        <is>
          <t>2010.10.</t>
        </is>
      </c>
      <c r="F983" s="0" t="n">
        <v>11</v>
      </c>
      <c r="G983" s="0" t="n">
        <v>23.49</v>
      </c>
      <c r="H983" s="0" t="n">
        <v>77.68000000000001</v>
      </c>
      <c r="I983" s="0" t="n">
        <v>20.3</v>
      </c>
      <c r="J983" s="0" t="n">
        <v>67.13</v>
      </c>
      <c r="K983" s="0" t="n">
        <v>11</v>
      </c>
      <c r="T983" s="0" t="n">
        <v>3</v>
      </c>
      <c r="U983" s="0" t="n">
        <v>1</v>
      </c>
      <c r="V983" s="0" t="inlineStr">
        <is>
          <t>복합식</t>
        </is>
      </c>
      <c r="W983" s="0" t="n">
        <v>77</v>
      </c>
      <c r="X983" s="0" t="n">
        <v>8</v>
      </c>
      <c r="Y983" s="0" t="n">
        <v>7</v>
      </c>
      <c r="Z983" s="0" t="inlineStr">
        <is>
          <t>https://new.land.naver.com/complexes/141541?tab=detail&amp;rf=Y</t>
        </is>
      </c>
      <c r="AA983" s="0" t="inlineStr">
        <is>
          <t>인천시 서구 석남동 513-5</t>
        </is>
      </c>
      <c r="AB983" s="0" t="inlineStr">
        <is>
          <t>인천시</t>
        </is>
      </c>
      <c r="AC983" s="0" t="inlineStr">
        <is>
          <t>서구</t>
        </is>
      </c>
      <c r="AD983" s="0" t="inlineStr">
        <is>
          <t>석남동</t>
        </is>
      </c>
      <c r="AG983" s="0" t="inlineStr">
        <is>
          <t>인천시 서구 칠천왕로33번길 8</t>
        </is>
      </c>
      <c r="AH983" s="0" t="n">
        <v>0</v>
      </c>
      <c r="AI983" s="0" t="n">
        <v>301</v>
      </c>
      <c r="AJ983" s="0" t="n">
        <v>57</v>
      </c>
      <c r="AK983" s="0" t="n">
        <v>13</v>
      </c>
      <c r="AL983" s="0" t="n">
        <v>1.18</v>
      </c>
    </row>
    <row r="984">
      <c r="A984" s="0" t="inlineStr">
        <is>
          <t>[석남동]</t>
        </is>
      </c>
      <c r="B984" s="0" t="n">
        <v>124536</v>
      </c>
      <c r="C984" s="0" t="n">
        <v>1</v>
      </c>
      <c r="D984" s="0" t="inlineStr">
        <is>
          <t>드림투</t>
        </is>
      </c>
      <c r="E984" s="0" t="inlineStr">
        <is>
          <t>2018.11.</t>
        </is>
      </c>
      <c r="F984" s="0" t="n">
        <v>65</v>
      </c>
      <c r="G984" s="0" t="n">
        <v>26.58</v>
      </c>
      <c r="H984" s="0" t="n">
        <v>87.89</v>
      </c>
      <c r="I984" s="0" t="n">
        <v>20.87</v>
      </c>
      <c r="J984" s="0" t="n">
        <v>69.02</v>
      </c>
      <c r="K984" s="0" t="n">
        <v>13</v>
      </c>
      <c r="T984" s="0" t="n">
        <v>3</v>
      </c>
      <c r="U984" s="0" t="n">
        <v>2</v>
      </c>
      <c r="V984" s="0" t="inlineStr">
        <is>
          <t>계단식</t>
        </is>
      </c>
      <c r="W984" s="0" t="inlineStr">
        <is>
          <t>87A</t>
        </is>
      </c>
      <c r="X984" s="0" t="n">
        <v>14</v>
      </c>
      <c r="Y984" s="0" t="n">
        <v>14</v>
      </c>
      <c r="Z984" s="0" t="inlineStr">
        <is>
          <t>https://new.land.naver.com/complexes/124536?tab=detail&amp;rf=Y</t>
        </is>
      </c>
      <c r="AA984" s="0" t="inlineStr">
        <is>
          <t>인천시 서구 석남동 498-3</t>
        </is>
      </c>
      <c r="AB984" s="0" t="inlineStr">
        <is>
          <t>인천시</t>
        </is>
      </c>
      <c r="AC984" s="0" t="inlineStr">
        <is>
          <t>서구</t>
        </is>
      </c>
      <c r="AD984" s="0" t="inlineStr">
        <is>
          <t>석남동</t>
        </is>
      </c>
      <c r="AG984" s="0" t="inlineStr">
        <is>
          <t>인천시 서구 신석로122번길 10</t>
        </is>
      </c>
      <c r="AH984" s="0" t="n">
        <v>0</v>
      </c>
      <c r="AI984" s="0" t="n">
        <v>729</v>
      </c>
      <c r="AJ984" s="0" t="n">
        <v>65</v>
      </c>
      <c r="AK984" s="0" t="n">
        <v>70</v>
      </c>
      <c r="AL984" s="0" t="n">
        <v>1.08</v>
      </c>
    </row>
    <row r="985">
      <c r="A985" s="0" t="inlineStr">
        <is>
          <t>[석남동]</t>
        </is>
      </c>
      <c r="B985" s="0" t="n">
        <v>124536</v>
      </c>
      <c r="C985" s="0" t="n">
        <v>2</v>
      </c>
      <c r="D985" s="0" t="inlineStr">
        <is>
          <t>드림투</t>
        </is>
      </c>
      <c r="E985" s="0" t="inlineStr">
        <is>
          <t>2018.11.</t>
        </is>
      </c>
      <c r="F985" s="0" t="n">
        <v>65</v>
      </c>
      <c r="G985" s="0" t="n">
        <v>26.65</v>
      </c>
      <c r="H985" s="0" t="n">
        <v>88.12</v>
      </c>
      <c r="I985" s="0" t="n">
        <v>21.1</v>
      </c>
      <c r="J985" s="0" t="n">
        <v>69.77</v>
      </c>
      <c r="K985" s="0" t="n">
        <v>13</v>
      </c>
      <c r="T985" s="0" t="n">
        <v>3</v>
      </c>
      <c r="U985" s="0" t="n">
        <v>2</v>
      </c>
      <c r="V985" s="0" t="inlineStr">
        <is>
          <t>계단식</t>
        </is>
      </c>
      <c r="W985" s="0" t="inlineStr">
        <is>
          <t>88B</t>
        </is>
      </c>
      <c r="X985" s="0" t="n">
        <v>14</v>
      </c>
      <c r="Y985" s="0" t="n">
        <v>14</v>
      </c>
      <c r="Z985" s="0" t="inlineStr">
        <is>
          <t>https://new.land.naver.com/complexes/124536?tab=detail&amp;rf=Y</t>
        </is>
      </c>
      <c r="AA985" s="0" t="inlineStr">
        <is>
          <t>인천시 서구 석남동 498-3</t>
        </is>
      </c>
      <c r="AB985" s="0" t="inlineStr">
        <is>
          <t>인천시</t>
        </is>
      </c>
      <c r="AC985" s="0" t="inlineStr">
        <is>
          <t>서구</t>
        </is>
      </c>
      <c r="AD985" s="0" t="inlineStr">
        <is>
          <t>석남동</t>
        </is>
      </c>
      <c r="AG985" s="0" t="inlineStr">
        <is>
          <t>인천시 서구 신석로122번길 10</t>
        </is>
      </c>
      <c r="AH985" s="0" t="n">
        <v>0</v>
      </c>
      <c r="AI985" s="0" t="n">
        <v>729</v>
      </c>
      <c r="AJ985" s="0" t="n">
        <v>65</v>
      </c>
      <c r="AK985" s="0" t="n">
        <v>70</v>
      </c>
      <c r="AL985" s="0" t="n">
        <v>1.08</v>
      </c>
    </row>
    <row r="986">
      <c r="A986" s="0" t="inlineStr">
        <is>
          <t>[석남동]</t>
        </is>
      </c>
      <c r="B986" s="0" t="n">
        <v>124536</v>
      </c>
      <c r="C986" s="0" t="n">
        <v>3</v>
      </c>
      <c r="D986" s="0" t="inlineStr">
        <is>
          <t>드림투</t>
        </is>
      </c>
      <c r="E986" s="0" t="inlineStr">
        <is>
          <t>2018.11.</t>
        </is>
      </c>
      <c r="F986" s="0" t="n">
        <v>65</v>
      </c>
      <c r="G986" s="0" t="n">
        <v>29.71</v>
      </c>
      <c r="H986" s="0" t="n">
        <v>98.22</v>
      </c>
      <c r="I986" s="0" t="n">
        <v>23.7</v>
      </c>
      <c r="J986" s="0" t="n">
        <v>78.37</v>
      </c>
      <c r="K986" s="0" t="n">
        <v>13</v>
      </c>
      <c r="T986" s="0" t="n">
        <v>3</v>
      </c>
      <c r="U986" s="0" t="n">
        <v>2</v>
      </c>
      <c r="V986" s="0" t="inlineStr">
        <is>
          <t>계단식</t>
        </is>
      </c>
      <c r="W986" s="0" t="n">
        <v>98</v>
      </c>
      <c r="X986" s="0" t="n">
        <v>14</v>
      </c>
      <c r="Y986" s="0" t="n">
        <v>14</v>
      </c>
      <c r="Z986" s="0" t="inlineStr">
        <is>
          <t>https://new.land.naver.com/complexes/124536?tab=detail&amp;rf=Y</t>
        </is>
      </c>
      <c r="AA986" s="0" t="inlineStr">
        <is>
          <t>인천시 서구 석남동 498-3</t>
        </is>
      </c>
      <c r="AB986" s="0" t="inlineStr">
        <is>
          <t>인천시</t>
        </is>
      </c>
      <c r="AC986" s="0" t="inlineStr">
        <is>
          <t>서구</t>
        </is>
      </c>
      <c r="AD986" s="0" t="inlineStr">
        <is>
          <t>석남동</t>
        </is>
      </c>
      <c r="AG986" s="0" t="inlineStr">
        <is>
          <t>인천시 서구 신석로122번길 10</t>
        </is>
      </c>
      <c r="AH986" s="0" t="n">
        <v>0</v>
      </c>
      <c r="AI986" s="0" t="n">
        <v>729</v>
      </c>
      <c r="AJ986" s="0" t="n">
        <v>65</v>
      </c>
      <c r="AK986" s="0" t="n">
        <v>70</v>
      </c>
      <c r="AL986" s="0" t="n">
        <v>1.08</v>
      </c>
    </row>
    <row r="987">
      <c r="A987" s="0" t="inlineStr">
        <is>
          <t>[석남동]</t>
        </is>
      </c>
      <c r="B987" s="0" t="n">
        <v>124536</v>
      </c>
      <c r="C987" s="0" t="n">
        <v>4</v>
      </c>
      <c r="D987" s="0" t="inlineStr">
        <is>
          <t>드림투</t>
        </is>
      </c>
      <c r="E987" s="0" t="inlineStr">
        <is>
          <t>2018.11.</t>
        </is>
      </c>
      <c r="F987" s="0" t="n">
        <v>65</v>
      </c>
      <c r="G987" s="0" t="n">
        <v>30.63</v>
      </c>
      <c r="H987" s="0" t="n">
        <v>101.27</v>
      </c>
      <c r="I987" s="0" t="n">
        <v>24.75</v>
      </c>
      <c r="J987" s="0" t="n">
        <v>81.83</v>
      </c>
      <c r="K987" s="0" t="n">
        <v>13</v>
      </c>
      <c r="T987" s="0" t="n">
        <v>3</v>
      </c>
      <c r="U987" s="0" t="n">
        <v>2</v>
      </c>
      <c r="V987" s="0" t="inlineStr">
        <is>
          <t>계단식</t>
        </is>
      </c>
      <c r="W987" s="0" t="inlineStr">
        <is>
          <t>101A</t>
        </is>
      </c>
      <c r="X987" s="0" t="n">
        <v>14</v>
      </c>
      <c r="Y987" s="0" t="n">
        <v>14</v>
      </c>
      <c r="Z987" s="0" t="inlineStr">
        <is>
          <t>https://new.land.naver.com/complexes/124536?tab=detail&amp;rf=Y</t>
        </is>
      </c>
      <c r="AA987" s="0" t="inlineStr">
        <is>
          <t>인천시 서구 석남동 498-3</t>
        </is>
      </c>
      <c r="AB987" s="0" t="inlineStr">
        <is>
          <t>인천시</t>
        </is>
      </c>
      <c r="AC987" s="0" t="inlineStr">
        <is>
          <t>서구</t>
        </is>
      </c>
      <c r="AD987" s="0" t="inlineStr">
        <is>
          <t>석남동</t>
        </is>
      </c>
      <c r="AG987" s="0" t="inlineStr">
        <is>
          <t>인천시 서구 신석로122번길 10</t>
        </is>
      </c>
      <c r="AH987" s="0" t="n">
        <v>0</v>
      </c>
      <c r="AI987" s="0" t="n">
        <v>729</v>
      </c>
      <c r="AJ987" s="0" t="n">
        <v>65</v>
      </c>
      <c r="AK987" s="0" t="n">
        <v>70</v>
      </c>
      <c r="AL987" s="0" t="n">
        <v>1.08</v>
      </c>
    </row>
    <row r="988">
      <c r="A988" s="0" t="inlineStr">
        <is>
          <t>[석남동]</t>
        </is>
      </c>
      <c r="B988" s="0" t="n">
        <v>124536</v>
      </c>
      <c r="C988" s="0" t="n">
        <v>5</v>
      </c>
      <c r="D988" s="0" t="inlineStr">
        <is>
          <t>드림투</t>
        </is>
      </c>
      <c r="E988" s="0" t="inlineStr">
        <is>
          <t>2018.11.</t>
        </is>
      </c>
      <c r="F988" s="0" t="n">
        <v>65</v>
      </c>
      <c r="G988" s="0" t="n">
        <v>31.19</v>
      </c>
      <c r="H988" s="0" t="n">
        <v>103.11</v>
      </c>
      <c r="I988" s="0" t="n">
        <v>24.9</v>
      </c>
      <c r="J988" s="0" t="n">
        <v>82.31999999999999</v>
      </c>
      <c r="K988" s="0" t="n">
        <v>13</v>
      </c>
      <c r="T988" s="0" t="n">
        <v>3</v>
      </c>
      <c r="U988" s="0" t="n">
        <v>2</v>
      </c>
      <c r="V988" s="0" t="inlineStr">
        <is>
          <t>계단식</t>
        </is>
      </c>
      <c r="W988" s="0" t="inlineStr">
        <is>
          <t>103B</t>
        </is>
      </c>
      <c r="X988" s="0" t="n">
        <v>14</v>
      </c>
      <c r="Y988" s="0" t="n">
        <v>14</v>
      </c>
      <c r="Z988" s="0" t="inlineStr">
        <is>
          <t>https://new.land.naver.com/complexes/124536?tab=detail&amp;rf=Y</t>
        </is>
      </c>
      <c r="AA988" s="0" t="inlineStr">
        <is>
          <t>인천시 서구 석남동 498-3</t>
        </is>
      </c>
      <c r="AB988" s="0" t="inlineStr">
        <is>
          <t>인천시</t>
        </is>
      </c>
      <c r="AC988" s="0" t="inlineStr">
        <is>
          <t>서구</t>
        </is>
      </c>
      <c r="AD988" s="0" t="inlineStr">
        <is>
          <t>석남동</t>
        </is>
      </c>
      <c r="AG988" s="0" t="inlineStr">
        <is>
          <t>인천시 서구 신석로122번길 10</t>
        </is>
      </c>
      <c r="AH988" s="0" t="n">
        <v>0</v>
      </c>
      <c r="AI988" s="0" t="n">
        <v>729</v>
      </c>
      <c r="AJ988" s="0" t="n">
        <v>65</v>
      </c>
      <c r="AK988" s="0" t="n">
        <v>70</v>
      </c>
      <c r="AL988" s="0" t="n">
        <v>1.08</v>
      </c>
    </row>
    <row r="989">
      <c r="A989" s="0" t="inlineStr">
        <is>
          <t>[석남동]</t>
        </is>
      </c>
      <c r="B989" s="0" t="n">
        <v>124577</v>
      </c>
      <c r="C989" s="0" t="n">
        <v>1</v>
      </c>
      <c r="D989" s="0" t="inlineStr">
        <is>
          <t>하모니캐슬</t>
        </is>
      </c>
      <c r="E989" s="0" t="inlineStr">
        <is>
          <t>2016.07.</t>
        </is>
      </c>
      <c r="F989" s="0" t="n">
        <v>24</v>
      </c>
      <c r="G989" s="0" t="n">
        <v>21.92</v>
      </c>
      <c r="H989" s="0" t="n">
        <v>72.48999999999999</v>
      </c>
      <c r="I989" s="0" t="n">
        <v>18.07</v>
      </c>
      <c r="J989" s="0" t="n">
        <v>59.75</v>
      </c>
      <c r="K989" s="0" t="n">
        <v>24</v>
      </c>
      <c r="T989" s="0" t="n">
        <v>3</v>
      </c>
      <c r="U989" s="0" t="n">
        <v>1</v>
      </c>
      <c r="V989" s="0" t="inlineStr">
        <is>
          <t>계단식</t>
        </is>
      </c>
      <c r="W989" s="0" t="n">
        <v>72</v>
      </c>
      <c r="X989" s="0" t="n">
        <v>7</v>
      </c>
      <c r="Y989" s="0" t="n">
        <v>7</v>
      </c>
      <c r="Z989" s="0" t="inlineStr">
        <is>
          <t>https://new.land.naver.com/complexes/124577?tab=detail&amp;rf=Y</t>
        </is>
      </c>
      <c r="AA989" s="0" t="inlineStr">
        <is>
          <t>인천시 서구 석남동 496-26</t>
        </is>
      </c>
      <c r="AB989" s="0" t="inlineStr">
        <is>
          <t>인천시</t>
        </is>
      </c>
      <c r="AC989" s="0" t="inlineStr">
        <is>
          <t>서구</t>
        </is>
      </c>
      <c r="AD989" s="0" t="inlineStr">
        <is>
          <t>석남동</t>
        </is>
      </c>
      <c r="AG989" s="0" t="inlineStr">
        <is>
          <t>인천시 서구 신석로122번길 7</t>
        </is>
      </c>
      <c r="AH989" s="0" t="n">
        <v>0</v>
      </c>
      <c r="AI989" s="0" t="n">
        <v>721</v>
      </c>
      <c r="AJ989" s="0" t="n">
        <v>63</v>
      </c>
      <c r="AK989" s="0" t="n">
        <v>20</v>
      </c>
      <c r="AL989" s="0" t="n">
        <v>0.83</v>
      </c>
    </row>
    <row r="990">
      <c r="A990" s="0" t="inlineStr">
        <is>
          <t>[석남동]</t>
        </is>
      </c>
      <c r="B990" s="0" t="n">
        <v>9627</v>
      </c>
      <c r="C990" s="0" t="n">
        <v>1</v>
      </c>
      <c r="D990" s="0" t="inlineStr">
        <is>
          <t>효성</t>
        </is>
      </c>
      <c r="E990" s="0" t="inlineStr">
        <is>
          <t>1985.05.</t>
        </is>
      </c>
      <c r="F990" s="0" t="n">
        <v>50</v>
      </c>
      <c r="G990" s="0" t="n">
        <v>14.27</v>
      </c>
      <c r="H990" s="0" t="n">
        <v>47.18</v>
      </c>
      <c r="I990" s="0" t="n">
        <v>14.27</v>
      </c>
      <c r="J990" s="0" t="n">
        <v>47.18</v>
      </c>
      <c r="K990" s="0" t="n">
        <v>40</v>
      </c>
      <c r="T990" s="0" t="n">
        <v>2</v>
      </c>
      <c r="U990" s="0" t="n">
        <v>1</v>
      </c>
      <c r="V990" s="0" t="inlineStr">
        <is>
          <t>계단식</t>
        </is>
      </c>
      <c r="W990" s="0" t="inlineStr">
        <is>
          <t>47A</t>
        </is>
      </c>
      <c r="X990" s="0" t="n">
        <v>5</v>
      </c>
      <c r="Y990" s="0" t="n">
        <v>5</v>
      </c>
      <c r="Z990" s="0" t="inlineStr">
        <is>
          <t>https://new.land.naver.com/complexes/9627?tab=detail&amp;rf=Y</t>
        </is>
      </c>
      <c r="AA990" s="0" t="inlineStr">
        <is>
          <t>인천시 서구 석남동 552-18</t>
        </is>
      </c>
      <c r="AB990" s="0" t="inlineStr">
        <is>
          <t>인천시</t>
        </is>
      </c>
      <c r="AC990" s="0" t="inlineStr">
        <is>
          <t>서구</t>
        </is>
      </c>
      <c r="AD990" s="0" t="inlineStr">
        <is>
          <t>석남동</t>
        </is>
      </c>
      <c r="AG990" s="0" t="inlineStr">
        <is>
          <t>인천시 서구 서달로 77</t>
        </is>
      </c>
      <c r="AH990" s="0" t="n">
        <v>0</v>
      </c>
      <c r="AI990" s="0" t="n">
        <v>0</v>
      </c>
      <c r="AJ990" s="0" t="n">
        <v>0</v>
      </c>
      <c r="AK990" s="0" t="n">
        <v>0</v>
      </c>
      <c r="AL990" s="0" t="n">
        <v>0</v>
      </c>
    </row>
    <row r="991">
      <c r="A991" s="0" t="inlineStr">
        <is>
          <t>[석남동]</t>
        </is>
      </c>
      <c r="B991" s="0" t="n">
        <v>9627</v>
      </c>
      <c r="C991" s="0" t="n">
        <v>2</v>
      </c>
      <c r="D991" s="0" t="inlineStr">
        <is>
          <t>효성</t>
        </is>
      </c>
      <c r="E991" s="0" t="inlineStr">
        <is>
          <t>1985.05.</t>
        </is>
      </c>
      <c r="F991" s="0" t="n">
        <v>50</v>
      </c>
      <c r="G991" s="0" t="n">
        <v>14.84</v>
      </c>
      <c r="H991" s="0" t="n">
        <v>49.06</v>
      </c>
      <c r="I991" s="0" t="n">
        <v>14.84</v>
      </c>
      <c r="J991" s="0" t="n">
        <v>49.06</v>
      </c>
      <c r="K991" s="0" t="n">
        <v>9</v>
      </c>
      <c r="T991" s="0" t="n">
        <v>2</v>
      </c>
      <c r="U991" s="0" t="n">
        <v>1</v>
      </c>
      <c r="V991" s="0" t="inlineStr">
        <is>
          <t>계단식</t>
        </is>
      </c>
      <c r="W991" s="0" t="inlineStr">
        <is>
          <t>49B</t>
        </is>
      </c>
      <c r="X991" s="0" t="n">
        <v>5</v>
      </c>
      <c r="Y991" s="0" t="n">
        <v>5</v>
      </c>
      <c r="Z991" s="0" t="inlineStr">
        <is>
          <t>https://new.land.naver.com/complexes/9627?tab=detail&amp;rf=Y</t>
        </is>
      </c>
      <c r="AA991" s="0" t="inlineStr">
        <is>
          <t>인천시 서구 석남동 552-18</t>
        </is>
      </c>
      <c r="AB991" s="0" t="inlineStr">
        <is>
          <t>인천시</t>
        </is>
      </c>
      <c r="AC991" s="0" t="inlineStr">
        <is>
          <t>서구</t>
        </is>
      </c>
      <c r="AD991" s="0" t="inlineStr">
        <is>
          <t>석남동</t>
        </is>
      </c>
      <c r="AG991" s="0" t="inlineStr">
        <is>
          <t>인천시 서구 서달로 77</t>
        </is>
      </c>
      <c r="AH991" s="0" t="n">
        <v>0</v>
      </c>
      <c r="AI991" s="0" t="n">
        <v>0</v>
      </c>
      <c r="AJ991" s="0" t="n">
        <v>0</v>
      </c>
      <c r="AK991" s="0" t="n">
        <v>0</v>
      </c>
      <c r="AL991" s="0" t="n">
        <v>0</v>
      </c>
    </row>
    <row r="992">
      <c r="A992" s="0" t="inlineStr">
        <is>
          <t>[석남동]</t>
        </is>
      </c>
      <c r="B992" s="0" t="n">
        <v>9627</v>
      </c>
      <c r="C992" s="0" t="n">
        <v>3</v>
      </c>
      <c r="D992" s="0" t="inlineStr">
        <is>
          <t>효성</t>
        </is>
      </c>
      <c r="E992" s="0" t="inlineStr">
        <is>
          <t>1985.05.</t>
        </is>
      </c>
      <c r="F992" s="0" t="n">
        <v>50</v>
      </c>
      <c r="G992" s="0" t="n">
        <v>14.97</v>
      </c>
      <c r="H992" s="0" t="n">
        <v>49.5</v>
      </c>
      <c r="I992" s="0" t="n">
        <v>14.97</v>
      </c>
      <c r="J992" s="0" t="n">
        <v>49.5</v>
      </c>
      <c r="K992" s="0" t="n">
        <v>1</v>
      </c>
      <c r="T992" s="0" t="n">
        <v>2</v>
      </c>
      <c r="U992" s="0" t="n">
        <v>1</v>
      </c>
      <c r="V992" s="0" t="inlineStr">
        <is>
          <t>계단식</t>
        </is>
      </c>
      <c r="W992" s="0" t="inlineStr">
        <is>
          <t>49C</t>
        </is>
      </c>
      <c r="X992" s="0" t="n">
        <v>5</v>
      </c>
      <c r="Y992" s="0" t="n">
        <v>5</v>
      </c>
      <c r="Z992" s="0" t="inlineStr">
        <is>
          <t>https://new.land.naver.com/complexes/9627?tab=detail&amp;rf=Y</t>
        </is>
      </c>
      <c r="AA992" s="0" t="inlineStr">
        <is>
          <t>인천시 서구 석남동 552-18</t>
        </is>
      </c>
      <c r="AB992" s="0" t="inlineStr">
        <is>
          <t>인천시</t>
        </is>
      </c>
      <c r="AC992" s="0" t="inlineStr">
        <is>
          <t>서구</t>
        </is>
      </c>
      <c r="AD992" s="0" t="inlineStr">
        <is>
          <t>석남동</t>
        </is>
      </c>
      <c r="AG992" s="0" t="inlineStr">
        <is>
          <t>인천시 서구 서달로 77</t>
        </is>
      </c>
      <c r="AH992" s="0" t="n">
        <v>0</v>
      </c>
      <c r="AI992" s="0" t="n">
        <v>0</v>
      </c>
      <c r="AJ992" s="0" t="n">
        <v>0</v>
      </c>
      <c r="AK992" s="0" t="n">
        <v>0</v>
      </c>
      <c r="AL992" s="0" t="n">
        <v>0</v>
      </c>
    </row>
    <row r="993">
      <c r="A993" s="0" t="inlineStr">
        <is>
          <t>[석남동]</t>
        </is>
      </c>
      <c r="B993" s="0" t="n">
        <v>10742</v>
      </c>
      <c r="C993" s="0" t="n">
        <v>1</v>
      </c>
      <c r="D993" s="0" t="inlineStr">
        <is>
          <t>중앙2차</t>
        </is>
      </c>
      <c r="E993" s="0" t="inlineStr">
        <is>
          <t>1985.11.</t>
        </is>
      </c>
      <c r="F993" s="0" t="n">
        <v>80</v>
      </c>
      <c r="G993" s="0" t="n">
        <v>17</v>
      </c>
      <c r="H993" s="0" t="n">
        <v>56.21</v>
      </c>
      <c r="I993" s="0" t="n">
        <v>12.7</v>
      </c>
      <c r="J993" s="0" t="n">
        <v>42</v>
      </c>
      <c r="K993" s="0" t="n">
        <v>5</v>
      </c>
      <c r="T993" s="0" t="n">
        <v>2</v>
      </c>
      <c r="U993" s="0" t="n">
        <v>1</v>
      </c>
      <c r="V993" s="0" t="inlineStr">
        <is>
          <t>계단식</t>
        </is>
      </c>
      <c r="W993" s="0" t="n">
        <v>56</v>
      </c>
      <c r="X993" s="0" t="n">
        <v>5</v>
      </c>
      <c r="Y993" s="0" t="n">
        <v>5</v>
      </c>
      <c r="Z993" s="0" t="inlineStr">
        <is>
          <t>https://new.land.naver.com/complexes/10742?tab=detail&amp;rf=Y</t>
        </is>
      </c>
      <c r="AA993" s="0" t="inlineStr">
        <is>
          <t>인천시 서구 석남동 501</t>
        </is>
      </c>
      <c r="AB993" s="0" t="inlineStr">
        <is>
          <t>인천시</t>
        </is>
      </c>
      <c r="AC993" s="0" t="inlineStr">
        <is>
          <t>서구</t>
        </is>
      </c>
      <c r="AD993" s="0" t="inlineStr">
        <is>
          <t>석남동</t>
        </is>
      </c>
      <c r="AG993" s="0" t="inlineStr">
        <is>
          <t>인천시 서구 신석로112번길 29</t>
        </is>
      </c>
      <c r="AH993" s="0" t="n">
        <v>0</v>
      </c>
      <c r="AI993" s="0" t="n">
        <v>0</v>
      </c>
      <c r="AJ993" s="0" t="n">
        <v>0</v>
      </c>
      <c r="AK993" s="0" t="n">
        <v>0</v>
      </c>
      <c r="AL993" s="0" t="n">
        <v>0</v>
      </c>
    </row>
    <row r="994">
      <c r="A994" s="0" t="inlineStr">
        <is>
          <t>[석남동]</t>
        </is>
      </c>
      <c r="B994" s="0" t="n">
        <v>10742</v>
      </c>
      <c r="C994" s="0" t="n">
        <v>2</v>
      </c>
      <c r="D994" s="0" t="inlineStr">
        <is>
          <t>중앙2차</t>
        </is>
      </c>
      <c r="E994" s="0" t="inlineStr">
        <is>
          <t>1985.11.</t>
        </is>
      </c>
      <c r="F994" s="0" t="n">
        <v>80</v>
      </c>
      <c r="G994" s="0" t="n">
        <v>21.35</v>
      </c>
      <c r="H994" s="0" t="n">
        <v>70.59999999999999</v>
      </c>
      <c r="I994" s="0" t="n">
        <v>16.47</v>
      </c>
      <c r="J994" s="0" t="n">
        <v>54.46</v>
      </c>
      <c r="K994" s="0" t="n">
        <v>35</v>
      </c>
      <c r="T994" s="0" t="n">
        <v>3</v>
      </c>
      <c r="U994" s="0" t="n">
        <v>1</v>
      </c>
      <c r="V994" s="0" t="inlineStr">
        <is>
          <t>계단식</t>
        </is>
      </c>
      <c r="W994" s="0" t="n">
        <v>70</v>
      </c>
      <c r="X994" s="0" t="n">
        <v>5</v>
      </c>
      <c r="Y994" s="0" t="n">
        <v>5</v>
      </c>
      <c r="Z994" s="0" t="inlineStr">
        <is>
          <t>https://new.land.naver.com/complexes/10742?tab=detail&amp;rf=Y</t>
        </is>
      </c>
      <c r="AA994" s="0" t="inlineStr">
        <is>
          <t>인천시 서구 석남동 501</t>
        </is>
      </c>
      <c r="AB994" s="0" t="inlineStr">
        <is>
          <t>인천시</t>
        </is>
      </c>
      <c r="AC994" s="0" t="inlineStr">
        <is>
          <t>서구</t>
        </is>
      </c>
      <c r="AD994" s="0" t="inlineStr">
        <is>
          <t>석남동</t>
        </is>
      </c>
      <c r="AG994" s="0" t="inlineStr">
        <is>
          <t>인천시 서구 신석로112번길 29</t>
        </is>
      </c>
      <c r="AH994" s="0" t="n">
        <v>0</v>
      </c>
      <c r="AI994" s="0" t="n">
        <v>0</v>
      </c>
      <c r="AJ994" s="0" t="n">
        <v>0</v>
      </c>
      <c r="AK994" s="0" t="n">
        <v>0</v>
      </c>
      <c r="AL994" s="0" t="n">
        <v>0</v>
      </c>
    </row>
    <row r="995">
      <c r="A995" s="0" t="inlineStr">
        <is>
          <t>[석남동]</t>
        </is>
      </c>
      <c r="B995" s="0" t="n">
        <v>10742</v>
      </c>
      <c r="C995" s="0" t="n">
        <v>3</v>
      </c>
      <c r="D995" s="0" t="inlineStr">
        <is>
          <t>중앙2차</t>
        </is>
      </c>
      <c r="E995" s="0" t="inlineStr">
        <is>
          <t>1985.11.</t>
        </is>
      </c>
      <c r="F995" s="0" t="n">
        <v>80</v>
      </c>
      <c r="G995" s="0" t="n">
        <v>21.67</v>
      </c>
      <c r="H995" s="0" t="n">
        <v>71.64</v>
      </c>
      <c r="I995" s="0" t="n">
        <v>16.41</v>
      </c>
      <c r="J995" s="0" t="n">
        <v>54.28</v>
      </c>
      <c r="K995" s="0" t="n">
        <v>40</v>
      </c>
      <c r="T995" s="0" t="n">
        <v>3</v>
      </c>
      <c r="U995" s="0" t="n">
        <v>1</v>
      </c>
      <c r="V995" s="0" t="inlineStr">
        <is>
          <t>계단식</t>
        </is>
      </c>
      <c r="W995" s="0" t="n">
        <v>71</v>
      </c>
      <c r="X995" s="0" t="n">
        <v>5</v>
      </c>
      <c r="Y995" s="0" t="n">
        <v>5</v>
      </c>
      <c r="Z995" s="0" t="inlineStr">
        <is>
          <t>https://new.land.naver.com/complexes/10742?tab=detail&amp;rf=Y</t>
        </is>
      </c>
      <c r="AA995" s="0" t="inlineStr">
        <is>
          <t>인천시 서구 석남동 501</t>
        </is>
      </c>
      <c r="AB995" s="0" t="inlineStr">
        <is>
          <t>인천시</t>
        </is>
      </c>
      <c r="AC995" s="0" t="inlineStr">
        <is>
          <t>서구</t>
        </is>
      </c>
      <c r="AD995" s="0" t="inlineStr">
        <is>
          <t>석남동</t>
        </is>
      </c>
      <c r="AG995" s="0" t="inlineStr">
        <is>
          <t>인천시 서구 신석로112번길 29</t>
        </is>
      </c>
      <c r="AH995" s="0" t="n">
        <v>0</v>
      </c>
      <c r="AI995" s="0" t="n">
        <v>0</v>
      </c>
      <c r="AJ995" s="0" t="n">
        <v>0</v>
      </c>
      <c r="AK995" s="0" t="n">
        <v>0</v>
      </c>
      <c r="AL995" s="0" t="n">
        <v>0</v>
      </c>
    </row>
    <row r="996">
      <c r="A996" s="0" t="inlineStr">
        <is>
          <t>[석남동]</t>
        </is>
      </c>
      <c r="B996" s="0" t="n">
        <v>113534</v>
      </c>
      <c r="C996" s="0" t="n">
        <v>1</v>
      </c>
      <c r="D996" s="0" t="inlineStr">
        <is>
          <t>제니스(도시형)</t>
        </is>
      </c>
      <c r="E996" s="0" t="inlineStr">
        <is>
          <t>2015.10.</t>
        </is>
      </c>
      <c r="F996" s="0" t="n">
        <v>15</v>
      </c>
      <c r="G996" s="0" t="n">
        <v>18.92</v>
      </c>
      <c r="H996" s="0" t="n">
        <v>62.56</v>
      </c>
      <c r="I996" s="0" t="n">
        <v>14.47</v>
      </c>
      <c r="J996" s="0" t="n">
        <v>47.86</v>
      </c>
      <c r="K996" s="0" t="n">
        <v>7</v>
      </c>
      <c r="T996" s="0" t="n">
        <v>3</v>
      </c>
      <c r="U996" s="0" t="n">
        <v>2</v>
      </c>
      <c r="V996" s="0" t="inlineStr">
        <is>
          <t>계단식</t>
        </is>
      </c>
      <c r="W996" s="0" t="inlineStr">
        <is>
          <t>62B</t>
        </is>
      </c>
      <c r="X996" s="0" t="n">
        <v>9</v>
      </c>
      <c r="Y996" s="0" t="n">
        <v>8</v>
      </c>
      <c r="Z996" s="0" t="inlineStr">
        <is>
          <t>https://new.land.naver.com/complexes/113534?tab=detail&amp;rf=Y</t>
        </is>
      </c>
      <c r="AA996" s="0" t="inlineStr">
        <is>
          <t>인천시 서구 석남동 507-22</t>
        </is>
      </c>
      <c r="AB996" s="0" t="inlineStr">
        <is>
          <t>인천시</t>
        </is>
      </c>
      <c r="AC996" s="0" t="inlineStr">
        <is>
          <t>서구</t>
        </is>
      </c>
      <c r="AD996" s="0" t="inlineStr">
        <is>
          <t>석남동</t>
        </is>
      </c>
      <c r="AG996" s="0" t="inlineStr">
        <is>
          <t>인천시 서구 옻우물로26번길 3</t>
        </is>
      </c>
      <c r="AH996" s="0" t="n">
        <v>0</v>
      </c>
      <c r="AI996" s="0" t="n">
        <v>333</v>
      </c>
      <c r="AJ996" s="0" t="n">
        <v>51</v>
      </c>
      <c r="AK996" s="0" t="n">
        <v>10</v>
      </c>
      <c r="AL996" s="0" t="n">
        <v>0.67</v>
      </c>
    </row>
    <row r="997">
      <c r="A997" s="0" t="inlineStr">
        <is>
          <t>[석남동]</t>
        </is>
      </c>
      <c r="B997" s="0" t="n">
        <v>113534</v>
      </c>
      <c r="C997" s="0" t="n">
        <v>2</v>
      </c>
      <c r="D997" s="0" t="inlineStr">
        <is>
          <t>제니스(도시형)</t>
        </is>
      </c>
      <c r="E997" s="0" t="inlineStr">
        <is>
          <t>2015.10.</t>
        </is>
      </c>
      <c r="F997" s="0" t="n">
        <v>15</v>
      </c>
      <c r="G997" s="0" t="n">
        <v>19.35</v>
      </c>
      <c r="H997" s="0" t="n">
        <v>63.99</v>
      </c>
      <c r="I997" s="0" t="n">
        <v>15.01</v>
      </c>
      <c r="J997" s="0" t="n">
        <v>49.62</v>
      </c>
      <c r="K997" s="0" t="n">
        <v>7</v>
      </c>
      <c r="T997" s="0" t="n">
        <v>3</v>
      </c>
      <c r="U997" s="0" t="n">
        <v>2</v>
      </c>
      <c r="V997" s="0" t="inlineStr">
        <is>
          <t>계단식</t>
        </is>
      </c>
      <c r="W997" s="0" t="inlineStr">
        <is>
          <t>63A</t>
        </is>
      </c>
      <c r="X997" s="0" t="n">
        <v>9</v>
      </c>
      <c r="Y997" s="0" t="n">
        <v>8</v>
      </c>
      <c r="Z997" s="0" t="inlineStr">
        <is>
          <t>https://new.land.naver.com/complexes/113534?tab=detail&amp;rf=Y</t>
        </is>
      </c>
      <c r="AA997" s="0" t="inlineStr">
        <is>
          <t>인천시 서구 석남동 507-22</t>
        </is>
      </c>
      <c r="AB997" s="0" t="inlineStr">
        <is>
          <t>인천시</t>
        </is>
      </c>
      <c r="AC997" s="0" t="inlineStr">
        <is>
          <t>서구</t>
        </is>
      </c>
      <c r="AD997" s="0" t="inlineStr">
        <is>
          <t>석남동</t>
        </is>
      </c>
      <c r="AG997" s="0" t="inlineStr">
        <is>
          <t>인천시 서구 옻우물로26번길 3</t>
        </is>
      </c>
      <c r="AH997" s="0" t="n">
        <v>0</v>
      </c>
      <c r="AI997" s="0" t="n">
        <v>333</v>
      </c>
      <c r="AJ997" s="0" t="n">
        <v>51</v>
      </c>
      <c r="AK997" s="0" t="n">
        <v>10</v>
      </c>
      <c r="AL997" s="0" t="n">
        <v>0.67</v>
      </c>
    </row>
    <row r="998">
      <c r="A998" s="0" t="inlineStr">
        <is>
          <t>[석남동]</t>
        </is>
      </c>
      <c r="B998" s="0" t="n">
        <v>113534</v>
      </c>
      <c r="C998" s="0" t="n">
        <v>3</v>
      </c>
      <c r="D998" s="0" t="inlineStr">
        <is>
          <t>제니스(도시형)</t>
        </is>
      </c>
      <c r="E998" s="0" t="inlineStr">
        <is>
          <t>2015.10.</t>
        </is>
      </c>
      <c r="F998" s="0" t="n">
        <v>15</v>
      </c>
      <c r="G998" s="0" t="n">
        <v>19.55</v>
      </c>
      <c r="H998" s="0" t="n">
        <v>64.64</v>
      </c>
      <c r="I998" s="0" t="n">
        <v>15.01</v>
      </c>
      <c r="J998" s="0" t="n">
        <v>49.63</v>
      </c>
      <c r="K998" s="0" t="n">
        <v>1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64</v>
      </c>
      <c r="X998" s="0" t="n">
        <v>9</v>
      </c>
      <c r="Y998" s="0" t="n">
        <v>8</v>
      </c>
      <c r="Z998" s="0" t="inlineStr">
        <is>
          <t>https://new.land.naver.com/complexes/113534?tab=detail&amp;rf=Y</t>
        </is>
      </c>
      <c r="AA998" s="0" t="inlineStr">
        <is>
          <t>인천시 서구 석남동 507-22</t>
        </is>
      </c>
      <c r="AB998" s="0" t="inlineStr">
        <is>
          <t>인천시</t>
        </is>
      </c>
      <c r="AC998" s="0" t="inlineStr">
        <is>
          <t>서구</t>
        </is>
      </c>
      <c r="AD998" s="0" t="inlineStr">
        <is>
          <t>석남동</t>
        </is>
      </c>
      <c r="AG998" s="0" t="inlineStr">
        <is>
          <t>인천시 서구 옻우물로26번길 3</t>
        </is>
      </c>
      <c r="AH998" s="0" t="n">
        <v>0</v>
      </c>
      <c r="AI998" s="0" t="n">
        <v>333</v>
      </c>
      <c r="AJ998" s="0" t="n">
        <v>51</v>
      </c>
      <c r="AK998" s="0" t="n">
        <v>10</v>
      </c>
      <c r="AL998" s="0" t="n">
        <v>0.67</v>
      </c>
    </row>
    <row r="999">
      <c r="A999" s="0" t="inlineStr">
        <is>
          <t>[석남동]</t>
        </is>
      </c>
      <c r="B999" s="0" t="n">
        <v>13933</v>
      </c>
      <c r="C999" s="0" t="n">
        <v>1</v>
      </c>
      <c r="D999" s="0" t="inlineStr">
        <is>
          <t>황해</t>
        </is>
      </c>
      <c r="E999" s="0" t="inlineStr">
        <is>
          <t>1983.09.</t>
        </is>
      </c>
      <c r="F999" s="0" t="n">
        <v>90</v>
      </c>
      <c r="G999" s="0" t="n">
        <v>17.46</v>
      </c>
      <c r="H999" s="0" t="n">
        <v>57.75</v>
      </c>
      <c r="I999" s="0" t="n">
        <v>15.92</v>
      </c>
      <c r="J999" s="0" t="n">
        <v>52.63</v>
      </c>
      <c r="K999" s="0" t="n">
        <v>40</v>
      </c>
      <c r="T999" s="0" t="n">
        <v>2</v>
      </c>
      <c r="U999" s="0" t="n">
        <v>1</v>
      </c>
      <c r="V999" s="0" t="inlineStr">
        <is>
          <t>계단식</t>
        </is>
      </c>
      <c r="W999" s="0" t="inlineStr">
        <is>
          <t>57A</t>
        </is>
      </c>
      <c r="X999" s="0" t="n">
        <v>5</v>
      </c>
      <c r="Y999" s="0" t="n">
        <v>5</v>
      </c>
      <c r="Z999" s="0" t="inlineStr">
        <is>
          <t>https://new.land.naver.com/complexes/13933?tab=detail&amp;rf=Y</t>
        </is>
      </c>
      <c r="AA999" s="0" t="inlineStr">
        <is>
          <t>인천시 서구 석남동 444-4</t>
        </is>
      </c>
      <c r="AB999" s="0" t="inlineStr">
        <is>
          <t>인천시</t>
        </is>
      </c>
      <c r="AC999" s="0" t="inlineStr">
        <is>
          <t>서구</t>
        </is>
      </c>
      <c r="AD999" s="0" t="inlineStr">
        <is>
          <t>석남동</t>
        </is>
      </c>
      <c r="AG999" s="0" t="inlineStr">
        <is>
          <t>인천시 서구 염곡로 318</t>
        </is>
      </c>
      <c r="AH999" s="0" t="n">
        <v>0</v>
      </c>
      <c r="AI999" s="0" t="n">
        <v>0</v>
      </c>
      <c r="AJ999" s="0" t="n">
        <v>0</v>
      </c>
      <c r="AK999" s="0" t="n">
        <v>0</v>
      </c>
      <c r="AL999" s="0" t="n">
        <v>0</v>
      </c>
    </row>
    <row r="1000">
      <c r="A1000" s="0" t="inlineStr">
        <is>
          <t>[석남동]</t>
        </is>
      </c>
      <c r="B1000" s="0" t="n">
        <v>13933</v>
      </c>
      <c r="C1000" s="0" t="n">
        <v>2</v>
      </c>
      <c r="D1000" s="0" t="inlineStr">
        <is>
          <t>황해</t>
        </is>
      </c>
      <c r="E1000" s="0" t="inlineStr">
        <is>
          <t>1983.09.</t>
        </is>
      </c>
      <c r="F1000" s="0" t="n">
        <v>90</v>
      </c>
      <c r="G1000" s="0" t="n">
        <v>17.77</v>
      </c>
      <c r="H1000" s="0" t="n">
        <v>58.77</v>
      </c>
      <c r="I1000" s="0" t="n">
        <v>15.92</v>
      </c>
      <c r="J1000" s="0" t="n">
        <v>52.63</v>
      </c>
      <c r="K1000" s="0" t="n">
        <v>50</v>
      </c>
      <c r="T1000" s="0" t="n">
        <v>2</v>
      </c>
      <c r="U1000" s="0" t="n">
        <v>1</v>
      </c>
      <c r="V1000" s="0" t="inlineStr">
        <is>
          <t>계단식</t>
        </is>
      </c>
      <c r="W1000" s="0" t="inlineStr">
        <is>
          <t>58B</t>
        </is>
      </c>
      <c r="X1000" s="0" t="n">
        <v>5</v>
      </c>
      <c r="Y1000" s="0" t="n">
        <v>5</v>
      </c>
      <c r="Z1000" s="0" t="inlineStr">
        <is>
          <t>https://new.land.naver.com/complexes/13933?tab=detail&amp;rf=Y</t>
        </is>
      </c>
      <c r="AA1000" s="0" t="inlineStr">
        <is>
          <t>인천시 서구 석남동 444-4</t>
        </is>
      </c>
      <c r="AB1000" s="0" t="inlineStr">
        <is>
          <t>인천시</t>
        </is>
      </c>
      <c r="AC1000" s="0" t="inlineStr">
        <is>
          <t>서구</t>
        </is>
      </c>
      <c r="AD1000" s="0" t="inlineStr">
        <is>
          <t>석남동</t>
        </is>
      </c>
      <c r="AG1000" s="0" t="inlineStr">
        <is>
          <t>인천시 서구 염곡로 318</t>
        </is>
      </c>
      <c r="AH1000" s="0" t="n">
        <v>0</v>
      </c>
      <c r="AI1000" s="0" t="n">
        <v>0</v>
      </c>
      <c r="AJ1000" s="0" t="n">
        <v>0</v>
      </c>
      <c r="AK1000" s="0" t="n">
        <v>0</v>
      </c>
      <c r="AL1000" s="0" t="n">
        <v>0</v>
      </c>
    </row>
    <row r="1001">
      <c r="A1001" s="0" t="inlineStr">
        <is>
          <t>[석남동]</t>
        </is>
      </c>
      <c r="B1001" s="0" t="n">
        <v>103706</v>
      </c>
      <c r="C1001" s="0" t="n">
        <v>1</v>
      </c>
      <c r="D1001" s="0" t="inlineStr">
        <is>
          <t>동진2차</t>
        </is>
      </c>
      <c r="E1001" s="0" t="inlineStr">
        <is>
          <t>1989.11.</t>
        </is>
      </c>
      <c r="F1001" s="0" t="n">
        <v>48</v>
      </c>
      <c r="G1001" s="0" t="n">
        <v>20.29</v>
      </c>
      <c r="H1001" s="0" t="n">
        <v>67.09999999999999</v>
      </c>
      <c r="I1001" s="0" t="n">
        <v>16.05</v>
      </c>
      <c r="J1001" s="0" t="n">
        <v>53.06</v>
      </c>
      <c r="K1001" s="0" t="n">
        <v>48</v>
      </c>
      <c r="T1001" s="0" t="n">
        <v>3</v>
      </c>
      <c r="U1001" s="0" t="n">
        <v>1</v>
      </c>
      <c r="V1001" s="0" t="inlineStr">
        <is>
          <t>계단식</t>
        </is>
      </c>
      <c r="W1001" s="0" t="n">
        <v>67</v>
      </c>
      <c r="X1001" s="0" t="n">
        <v>6</v>
      </c>
      <c r="Y1001" s="0" t="n">
        <v>6</v>
      </c>
      <c r="Z1001" s="0" t="inlineStr">
        <is>
          <t>https://new.land.naver.com/complexes/103706?tab=detail&amp;rf=Y</t>
        </is>
      </c>
      <c r="AA1001" s="0" t="inlineStr">
        <is>
          <t>인천시 서구 석남동 472-3</t>
        </is>
      </c>
      <c r="AB1001" s="0" t="inlineStr">
        <is>
          <t>인천시</t>
        </is>
      </c>
      <c r="AC1001" s="0" t="inlineStr">
        <is>
          <t>서구</t>
        </is>
      </c>
      <c r="AD1001" s="0" t="inlineStr">
        <is>
          <t>석남동</t>
        </is>
      </c>
      <c r="AG1001" s="0" t="inlineStr">
        <is>
          <t>인천시 서구 서달로137번길 8</t>
        </is>
      </c>
      <c r="AH1001" s="0" t="n">
        <v>0</v>
      </c>
      <c r="AI1001" s="0" t="n">
        <v>0</v>
      </c>
      <c r="AJ1001" s="0" t="n">
        <v>0</v>
      </c>
      <c r="AK1001" s="0" t="n">
        <v>0</v>
      </c>
      <c r="AL1001" s="0" t="n">
        <v>0</v>
      </c>
    </row>
    <row r="1002">
      <c r="A1002" s="0" t="inlineStr">
        <is>
          <t>[석남동]</t>
        </is>
      </c>
      <c r="B1002" s="0" t="n">
        <v>13756</v>
      </c>
      <c r="C1002" s="0" t="n">
        <v>1</v>
      </c>
      <c r="D1002" s="0" t="inlineStr">
        <is>
          <t>보광네오센스</t>
        </is>
      </c>
      <c r="E1002" s="0" t="inlineStr">
        <is>
          <t>2003.05.</t>
        </is>
      </c>
      <c r="F1002" s="0" t="n">
        <v>100</v>
      </c>
      <c r="G1002" s="0" t="n">
        <v>22.08</v>
      </c>
      <c r="H1002" s="0" t="n">
        <v>73.02</v>
      </c>
      <c r="I1002" s="0" t="n">
        <v>18.13</v>
      </c>
      <c r="J1002" s="0" t="n">
        <v>59.96</v>
      </c>
      <c r="K1002" s="0" t="n">
        <v>92</v>
      </c>
      <c r="T1002" s="0" t="n">
        <v>3</v>
      </c>
      <c r="U1002" s="0" t="n">
        <v>2</v>
      </c>
      <c r="V1002" s="0" t="inlineStr">
        <is>
          <t>계단식</t>
        </is>
      </c>
      <c r="W1002" s="0" t="n">
        <v>73</v>
      </c>
      <c r="X1002" s="0" t="n">
        <v>12</v>
      </c>
      <c r="Y1002" s="0" t="n">
        <v>12</v>
      </c>
      <c r="Z1002" s="0" t="inlineStr">
        <is>
          <t>https://new.land.naver.com/complexes/13756?tab=detail&amp;rf=Y</t>
        </is>
      </c>
      <c r="AA1002" s="0" t="inlineStr">
        <is>
          <t>인천시 서구 석남동 522-3</t>
        </is>
      </c>
      <c r="AB1002" s="0" t="inlineStr">
        <is>
          <t>인천시</t>
        </is>
      </c>
      <c r="AC1002" s="0" t="inlineStr">
        <is>
          <t>서구</t>
        </is>
      </c>
      <c r="AD1002" s="0" t="inlineStr">
        <is>
          <t>석남동</t>
        </is>
      </c>
      <c r="AG1002" s="0" t="inlineStr">
        <is>
          <t>인천시 서구 염곡로272번길 13</t>
        </is>
      </c>
      <c r="AH1002" s="0" t="n">
        <v>0</v>
      </c>
      <c r="AI1002" s="0" t="n">
        <v>0</v>
      </c>
      <c r="AJ1002" s="0" t="n">
        <v>0</v>
      </c>
      <c r="AK1002" s="0" t="n">
        <v>81</v>
      </c>
      <c r="AL1002" s="0" t="n">
        <v>0.8100000000000001</v>
      </c>
    </row>
    <row r="1003">
      <c r="A1003" s="0" t="inlineStr">
        <is>
          <t>[석남동]</t>
        </is>
      </c>
      <c r="B1003" s="0" t="n">
        <v>13756</v>
      </c>
      <c r="C1003" s="0" t="n">
        <v>2</v>
      </c>
      <c r="D1003" s="0" t="inlineStr">
        <is>
          <t>보광네오센스</t>
        </is>
      </c>
      <c r="E1003" s="0" t="inlineStr">
        <is>
          <t>2003.05.</t>
        </is>
      </c>
      <c r="F1003" s="0" t="n">
        <v>100</v>
      </c>
      <c r="G1003" s="0" t="n">
        <v>44.33</v>
      </c>
      <c r="H1003" s="0" t="n">
        <v>146.55</v>
      </c>
      <c r="I1003" s="0" t="n">
        <v>38.88</v>
      </c>
      <c r="J1003" s="0" t="n">
        <v>128.54</v>
      </c>
      <c r="K1003" s="0" t="n">
        <v>8</v>
      </c>
      <c r="T1003" s="0" t="n">
        <v>5</v>
      </c>
      <c r="U1003" s="0" t="n">
        <v>3</v>
      </c>
      <c r="V1003" s="0" t="inlineStr">
        <is>
          <t>계단식</t>
        </is>
      </c>
      <c r="W1003" s="0" t="n">
        <v>146</v>
      </c>
      <c r="X1003" s="0" t="n">
        <v>12</v>
      </c>
      <c r="Y1003" s="0" t="n">
        <v>12</v>
      </c>
      <c r="Z1003" s="0" t="inlineStr">
        <is>
          <t>https://new.land.naver.com/complexes/13756?tab=detail&amp;rf=Y</t>
        </is>
      </c>
      <c r="AA1003" s="0" t="inlineStr">
        <is>
          <t>인천시 서구 석남동 522-3</t>
        </is>
      </c>
      <c r="AB1003" s="0" t="inlineStr">
        <is>
          <t>인천시</t>
        </is>
      </c>
      <c r="AC1003" s="0" t="inlineStr">
        <is>
          <t>서구</t>
        </is>
      </c>
      <c r="AD1003" s="0" t="inlineStr">
        <is>
          <t>석남동</t>
        </is>
      </c>
      <c r="AG1003" s="0" t="inlineStr">
        <is>
          <t>인천시 서구 염곡로272번길 13</t>
        </is>
      </c>
      <c r="AH1003" s="0" t="n">
        <v>0</v>
      </c>
      <c r="AI1003" s="0" t="n">
        <v>0</v>
      </c>
      <c r="AJ1003" s="0" t="n">
        <v>0</v>
      </c>
      <c r="AK1003" s="0" t="n">
        <v>81</v>
      </c>
      <c r="AL1003" s="0" t="n">
        <v>0.8100000000000001</v>
      </c>
    </row>
    <row r="1004">
      <c r="A1004" s="0" t="inlineStr">
        <is>
          <t>[석남동]</t>
        </is>
      </c>
      <c r="B1004" s="0" t="n">
        <v>124179</v>
      </c>
      <c r="C1004" s="0" t="n">
        <v>1</v>
      </c>
      <c r="D1004" s="0" t="inlineStr">
        <is>
          <t>DH씨밀레(도시형)</t>
        </is>
      </c>
      <c r="E1004" s="0" t="inlineStr">
        <is>
          <t>2016.03.</t>
        </is>
      </c>
      <c r="F1004" s="0" t="n">
        <v>36</v>
      </c>
      <c r="G1004" s="0" t="n">
        <v>14.48</v>
      </c>
      <c r="H1004" s="0" t="n">
        <v>47.88</v>
      </c>
      <c r="I1004" s="0" t="n">
        <v>10.92</v>
      </c>
      <c r="J1004" s="0" t="n">
        <v>36.1</v>
      </c>
      <c r="K1004" s="0" t="n">
        <v>9</v>
      </c>
      <c r="T1004" s="0" t="n">
        <v>1</v>
      </c>
      <c r="U1004" s="0" t="n">
        <v>1</v>
      </c>
      <c r="V1004" s="0" t="inlineStr">
        <is>
          <t>계단식</t>
        </is>
      </c>
      <c r="W1004" s="0" t="n">
        <v>47</v>
      </c>
      <c r="X1004" s="0" t="n">
        <v>14</v>
      </c>
      <c r="Y1004" s="0" t="n">
        <v>14</v>
      </c>
      <c r="Z1004" s="0" t="inlineStr">
        <is>
          <t>https://new.land.naver.com/complexes/124179?tab=detail&amp;rf=Y</t>
        </is>
      </c>
      <c r="AA1004" s="0" t="inlineStr">
        <is>
          <t>인천시 서구 석남동 508-4</t>
        </is>
      </c>
      <c r="AB1004" s="0" t="inlineStr">
        <is>
          <t>인천시</t>
        </is>
      </c>
      <c r="AC1004" s="0" t="inlineStr">
        <is>
          <t>서구</t>
        </is>
      </c>
      <c r="AD1004" s="0" t="inlineStr">
        <is>
          <t>석남동</t>
        </is>
      </c>
      <c r="AG1004" s="0" t="inlineStr">
        <is>
          <t>인천시 서구 신석로112번길 2-1</t>
        </is>
      </c>
      <c r="AH1004" s="0" t="n">
        <v>0</v>
      </c>
      <c r="AI1004" s="0" t="n">
        <v>673</v>
      </c>
      <c r="AJ1004" s="0" t="n">
        <v>60</v>
      </c>
      <c r="AK1004" s="0" t="n">
        <v>27</v>
      </c>
      <c r="AL1004" s="0" t="n">
        <v>0.75</v>
      </c>
    </row>
    <row r="1005">
      <c r="A1005" s="0" t="inlineStr">
        <is>
          <t>[석남동]</t>
        </is>
      </c>
      <c r="B1005" s="0" t="n">
        <v>124179</v>
      </c>
      <c r="C1005" s="0" t="n">
        <v>2</v>
      </c>
      <c r="D1005" s="0" t="inlineStr">
        <is>
          <t>DH씨밀레(도시형)</t>
        </is>
      </c>
      <c r="E1005" s="0" t="inlineStr">
        <is>
          <t>2016.03.</t>
        </is>
      </c>
      <c r="F1005" s="0" t="n">
        <v>36</v>
      </c>
      <c r="G1005" s="0" t="n">
        <v>17.49</v>
      </c>
      <c r="H1005" s="0" t="n">
        <v>57.83</v>
      </c>
      <c r="I1005" s="0" t="n">
        <v>13.64</v>
      </c>
      <c r="J1005" s="0" t="n">
        <v>45.11</v>
      </c>
      <c r="K1005" s="0" t="n">
        <v>18</v>
      </c>
      <c r="T1005" s="0" t="n">
        <v>2</v>
      </c>
      <c r="U1005" s="0" t="n">
        <v>1</v>
      </c>
      <c r="V1005" s="0" t="inlineStr">
        <is>
          <t>계단식</t>
        </is>
      </c>
      <c r="W1005" s="0" t="inlineStr">
        <is>
          <t>57B</t>
        </is>
      </c>
      <c r="X1005" s="0" t="n">
        <v>14</v>
      </c>
      <c r="Y1005" s="0" t="n">
        <v>14</v>
      </c>
      <c r="Z1005" s="0" t="inlineStr">
        <is>
          <t>https://new.land.naver.com/complexes/124179?tab=detail&amp;rf=Y</t>
        </is>
      </c>
      <c r="AA1005" s="0" t="inlineStr">
        <is>
          <t>인천시 서구 석남동 508-4</t>
        </is>
      </c>
      <c r="AB1005" s="0" t="inlineStr">
        <is>
          <t>인천시</t>
        </is>
      </c>
      <c r="AC1005" s="0" t="inlineStr">
        <is>
          <t>서구</t>
        </is>
      </c>
      <c r="AD1005" s="0" t="inlineStr">
        <is>
          <t>석남동</t>
        </is>
      </c>
      <c r="AG1005" s="0" t="inlineStr">
        <is>
          <t>인천시 서구 신석로112번길 2-1</t>
        </is>
      </c>
      <c r="AH1005" s="0" t="n">
        <v>0</v>
      </c>
      <c r="AI1005" s="0" t="n">
        <v>673</v>
      </c>
      <c r="AJ1005" s="0" t="n">
        <v>60</v>
      </c>
      <c r="AK1005" s="0" t="n">
        <v>27</v>
      </c>
      <c r="AL1005" s="0" t="n">
        <v>0.75</v>
      </c>
    </row>
    <row r="1006">
      <c r="A1006" s="0" t="inlineStr">
        <is>
          <t>[석남동]</t>
        </is>
      </c>
      <c r="B1006" s="0" t="n">
        <v>124179</v>
      </c>
      <c r="C1006" s="0" t="n">
        <v>3</v>
      </c>
      <c r="D1006" s="0" t="inlineStr">
        <is>
          <t>DH씨밀레(도시형)</t>
        </is>
      </c>
      <c r="E1006" s="0" t="inlineStr">
        <is>
          <t>2016.03.</t>
        </is>
      </c>
      <c r="F1006" s="0" t="n">
        <v>36</v>
      </c>
      <c r="G1006" s="0" t="n">
        <v>17.39</v>
      </c>
      <c r="H1006" s="0" t="n">
        <v>57.49</v>
      </c>
      <c r="I1006" s="0" t="n">
        <v>13.53</v>
      </c>
      <c r="J1006" s="0" t="n">
        <v>44.76</v>
      </c>
      <c r="K1006" s="0" t="n">
        <v>9</v>
      </c>
      <c r="T1006" s="0" t="n">
        <v>2</v>
      </c>
      <c r="U1006" s="0" t="n">
        <v>1</v>
      </c>
      <c r="V1006" s="0" t="inlineStr">
        <is>
          <t>계단식</t>
        </is>
      </c>
      <c r="W1006" s="0" t="inlineStr">
        <is>
          <t>57A</t>
        </is>
      </c>
      <c r="X1006" s="0" t="n">
        <v>14</v>
      </c>
      <c r="Y1006" s="0" t="n">
        <v>14</v>
      </c>
      <c r="Z1006" s="0" t="inlineStr">
        <is>
          <t>https://new.land.naver.com/complexes/124179?tab=detail&amp;rf=Y</t>
        </is>
      </c>
      <c r="AA1006" s="0" t="inlineStr">
        <is>
          <t>인천시 서구 석남동 508-4</t>
        </is>
      </c>
      <c r="AB1006" s="0" t="inlineStr">
        <is>
          <t>인천시</t>
        </is>
      </c>
      <c r="AC1006" s="0" t="inlineStr">
        <is>
          <t>서구</t>
        </is>
      </c>
      <c r="AD1006" s="0" t="inlineStr">
        <is>
          <t>석남동</t>
        </is>
      </c>
      <c r="AG1006" s="0" t="inlineStr">
        <is>
          <t>인천시 서구 신석로112번길 2-1</t>
        </is>
      </c>
      <c r="AH1006" s="0" t="n">
        <v>0</v>
      </c>
      <c r="AI1006" s="0" t="n">
        <v>673</v>
      </c>
      <c r="AJ1006" s="0" t="n">
        <v>60</v>
      </c>
      <c r="AK1006" s="0" t="n">
        <v>27</v>
      </c>
      <c r="AL1006" s="0" t="n">
        <v>0.75</v>
      </c>
    </row>
    <row r="1007">
      <c r="A1007" s="0" t="inlineStr">
        <is>
          <t>[석남동]</t>
        </is>
      </c>
      <c r="B1007" s="0" t="n">
        <v>116573</v>
      </c>
      <c r="C1007" s="0" t="n">
        <v>1</v>
      </c>
      <c r="D1007" s="0" t="inlineStr">
        <is>
          <t>석남룩소르</t>
        </is>
      </c>
      <c r="E1007" s="0" t="inlineStr">
        <is>
          <t>2016.12.</t>
        </is>
      </c>
      <c r="F1007" s="0" t="n">
        <v>24</v>
      </c>
      <c r="G1007" s="0" t="n">
        <v>19.25</v>
      </c>
      <c r="H1007" s="0" t="n">
        <v>63.64</v>
      </c>
      <c r="I1007" s="0" t="n">
        <v>15.33</v>
      </c>
      <c r="J1007" s="0" t="n">
        <v>50.69</v>
      </c>
      <c r="K1007" s="0" t="n">
        <v>8</v>
      </c>
      <c r="T1007" s="0" t="n">
        <v>2</v>
      </c>
      <c r="U1007" s="0" t="n">
        <v>1</v>
      </c>
      <c r="V1007" s="0" t="inlineStr">
        <is>
          <t>복도식</t>
        </is>
      </c>
      <c r="W1007" s="0" t="n">
        <v>63</v>
      </c>
      <c r="X1007" s="0" t="n">
        <v>14</v>
      </c>
      <c r="Y1007" s="0" t="n">
        <v>14</v>
      </c>
      <c r="Z1007" s="0" t="inlineStr">
        <is>
          <t>https://new.land.naver.com/complexes/116573?tab=detail&amp;rf=Y</t>
        </is>
      </c>
      <c r="AA1007" s="0" t="inlineStr">
        <is>
          <t>인천시 서구 석남동 506-5</t>
        </is>
      </c>
      <c r="AB1007" s="0" t="inlineStr">
        <is>
          <t>인천시</t>
        </is>
      </c>
      <c r="AC1007" s="0" t="inlineStr">
        <is>
          <t>서구</t>
        </is>
      </c>
      <c r="AD1007" s="0" t="inlineStr">
        <is>
          <t>석남동</t>
        </is>
      </c>
      <c r="AG1007" s="0" t="inlineStr">
        <is>
          <t>인천시 서구 가정로262번길 13</t>
        </is>
      </c>
      <c r="AH1007" s="0" t="n">
        <v>0</v>
      </c>
      <c r="AI1007" s="0" t="n">
        <v>856</v>
      </c>
      <c r="AJ1007" s="0" t="n">
        <v>68</v>
      </c>
      <c r="AK1007" s="0" t="n">
        <v>17</v>
      </c>
      <c r="AL1007" s="0" t="n">
        <v>0.71</v>
      </c>
    </row>
    <row r="1008">
      <c r="A1008" s="0" t="inlineStr">
        <is>
          <t>[석남동]</t>
        </is>
      </c>
      <c r="B1008" s="0" t="n">
        <v>116573</v>
      </c>
      <c r="C1008" s="0" t="n">
        <v>2</v>
      </c>
      <c r="D1008" s="0" t="inlineStr">
        <is>
          <t>석남룩소르</t>
        </is>
      </c>
      <c r="E1008" s="0" t="inlineStr">
        <is>
          <t>2016.12.</t>
        </is>
      </c>
      <c r="F1008" s="0" t="n">
        <v>24</v>
      </c>
      <c r="G1008" s="0" t="n">
        <v>20.2</v>
      </c>
      <c r="H1008" s="0" t="n">
        <v>66.78</v>
      </c>
      <c r="I1008" s="0" t="n">
        <v>16.08</v>
      </c>
      <c r="J1008" s="0" t="n">
        <v>53.19</v>
      </c>
      <c r="K1008" s="0" t="n">
        <v>8</v>
      </c>
      <c r="T1008" s="0" t="n">
        <v>2</v>
      </c>
      <c r="U1008" s="0" t="n">
        <v>1</v>
      </c>
      <c r="V1008" s="0" t="inlineStr">
        <is>
          <t>복도식</t>
        </is>
      </c>
      <c r="W1008" s="0" t="inlineStr">
        <is>
          <t>66C</t>
        </is>
      </c>
      <c r="X1008" s="0" t="n">
        <v>14</v>
      </c>
      <c r="Y1008" s="0" t="n">
        <v>14</v>
      </c>
      <c r="Z1008" s="0" t="inlineStr">
        <is>
          <t>https://new.land.naver.com/complexes/116573?tab=detail&amp;rf=Y</t>
        </is>
      </c>
      <c r="AA1008" s="0" t="inlineStr">
        <is>
          <t>인천시 서구 석남동 506-5</t>
        </is>
      </c>
      <c r="AB1008" s="0" t="inlineStr">
        <is>
          <t>인천시</t>
        </is>
      </c>
      <c r="AC1008" s="0" t="inlineStr">
        <is>
          <t>서구</t>
        </is>
      </c>
      <c r="AD1008" s="0" t="inlineStr">
        <is>
          <t>석남동</t>
        </is>
      </c>
      <c r="AG1008" s="0" t="inlineStr">
        <is>
          <t>인천시 서구 가정로262번길 13</t>
        </is>
      </c>
      <c r="AH1008" s="0" t="n">
        <v>0</v>
      </c>
      <c r="AI1008" s="0" t="n">
        <v>856</v>
      </c>
      <c r="AJ1008" s="0" t="n">
        <v>68</v>
      </c>
      <c r="AK1008" s="0" t="n">
        <v>17</v>
      </c>
      <c r="AL1008" s="0" t="n">
        <v>0.71</v>
      </c>
    </row>
    <row r="1009">
      <c r="A1009" s="0" t="inlineStr">
        <is>
          <t>[석남동]</t>
        </is>
      </c>
      <c r="B1009" s="0" t="n">
        <v>116573</v>
      </c>
      <c r="C1009" s="0" t="n">
        <v>3</v>
      </c>
      <c r="D1009" s="0" t="inlineStr">
        <is>
          <t>석남룩소르</t>
        </is>
      </c>
      <c r="E1009" s="0" t="inlineStr">
        <is>
          <t>2016.12.</t>
        </is>
      </c>
      <c r="F1009" s="0" t="n">
        <v>24</v>
      </c>
      <c r="G1009" s="0" t="n">
        <v>20.11</v>
      </c>
      <c r="H1009" s="0" t="n">
        <v>66.51000000000001</v>
      </c>
      <c r="I1009" s="0" t="n">
        <v>16.02</v>
      </c>
      <c r="J1009" s="0" t="n">
        <v>52.98</v>
      </c>
      <c r="K1009" s="0" t="n">
        <v>4</v>
      </c>
      <c r="T1009" s="0" t="n">
        <v>2</v>
      </c>
      <c r="U1009" s="0" t="n">
        <v>1</v>
      </c>
      <c r="V1009" s="0" t="inlineStr">
        <is>
          <t>복도식</t>
        </is>
      </c>
      <c r="W1009" s="0" t="inlineStr">
        <is>
          <t>66A</t>
        </is>
      </c>
      <c r="X1009" s="0" t="n">
        <v>14</v>
      </c>
      <c r="Y1009" s="0" t="n">
        <v>14</v>
      </c>
      <c r="Z1009" s="0" t="inlineStr">
        <is>
          <t>https://new.land.naver.com/complexes/116573?tab=detail&amp;rf=Y</t>
        </is>
      </c>
      <c r="AA1009" s="0" t="inlineStr">
        <is>
          <t>인천시 서구 석남동 506-5</t>
        </is>
      </c>
      <c r="AB1009" s="0" t="inlineStr">
        <is>
          <t>인천시</t>
        </is>
      </c>
      <c r="AC1009" s="0" t="inlineStr">
        <is>
          <t>서구</t>
        </is>
      </c>
      <c r="AD1009" s="0" t="inlineStr">
        <is>
          <t>석남동</t>
        </is>
      </c>
      <c r="AG1009" s="0" t="inlineStr">
        <is>
          <t>인천시 서구 가정로262번길 13</t>
        </is>
      </c>
      <c r="AH1009" s="0" t="n">
        <v>0</v>
      </c>
      <c r="AI1009" s="0" t="n">
        <v>856</v>
      </c>
      <c r="AJ1009" s="0" t="n">
        <v>68</v>
      </c>
      <c r="AK1009" s="0" t="n">
        <v>17</v>
      </c>
      <c r="AL1009" s="0" t="n">
        <v>0.71</v>
      </c>
    </row>
    <row r="1010">
      <c r="A1010" s="0" t="inlineStr">
        <is>
          <t>[석남동]</t>
        </is>
      </c>
      <c r="B1010" s="0" t="n">
        <v>116573</v>
      </c>
      <c r="C1010" s="0" t="n">
        <v>4</v>
      </c>
      <c r="D1010" s="0" t="inlineStr">
        <is>
          <t>석남룩소르</t>
        </is>
      </c>
      <c r="E1010" s="0" t="inlineStr">
        <is>
          <t>2016.12.</t>
        </is>
      </c>
      <c r="F1010" s="0" t="n">
        <v>24</v>
      </c>
      <c r="G1010" s="0" t="n">
        <v>20.16</v>
      </c>
      <c r="H1010" s="0" t="n">
        <v>66.65000000000001</v>
      </c>
      <c r="I1010" s="0" t="n">
        <v>16.05</v>
      </c>
      <c r="J1010" s="0" t="n">
        <v>53.09</v>
      </c>
      <c r="K1010" s="0" t="n">
        <v>4</v>
      </c>
      <c r="T1010" s="0" t="n">
        <v>2</v>
      </c>
      <c r="U1010" s="0" t="n">
        <v>1</v>
      </c>
      <c r="V1010" s="0" t="inlineStr">
        <is>
          <t>복도식</t>
        </is>
      </c>
      <c r="W1010" s="0" t="inlineStr">
        <is>
          <t>66B</t>
        </is>
      </c>
      <c r="X1010" s="0" t="n">
        <v>14</v>
      </c>
      <c r="Y1010" s="0" t="n">
        <v>14</v>
      </c>
      <c r="Z1010" s="0" t="inlineStr">
        <is>
          <t>https://new.land.naver.com/complexes/116573?tab=detail&amp;rf=Y</t>
        </is>
      </c>
      <c r="AA1010" s="0" t="inlineStr">
        <is>
          <t>인천시 서구 석남동 506-5</t>
        </is>
      </c>
      <c r="AB1010" s="0" t="inlineStr">
        <is>
          <t>인천시</t>
        </is>
      </c>
      <c r="AC1010" s="0" t="inlineStr">
        <is>
          <t>서구</t>
        </is>
      </c>
      <c r="AD1010" s="0" t="inlineStr">
        <is>
          <t>석남동</t>
        </is>
      </c>
      <c r="AG1010" s="0" t="inlineStr">
        <is>
          <t>인천시 서구 가정로262번길 13</t>
        </is>
      </c>
      <c r="AH1010" s="0" t="n">
        <v>0</v>
      </c>
      <c r="AI1010" s="0" t="n">
        <v>856</v>
      </c>
      <c r="AJ1010" s="0" t="n">
        <v>68</v>
      </c>
      <c r="AK1010" s="0" t="n">
        <v>17</v>
      </c>
      <c r="AL1010" s="0" t="n">
        <v>0.71</v>
      </c>
    </row>
    <row r="1011">
      <c r="A1011" s="0" t="inlineStr">
        <is>
          <t>[석남동]</t>
        </is>
      </c>
      <c r="B1011" s="0" t="n">
        <v>120332</v>
      </c>
      <c r="C1011" s="0" t="n">
        <v>1</v>
      </c>
      <c r="D1011" s="0" t="inlineStr">
        <is>
          <t>씨엠팰리스(도시형)</t>
        </is>
      </c>
      <c r="E1011" s="0" t="inlineStr">
        <is>
          <t>2016.01.</t>
        </is>
      </c>
      <c r="F1011" s="0" t="n">
        <v>42</v>
      </c>
      <c r="G1011" s="0" t="n">
        <v>16.48</v>
      </c>
      <c r="H1011" s="0" t="n">
        <v>54.49</v>
      </c>
      <c r="I1011" s="0" t="n">
        <v>12.23</v>
      </c>
      <c r="J1011" s="0" t="n">
        <v>40.43</v>
      </c>
      <c r="K1011" s="0" t="n">
        <v>7</v>
      </c>
      <c r="T1011" s="0" t="n">
        <v>2</v>
      </c>
      <c r="U1011" s="0" t="n">
        <v>1</v>
      </c>
      <c r="V1011" s="0" t="inlineStr">
        <is>
          <t>계단식</t>
        </is>
      </c>
      <c r="W1011" s="0" t="n">
        <v>54</v>
      </c>
      <c r="X1011" s="0" t="n">
        <v>14</v>
      </c>
      <c r="Y1011" s="0" t="n">
        <v>14</v>
      </c>
      <c r="Z1011" s="0" t="inlineStr">
        <is>
          <t>https://new.land.naver.com/complexes/120332?tab=detail&amp;rf=Y</t>
        </is>
      </c>
      <c r="AA1011" s="0" t="inlineStr">
        <is>
          <t>인천시 서구 석남동 497-1</t>
        </is>
      </c>
      <c r="AB1011" s="0" t="inlineStr">
        <is>
          <t>인천시</t>
        </is>
      </c>
      <c r="AC1011" s="0" t="inlineStr">
        <is>
          <t>서구</t>
        </is>
      </c>
      <c r="AD1011" s="0" t="inlineStr">
        <is>
          <t>석남동</t>
        </is>
      </c>
      <c r="AG1011" s="0" t="inlineStr">
        <is>
          <t>인천시 서구 신석로 118</t>
        </is>
      </c>
      <c r="AH1011" s="0" t="n">
        <v>0</v>
      </c>
      <c r="AI1011" s="0" t="n">
        <v>788</v>
      </c>
      <c r="AJ1011" s="0" t="n">
        <v>69</v>
      </c>
      <c r="AK1011" s="0" t="n">
        <v>26</v>
      </c>
      <c r="AL1011" s="0" t="n">
        <v>0.62</v>
      </c>
    </row>
    <row r="1012">
      <c r="A1012" s="0" t="inlineStr">
        <is>
          <t>[석남동]</t>
        </is>
      </c>
      <c r="B1012" s="0" t="n">
        <v>120332</v>
      </c>
      <c r="C1012" s="0" t="n">
        <v>2</v>
      </c>
      <c r="D1012" s="0" t="inlineStr">
        <is>
          <t>씨엠팰리스(도시형)</t>
        </is>
      </c>
      <c r="E1012" s="0" t="inlineStr">
        <is>
          <t>2016.01.</t>
        </is>
      </c>
      <c r="F1012" s="0" t="n">
        <v>42</v>
      </c>
      <c r="G1012" s="0" t="n">
        <v>16.73</v>
      </c>
      <c r="H1012" s="0" t="n">
        <v>55.32</v>
      </c>
      <c r="I1012" s="0" t="n">
        <v>12.29</v>
      </c>
      <c r="J1012" s="0" t="n">
        <v>40.65</v>
      </c>
      <c r="K1012" s="0" t="n">
        <v>7</v>
      </c>
      <c r="T1012" s="0" t="n">
        <v>2</v>
      </c>
      <c r="U1012" s="0" t="n">
        <v>1</v>
      </c>
      <c r="V1012" s="0" t="inlineStr">
        <is>
          <t>계단식</t>
        </is>
      </c>
      <c r="W1012" s="0" t="inlineStr">
        <is>
          <t>55A</t>
        </is>
      </c>
      <c r="X1012" s="0" t="n">
        <v>14</v>
      </c>
      <c r="Y1012" s="0" t="n">
        <v>14</v>
      </c>
      <c r="Z1012" s="0" t="inlineStr">
        <is>
          <t>https://new.land.naver.com/complexes/120332?tab=detail&amp;rf=Y</t>
        </is>
      </c>
      <c r="AA1012" s="0" t="inlineStr">
        <is>
          <t>인천시 서구 석남동 497-1</t>
        </is>
      </c>
      <c r="AB1012" s="0" t="inlineStr">
        <is>
          <t>인천시</t>
        </is>
      </c>
      <c r="AC1012" s="0" t="inlineStr">
        <is>
          <t>서구</t>
        </is>
      </c>
      <c r="AD1012" s="0" t="inlineStr">
        <is>
          <t>석남동</t>
        </is>
      </c>
      <c r="AG1012" s="0" t="inlineStr">
        <is>
          <t>인천시 서구 신석로 118</t>
        </is>
      </c>
      <c r="AH1012" s="0" t="n">
        <v>0</v>
      </c>
      <c r="AI1012" s="0" t="n">
        <v>788</v>
      </c>
      <c r="AJ1012" s="0" t="n">
        <v>69</v>
      </c>
      <c r="AK1012" s="0" t="n">
        <v>26</v>
      </c>
      <c r="AL1012" s="0" t="n">
        <v>0.62</v>
      </c>
    </row>
    <row r="1013">
      <c r="A1013" s="0" t="inlineStr">
        <is>
          <t>[석남동]</t>
        </is>
      </c>
      <c r="B1013" s="0" t="n">
        <v>120332</v>
      </c>
      <c r="C1013" s="0" t="n">
        <v>3</v>
      </c>
      <c r="D1013" s="0" t="inlineStr">
        <is>
          <t>씨엠팰리스(도시형)</t>
        </is>
      </c>
      <c r="E1013" s="0" t="inlineStr">
        <is>
          <t>2016.01.</t>
        </is>
      </c>
      <c r="F1013" s="0" t="n">
        <v>42</v>
      </c>
      <c r="G1013" s="0" t="n">
        <v>17.41</v>
      </c>
      <c r="H1013" s="0" t="n">
        <v>57.57</v>
      </c>
      <c r="I1013" s="0" t="n">
        <v>12.76</v>
      </c>
      <c r="J1013" s="0" t="n">
        <v>42.19</v>
      </c>
      <c r="K1013" s="0" t="n">
        <v>7</v>
      </c>
      <c r="T1013" s="0" t="n">
        <v>2</v>
      </c>
      <c r="U1013" s="0" t="n">
        <v>1</v>
      </c>
      <c r="V1013" s="0" t="inlineStr">
        <is>
          <t>계단식</t>
        </is>
      </c>
      <c r="W1013" s="0" t="inlineStr">
        <is>
          <t>57B</t>
        </is>
      </c>
      <c r="X1013" s="0" t="n">
        <v>14</v>
      </c>
      <c r="Y1013" s="0" t="n">
        <v>14</v>
      </c>
      <c r="Z1013" s="0" t="inlineStr">
        <is>
          <t>https://new.land.naver.com/complexes/120332?tab=detail&amp;rf=Y</t>
        </is>
      </c>
      <c r="AA1013" s="0" t="inlineStr">
        <is>
          <t>인천시 서구 석남동 497-1</t>
        </is>
      </c>
      <c r="AB1013" s="0" t="inlineStr">
        <is>
          <t>인천시</t>
        </is>
      </c>
      <c r="AC1013" s="0" t="inlineStr">
        <is>
          <t>서구</t>
        </is>
      </c>
      <c r="AD1013" s="0" t="inlineStr">
        <is>
          <t>석남동</t>
        </is>
      </c>
      <c r="AG1013" s="0" t="inlineStr">
        <is>
          <t>인천시 서구 신석로 118</t>
        </is>
      </c>
      <c r="AH1013" s="0" t="n">
        <v>0</v>
      </c>
      <c r="AI1013" s="0" t="n">
        <v>788</v>
      </c>
      <c r="AJ1013" s="0" t="n">
        <v>69</v>
      </c>
      <c r="AK1013" s="0" t="n">
        <v>26</v>
      </c>
      <c r="AL1013" s="0" t="n">
        <v>0.62</v>
      </c>
    </row>
    <row r="1014">
      <c r="A1014" s="0" t="inlineStr">
        <is>
          <t>[석남동]</t>
        </is>
      </c>
      <c r="B1014" s="0" t="n">
        <v>120332</v>
      </c>
      <c r="C1014" s="0" t="n">
        <v>4</v>
      </c>
      <c r="D1014" s="0" t="inlineStr">
        <is>
          <t>씨엠팰리스(도시형)</t>
        </is>
      </c>
      <c r="E1014" s="0" t="inlineStr">
        <is>
          <t>2016.01.</t>
        </is>
      </c>
      <c r="F1014" s="0" t="n">
        <v>42</v>
      </c>
      <c r="G1014" s="0" t="n">
        <v>18</v>
      </c>
      <c r="H1014" s="0" t="n">
        <v>59.53</v>
      </c>
      <c r="I1014" s="0" t="n">
        <v>13.32</v>
      </c>
      <c r="J1014" s="0" t="n">
        <v>44.06</v>
      </c>
      <c r="K1014" s="0" t="n">
        <v>7</v>
      </c>
      <c r="T1014" s="0" t="n">
        <v>2</v>
      </c>
      <c r="U1014" s="0" t="n">
        <v>1</v>
      </c>
      <c r="V1014" s="0" t="inlineStr">
        <is>
          <t>계단식</t>
        </is>
      </c>
      <c r="W1014" s="0" t="inlineStr">
        <is>
          <t>59A</t>
        </is>
      </c>
      <c r="X1014" s="0" t="n">
        <v>14</v>
      </c>
      <c r="Y1014" s="0" t="n">
        <v>14</v>
      </c>
      <c r="Z1014" s="0" t="inlineStr">
        <is>
          <t>https://new.land.naver.com/complexes/120332?tab=detail&amp;rf=Y</t>
        </is>
      </c>
      <c r="AA1014" s="0" t="inlineStr">
        <is>
          <t>인천시 서구 석남동 497-1</t>
        </is>
      </c>
      <c r="AB1014" s="0" t="inlineStr">
        <is>
          <t>인천시</t>
        </is>
      </c>
      <c r="AC1014" s="0" t="inlineStr">
        <is>
          <t>서구</t>
        </is>
      </c>
      <c r="AD1014" s="0" t="inlineStr">
        <is>
          <t>석남동</t>
        </is>
      </c>
      <c r="AG1014" s="0" t="inlineStr">
        <is>
          <t>인천시 서구 신석로 118</t>
        </is>
      </c>
      <c r="AH1014" s="0" t="n">
        <v>0</v>
      </c>
      <c r="AI1014" s="0" t="n">
        <v>788</v>
      </c>
      <c r="AJ1014" s="0" t="n">
        <v>69</v>
      </c>
      <c r="AK1014" s="0" t="n">
        <v>26</v>
      </c>
      <c r="AL1014" s="0" t="n">
        <v>0.62</v>
      </c>
    </row>
    <row r="1015">
      <c r="A1015" s="0" t="inlineStr">
        <is>
          <t>[석남동]</t>
        </is>
      </c>
      <c r="B1015" s="0" t="n">
        <v>120332</v>
      </c>
      <c r="C1015" s="0" t="n">
        <v>5</v>
      </c>
      <c r="D1015" s="0" t="inlineStr">
        <is>
          <t>씨엠팰리스(도시형)</t>
        </is>
      </c>
      <c r="E1015" s="0" t="inlineStr">
        <is>
          <t>2016.01.</t>
        </is>
      </c>
      <c r="F1015" s="0" t="n">
        <v>42</v>
      </c>
      <c r="G1015" s="0" t="n">
        <v>18.1</v>
      </c>
      <c r="H1015" s="0" t="n">
        <v>59.84</v>
      </c>
      <c r="I1015" s="0" t="n">
        <v>13.4</v>
      </c>
      <c r="J1015" s="0" t="n">
        <v>44.3</v>
      </c>
      <c r="K1015" s="0" t="n">
        <v>7</v>
      </c>
      <c r="T1015" s="0" t="n">
        <v>2</v>
      </c>
      <c r="U1015" s="0" t="n">
        <v>1</v>
      </c>
      <c r="V1015" s="0" t="inlineStr">
        <is>
          <t>계단식</t>
        </is>
      </c>
      <c r="W1015" s="0" t="inlineStr">
        <is>
          <t>59B</t>
        </is>
      </c>
      <c r="X1015" s="0" t="n">
        <v>14</v>
      </c>
      <c r="Y1015" s="0" t="n">
        <v>14</v>
      </c>
      <c r="Z1015" s="0" t="inlineStr">
        <is>
          <t>https://new.land.naver.com/complexes/120332?tab=detail&amp;rf=Y</t>
        </is>
      </c>
      <c r="AA1015" s="0" t="inlineStr">
        <is>
          <t>인천시 서구 석남동 497-1</t>
        </is>
      </c>
      <c r="AB1015" s="0" t="inlineStr">
        <is>
          <t>인천시</t>
        </is>
      </c>
      <c r="AC1015" s="0" t="inlineStr">
        <is>
          <t>서구</t>
        </is>
      </c>
      <c r="AD1015" s="0" t="inlineStr">
        <is>
          <t>석남동</t>
        </is>
      </c>
      <c r="AG1015" s="0" t="inlineStr">
        <is>
          <t>인천시 서구 신석로 118</t>
        </is>
      </c>
      <c r="AH1015" s="0" t="n">
        <v>0</v>
      </c>
      <c r="AI1015" s="0" t="n">
        <v>788</v>
      </c>
      <c r="AJ1015" s="0" t="n">
        <v>69</v>
      </c>
      <c r="AK1015" s="0" t="n">
        <v>26</v>
      </c>
      <c r="AL1015" s="0" t="n">
        <v>0.62</v>
      </c>
    </row>
    <row r="1016">
      <c r="A1016" s="0" t="inlineStr">
        <is>
          <t>[석남동]</t>
        </is>
      </c>
      <c r="B1016" s="0" t="n">
        <v>120332</v>
      </c>
      <c r="C1016" s="0" t="n">
        <v>6</v>
      </c>
      <c r="D1016" s="0" t="inlineStr">
        <is>
          <t>씨엠팰리스(도시형)</t>
        </is>
      </c>
      <c r="E1016" s="0" t="inlineStr">
        <is>
          <t>2016.01.</t>
        </is>
      </c>
      <c r="F1016" s="0" t="n">
        <v>42</v>
      </c>
      <c r="G1016" s="0" t="n">
        <v>18.68</v>
      </c>
      <c r="H1016" s="0" t="n">
        <v>61.77</v>
      </c>
      <c r="I1016" s="0" t="n">
        <v>13.88</v>
      </c>
      <c r="J1016" s="0" t="n">
        <v>45.91</v>
      </c>
      <c r="K1016" s="0" t="n">
        <v>7</v>
      </c>
      <c r="T1016" s="0" t="n">
        <v>2</v>
      </c>
      <c r="U1016" s="0" t="n">
        <v>1</v>
      </c>
      <c r="V1016" s="0" t="inlineStr">
        <is>
          <t>계단식</t>
        </is>
      </c>
      <c r="W1016" s="0" t="n">
        <v>61</v>
      </c>
      <c r="X1016" s="0" t="n">
        <v>14</v>
      </c>
      <c r="Y1016" s="0" t="n">
        <v>14</v>
      </c>
      <c r="Z1016" s="0" t="inlineStr">
        <is>
          <t>https://new.land.naver.com/complexes/120332?tab=detail&amp;rf=Y</t>
        </is>
      </c>
      <c r="AA1016" s="0" t="inlineStr">
        <is>
          <t>인천시 서구 석남동 497-1</t>
        </is>
      </c>
      <c r="AB1016" s="0" t="inlineStr">
        <is>
          <t>인천시</t>
        </is>
      </c>
      <c r="AC1016" s="0" t="inlineStr">
        <is>
          <t>서구</t>
        </is>
      </c>
      <c r="AD1016" s="0" t="inlineStr">
        <is>
          <t>석남동</t>
        </is>
      </c>
      <c r="AG1016" s="0" t="inlineStr">
        <is>
          <t>인천시 서구 신석로 118</t>
        </is>
      </c>
      <c r="AH1016" s="0" t="n">
        <v>0</v>
      </c>
      <c r="AI1016" s="0" t="n">
        <v>788</v>
      </c>
      <c r="AJ1016" s="0" t="n">
        <v>69</v>
      </c>
      <c r="AK1016" s="0" t="n">
        <v>26</v>
      </c>
      <c r="AL1016" s="0" t="n">
        <v>0.62</v>
      </c>
    </row>
    <row r="1017">
      <c r="A1017" s="0" t="inlineStr">
        <is>
          <t>[석남동]</t>
        </is>
      </c>
      <c r="B1017" s="0" t="n">
        <v>102757</v>
      </c>
      <c r="C1017" s="0" t="n">
        <v>1</v>
      </c>
      <c r="D1017" s="0" t="inlineStr">
        <is>
          <t>인성</t>
        </is>
      </c>
      <c r="E1017" s="0" t="inlineStr">
        <is>
          <t>2002.11.</t>
        </is>
      </c>
      <c r="F1017" s="0" t="n">
        <v>16</v>
      </c>
      <c r="G1017" s="0" t="n">
        <v>19.24</v>
      </c>
      <c r="H1017" s="0" t="n">
        <v>63.61</v>
      </c>
      <c r="I1017" s="0" t="n">
        <v>17.33</v>
      </c>
      <c r="J1017" s="0" t="n">
        <v>57.3</v>
      </c>
      <c r="K1017" s="0" t="n">
        <v>4</v>
      </c>
      <c r="T1017" s="0" t="n">
        <v>2</v>
      </c>
      <c r="U1017" s="0" t="n">
        <v>1</v>
      </c>
      <c r="V1017" s="0" t="inlineStr">
        <is>
          <t>계단식</t>
        </is>
      </c>
      <c r="W1017" s="0" t="n">
        <v>63</v>
      </c>
      <c r="X1017" s="0" t="n">
        <v>5</v>
      </c>
      <c r="Y1017" s="0" t="n">
        <v>5</v>
      </c>
      <c r="Z1017" s="0" t="inlineStr">
        <is>
          <t>https://new.land.naver.com/complexes/102757?tab=detail&amp;rf=Y</t>
        </is>
      </c>
      <c r="AA1017" s="0" t="inlineStr">
        <is>
          <t>인천시 서구 석남동 500-25</t>
        </is>
      </c>
      <c r="AB1017" s="0" t="inlineStr">
        <is>
          <t>인천시</t>
        </is>
      </c>
      <c r="AC1017" s="0" t="inlineStr">
        <is>
          <t>서구</t>
        </is>
      </c>
      <c r="AD1017" s="0" t="inlineStr">
        <is>
          <t>석남동</t>
        </is>
      </c>
      <c r="AG1017" s="0" t="inlineStr">
        <is>
          <t>인천시 서구 옻우물로14번길 19</t>
        </is>
      </c>
      <c r="AH1017" s="0" t="n">
        <v>0</v>
      </c>
      <c r="AI1017" s="0" t="n">
        <v>0</v>
      </c>
      <c r="AJ1017" s="0" t="n">
        <v>0</v>
      </c>
      <c r="AK1017" s="0" t="n">
        <v>14</v>
      </c>
      <c r="AL1017" s="0" t="n">
        <v>0.88</v>
      </c>
    </row>
    <row r="1018">
      <c r="A1018" s="0" t="inlineStr">
        <is>
          <t>[석남동]</t>
        </is>
      </c>
      <c r="B1018" s="0" t="n">
        <v>102757</v>
      </c>
      <c r="C1018" s="0" t="n">
        <v>2</v>
      </c>
      <c r="D1018" s="0" t="inlineStr">
        <is>
          <t>인성</t>
        </is>
      </c>
      <c r="E1018" s="0" t="inlineStr">
        <is>
          <t>2002.11.</t>
        </is>
      </c>
      <c r="F1018" s="0" t="n">
        <v>16</v>
      </c>
      <c r="G1018" s="0" t="n">
        <v>19.79</v>
      </c>
      <c r="H1018" s="0" t="n">
        <v>65.44</v>
      </c>
      <c r="I1018" s="0" t="n">
        <v>17.83</v>
      </c>
      <c r="J1018" s="0" t="n">
        <v>58.95</v>
      </c>
      <c r="K1018" s="0" t="n">
        <v>4</v>
      </c>
      <c r="T1018" s="0" t="n">
        <v>2</v>
      </c>
      <c r="U1018" s="0" t="n">
        <v>1</v>
      </c>
      <c r="V1018" s="0" t="inlineStr">
        <is>
          <t>계단식</t>
        </is>
      </c>
      <c r="W1018" s="0" t="inlineStr">
        <is>
          <t>65A</t>
        </is>
      </c>
      <c r="X1018" s="0" t="n">
        <v>5</v>
      </c>
      <c r="Y1018" s="0" t="n">
        <v>5</v>
      </c>
      <c r="Z1018" s="0" t="inlineStr">
        <is>
          <t>https://new.land.naver.com/complexes/102757?tab=detail&amp;rf=Y</t>
        </is>
      </c>
      <c r="AA1018" s="0" t="inlineStr">
        <is>
          <t>인천시 서구 석남동 500-25</t>
        </is>
      </c>
      <c r="AB1018" s="0" t="inlineStr">
        <is>
          <t>인천시</t>
        </is>
      </c>
      <c r="AC1018" s="0" t="inlineStr">
        <is>
          <t>서구</t>
        </is>
      </c>
      <c r="AD1018" s="0" t="inlineStr">
        <is>
          <t>석남동</t>
        </is>
      </c>
      <c r="AG1018" s="0" t="inlineStr">
        <is>
          <t>인천시 서구 옻우물로14번길 19</t>
        </is>
      </c>
      <c r="AH1018" s="0" t="n">
        <v>0</v>
      </c>
      <c r="AI1018" s="0" t="n">
        <v>0</v>
      </c>
      <c r="AJ1018" s="0" t="n">
        <v>0</v>
      </c>
      <c r="AK1018" s="0" t="n">
        <v>14</v>
      </c>
      <c r="AL1018" s="0" t="n">
        <v>0.88</v>
      </c>
    </row>
    <row r="1019">
      <c r="A1019" s="0" t="inlineStr">
        <is>
          <t>[석남동]</t>
        </is>
      </c>
      <c r="B1019" s="0" t="n">
        <v>102757</v>
      </c>
      <c r="C1019" s="0" t="n">
        <v>3</v>
      </c>
      <c r="D1019" s="0" t="inlineStr">
        <is>
          <t>인성</t>
        </is>
      </c>
      <c r="E1019" s="0" t="inlineStr">
        <is>
          <t>2002.11.</t>
        </is>
      </c>
      <c r="F1019" s="0" t="n">
        <v>16</v>
      </c>
      <c r="G1019" s="0" t="n">
        <v>19.99</v>
      </c>
      <c r="H1019" s="0" t="n">
        <v>66.11</v>
      </c>
      <c r="I1019" s="0" t="n">
        <v>17.98</v>
      </c>
      <c r="J1019" s="0" t="n">
        <v>59.45</v>
      </c>
      <c r="K1019" s="0" t="n">
        <v>8</v>
      </c>
      <c r="T1019" s="0" t="n">
        <v>3</v>
      </c>
      <c r="U1019" s="0" t="n">
        <v>1</v>
      </c>
      <c r="V1019" s="0" t="inlineStr">
        <is>
          <t>계단식</t>
        </is>
      </c>
      <c r="W1019" s="0" t="inlineStr">
        <is>
          <t>66B</t>
        </is>
      </c>
      <c r="X1019" s="0" t="n">
        <v>5</v>
      </c>
      <c r="Y1019" s="0" t="n">
        <v>5</v>
      </c>
      <c r="Z1019" s="0" t="inlineStr">
        <is>
          <t>https://new.land.naver.com/complexes/102757?tab=detail&amp;rf=Y</t>
        </is>
      </c>
      <c r="AA1019" s="0" t="inlineStr">
        <is>
          <t>인천시 서구 석남동 500-25</t>
        </is>
      </c>
      <c r="AB1019" s="0" t="inlineStr">
        <is>
          <t>인천시</t>
        </is>
      </c>
      <c r="AC1019" s="0" t="inlineStr">
        <is>
          <t>서구</t>
        </is>
      </c>
      <c r="AD1019" s="0" t="inlineStr">
        <is>
          <t>석남동</t>
        </is>
      </c>
      <c r="AG1019" s="0" t="inlineStr">
        <is>
          <t>인천시 서구 옻우물로14번길 19</t>
        </is>
      </c>
      <c r="AH1019" s="0" t="n">
        <v>0</v>
      </c>
      <c r="AI1019" s="0" t="n">
        <v>0</v>
      </c>
      <c r="AJ1019" s="0" t="n">
        <v>0</v>
      </c>
      <c r="AK1019" s="0" t="n">
        <v>14</v>
      </c>
      <c r="AL1019" s="0" t="n">
        <v>0.88</v>
      </c>
    </row>
    <row r="1020">
      <c r="A1020" s="0" t="inlineStr">
        <is>
          <t>[석남동]</t>
        </is>
      </c>
      <c r="B1020" s="0" t="n">
        <v>129565</v>
      </c>
      <c r="C1020" s="0" t="n">
        <v>1</v>
      </c>
      <c r="D1020" s="0" t="inlineStr">
        <is>
          <t>전원(도시형)</t>
        </is>
      </c>
      <c r="E1020" s="0" t="inlineStr">
        <is>
          <t>2017.08.</t>
        </is>
      </c>
      <c r="F1020" s="0" t="n">
        <v>33</v>
      </c>
      <c r="G1020" s="0" t="n">
        <v>18.59</v>
      </c>
      <c r="H1020" s="0" t="n">
        <v>61.47</v>
      </c>
      <c r="I1020" s="0" t="n">
        <v>14.68</v>
      </c>
      <c r="J1020" s="0" t="n">
        <v>48.56</v>
      </c>
      <c r="K1020" s="0" t="n">
        <v>16</v>
      </c>
      <c r="T1020" s="0" t="n">
        <v>2</v>
      </c>
      <c r="U1020" s="0" t="n">
        <v>1</v>
      </c>
      <c r="V1020" s="0" t="inlineStr">
        <is>
          <t>계단식</t>
        </is>
      </c>
      <c r="W1020" s="0" t="inlineStr">
        <is>
          <t>61B</t>
        </is>
      </c>
      <c r="X1020" s="0" t="n">
        <v>14</v>
      </c>
      <c r="Y1020" s="0" t="n">
        <v>13</v>
      </c>
      <c r="Z1020" s="0" t="inlineStr">
        <is>
          <t>https://new.land.naver.com/complexes/129565?tab=detail&amp;rf=Y</t>
        </is>
      </c>
      <c r="AA1020" s="0" t="inlineStr">
        <is>
          <t>인천시 서구 석남동 513-7</t>
        </is>
      </c>
      <c r="AB1020" s="0" t="inlineStr">
        <is>
          <t>인천시</t>
        </is>
      </c>
      <c r="AC1020" s="0" t="inlineStr">
        <is>
          <t>서구</t>
        </is>
      </c>
      <c r="AD1020" s="0" t="inlineStr">
        <is>
          <t>석남동</t>
        </is>
      </c>
      <c r="AG1020" s="0" t="inlineStr">
        <is>
          <t>인천시 서구 칠천왕로33번길 4</t>
        </is>
      </c>
      <c r="AH1020" s="0" t="n">
        <v>0</v>
      </c>
      <c r="AI1020" s="0" t="n">
        <v>598</v>
      </c>
      <c r="AJ1020" s="0" t="n">
        <v>65</v>
      </c>
      <c r="AK1020" s="0" t="n">
        <v>25</v>
      </c>
      <c r="AL1020" s="0" t="n">
        <v>0.76</v>
      </c>
    </row>
    <row r="1021">
      <c r="A1021" s="0" t="inlineStr">
        <is>
          <t>[석남동]</t>
        </is>
      </c>
      <c r="B1021" s="0" t="n">
        <v>129565</v>
      </c>
      <c r="C1021" s="0" t="n">
        <v>2</v>
      </c>
      <c r="D1021" s="0" t="inlineStr">
        <is>
          <t>전원(도시형)</t>
        </is>
      </c>
      <c r="E1021" s="0" t="inlineStr">
        <is>
          <t>2017.08.</t>
        </is>
      </c>
      <c r="F1021" s="0" t="n">
        <v>33</v>
      </c>
      <c r="G1021" s="0" t="n">
        <v>18.59</v>
      </c>
      <c r="H1021" s="0" t="n">
        <v>61.47</v>
      </c>
      <c r="I1021" s="0" t="n">
        <v>14.48</v>
      </c>
      <c r="J1021" s="0" t="n">
        <v>47.87</v>
      </c>
      <c r="K1021" s="0" t="n">
        <v>2</v>
      </c>
      <c r="T1021" s="0" t="n">
        <v>2</v>
      </c>
      <c r="U1021" s="0" t="n">
        <v>1</v>
      </c>
      <c r="V1021" s="0" t="inlineStr">
        <is>
          <t>계단식</t>
        </is>
      </c>
      <c r="W1021" s="0" t="inlineStr">
        <is>
          <t>61A</t>
        </is>
      </c>
      <c r="X1021" s="0" t="n">
        <v>14</v>
      </c>
      <c r="Y1021" s="0" t="n">
        <v>13</v>
      </c>
      <c r="Z1021" s="0" t="inlineStr">
        <is>
          <t>https://new.land.naver.com/complexes/129565?tab=detail&amp;rf=Y</t>
        </is>
      </c>
      <c r="AA1021" s="0" t="inlineStr">
        <is>
          <t>인천시 서구 석남동 513-7</t>
        </is>
      </c>
      <c r="AB1021" s="0" t="inlineStr">
        <is>
          <t>인천시</t>
        </is>
      </c>
      <c r="AC1021" s="0" t="inlineStr">
        <is>
          <t>서구</t>
        </is>
      </c>
      <c r="AD1021" s="0" t="inlineStr">
        <is>
          <t>석남동</t>
        </is>
      </c>
      <c r="AG1021" s="0" t="inlineStr">
        <is>
          <t>인천시 서구 칠천왕로33번길 4</t>
        </is>
      </c>
      <c r="AH1021" s="0" t="n">
        <v>0</v>
      </c>
      <c r="AI1021" s="0" t="n">
        <v>598</v>
      </c>
      <c r="AJ1021" s="0" t="n">
        <v>65</v>
      </c>
      <c r="AK1021" s="0" t="n">
        <v>25</v>
      </c>
      <c r="AL1021" s="0" t="n">
        <v>0.76</v>
      </c>
    </row>
    <row r="1022">
      <c r="A1022" s="0" t="inlineStr">
        <is>
          <t>[석남동]</t>
        </is>
      </c>
      <c r="B1022" s="0" t="n">
        <v>129565</v>
      </c>
      <c r="C1022" s="0" t="n">
        <v>3</v>
      </c>
      <c r="D1022" s="0" t="inlineStr">
        <is>
          <t>전원(도시형)</t>
        </is>
      </c>
      <c r="E1022" s="0" t="inlineStr">
        <is>
          <t>2017.08.</t>
        </is>
      </c>
      <c r="F1022" s="0" t="n">
        <v>33</v>
      </c>
      <c r="G1022" s="0" t="n">
        <v>19.22</v>
      </c>
      <c r="H1022" s="0" t="n">
        <v>63.55</v>
      </c>
      <c r="I1022" s="0" t="n">
        <v>15.05</v>
      </c>
      <c r="J1022" s="0" t="n">
        <v>49.76</v>
      </c>
      <c r="K1022" s="0" t="n">
        <v>15</v>
      </c>
      <c r="T1022" s="0" t="n">
        <v>2</v>
      </c>
      <c r="U1022" s="0" t="n">
        <v>1</v>
      </c>
      <c r="V1022" s="0" t="inlineStr">
        <is>
          <t>계단식</t>
        </is>
      </c>
      <c r="W1022" s="0" t="inlineStr">
        <is>
          <t>63C</t>
        </is>
      </c>
      <c r="X1022" s="0" t="n">
        <v>14</v>
      </c>
      <c r="Y1022" s="0" t="n">
        <v>13</v>
      </c>
      <c r="Z1022" s="0" t="inlineStr">
        <is>
          <t>https://new.land.naver.com/complexes/129565?tab=detail&amp;rf=Y</t>
        </is>
      </c>
      <c r="AA1022" s="0" t="inlineStr">
        <is>
          <t>인천시 서구 석남동 513-7</t>
        </is>
      </c>
      <c r="AB1022" s="0" t="inlineStr">
        <is>
          <t>인천시</t>
        </is>
      </c>
      <c r="AC1022" s="0" t="inlineStr">
        <is>
          <t>서구</t>
        </is>
      </c>
      <c r="AD1022" s="0" t="inlineStr">
        <is>
          <t>석남동</t>
        </is>
      </c>
      <c r="AG1022" s="0" t="inlineStr">
        <is>
          <t>인천시 서구 칠천왕로33번길 4</t>
        </is>
      </c>
      <c r="AH1022" s="0" t="n">
        <v>0</v>
      </c>
      <c r="AI1022" s="0" t="n">
        <v>598</v>
      </c>
      <c r="AJ1022" s="0" t="n">
        <v>65</v>
      </c>
      <c r="AK1022" s="0" t="n">
        <v>25</v>
      </c>
      <c r="AL1022" s="0" t="n">
        <v>0.76</v>
      </c>
    </row>
    <row r="1023">
      <c r="A1023" s="0" t="inlineStr">
        <is>
          <t>[석남동]</t>
        </is>
      </c>
      <c r="B1023" s="0" t="n">
        <v>2354</v>
      </c>
      <c r="C1023" s="0" t="n">
        <v>1</v>
      </c>
      <c r="D1023" s="0" t="inlineStr">
        <is>
          <t>신광1차</t>
        </is>
      </c>
      <c r="E1023" s="0" t="inlineStr">
        <is>
          <t>1995.03.</t>
        </is>
      </c>
      <c r="F1023" s="0" t="n">
        <v>134</v>
      </c>
      <c r="G1023" s="0" t="n">
        <v>25.51</v>
      </c>
      <c r="H1023" s="0" t="n">
        <v>84.36</v>
      </c>
      <c r="I1023" s="0" t="n">
        <v>16.9</v>
      </c>
      <c r="J1023" s="0" t="n">
        <v>55.9</v>
      </c>
      <c r="K1023" s="0" t="n">
        <v>17</v>
      </c>
      <c r="T1023" s="0" t="n">
        <v>3</v>
      </c>
      <c r="U1023" s="0" t="n">
        <v>1</v>
      </c>
      <c r="V1023" s="0" t="inlineStr">
        <is>
          <t>복도식</t>
        </is>
      </c>
      <c r="W1023" s="0" t="n">
        <v>84</v>
      </c>
      <c r="X1023" s="0" t="n">
        <v>18</v>
      </c>
      <c r="Y1023" s="0" t="n">
        <v>11</v>
      </c>
      <c r="Z1023" s="0" t="inlineStr">
        <is>
          <t>https://new.land.naver.com/complexes/2354?tab=detail&amp;rf=Y</t>
        </is>
      </c>
      <c r="AA1023" s="0" t="inlineStr">
        <is>
          <t>인천시 서구 석남동 485</t>
        </is>
      </c>
      <c r="AB1023" s="0" t="inlineStr">
        <is>
          <t>인천시</t>
        </is>
      </c>
      <c r="AC1023" s="0" t="inlineStr">
        <is>
          <t>서구</t>
        </is>
      </c>
      <c r="AD1023" s="0" t="inlineStr">
        <is>
          <t>석남동</t>
        </is>
      </c>
      <c r="AG1023" s="0" t="inlineStr">
        <is>
          <t>인천시 서구 서달로137번길 13</t>
        </is>
      </c>
      <c r="AH1023" s="0" t="n">
        <v>0</v>
      </c>
      <c r="AI1023" s="0" t="n">
        <v>368</v>
      </c>
      <c r="AJ1023" s="0" t="n">
        <v>25</v>
      </c>
      <c r="AK1023" s="0" t="n">
        <v>64</v>
      </c>
      <c r="AL1023" s="0" t="n">
        <v>0.48</v>
      </c>
    </row>
    <row r="1024">
      <c r="A1024" s="0" t="inlineStr">
        <is>
          <t>[석남동]</t>
        </is>
      </c>
      <c r="B1024" s="0" t="n">
        <v>2354</v>
      </c>
      <c r="C1024" s="0" t="n">
        <v>2</v>
      </c>
      <c r="D1024" s="0" t="inlineStr">
        <is>
          <t>신광1차</t>
        </is>
      </c>
      <c r="E1024" s="0" t="inlineStr">
        <is>
          <t>1995.03.</t>
        </is>
      </c>
      <c r="F1024" s="0" t="n">
        <v>134</v>
      </c>
      <c r="G1024" s="0" t="n">
        <v>27.26</v>
      </c>
      <c r="H1024" s="0" t="n">
        <v>90.14</v>
      </c>
      <c r="I1024" s="0" t="n">
        <v>18.06</v>
      </c>
      <c r="J1024" s="0" t="n">
        <v>59.73</v>
      </c>
      <c r="K1024" s="0" t="n">
        <v>117</v>
      </c>
      <c r="T1024" s="0" t="n">
        <v>3</v>
      </c>
      <c r="U1024" s="0" t="n">
        <v>1</v>
      </c>
      <c r="V1024" s="0" t="inlineStr">
        <is>
          <t>복도식</t>
        </is>
      </c>
      <c r="W1024" s="0" t="n">
        <v>90</v>
      </c>
      <c r="X1024" s="0" t="n">
        <v>18</v>
      </c>
      <c r="Y1024" s="0" t="n">
        <v>11</v>
      </c>
      <c r="Z1024" s="0" t="inlineStr">
        <is>
          <t>https://new.land.naver.com/complexes/2354?tab=detail&amp;rf=Y</t>
        </is>
      </c>
      <c r="AA1024" s="0" t="inlineStr">
        <is>
          <t>인천시 서구 석남동 485</t>
        </is>
      </c>
      <c r="AB1024" s="0" t="inlineStr">
        <is>
          <t>인천시</t>
        </is>
      </c>
      <c r="AC1024" s="0" t="inlineStr">
        <is>
          <t>서구</t>
        </is>
      </c>
      <c r="AD1024" s="0" t="inlineStr">
        <is>
          <t>석남동</t>
        </is>
      </c>
      <c r="AG1024" s="0" t="inlineStr">
        <is>
          <t>인천시 서구 서달로137번길 13</t>
        </is>
      </c>
      <c r="AH1024" s="0" t="n">
        <v>0</v>
      </c>
      <c r="AI1024" s="0" t="n">
        <v>368</v>
      </c>
      <c r="AJ1024" s="0" t="n">
        <v>25</v>
      </c>
      <c r="AK1024" s="0" t="n">
        <v>64</v>
      </c>
      <c r="AL1024" s="0" t="n">
        <v>0.48</v>
      </c>
    </row>
    <row r="1025">
      <c r="A1025" s="0" t="inlineStr">
        <is>
          <t>[석남동]</t>
        </is>
      </c>
      <c r="B1025" s="0" t="n">
        <v>8990</v>
      </c>
      <c r="C1025" s="0" t="n">
        <v>1</v>
      </c>
      <c r="D1025" s="0" t="inlineStr">
        <is>
          <t>덕산</t>
        </is>
      </c>
      <c r="E1025" s="0" t="inlineStr">
        <is>
          <t>1990.05.</t>
        </is>
      </c>
      <c r="F1025" s="0" t="n">
        <v>252</v>
      </c>
      <c r="G1025" s="0" t="n">
        <v>21.49</v>
      </c>
      <c r="H1025" s="0" t="n">
        <v>71.06</v>
      </c>
      <c r="I1025" s="0" t="n">
        <v>18.14</v>
      </c>
      <c r="J1025" s="0" t="n">
        <v>59.97</v>
      </c>
      <c r="K1025" s="0" t="n">
        <v>84</v>
      </c>
      <c r="T1025" s="0" t="n">
        <v>3</v>
      </c>
      <c r="U1025" s="0" t="n">
        <v>1</v>
      </c>
      <c r="V1025" s="0" t="inlineStr">
        <is>
          <t>계단식</t>
        </is>
      </c>
      <c r="W1025" s="0" t="n">
        <v>71</v>
      </c>
      <c r="X1025" s="0" t="n">
        <v>6</v>
      </c>
      <c r="Y1025" s="0" t="n">
        <v>6</v>
      </c>
      <c r="Z1025" s="0" t="inlineStr">
        <is>
          <t>https://new.land.naver.com/complexes/8990?tab=detail&amp;rf=Y</t>
        </is>
      </c>
      <c r="AA1025" s="0" t="inlineStr">
        <is>
          <t>인천시 서구 석남동 471-2</t>
        </is>
      </c>
      <c r="AB1025" s="0" t="inlineStr">
        <is>
          <t>인천시</t>
        </is>
      </c>
      <c r="AC1025" s="0" t="inlineStr">
        <is>
          <t>서구</t>
        </is>
      </c>
      <c r="AD1025" s="0" t="inlineStr">
        <is>
          <t>석남동</t>
        </is>
      </c>
      <c r="AG1025" s="0" t="inlineStr">
        <is>
          <t>인천시 서구 서달로 147</t>
        </is>
      </c>
      <c r="AH1025" s="0" t="n">
        <v>0</v>
      </c>
      <c r="AI1025" s="0" t="n">
        <v>169</v>
      </c>
      <c r="AJ1025" s="0" t="n">
        <v>30</v>
      </c>
      <c r="AK1025" s="0" t="n">
        <v>0</v>
      </c>
      <c r="AL1025" s="0" t="n">
        <v>0</v>
      </c>
    </row>
    <row r="1026">
      <c r="A1026" s="0" t="inlineStr">
        <is>
          <t>[석남동]</t>
        </is>
      </c>
      <c r="B1026" s="0" t="n">
        <v>8990</v>
      </c>
      <c r="C1026" s="0" t="n">
        <v>2</v>
      </c>
      <c r="D1026" s="0" t="inlineStr">
        <is>
          <t>덕산</t>
        </is>
      </c>
      <c r="E1026" s="0" t="inlineStr">
        <is>
          <t>1990.05.</t>
        </is>
      </c>
      <c r="F1026" s="0" t="n">
        <v>252</v>
      </c>
      <c r="G1026" s="0" t="n">
        <v>22.61</v>
      </c>
      <c r="H1026" s="0" t="n">
        <v>74.76000000000001</v>
      </c>
      <c r="I1026" s="0" t="n">
        <v>18.92</v>
      </c>
      <c r="J1026" s="0" t="n">
        <v>62.56</v>
      </c>
      <c r="K1026" s="0" t="n">
        <v>84</v>
      </c>
      <c r="T1026" s="0" t="n">
        <v>3</v>
      </c>
      <c r="U1026" s="0" t="n">
        <v>1</v>
      </c>
      <c r="V1026" s="0" t="inlineStr">
        <is>
          <t>계단식</t>
        </is>
      </c>
      <c r="W1026" s="0" t="n">
        <v>74</v>
      </c>
      <c r="X1026" s="0" t="n">
        <v>6</v>
      </c>
      <c r="Y1026" s="0" t="n">
        <v>6</v>
      </c>
      <c r="Z1026" s="0" t="inlineStr">
        <is>
          <t>https://new.land.naver.com/complexes/8990?tab=detail&amp;rf=Y</t>
        </is>
      </c>
      <c r="AA1026" s="0" t="inlineStr">
        <is>
          <t>인천시 서구 석남동 471-2</t>
        </is>
      </c>
      <c r="AB1026" s="0" t="inlineStr">
        <is>
          <t>인천시</t>
        </is>
      </c>
      <c r="AC1026" s="0" t="inlineStr">
        <is>
          <t>서구</t>
        </is>
      </c>
      <c r="AD1026" s="0" t="inlineStr">
        <is>
          <t>석남동</t>
        </is>
      </c>
      <c r="AG1026" s="0" t="inlineStr">
        <is>
          <t>인천시 서구 서달로 147</t>
        </is>
      </c>
      <c r="AH1026" s="0" t="n">
        <v>0</v>
      </c>
      <c r="AI1026" s="0" t="n">
        <v>169</v>
      </c>
      <c r="AJ1026" s="0" t="n">
        <v>30</v>
      </c>
      <c r="AK1026" s="0" t="n">
        <v>0</v>
      </c>
      <c r="AL1026" s="0" t="n">
        <v>0</v>
      </c>
    </row>
    <row r="1027">
      <c r="A1027" s="0" t="inlineStr">
        <is>
          <t>[석남동]</t>
        </is>
      </c>
      <c r="B1027" s="0" t="n">
        <v>8990</v>
      </c>
      <c r="C1027" s="0" t="n">
        <v>3</v>
      </c>
      <c r="D1027" s="0" t="inlineStr">
        <is>
          <t>덕산</t>
        </is>
      </c>
      <c r="E1027" s="0" t="inlineStr">
        <is>
          <t>1990.05.</t>
        </is>
      </c>
      <c r="F1027" s="0" t="n">
        <v>252</v>
      </c>
      <c r="G1027" s="0" t="n">
        <v>25.36</v>
      </c>
      <c r="H1027" s="0" t="n">
        <v>83.84</v>
      </c>
      <c r="I1027" s="0" t="n">
        <v>21.88</v>
      </c>
      <c r="J1027" s="0" t="n">
        <v>72.36</v>
      </c>
      <c r="K1027" s="0" t="n">
        <v>24</v>
      </c>
      <c r="T1027" s="0" t="n">
        <v>3</v>
      </c>
      <c r="U1027" s="0" t="n">
        <v>1</v>
      </c>
      <c r="V1027" s="0" t="inlineStr">
        <is>
          <t>계단식</t>
        </is>
      </c>
      <c r="W1027" s="0" t="n">
        <v>83</v>
      </c>
      <c r="X1027" s="0" t="n">
        <v>6</v>
      </c>
      <c r="Y1027" s="0" t="n">
        <v>6</v>
      </c>
      <c r="Z1027" s="0" t="inlineStr">
        <is>
          <t>https://new.land.naver.com/complexes/8990?tab=detail&amp;rf=Y</t>
        </is>
      </c>
      <c r="AA1027" s="0" t="inlineStr">
        <is>
          <t>인천시 서구 석남동 471-2</t>
        </is>
      </c>
      <c r="AB1027" s="0" t="inlineStr">
        <is>
          <t>인천시</t>
        </is>
      </c>
      <c r="AC1027" s="0" t="inlineStr">
        <is>
          <t>서구</t>
        </is>
      </c>
      <c r="AD1027" s="0" t="inlineStr">
        <is>
          <t>석남동</t>
        </is>
      </c>
      <c r="AG1027" s="0" t="inlineStr">
        <is>
          <t>인천시 서구 서달로 147</t>
        </is>
      </c>
      <c r="AH1027" s="0" t="n">
        <v>0</v>
      </c>
      <c r="AI1027" s="0" t="n">
        <v>169</v>
      </c>
      <c r="AJ1027" s="0" t="n">
        <v>30</v>
      </c>
      <c r="AK1027" s="0" t="n">
        <v>0</v>
      </c>
      <c r="AL1027" s="0" t="n">
        <v>0</v>
      </c>
    </row>
    <row r="1028">
      <c r="A1028" s="0" t="inlineStr">
        <is>
          <t>[석남동]</t>
        </is>
      </c>
      <c r="B1028" s="0" t="n">
        <v>8990</v>
      </c>
      <c r="C1028" s="0" t="n">
        <v>4</v>
      </c>
      <c r="D1028" s="0" t="inlineStr">
        <is>
          <t>덕산</t>
        </is>
      </c>
      <c r="E1028" s="0" t="inlineStr">
        <is>
          <t>1990.05.</t>
        </is>
      </c>
      <c r="F1028" s="0" t="n">
        <v>252</v>
      </c>
      <c r="G1028" s="0" t="n">
        <v>25.81</v>
      </c>
      <c r="H1028" s="0" t="n">
        <v>85.34</v>
      </c>
      <c r="I1028" s="0" t="n">
        <v>21.79</v>
      </c>
      <c r="J1028" s="0" t="n">
        <v>72.04000000000001</v>
      </c>
      <c r="K1028" s="0" t="n">
        <v>60</v>
      </c>
      <c r="T1028" s="0" t="n">
        <v>3</v>
      </c>
      <c r="U1028" s="0" t="n">
        <v>1</v>
      </c>
      <c r="V1028" s="0" t="inlineStr">
        <is>
          <t>계단식</t>
        </is>
      </c>
      <c r="W1028" s="0" t="n">
        <v>85</v>
      </c>
      <c r="X1028" s="0" t="n">
        <v>6</v>
      </c>
      <c r="Y1028" s="0" t="n">
        <v>6</v>
      </c>
      <c r="Z1028" s="0" t="inlineStr">
        <is>
          <t>https://new.land.naver.com/complexes/8990?tab=detail&amp;rf=Y</t>
        </is>
      </c>
      <c r="AA1028" s="0" t="inlineStr">
        <is>
          <t>인천시 서구 석남동 471-2</t>
        </is>
      </c>
      <c r="AB1028" s="0" t="inlineStr">
        <is>
          <t>인천시</t>
        </is>
      </c>
      <c r="AC1028" s="0" t="inlineStr">
        <is>
          <t>서구</t>
        </is>
      </c>
      <c r="AD1028" s="0" t="inlineStr">
        <is>
          <t>석남동</t>
        </is>
      </c>
      <c r="AG1028" s="0" t="inlineStr">
        <is>
          <t>인천시 서구 서달로 147</t>
        </is>
      </c>
      <c r="AH1028" s="0" t="n">
        <v>0</v>
      </c>
      <c r="AI1028" s="0" t="n">
        <v>169</v>
      </c>
      <c r="AJ1028" s="0" t="n">
        <v>30</v>
      </c>
      <c r="AK1028" s="0" t="n">
        <v>0</v>
      </c>
      <c r="AL1028" s="0" t="n">
        <v>0</v>
      </c>
    </row>
    <row r="1029">
      <c r="A1029" s="0" t="inlineStr">
        <is>
          <t>[석남동]</t>
        </is>
      </c>
      <c r="B1029" s="0" t="n">
        <v>109547</v>
      </c>
      <c r="C1029" s="0" t="n">
        <v>1</v>
      </c>
      <c r="D1029" s="0" t="inlineStr">
        <is>
          <t>파랑새</t>
        </is>
      </c>
      <c r="E1029" s="0" t="inlineStr">
        <is>
          <t>2009.01.</t>
        </is>
      </c>
      <c r="F1029" s="0" t="n">
        <v>19</v>
      </c>
      <c r="G1029" s="0" t="n">
        <v>22.54</v>
      </c>
      <c r="H1029" s="0" t="n">
        <v>74.53</v>
      </c>
      <c r="I1029" s="0" t="n">
        <v>19.44</v>
      </c>
      <c r="J1029" s="0" t="n">
        <v>64.27</v>
      </c>
      <c r="K1029" s="0" t="n">
        <v>5</v>
      </c>
      <c r="T1029" s="0" t="n">
        <v>3</v>
      </c>
      <c r="U1029" s="0" t="n">
        <v>2</v>
      </c>
      <c r="V1029" s="0" t="inlineStr">
        <is>
          <t>계단식</t>
        </is>
      </c>
      <c r="W1029" s="0" t="n">
        <v>74</v>
      </c>
      <c r="X1029" s="0" t="n">
        <v>7</v>
      </c>
      <c r="Y1029" s="0" t="n">
        <v>6</v>
      </c>
      <c r="Z1029" s="0" t="inlineStr">
        <is>
          <t>https://new.land.naver.com/complexes/109547?tab=detail&amp;rf=Y</t>
        </is>
      </c>
      <c r="AA1029" s="0" t="inlineStr">
        <is>
          <t>인천시 서구 석남동 504-3</t>
        </is>
      </c>
      <c r="AB1029" s="0" t="inlineStr">
        <is>
          <t>인천시</t>
        </is>
      </c>
      <c r="AC1029" s="0" t="inlineStr">
        <is>
          <t>서구</t>
        </is>
      </c>
      <c r="AD1029" s="0" t="inlineStr">
        <is>
          <t>석남동</t>
        </is>
      </c>
      <c r="AG1029" s="0" t="inlineStr">
        <is>
          <t>인천시 서구 옻우물로8번길 7</t>
        </is>
      </c>
      <c r="AH1029" s="0" t="n">
        <v>0</v>
      </c>
      <c r="AI1029" s="0" t="n">
        <v>305</v>
      </c>
      <c r="AJ1029" s="0" t="n">
        <v>60</v>
      </c>
      <c r="AK1029" s="0" t="n">
        <v>20</v>
      </c>
      <c r="AL1029" s="0" t="n">
        <v>1.05</v>
      </c>
    </row>
    <row r="1030">
      <c r="A1030" s="0" t="inlineStr">
        <is>
          <t>[석남동]</t>
        </is>
      </c>
      <c r="B1030" s="0" t="n">
        <v>109547</v>
      </c>
      <c r="C1030" s="0" t="n">
        <v>2</v>
      </c>
      <c r="D1030" s="0" t="inlineStr">
        <is>
          <t>파랑새</t>
        </is>
      </c>
      <c r="E1030" s="0" t="inlineStr">
        <is>
          <t>2009.01.</t>
        </is>
      </c>
      <c r="F1030" s="0" t="n">
        <v>19</v>
      </c>
      <c r="G1030" s="0" t="n">
        <v>22.46</v>
      </c>
      <c r="H1030" s="0" t="n">
        <v>74.28</v>
      </c>
      <c r="I1030" s="0" t="n">
        <v>19.37</v>
      </c>
      <c r="J1030" s="0" t="n">
        <v>64.06</v>
      </c>
      <c r="K1030" s="0" t="n">
        <v>4</v>
      </c>
      <c r="T1030" s="0" t="n">
        <v>3</v>
      </c>
      <c r="U1030" s="0" t="n">
        <v>2</v>
      </c>
      <c r="V1030" s="0" t="inlineStr">
        <is>
          <t>계단식</t>
        </is>
      </c>
      <c r="W1030" s="0" t="n">
        <v>74</v>
      </c>
      <c r="X1030" s="0" t="n">
        <v>7</v>
      </c>
      <c r="Y1030" s="0" t="n">
        <v>6</v>
      </c>
      <c r="Z1030" s="0" t="inlineStr">
        <is>
          <t>https://new.land.naver.com/complexes/109547?tab=detail&amp;rf=Y</t>
        </is>
      </c>
      <c r="AA1030" s="0" t="inlineStr">
        <is>
          <t>인천시 서구 석남동 504-3</t>
        </is>
      </c>
      <c r="AB1030" s="0" t="inlineStr">
        <is>
          <t>인천시</t>
        </is>
      </c>
      <c r="AC1030" s="0" t="inlineStr">
        <is>
          <t>서구</t>
        </is>
      </c>
      <c r="AD1030" s="0" t="inlineStr">
        <is>
          <t>석남동</t>
        </is>
      </c>
      <c r="AG1030" s="0" t="inlineStr">
        <is>
          <t>인천시 서구 옻우물로8번길 7</t>
        </is>
      </c>
      <c r="AH1030" s="0" t="n">
        <v>0</v>
      </c>
      <c r="AI1030" s="0" t="n">
        <v>305</v>
      </c>
      <c r="AJ1030" s="0" t="n">
        <v>60</v>
      </c>
      <c r="AK1030" s="0" t="n">
        <v>20</v>
      </c>
      <c r="AL1030" s="0" t="n">
        <v>1.05</v>
      </c>
    </row>
    <row r="1031">
      <c r="A1031" s="0" t="inlineStr">
        <is>
          <t>[석남동]</t>
        </is>
      </c>
      <c r="B1031" s="0" t="n">
        <v>109547</v>
      </c>
      <c r="C1031" s="0" t="n">
        <v>3</v>
      </c>
      <c r="D1031" s="0" t="inlineStr">
        <is>
          <t>파랑새</t>
        </is>
      </c>
      <c r="E1031" s="0" t="inlineStr">
        <is>
          <t>2009.01.</t>
        </is>
      </c>
      <c r="F1031" s="0" t="n">
        <v>19</v>
      </c>
      <c r="G1031" s="0" t="n">
        <v>23.93</v>
      </c>
      <c r="H1031" s="0" t="n">
        <v>79.13</v>
      </c>
      <c r="I1031" s="0" t="n">
        <v>20.64</v>
      </c>
      <c r="J1031" s="0" t="n">
        <v>68.23999999999999</v>
      </c>
      <c r="K1031" s="0" t="n">
        <v>4</v>
      </c>
      <c r="T1031" s="0" t="n">
        <v>3</v>
      </c>
      <c r="U1031" s="0" t="n">
        <v>2</v>
      </c>
      <c r="V1031" s="0" t="inlineStr">
        <is>
          <t>계단식</t>
        </is>
      </c>
      <c r="W1031" s="0" t="n">
        <v>79</v>
      </c>
      <c r="X1031" s="0" t="n">
        <v>7</v>
      </c>
      <c r="Y1031" s="0" t="n">
        <v>6</v>
      </c>
      <c r="Z1031" s="0" t="inlineStr">
        <is>
          <t>https://new.land.naver.com/complexes/109547?tab=detail&amp;rf=Y</t>
        </is>
      </c>
      <c r="AA1031" s="0" t="inlineStr">
        <is>
          <t>인천시 서구 석남동 504-3</t>
        </is>
      </c>
      <c r="AB1031" s="0" t="inlineStr">
        <is>
          <t>인천시</t>
        </is>
      </c>
      <c r="AC1031" s="0" t="inlineStr">
        <is>
          <t>서구</t>
        </is>
      </c>
      <c r="AD1031" s="0" t="inlineStr">
        <is>
          <t>석남동</t>
        </is>
      </c>
      <c r="AG1031" s="0" t="inlineStr">
        <is>
          <t>인천시 서구 옻우물로8번길 7</t>
        </is>
      </c>
      <c r="AH1031" s="0" t="n">
        <v>0</v>
      </c>
      <c r="AI1031" s="0" t="n">
        <v>305</v>
      </c>
      <c r="AJ1031" s="0" t="n">
        <v>60</v>
      </c>
      <c r="AK1031" s="0" t="n">
        <v>20</v>
      </c>
      <c r="AL1031" s="0" t="n">
        <v>1.05</v>
      </c>
    </row>
    <row r="1032">
      <c r="A1032" s="0" t="inlineStr">
        <is>
          <t>[석남동]</t>
        </is>
      </c>
      <c r="B1032" s="0" t="n">
        <v>109547</v>
      </c>
      <c r="C1032" s="0" t="n">
        <v>4</v>
      </c>
      <c r="D1032" s="0" t="inlineStr">
        <is>
          <t>파랑새</t>
        </is>
      </c>
      <c r="E1032" s="0" t="inlineStr">
        <is>
          <t>2009.01.</t>
        </is>
      </c>
      <c r="F1032" s="0" t="n">
        <v>19</v>
      </c>
      <c r="G1032" s="0" t="n">
        <v>25.35</v>
      </c>
      <c r="H1032" s="0" t="n">
        <v>83.83</v>
      </c>
      <c r="I1032" s="0" t="n">
        <v>21.86</v>
      </c>
      <c r="J1032" s="0" t="n">
        <v>72.29000000000001</v>
      </c>
      <c r="K1032" s="0" t="n">
        <v>5</v>
      </c>
      <c r="T1032" s="0" t="n">
        <v>3</v>
      </c>
      <c r="U1032" s="0" t="n">
        <v>2</v>
      </c>
      <c r="V1032" s="0" t="inlineStr">
        <is>
          <t>계단식</t>
        </is>
      </c>
      <c r="W1032" s="0" t="n">
        <v>83</v>
      </c>
      <c r="X1032" s="0" t="n">
        <v>7</v>
      </c>
      <c r="Y1032" s="0" t="n">
        <v>6</v>
      </c>
      <c r="Z1032" s="0" t="inlineStr">
        <is>
          <t>https://new.land.naver.com/complexes/109547?tab=detail&amp;rf=Y</t>
        </is>
      </c>
      <c r="AA1032" s="0" t="inlineStr">
        <is>
          <t>인천시 서구 석남동 504-3</t>
        </is>
      </c>
      <c r="AB1032" s="0" t="inlineStr">
        <is>
          <t>인천시</t>
        </is>
      </c>
      <c r="AC1032" s="0" t="inlineStr">
        <is>
          <t>서구</t>
        </is>
      </c>
      <c r="AD1032" s="0" t="inlineStr">
        <is>
          <t>석남동</t>
        </is>
      </c>
      <c r="AG1032" s="0" t="inlineStr">
        <is>
          <t>인천시 서구 옻우물로8번길 7</t>
        </is>
      </c>
      <c r="AH1032" s="0" t="n">
        <v>0</v>
      </c>
      <c r="AI1032" s="0" t="n">
        <v>305</v>
      </c>
      <c r="AJ1032" s="0" t="n">
        <v>60</v>
      </c>
      <c r="AK1032" s="0" t="n">
        <v>20</v>
      </c>
      <c r="AL1032" s="0" t="n">
        <v>1.05</v>
      </c>
    </row>
    <row r="1033">
      <c r="A1033" s="0" t="inlineStr">
        <is>
          <t>[석남동]</t>
        </is>
      </c>
      <c r="B1033" s="0" t="n">
        <v>109547</v>
      </c>
      <c r="C1033" s="0" t="n">
        <v>5</v>
      </c>
      <c r="D1033" s="0" t="inlineStr">
        <is>
          <t>파랑새</t>
        </is>
      </c>
      <c r="E1033" s="0" t="inlineStr">
        <is>
          <t>2009.01.</t>
        </is>
      </c>
      <c r="F1033" s="0" t="n">
        <v>19</v>
      </c>
      <c r="G1033" s="0" t="n">
        <v>49.92</v>
      </c>
      <c r="H1033" s="0" t="n">
        <v>165.05</v>
      </c>
      <c r="I1033" s="0" t="n">
        <v>43.05</v>
      </c>
      <c r="J1033" s="0" t="n">
        <v>142.34</v>
      </c>
      <c r="K1033" s="0" t="n">
        <v>1</v>
      </c>
      <c r="T1033" s="0" t="n">
        <v>4</v>
      </c>
      <c r="U1033" s="0" t="n">
        <v>2</v>
      </c>
      <c r="V1033" s="0" t="inlineStr">
        <is>
          <t>계단식</t>
        </is>
      </c>
      <c r="W1033" s="0" t="n">
        <v>165</v>
      </c>
      <c r="X1033" s="0" t="n">
        <v>7</v>
      </c>
      <c r="Y1033" s="0" t="n">
        <v>6</v>
      </c>
      <c r="Z1033" s="0" t="inlineStr">
        <is>
          <t>https://new.land.naver.com/complexes/109547?tab=detail&amp;rf=Y</t>
        </is>
      </c>
      <c r="AA1033" s="0" t="inlineStr">
        <is>
          <t>인천시 서구 석남동 504-3</t>
        </is>
      </c>
      <c r="AB1033" s="0" t="inlineStr">
        <is>
          <t>인천시</t>
        </is>
      </c>
      <c r="AC1033" s="0" t="inlineStr">
        <is>
          <t>서구</t>
        </is>
      </c>
      <c r="AD1033" s="0" t="inlineStr">
        <is>
          <t>석남동</t>
        </is>
      </c>
      <c r="AG1033" s="0" t="inlineStr">
        <is>
          <t>인천시 서구 옻우물로8번길 7</t>
        </is>
      </c>
      <c r="AH1033" s="0" t="n">
        <v>0</v>
      </c>
      <c r="AI1033" s="0" t="n">
        <v>305</v>
      </c>
      <c r="AJ1033" s="0" t="n">
        <v>60</v>
      </c>
      <c r="AK1033" s="0" t="n">
        <v>20</v>
      </c>
      <c r="AL1033" s="0" t="n">
        <v>1.05</v>
      </c>
    </row>
    <row r="1034">
      <c r="A1034" s="0" t="inlineStr">
        <is>
          <t>[석남동]</t>
        </is>
      </c>
      <c r="B1034" s="0" t="n">
        <v>9025</v>
      </c>
      <c r="C1034" s="0" t="n">
        <v>1</v>
      </c>
      <c r="D1034" s="0" t="inlineStr">
        <is>
          <t>효정(489)</t>
        </is>
      </c>
      <c r="E1034" s="0" t="inlineStr">
        <is>
          <t>1989.10.</t>
        </is>
      </c>
      <c r="F1034" s="0" t="n">
        <v>192</v>
      </c>
      <c r="G1034" s="0" t="n">
        <v>14.81</v>
      </c>
      <c r="H1034" s="0" t="n">
        <v>48.96</v>
      </c>
      <c r="I1034" s="0" t="n">
        <v>12.06</v>
      </c>
      <c r="J1034" s="0" t="n">
        <v>39.87</v>
      </c>
      <c r="K1034" s="0" t="n">
        <v>132</v>
      </c>
      <c r="T1034" s="0" t="n">
        <v>2</v>
      </c>
      <c r="U1034" s="0" t="n">
        <v>1</v>
      </c>
      <c r="V1034" s="0" t="inlineStr">
        <is>
          <t>계단식</t>
        </is>
      </c>
      <c r="W1034" s="0" t="n">
        <v>48</v>
      </c>
      <c r="X1034" s="0" t="n">
        <v>6</v>
      </c>
      <c r="Y1034" s="0" t="n">
        <v>6</v>
      </c>
      <c r="Z1034" s="0" t="inlineStr">
        <is>
          <t>https://new.land.naver.com/complexes/9025?tab=detail&amp;rf=Y</t>
        </is>
      </c>
      <c r="AA1034" s="0" t="inlineStr">
        <is>
          <t>인천시 서구 석남동 489</t>
        </is>
      </c>
      <c r="AB1034" s="0" t="inlineStr">
        <is>
          <t>인천시</t>
        </is>
      </c>
      <c r="AC1034" s="0" t="inlineStr">
        <is>
          <t>서구</t>
        </is>
      </c>
      <c r="AD1034" s="0" t="inlineStr">
        <is>
          <t>석남동</t>
        </is>
      </c>
      <c r="AG1034" s="0" t="inlineStr">
        <is>
          <t>인천시 서구 서달로123번길 9</t>
        </is>
      </c>
      <c r="AH1034" s="0" t="n">
        <v>0</v>
      </c>
      <c r="AI1034" s="0" t="n">
        <v>188</v>
      </c>
      <c r="AJ1034" s="0" t="n">
        <v>30</v>
      </c>
      <c r="AK1034" s="0" t="n">
        <v>0</v>
      </c>
      <c r="AL1034" s="0" t="n">
        <v>0</v>
      </c>
    </row>
    <row r="1035">
      <c r="A1035" s="0" t="inlineStr">
        <is>
          <t>[석남동]</t>
        </is>
      </c>
      <c r="B1035" s="0" t="n">
        <v>9025</v>
      </c>
      <c r="C1035" s="0" t="n">
        <v>2</v>
      </c>
      <c r="D1035" s="0" t="inlineStr">
        <is>
          <t>효정(489)</t>
        </is>
      </c>
      <c r="E1035" s="0" t="inlineStr">
        <is>
          <t>1989.10.</t>
        </is>
      </c>
      <c r="F1035" s="0" t="n">
        <v>192</v>
      </c>
      <c r="G1035" s="0" t="n">
        <v>19.46</v>
      </c>
      <c r="H1035" s="0" t="n">
        <v>64.34</v>
      </c>
      <c r="I1035" s="0" t="n">
        <v>16.42</v>
      </c>
      <c r="J1035" s="0" t="n">
        <v>54.3</v>
      </c>
      <c r="K1035" s="0" t="n">
        <v>60</v>
      </c>
      <c r="T1035" s="0" t="n">
        <v>2</v>
      </c>
      <c r="U1035" s="0" t="n">
        <v>1</v>
      </c>
      <c r="V1035" s="0" t="inlineStr">
        <is>
          <t>계단식</t>
        </is>
      </c>
      <c r="W1035" s="0" t="n">
        <v>64</v>
      </c>
      <c r="X1035" s="0" t="n">
        <v>6</v>
      </c>
      <c r="Y1035" s="0" t="n">
        <v>6</v>
      </c>
      <c r="Z1035" s="0" t="inlineStr">
        <is>
          <t>https://new.land.naver.com/complexes/9025?tab=detail&amp;rf=Y</t>
        </is>
      </c>
      <c r="AA1035" s="0" t="inlineStr">
        <is>
          <t>인천시 서구 석남동 489</t>
        </is>
      </c>
      <c r="AB1035" s="0" t="inlineStr">
        <is>
          <t>인천시</t>
        </is>
      </c>
      <c r="AC1035" s="0" t="inlineStr">
        <is>
          <t>서구</t>
        </is>
      </c>
      <c r="AD1035" s="0" t="inlineStr">
        <is>
          <t>석남동</t>
        </is>
      </c>
      <c r="AG1035" s="0" t="inlineStr">
        <is>
          <t>인천시 서구 서달로123번길 9</t>
        </is>
      </c>
      <c r="AH1035" s="0" t="n">
        <v>0</v>
      </c>
      <c r="AI1035" s="0" t="n">
        <v>188</v>
      </c>
      <c r="AJ1035" s="0" t="n">
        <v>30</v>
      </c>
      <c r="AK1035" s="0" t="n">
        <v>0</v>
      </c>
      <c r="AL1035" s="0" t="n">
        <v>0</v>
      </c>
    </row>
    <row r="1036">
      <c r="A1036" s="0" t="inlineStr">
        <is>
          <t>[석남동]</t>
        </is>
      </c>
      <c r="B1036" s="0" t="n">
        <v>13088</v>
      </c>
      <c r="C1036" s="0" t="n">
        <v>1</v>
      </c>
      <c r="D1036" s="0" t="inlineStr">
        <is>
          <t>금성</t>
        </is>
      </c>
      <c r="E1036" s="0" t="inlineStr">
        <is>
          <t>1984.05.</t>
        </is>
      </c>
      <c r="F1036" s="0" t="n">
        <v>30</v>
      </c>
      <c r="G1036" s="0" t="n">
        <v>17.96</v>
      </c>
      <c r="H1036" s="0" t="n">
        <v>59.4</v>
      </c>
      <c r="I1036" s="0" t="n">
        <v>14.81</v>
      </c>
      <c r="J1036" s="0" t="n">
        <v>48.96</v>
      </c>
      <c r="K1036" s="0" t="n">
        <v>5</v>
      </c>
      <c r="T1036" s="0" t="n">
        <v>2</v>
      </c>
      <c r="U1036" s="0" t="n">
        <v>1</v>
      </c>
      <c r="V1036" s="0" t="inlineStr">
        <is>
          <t>복합식</t>
        </is>
      </c>
      <c r="W1036" s="0" t="n">
        <v>59</v>
      </c>
      <c r="X1036" s="0" t="n">
        <v>5</v>
      </c>
      <c r="Y1036" s="0" t="n">
        <v>5</v>
      </c>
      <c r="Z1036" s="0" t="inlineStr">
        <is>
          <t>https://new.land.naver.com/complexes/13088?tab=detail&amp;rf=Y</t>
        </is>
      </c>
      <c r="AA1036" s="0" t="inlineStr">
        <is>
          <t>인천시 서구 석남동 516-3</t>
        </is>
      </c>
      <c r="AB1036" s="0" t="inlineStr">
        <is>
          <t>인천시</t>
        </is>
      </c>
      <c r="AC1036" s="0" t="inlineStr">
        <is>
          <t>서구</t>
        </is>
      </c>
      <c r="AD1036" s="0" t="inlineStr">
        <is>
          <t>석남동</t>
        </is>
      </c>
      <c r="AG1036" s="0" t="inlineStr">
        <is>
          <t>인천시 서구 가정로261번길 11</t>
        </is>
      </c>
      <c r="AH1036" s="0" t="n">
        <v>0</v>
      </c>
      <c r="AI1036" s="0" t="n">
        <v>0</v>
      </c>
      <c r="AJ1036" s="0" t="n">
        <v>0</v>
      </c>
      <c r="AK1036" s="0" t="n">
        <v>0</v>
      </c>
      <c r="AL1036" s="0" t="n">
        <v>0</v>
      </c>
    </row>
    <row r="1037">
      <c r="A1037" s="0" t="inlineStr">
        <is>
          <t>[석남동]</t>
        </is>
      </c>
      <c r="B1037" s="0" t="n">
        <v>13088</v>
      </c>
      <c r="C1037" s="0" t="n">
        <v>2</v>
      </c>
      <c r="D1037" s="0" t="inlineStr">
        <is>
          <t>금성</t>
        </is>
      </c>
      <c r="E1037" s="0" t="inlineStr">
        <is>
          <t>1984.05.</t>
        </is>
      </c>
      <c r="F1037" s="0" t="n">
        <v>30</v>
      </c>
      <c r="G1037" s="0" t="n">
        <v>19.71</v>
      </c>
      <c r="H1037" s="0" t="n">
        <v>65.16</v>
      </c>
      <c r="I1037" s="0" t="n">
        <v>16.55</v>
      </c>
      <c r="J1037" s="0" t="n">
        <v>54.72</v>
      </c>
      <c r="K1037" s="0" t="n">
        <v>5</v>
      </c>
      <c r="T1037" s="0" t="n">
        <v>2</v>
      </c>
      <c r="U1037" s="0" t="n">
        <v>1</v>
      </c>
      <c r="V1037" s="0" t="inlineStr">
        <is>
          <t>복합식</t>
        </is>
      </c>
      <c r="W1037" s="0" t="n">
        <v>65</v>
      </c>
      <c r="X1037" s="0" t="n">
        <v>5</v>
      </c>
      <c r="Y1037" s="0" t="n">
        <v>5</v>
      </c>
      <c r="Z1037" s="0" t="inlineStr">
        <is>
          <t>https://new.land.naver.com/complexes/13088?tab=detail&amp;rf=Y</t>
        </is>
      </c>
      <c r="AA1037" s="0" t="inlineStr">
        <is>
          <t>인천시 서구 석남동 516-3</t>
        </is>
      </c>
      <c r="AB1037" s="0" t="inlineStr">
        <is>
          <t>인천시</t>
        </is>
      </c>
      <c r="AC1037" s="0" t="inlineStr">
        <is>
          <t>서구</t>
        </is>
      </c>
      <c r="AD1037" s="0" t="inlineStr">
        <is>
          <t>석남동</t>
        </is>
      </c>
      <c r="AG1037" s="0" t="inlineStr">
        <is>
          <t>인천시 서구 가정로261번길 11</t>
        </is>
      </c>
      <c r="AH1037" s="0" t="n">
        <v>0</v>
      </c>
      <c r="AI1037" s="0" t="n">
        <v>0</v>
      </c>
      <c r="AJ1037" s="0" t="n">
        <v>0</v>
      </c>
      <c r="AK1037" s="0" t="n">
        <v>0</v>
      </c>
      <c r="AL1037" s="0" t="n">
        <v>0</v>
      </c>
    </row>
    <row r="1038">
      <c r="A1038" s="0" t="inlineStr">
        <is>
          <t>[석남동]</t>
        </is>
      </c>
      <c r="B1038" s="0" t="n">
        <v>13088</v>
      </c>
      <c r="C1038" s="0" t="n">
        <v>3</v>
      </c>
      <c r="D1038" s="0" t="inlineStr">
        <is>
          <t>금성</t>
        </is>
      </c>
      <c r="E1038" s="0" t="inlineStr">
        <is>
          <t>1984.05.</t>
        </is>
      </c>
      <c r="F1038" s="0" t="n">
        <v>30</v>
      </c>
      <c r="G1038" s="0" t="n">
        <v>21.1</v>
      </c>
      <c r="H1038" s="0" t="n">
        <v>69.76000000000001</v>
      </c>
      <c r="I1038" s="0" t="n">
        <v>17.58</v>
      </c>
      <c r="J1038" s="0" t="n">
        <v>58.14</v>
      </c>
      <c r="K1038" s="0" t="n">
        <v>20</v>
      </c>
      <c r="T1038" s="0" t="n">
        <v>2</v>
      </c>
      <c r="U1038" s="0" t="n">
        <v>1</v>
      </c>
      <c r="V1038" s="0" t="inlineStr">
        <is>
          <t>계단식</t>
        </is>
      </c>
      <c r="W1038" s="0" t="n">
        <v>69</v>
      </c>
      <c r="X1038" s="0" t="n">
        <v>5</v>
      </c>
      <c r="Y1038" s="0" t="n">
        <v>5</v>
      </c>
      <c r="Z1038" s="0" t="inlineStr">
        <is>
          <t>https://new.land.naver.com/complexes/13088?tab=detail&amp;rf=Y</t>
        </is>
      </c>
      <c r="AA1038" s="0" t="inlineStr">
        <is>
          <t>인천시 서구 석남동 516-3</t>
        </is>
      </c>
      <c r="AB1038" s="0" t="inlineStr">
        <is>
          <t>인천시</t>
        </is>
      </c>
      <c r="AC1038" s="0" t="inlineStr">
        <is>
          <t>서구</t>
        </is>
      </c>
      <c r="AD1038" s="0" t="inlineStr">
        <is>
          <t>석남동</t>
        </is>
      </c>
      <c r="AG1038" s="0" t="inlineStr">
        <is>
          <t>인천시 서구 가정로261번길 11</t>
        </is>
      </c>
      <c r="AH1038" s="0" t="n">
        <v>0</v>
      </c>
      <c r="AI1038" s="0" t="n">
        <v>0</v>
      </c>
      <c r="AJ1038" s="0" t="n">
        <v>0</v>
      </c>
      <c r="AK1038" s="0" t="n">
        <v>0</v>
      </c>
      <c r="AL1038" s="0" t="n">
        <v>0</v>
      </c>
    </row>
    <row r="1039">
      <c r="A1039" s="0" t="inlineStr">
        <is>
          <t>[석남동]</t>
        </is>
      </c>
      <c r="B1039" s="0" t="n">
        <v>8968</v>
      </c>
      <c r="C1039" s="0" t="n">
        <v>1</v>
      </c>
      <c r="D1039" s="0" t="inlineStr">
        <is>
          <t>동진3차</t>
        </is>
      </c>
      <c r="E1039" s="0" t="inlineStr">
        <is>
          <t>1990.01.</t>
        </is>
      </c>
      <c r="F1039" s="0" t="n">
        <v>192</v>
      </c>
      <c r="G1039" s="0" t="n">
        <v>15.25</v>
      </c>
      <c r="H1039" s="0" t="n">
        <v>50.42</v>
      </c>
      <c r="I1039" s="0" t="n">
        <v>11.44</v>
      </c>
      <c r="J1039" s="0" t="n">
        <v>37.82</v>
      </c>
      <c r="K1039" s="0" t="n">
        <v>108</v>
      </c>
      <c r="T1039" s="0" t="n">
        <v>2</v>
      </c>
      <c r="U1039" s="0" t="n">
        <v>1</v>
      </c>
      <c r="V1039" s="0" t="inlineStr">
        <is>
          <t>계단식</t>
        </is>
      </c>
      <c r="W1039" s="0" t="n">
        <v>50</v>
      </c>
      <c r="X1039" s="0" t="n">
        <v>6</v>
      </c>
      <c r="Y1039" s="0" t="n">
        <v>6</v>
      </c>
      <c r="Z1039" s="0" t="inlineStr">
        <is>
          <t>https://new.land.naver.com/complexes/8968?tab=detail&amp;rf=Y</t>
        </is>
      </c>
      <c r="AA1039" s="0" t="inlineStr">
        <is>
          <t>인천시 서구 석남동 490</t>
        </is>
      </c>
      <c r="AB1039" s="0" t="inlineStr">
        <is>
          <t>인천시</t>
        </is>
      </c>
      <c r="AC1039" s="0" t="inlineStr">
        <is>
          <t>서구</t>
        </is>
      </c>
      <c r="AD1039" s="0" t="inlineStr">
        <is>
          <t>석남동</t>
        </is>
      </c>
      <c r="AG1039" s="0" t="inlineStr">
        <is>
          <t>인천시 서구 가석로 276</t>
        </is>
      </c>
      <c r="AH1039" s="0" t="n">
        <v>0</v>
      </c>
      <c r="AI1039" s="0" t="n">
        <v>186</v>
      </c>
      <c r="AJ1039" s="0" t="n">
        <v>33</v>
      </c>
      <c r="AK1039" s="0" t="n">
        <v>0</v>
      </c>
      <c r="AL1039" s="0" t="n">
        <v>0</v>
      </c>
    </row>
    <row r="1040">
      <c r="A1040" s="0" t="inlineStr">
        <is>
          <t>[석남동]</t>
        </is>
      </c>
      <c r="B1040" s="0" t="n">
        <v>8968</v>
      </c>
      <c r="C1040" s="0" t="n">
        <v>2</v>
      </c>
      <c r="D1040" s="0" t="inlineStr">
        <is>
          <t>동진3차</t>
        </is>
      </c>
      <c r="E1040" s="0" t="inlineStr">
        <is>
          <t>1990.01.</t>
        </is>
      </c>
      <c r="F1040" s="0" t="n">
        <v>192</v>
      </c>
      <c r="G1040" s="0" t="n">
        <v>20.72</v>
      </c>
      <c r="H1040" s="0" t="n">
        <v>68.52</v>
      </c>
      <c r="I1040" s="0" t="n">
        <v>16.16</v>
      </c>
      <c r="J1040" s="0" t="n">
        <v>53.44</v>
      </c>
      <c r="K1040" s="0" t="n">
        <v>48</v>
      </c>
      <c r="T1040" s="0" t="n">
        <v>3</v>
      </c>
      <c r="U1040" s="0" t="n">
        <v>1</v>
      </c>
      <c r="V1040" s="0" t="inlineStr">
        <is>
          <t>계단식</t>
        </is>
      </c>
      <c r="W1040" s="0" t="n">
        <v>68</v>
      </c>
      <c r="X1040" s="0" t="n">
        <v>6</v>
      </c>
      <c r="Y1040" s="0" t="n">
        <v>6</v>
      </c>
      <c r="Z1040" s="0" t="inlineStr">
        <is>
          <t>https://new.land.naver.com/complexes/8968?tab=detail&amp;rf=Y</t>
        </is>
      </c>
      <c r="AA1040" s="0" t="inlineStr">
        <is>
          <t>인천시 서구 석남동 490</t>
        </is>
      </c>
      <c r="AB1040" s="0" t="inlineStr">
        <is>
          <t>인천시</t>
        </is>
      </c>
      <c r="AC1040" s="0" t="inlineStr">
        <is>
          <t>서구</t>
        </is>
      </c>
      <c r="AD1040" s="0" t="inlineStr">
        <is>
          <t>석남동</t>
        </is>
      </c>
      <c r="AG1040" s="0" t="inlineStr">
        <is>
          <t>인천시 서구 가석로 276</t>
        </is>
      </c>
      <c r="AH1040" s="0" t="n">
        <v>0</v>
      </c>
      <c r="AI1040" s="0" t="n">
        <v>186</v>
      </c>
      <c r="AJ1040" s="0" t="n">
        <v>33</v>
      </c>
      <c r="AK1040" s="0" t="n">
        <v>0</v>
      </c>
      <c r="AL1040" s="0" t="n">
        <v>0</v>
      </c>
    </row>
    <row r="1041">
      <c r="A1041" s="0" t="inlineStr">
        <is>
          <t>[석남동]</t>
        </is>
      </c>
      <c r="B1041" s="0" t="n">
        <v>8968</v>
      </c>
      <c r="C1041" s="0" t="n">
        <v>3</v>
      </c>
      <c r="D1041" s="0" t="inlineStr">
        <is>
          <t>동진3차</t>
        </is>
      </c>
      <c r="E1041" s="0" t="inlineStr">
        <is>
          <t>1990.01.</t>
        </is>
      </c>
      <c r="F1041" s="0" t="n">
        <v>192</v>
      </c>
      <c r="G1041" s="0" t="n">
        <v>22.68</v>
      </c>
      <c r="H1041" s="0" t="n">
        <v>74.98</v>
      </c>
      <c r="I1041" s="0" t="n">
        <v>17.85</v>
      </c>
      <c r="J1041" s="0" t="n">
        <v>59.03</v>
      </c>
      <c r="K1041" s="0" t="n">
        <v>24</v>
      </c>
      <c r="T1041" s="0" t="n">
        <v>3</v>
      </c>
      <c r="U1041" s="0" t="n">
        <v>1</v>
      </c>
      <c r="V1041" s="0" t="inlineStr">
        <is>
          <t>계단식</t>
        </is>
      </c>
      <c r="W1041" s="0" t="n">
        <v>74</v>
      </c>
      <c r="X1041" s="0" t="n">
        <v>6</v>
      </c>
      <c r="Y1041" s="0" t="n">
        <v>6</v>
      </c>
      <c r="Z1041" s="0" t="inlineStr">
        <is>
          <t>https://new.land.naver.com/complexes/8968?tab=detail&amp;rf=Y</t>
        </is>
      </c>
      <c r="AA1041" s="0" t="inlineStr">
        <is>
          <t>인천시 서구 석남동 490</t>
        </is>
      </c>
      <c r="AB1041" s="0" t="inlineStr">
        <is>
          <t>인천시</t>
        </is>
      </c>
      <c r="AC1041" s="0" t="inlineStr">
        <is>
          <t>서구</t>
        </is>
      </c>
      <c r="AD1041" s="0" t="inlineStr">
        <is>
          <t>석남동</t>
        </is>
      </c>
      <c r="AG1041" s="0" t="inlineStr">
        <is>
          <t>인천시 서구 가석로 276</t>
        </is>
      </c>
      <c r="AH1041" s="0" t="n">
        <v>0</v>
      </c>
      <c r="AI1041" s="0" t="n">
        <v>186</v>
      </c>
      <c r="AJ1041" s="0" t="n">
        <v>33</v>
      </c>
      <c r="AK1041" s="0" t="n">
        <v>0</v>
      </c>
      <c r="AL1041" s="0" t="n">
        <v>0</v>
      </c>
    </row>
    <row r="1042">
      <c r="A1042" s="0" t="inlineStr">
        <is>
          <t>[석남동]</t>
        </is>
      </c>
      <c r="B1042" s="0" t="n">
        <v>8968</v>
      </c>
      <c r="C1042" s="0" t="n">
        <v>4</v>
      </c>
      <c r="D1042" s="0" t="inlineStr">
        <is>
          <t>동진3차</t>
        </is>
      </c>
      <c r="E1042" s="0" t="inlineStr">
        <is>
          <t>1990.01.</t>
        </is>
      </c>
      <c r="F1042" s="0" t="n">
        <v>192</v>
      </c>
      <c r="G1042" s="0" t="n">
        <v>26.55</v>
      </c>
      <c r="H1042" s="0" t="n">
        <v>87.77</v>
      </c>
      <c r="I1042" s="0" t="n">
        <v>19.36</v>
      </c>
      <c r="J1042" s="0" t="n">
        <v>64.01000000000001</v>
      </c>
      <c r="K1042" s="0" t="n">
        <v>12</v>
      </c>
      <c r="T1042" s="0" t="n">
        <v>3</v>
      </c>
      <c r="U1042" s="0" t="n">
        <v>1</v>
      </c>
      <c r="V1042" s="0" t="inlineStr">
        <is>
          <t>계단식</t>
        </is>
      </c>
      <c r="W1042" s="0" t="n">
        <v>87</v>
      </c>
      <c r="X1042" s="0" t="n">
        <v>6</v>
      </c>
      <c r="Y1042" s="0" t="n">
        <v>6</v>
      </c>
      <c r="Z1042" s="0" t="inlineStr">
        <is>
          <t>https://new.land.naver.com/complexes/8968?tab=detail&amp;rf=Y</t>
        </is>
      </c>
      <c r="AA1042" s="0" t="inlineStr">
        <is>
          <t>인천시 서구 석남동 490</t>
        </is>
      </c>
      <c r="AB1042" s="0" t="inlineStr">
        <is>
          <t>인천시</t>
        </is>
      </c>
      <c r="AC1042" s="0" t="inlineStr">
        <is>
          <t>서구</t>
        </is>
      </c>
      <c r="AD1042" s="0" t="inlineStr">
        <is>
          <t>석남동</t>
        </is>
      </c>
      <c r="AG1042" s="0" t="inlineStr">
        <is>
          <t>인천시 서구 가석로 276</t>
        </is>
      </c>
      <c r="AH1042" s="0" t="n">
        <v>0</v>
      </c>
      <c r="AI1042" s="0" t="n">
        <v>186</v>
      </c>
      <c r="AJ1042" s="0" t="n">
        <v>33</v>
      </c>
      <c r="AK1042" s="0" t="n">
        <v>0</v>
      </c>
      <c r="AL1042" s="0" t="n">
        <v>0</v>
      </c>
    </row>
    <row r="1043">
      <c r="A1043" s="0" t="inlineStr">
        <is>
          <t>[석남동]</t>
        </is>
      </c>
      <c r="B1043" s="0" t="n">
        <v>116710</v>
      </c>
      <c r="C1043" s="0" t="n">
        <v>1</v>
      </c>
      <c r="D1043" s="0" t="inlineStr">
        <is>
          <t>해마루</t>
        </is>
      </c>
      <c r="E1043" s="0" t="inlineStr">
        <is>
          <t>2014.01.</t>
        </is>
      </c>
      <c r="F1043" s="0" t="n">
        <v>36</v>
      </c>
      <c r="G1043" s="0" t="n">
        <v>20.62</v>
      </c>
      <c r="H1043" s="0" t="n">
        <v>68.18000000000001</v>
      </c>
      <c r="I1043" s="0" t="n">
        <v>17.69</v>
      </c>
      <c r="J1043" s="0" t="n">
        <v>58.51</v>
      </c>
      <c r="K1043" s="0" t="n">
        <v>9</v>
      </c>
      <c r="T1043" s="0" t="n">
        <v>3</v>
      </c>
      <c r="U1043" s="0" t="n">
        <v>2</v>
      </c>
      <c r="V1043" s="0" t="inlineStr">
        <is>
          <t>계단식</t>
        </is>
      </c>
      <c r="W1043" s="0" t="inlineStr">
        <is>
          <t>68A</t>
        </is>
      </c>
      <c r="X1043" s="0" t="n">
        <v>10</v>
      </c>
      <c r="Y1043" s="0" t="n">
        <v>10</v>
      </c>
      <c r="Z1043" s="0" t="inlineStr">
        <is>
          <t>https://new.land.naver.com/complexes/116710?tab=detail&amp;rf=Y</t>
        </is>
      </c>
      <c r="AA1043" s="0" t="inlineStr">
        <is>
          <t>인천시 서구 석남동 488-7</t>
        </is>
      </c>
      <c r="AB1043" s="0" t="inlineStr">
        <is>
          <t>인천시</t>
        </is>
      </c>
      <c r="AC1043" s="0" t="inlineStr">
        <is>
          <t>서구</t>
        </is>
      </c>
      <c r="AD1043" s="0" t="inlineStr">
        <is>
          <t>석남동</t>
        </is>
      </c>
      <c r="AG1043" s="0" t="inlineStr">
        <is>
          <t>인천시 서구 서달로 111</t>
        </is>
      </c>
      <c r="AH1043" s="0" t="n">
        <v>0</v>
      </c>
      <c r="AI1043" s="0" t="n">
        <v>450</v>
      </c>
      <c r="AJ1043" s="0" t="n">
        <v>69</v>
      </c>
      <c r="AK1043" s="0" t="n">
        <v>38</v>
      </c>
      <c r="AL1043" s="0" t="n">
        <v>1.06</v>
      </c>
    </row>
    <row r="1044">
      <c r="A1044" s="0" t="inlineStr">
        <is>
          <t>[석남동]</t>
        </is>
      </c>
      <c r="B1044" s="0" t="n">
        <v>116710</v>
      </c>
      <c r="C1044" s="0" t="n">
        <v>2</v>
      </c>
      <c r="D1044" s="0" t="inlineStr">
        <is>
          <t>해마루</t>
        </is>
      </c>
      <c r="E1044" s="0" t="inlineStr">
        <is>
          <t>2014.01.</t>
        </is>
      </c>
      <c r="F1044" s="0" t="n">
        <v>36</v>
      </c>
      <c r="G1044" s="0" t="n">
        <v>20.82</v>
      </c>
      <c r="H1044" s="0" t="n">
        <v>68.83</v>
      </c>
      <c r="I1044" s="0" t="n">
        <v>17.86</v>
      </c>
      <c r="J1044" s="0" t="n">
        <v>59.07</v>
      </c>
      <c r="K1044" s="0" t="n">
        <v>9</v>
      </c>
      <c r="T1044" s="0" t="n">
        <v>3</v>
      </c>
      <c r="U1044" s="0" t="n">
        <v>2</v>
      </c>
      <c r="V1044" s="0" t="inlineStr">
        <is>
          <t>계단식</t>
        </is>
      </c>
      <c r="W1044" s="0" t="inlineStr">
        <is>
          <t>68B</t>
        </is>
      </c>
      <c r="X1044" s="0" t="n">
        <v>10</v>
      </c>
      <c r="Y1044" s="0" t="n">
        <v>10</v>
      </c>
      <c r="Z1044" s="0" t="inlineStr">
        <is>
          <t>https://new.land.naver.com/complexes/116710?tab=detail&amp;rf=Y</t>
        </is>
      </c>
      <c r="AA1044" s="0" t="inlineStr">
        <is>
          <t>인천시 서구 석남동 488-7</t>
        </is>
      </c>
      <c r="AB1044" s="0" t="inlineStr">
        <is>
          <t>인천시</t>
        </is>
      </c>
      <c r="AC1044" s="0" t="inlineStr">
        <is>
          <t>서구</t>
        </is>
      </c>
      <c r="AD1044" s="0" t="inlineStr">
        <is>
          <t>석남동</t>
        </is>
      </c>
      <c r="AG1044" s="0" t="inlineStr">
        <is>
          <t>인천시 서구 서달로 111</t>
        </is>
      </c>
      <c r="AH1044" s="0" t="n">
        <v>0</v>
      </c>
      <c r="AI1044" s="0" t="n">
        <v>450</v>
      </c>
      <c r="AJ1044" s="0" t="n">
        <v>69</v>
      </c>
      <c r="AK1044" s="0" t="n">
        <v>38</v>
      </c>
      <c r="AL1044" s="0" t="n">
        <v>1.06</v>
      </c>
    </row>
    <row r="1045">
      <c r="A1045" s="0" t="inlineStr">
        <is>
          <t>[석남동]</t>
        </is>
      </c>
      <c r="B1045" s="0" t="n">
        <v>116710</v>
      </c>
      <c r="C1045" s="0" t="n">
        <v>3</v>
      </c>
      <c r="D1045" s="0" t="inlineStr">
        <is>
          <t>해마루</t>
        </is>
      </c>
      <c r="E1045" s="0" t="inlineStr">
        <is>
          <t>2014.01.</t>
        </is>
      </c>
      <c r="F1045" s="0" t="n">
        <v>36</v>
      </c>
      <c r="G1045" s="0" t="n">
        <v>22.59</v>
      </c>
      <c r="H1045" s="0" t="n">
        <v>74.7</v>
      </c>
      <c r="I1045" s="0" t="n">
        <v>19.39</v>
      </c>
      <c r="J1045" s="0" t="n">
        <v>64.09999999999999</v>
      </c>
      <c r="K1045" s="0" t="n">
        <v>9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74</v>
      </c>
      <c r="X1045" s="0" t="n">
        <v>10</v>
      </c>
      <c r="Y1045" s="0" t="n">
        <v>10</v>
      </c>
      <c r="Z1045" s="0" t="inlineStr">
        <is>
          <t>https://new.land.naver.com/complexes/116710?tab=detail&amp;rf=Y</t>
        </is>
      </c>
      <c r="AA1045" s="0" t="inlineStr">
        <is>
          <t>인천시 서구 석남동 488-7</t>
        </is>
      </c>
      <c r="AB1045" s="0" t="inlineStr">
        <is>
          <t>인천시</t>
        </is>
      </c>
      <c r="AC1045" s="0" t="inlineStr">
        <is>
          <t>서구</t>
        </is>
      </c>
      <c r="AD1045" s="0" t="inlineStr">
        <is>
          <t>석남동</t>
        </is>
      </c>
      <c r="AG1045" s="0" t="inlineStr">
        <is>
          <t>인천시 서구 서달로 111</t>
        </is>
      </c>
      <c r="AH1045" s="0" t="n">
        <v>0</v>
      </c>
      <c r="AI1045" s="0" t="n">
        <v>450</v>
      </c>
      <c r="AJ1045" s="0" t="n">
        <v>69</v>
      </c>
      <c r="AK1045" s="0" t="n">
        <v>38</v>
      </c>
      <c r="AL1045" s="0" t="n">
        <v>1.06</v>
      </c>
    </row>
    <row r="1046">
      <c r="A1046" s="0" t="inlineStr">
        <is>
          <t>[석남동]</t>
        </is>
      </c>
      <c r="B1046" s="0" t="n">
        <v>116710</v>
      </c>
      <c r="C1046" s="0" t="n">
        <v>4</v>
      </c>
      <c r="D1046" s="0" t="inlineStr">
        <is>
          <t>해마루</t>
        </is>
      </c>
      <c r="E1046" s="0" t="inlineStr">
        <is>
          <t>2014.01.</t>
        </is>
      </c>
      <c r="F1046" s="0" t="n">
        <v>36</v>
      </c>
      <c r="G1046" s="0" t="n">
        <v>24.42</v>
      </c>
      <c r="H1046" s="0" t="n">
        <v>80.73</v>
      </c>
      <c r="I1046" s="0" t="n">
        <v>20.95</v>
      </c>
      <c r="J1046" s="0" t="n">
        <v>69.28</v>
      </c>
      <c r="K1046" s="0" t="n">
        <v>9</v>
      </c>
      <c r="T1046" s="0" t="n">
        <v>3</v>
      </c>
      <c r="U1046" s="0" t="n">
        <v>2</v>
      </c>
      <c r="V1046" s="0" t="inlineStr">
        <is>
          <t>계단식</t>
        </is>
      </c>
      <c r="W1046" s="0" t="n">
        <v>80</v>
      </c>
      <c r="X1046" s="0" t="n">
        <v>10</v>
      </c>
      <c r="Y1046" s="0" t="n">
        <v>10</v>
      </c>
      <c r="Z1046" s="0" t="inlineStr">
        <is>
          <t>https://new.land.naver.com/complexes/116710?tab=detail&amp;rf=Y</t>
        </is>
      </c>
      <c r="AA1046" s="0" t="inlineStr">
        <is>
          <t>인천시 서구 석남동 488-7</t>
        </is>
      </c>
      <c r="AB1046" s="0" t="inlineStr">
        <is>
          <t>인천시</t>
        </is>
      </c>
      <c r="AC1046" s="0" t="inlineStr">
        <is>
          <t>서구</t>
        </is>
      </c>
      <c r="AD1046" s="0" t="inlineStr">
        <is>
          <t>석남동</t>
        </is>
      </c>
      <c r="AG1046" s="0" t="inlineStr">
        <is>
          <t>인천시 서구 서달로 111</t>
        </is>
      </c>
      <c r="AH1046" s="0" t="n">
        <v>0</v>
      </c>
      <c r="AI1046" s="0" t="n">
        <v>450</v>
      </c>
      <c r="AJ1046" s="0" t="n">
        <v>69</v>
      </c>
      <c r="AK1046" s="0" t="n">
        <v>38</v>
      </c>
      <c r="AL1046" s="0" t="n">
        <v>1.06</v>
      </c>
    </row>
    <row r="1047">
      <c r="A1047" s="0" t="inlineStr">
        <is>
          <t>[석남동]</t>
        </is>
      </c>
      <c r="B1047" s="0" t="n">
        <v>22884</v>
      </c>
      <c r="C1047" s="0" t="n">
        <v>1</v>
      </c>
      <c r="D1047" s="0" t="inlineStr">
        <is>
          <t>효정(588-14)</t>
        </is>
      </c>
      <c r="E1047" s="0" t="inlineStr">
        <is>
          <t>1987.05.</t>
        </is>
      </c>
      <c r="F1047" s="0" t="n">
        <v>130</v>
      </c>
      <c r="G1047" s="0" t="n">
        <v>18.58</v>
      </c>
      <c r="H1047" s="0" t="n">
        <v>61.45</v>
      </c>
      <c r="I1047" s="0" t="n">
        <v>14.93</v>
      </c>
      <c r="J1047" s="0" t="n">
        <v>49.38</v>
      </c>
      <c r="K1047" s="0" t="n">
        <v>130</v>
      </c>
      <c r="T1047" s="0" t="n">
        <v>3</v>
      </c>
      <c r="U1047" s="0" t="n">
        <v>1</v>
      </c>
      <c r="V1047" s="0" t="inlineStr">
        <is>
          <t>계단식</t>
        </is>
      </c>
      <c r="W1047" s="0" t="n">
        <v>61</v>
      </c>
      <c r="X1047" s="0" t="n">
        <v>5</v>
      </c>
      <c r="Y1047" s="0" t="n">
        <v>5</v>
      </c>
      <c r="Z1047" s="0" t="inlineStr">
        <is>
          <t>https://new.land.naver.com/complexes/22884?tab=detail&amp;rf=Y</t>
        </is>
      </c>
      <c r="AA1047" s="0" t="inlineStr">
        <is>
          <t>인천시 서구 석남동 588-14</t>
        </is>
      </c>
      <c r="AB1047" s="0" t="inlineStr">
        <is>
          <t>인천시</t>
        </is>
      </c>
      <c r="AC1047" s="0" t="inlineStr">
        <is>
          <t>서구</t>
        </is>
      </c>
      <c r="AD1047" s="0" t="inlineStr">
        <is>
          <t>석남동</t>
        </is>
      </c>
      <c r="AG1047" s="0" t="inlineStr">
        <is>
          <t>인천시 서구 건지로249번길 29</t>
        </is>
      </c>
      <c r="AH1047" s="0" t="n">
        <v>0</v>
      </c>
      <c r="AI1047" s="0" t="n">
        <v>129</v>
      </c>
      <c r="AJ1047" s="0" t="n">
        <v>25</v>
      </c>
      <c r="AK1047" s="0" t="n">
        <v>0</v>
      </c>
      <c r="AL1047" s="0" t="n">
        <v>0</v>
      </c>
    </row>
    <row r="1048">
      <c r="A1048" s="0" t="inlineStr">
        <is>
          <t>[석남동]</t>
        </is>
      </c>
      <c r="B1048" s="0" t="n">
        <v>10463</v>
      </c>
      <c r="C1048" s="0" t="n">
        <v>1</v>
      </c>
      <c r="D1048" s="0" t="inlineStr">
        <is>
          <t>수정</t>
        </is>
      </c>
      <c r="E1048" s="0" t="inlineStr">
        <is>
          <t>1989.04.</t>
        </is>
      </c>
      <c r="F1048" s="0" t="n">
        <v>144</v>
      </c>
      <c r="G1048" s="0" t="n">
        <v>17.85</v>
      </c>
      <c r="H1048" s="0" t="n">
        <v>59.04</v>
      </c>
      <c r="I1048" s="0" t="n">
        <v>13.89</v>
      </c>
      <c r="J1048" s="0" t="n">
        <v>45.92</v>
      </c>
      <c r="K1048" s="0" t="n">
        <v>72</v>
      </c>
      <c r="T1048" s="0" t="n">
        <v>2</v>
      </c>
      <c r="U1048" s="0" t="n">
        <v>1</v>
      </c>
      <c r="V1048" s="0" t="inlineStr">
        <is>
          <t>계단식</t>
        </is>
      </c>
      <c r="W1048" s="0" t="n">
        <v>59</v>
      </c>
      <c r="X1048" s="0" t="n">
        <v>6</v>
      </c>
      <c r="Y1048" s="0" t="n">
        <v>6</v>
      </c>
      <c r="Z1048" s="0" t="inlineStr">
        <is>
          <t>https://new.land.naver.com/complexes/10463?tab=detail&amp;rf=Y</t>
        </is>
      </c>
      <c r="AA1048" s="0" t="inlineStr">
        <is>
          <t>인천시 서구 석남동 514-1</t>
        </is>
      </c>
      <c r="AB1048" s="0" t="inlineStr">
        <is>
          <t>인천시</t>
        </is>
      </c>
      <c r="AC1048" s="0" t="inlineStr">
        <is>
          <t>서구</t>
        </is>
      </c>
      <c r="AD1048" s="0" t="inlineStr">
        <is>
          <t>석남동</t>
        </is>
      </c>
      <c r="AG1048" s="0" t="inlineStr">
        <is>
          <t>인천시 서구 칠천왕로 29</t>
        </is>
      </c>
      <c r="AH1048" s="0" t="n">
        <v>0</v>
      </c>
      <c r="AI1048" s="0" t="n">
        <v>179</v>
      </c>
      <c r="AJ1048" s="0" t="n">
        <v>29</v>
      </c>
      <c r="AK1048" s="0" t="n">
        <v>0</v>
      </c>
      <c r="AL1048" s="0" t="n">
        <v>0</v>
      </c>
    </row>
    <row r="1049">
      <c r="A1049" s="0" t="inlineStr">
        <is>
          <t>[석남동]</t>
        </is>
      </c>
      <c r="B1049" s="0" t="n">
        <v>10463</v>
      </c>
      <c r="C1049" s="0" t="n">
        <v>2</v>
      </c>
      <c r="D1049" s="0" t="inlineStr">
        <is>
          <t>수정</t>
        </is>
      </c>
      <c r="E1049" s="0" t="inlineStr">
        <is>
          <t>1989.04.</t>
        </is>
      </c>
      <c r="F1049" s="0" t="n">
        <v>144</v>
      </c>
      <c r="G1049" s="0" t="n">
        <v>18.98</v>
      </c>
      <c r="H1049" s="0" t="n">
        <v>62.75</v>
      </c>
      <c r="I1049" s="0" t="n">
        <v>14.87</v>
      </c>
      <c r="J1049" s="0" t="n">
        <v>49.16</v>
      </c>
      <c r="K1049" s="0" t="n">
        <v>60</v>
      </c>
      <c r="T1049" s="0" t="n">
        <v>3</v>
      </c>
      <c r="U1049" s="0" t="n">
        <v>1</v>
      </c>
      <c r="V1049" s="0" t="inlineStr">
        <is>
          <t>계단식</t>
        </is>
      </c>
      <c r="W1049" s="0" t="n">
        <v>62</v>
      </c>
      <c r="X1049" s="0" t="n">
        <v>6</v>
      </c>
      <c r="Y1049" s="0" t="n">
        <v>6</v>
      </c>
      <c r="Z1049" s="0" t="inlineStr">
        <is>
          <t>https://new.land.naver.com/complexes/10463?tab=detail&amp;rf=Y</t>
        </is>
      </c>
      <c r="AA1049" s="0" t="inlineStr">
        <is>
          <t>인천시 서구 석남동 514-1</t>
        </is>
      </c>
      <c r="AB1049" s="0" t="inlineStr">
        <is>
          <t>인천시</t>
        </is>
      </c>
      <c r="AC1049" s="0" t="inlineStr">
        <is>
          <t>서구</t>
        </is>
      </c>
      <c r="AD1049" s="0" t="inlineStr">
        <is>
          <t>석남동</t>
        </is>
      </c>
      <c r="AG1049" s="0" t="inlineStr">
        <is>
          <t>인천시 서구 칠천왕로 29</t>
        </is>
      </c>
      <c r="AH1049" s="0" t="n">
        <v>0</v>
      </c>
      <c r="AI1049" s="0" t="n">
        <v>179</v>
      </c>
      <c r="AJ1049" s="0" t="n">
        <v>29</v>
      </c>
      <c r="AK1049" s="0" t="n">
        <v>0</v>
      </c>
      <c r="AL1049" s="0" t="n">
        <v>0</v>
      </c>
    </row>
    <row r="1050">
      <c r="A1050" s="0" t="inlineStr">
        <is>
          <t>[석남동]</t>
        </is>
      </c>
      <c r="B1050" s="0" t="n">
        <v>10463</v>
      </c>
      <c r="C1050" s="0" t="n">
        <v>3</v>
      </c>
      <c r="D1050" s="0" t="inlineStr">
        <is>
          <t>수정</t>
        </is>
      </c>
      <c r="E1050" s="0" t="inlineStr">
        <is>
          <t>1989.04.</t>
        </is>
      </c>
      <c r="F1050" s="0" t="n">
        <v>144</v>
      </c>
      <c r="G1050" s="0" t="n">
        <v>24.39</v>
      </c>
      <c r="H1050" s="0" t="n">
        <v>80.66</v>
      </c>
      <c r="I1050" s="0" t="n">
        <v>17.7</v>
      </c>
      <c r="J1050" s="0" t="n">
        <v>58.52</v>
      </c>
      <c r="K1050" s="0" t="n">
        <v>12</v>
      </c>
      <c r="T1050" s="0" t="n">
        <v>3</v>
      </c>
      <c r="U1050" s="0" t="n">
        <v>1</v>
      </c>
      <c r="V1050" s="0" t="inlineStr">
        <is>
          <t>계단식</t>
        </is>
      </c>
      <c r="W1050" s="0" t="n">
        <v>80</v>
      </c>
      <c r="X1050" s="0" t="n">
        <v>6</v>
      </c>
      <c r="Y1050" s="0" t="n">
        <v>6</v>
      </c>
      <c r="Z1050" s="0" t="inlineStr">
        <is>
          <t>https://new.land.naver.com/complexes/10463?tab=detail&amp;rf=Y</t>
        </is>
      </c>
      <c r="AA1050" s="0" t="inlineStr">
        <is>
          <t>인천시 서구 석남동 514-1</t>
        </is>
      </c>
      <c r="AB1050" s="0" t="inlineStr">
        <is>
          <t>인천시</t>
        </is>
      </c>
      <c r="AC1050" s="0" t="inlineStr">
        <is>
          <t>서구</t>
        </is>
      </c>
      <c r="AD1050" s="0" t="inlineStr">
        <is>
          <t>석남동</t>
        </is>
      </c>
      <c r="AG1050" s="0" t="inlineStr">
        <is>
          <t>인천시 서구 칠천왕로 29</t>
        </is>
      </c>
      <c r="AH1050" s="0" t="n">
        <v>0</v>
      </c>
      <c r="AI1050" s="0" t="n">
        <v>179</v>
      </c>
      <c r="AJ1050" s="0" t="n">
        <v>29</v>
      </c>
      <c r="AK1050" s="0" t="n">
        <v>0</v>
      </c>
      <c r="AL1050" s="0" t="n">
        <v>0</v>
      </c>
    </row>
    <row r="1051">
      <c r="A1051" s="0" t="inlineStr">
        <is>
          <t>[석남동]</t>
        </is>
      </c>
      <c r="B1051" s="0" t="n">
        <v>102023</v>
      </c>
      <c r="C1051" s="0" t="n">
        <v>1</v>
      </c>
      <c r="D1051" s="0" t="inlineStr">
        <is>
          <t>에메랄드</t>
        </is>
      </c>
      <c r="E1051" s="0" t="inlineStr">
        <is>
          <t>2008.12.</t>
        </is>
      </c>
      <c r="F1051" s="0" t="n">
        <v>24</v>
      </c>
      <c r="G1051" s="0" t="n">
        <v>22.23</v>
      </c>
      <c r="H1051" s="0" t="n">
        <v>73.51000000000001</v>
      </c>
      <c r="I1051" s="0" t="n">
        <v>18.24</v>
      </c>
      <c r="J1051" s="0" t="n">
        <v>60.33</v>
      </c>
      <c r="K1051" s="0" t="n">
        <v>2</v>
      </c>
      <c r="T1051" s="0" t="n">
        <v>2</v>
      </c>
      <c r="U1051" s="0" t="n">
        <v>1</v>
      </c>
      <c r="V1051" s="0" t="inlineStr">
        <is>
          <t>계단식</t>
        </is>
      </c>
      <c r="W1051" s="0" t="n">
        <v>73</v>
      </c>
      <c r="X1051" s="0" t="n">
        <v>15</v>
      </c>
      <c r="Y1051" s="0" t="n">
        <v>13</v>
      </c>
      <c r="Z1051" s="0" t="inlineStr">
        <is>
          <t>https://new.land.naver.com/complexes/102023?tab=detail&amp;rf=Y</t>
        </is>
      </c>
      <c r="AA1051" s="0" t="inlineStr">
        <is>
          <t>인천시 서구 석남동 504-8</t>
        </is>
      </c>
      <c r="AB1051" s="0" t="inlineStr">
        <is>
          <t>인천시</t>
        </is>
      </c>
      <c r="AC1051" s="0" t="inlineStr">
        <is>
          <t>서구</t>
        </is>
      </c>
      <c r="AD1051" s="0" t="inlineStr">
        <is>
          <t>석남동</t>
        </is>
      </c>
      <c r="AG1051" s="0" t="inlineStr">
        <is>
          <t>인천시 서구 신석로112번길 28</t>
        </is>
      </c>
      <c r="AH1051" s="0" t="n">
        <v>0</v>
      </c>
      <c r="AI1051" s="0" t="n">
        <v>732</v>
      </c>
      <c r="AJ1051" s="0" t="n">
        <v>57</v>
      </c>
      <c r="AK1051" s="0" t="n">
        <v>25</v>
      </c>
      <c r="AL1051" s="0" t="n">
        <v>1.04</v>
      </c>
    </row>
    <row r="1052">
      <c r="A1052" s="0" t="inlineStr">
        <is>
          <t>[석남동]</t>
        </is>
      </c>
      <c r="B1052" s="0" t="n">
        <v>102023</v>
      </c>
      <c r="C1052" s="0" t="n">
        <v>2</v>
      </c>
      <c r="D1052" s="0" t="inlineStr">
        <is>
          <t>에메랄드</t>
        </is>
      </c>
      <c r="E1052" s="0" t="inlineStr">
        <is>
          <t>2008.12.</t>
        </is>
      </c>
      <c r="F1052" s="0" t="n">
        <v>24</v>
      </c>
      <c r="G1052" s="0" t="n">
        <v>31.3</v>
      </c>
      <c r="H1052" s="0" t="n">
        <v>103.48</v>
      </c>
      <c r="I1052" s="0" t="n">
        <v>25.69</v>
      </c>
      <c r="J1052" s="0" t="n">
        <v>84.93000000000001</v>
      </c>
      <c r="K1052" s="0" t="n">
        <v>18</v>
      </c>
      <c r="T1052" s="0" t="n">
        <v>3</v>
      </c>
      <c r="U1052" s="0" t="n">
        <v>2</v>
      </c>
      <c r="V1052" s="0" t="inlineStr">
        <is>
          <t>계단식</t>
        </is>
      </c>
      <c r="W1052" s="0" t="n">
        <v>103</v>
      </c>
      <c r="X1052" s="0" t="n">
        <v>15</v>
      </c>
      <c r="Y1052" s="0" t="n">
        <v>13</v>
      </c>
      <c r="Z1052" s="0" t="inlineStr">
        <is>
          <t>https://new.land.naver.com/complexes/102023?tab=detail&amp;rf=Y</t>
        </is>
      </c>
      <c r="AA1052" s="0" t="inlineStr">
        <is>
          <t>인천시 서구 석남동 504-8</t>
        </is>
      </c>
      <c r="AB1052" s="0" t="inlineStr">
        <is>
          <t>인천시</t>
        </is>
      </c>
      <c r="AC1052" s="0" t="inlineStr">
        <is>
          <t>서구</t>
        </is>
      </c>
      <c r="AD1052" s="0" t="inlineStr">
        <is>
          <t>석남동</t>
        </is>
      </c>
      <c r="AG1052" s="0" t="inlineStr">
        <is>
          <t>인천시 서구 신석로112번길 28</t>
        </is>
      </c>
      <c r="AH1052" s="0" t="n">
        <v>0</v>
      </c>
      <c r="AI1052" s="0" t="n">
        <v>732</v>
      </c>
      <c r="AJ1052" s="0" t="n">
        <v>57</v>
      </c>
      <c r="AK1052" s="0" t="n">
        <v>25</v>
      </c>
      <c r="AL1052" s="0" t="n">
        <v>1.04</v>
      </c>
    </row>
    <row r="1053">
      <c r="A1053" s="0" t="inlineStr">
        <is>
          <t>[석남동]</t>
        </is>
      </c>
      <c r="B1053" s="0" t="n">
        <v>102023</v>
      </c>
      <c r="C1053" s="0" t="n">
        <v>3</v>
      </c>
      <c r="D1053" s="0" t="inlineStr">
        <is>
          <t>에메랄드</t>
        </is>
      </c>
      <c r="E1053" s="0" t="inlineStr">
        <is>
          <t>2008.12.</t>
        </is>
      </c>
      <c r="F1053" s="0" t="n">
        <v>24</v>
      </c>
      <c r="G1053" s="0" t="n">
        <v>33.35</v>
      </c>
      <c r="H1053" s="0" t="n">
        <v>110.27</v>
      </c>
      <c r="I1053" s="0" t="n">
        <v>27.37</v>
      </c>
      <c r="J1053" s="0" t="n">
        <v>90.5</v>
      </c>
      <c r="K1053" s="0" t="n">
        <v>4</v>
      </c>
      <c r="T1053" s="0" t="n">
        <v>3</v>
      </c>
      <c r="U1053" s="0" t="n">
        <v>2</v>
      </c>
      <c r="V1053" s="0" t="inlineStr">
        <is>
          <t>계단식</t>
        </is>
      </c>
      <c r="W1053" s="0" t="n">
        <v>110</v>
      </c>
      <c r="X1053" s="0" t="n">
        <v>15</v>
      </c>
      <c r="Y1053" s="0" t="n">
        <v>13</v>
      </c>
      <c r="Z1053" s="0" t="inlineStr">
        <is>
          <t>https://new.land.naver.com/complexes/102023?tab=detail&amp;rf=Y</t>
        </is>
      </c>
      <c r="AA1053" s="0" t="inlineStr">
        <is>
          <t>인천시 서구 석남동 504-8</t>
        </is>
      </c>
      <c r="AB1053" s="0" t="inlineStr">
        <is>
          <t>인천시</t>
        </is>
      </c>
      <c r="AC1053" s="0" t="inlineStr">
        <is>
          <t>서구</t>
        </is>
      </c>
      <c r="AD1053" s="0" t="inlineStr">
        <is>
          <t>석남동</t>
        </is>
      </c>
      <c r="AG1053" s="0" t="inlineStr">
        <is>
          <t>인천시 서구 신석로112번길 28</t>
        </is>
      </c>
      <c r="AH1053" s="0" t="n">
        <v>0</v>
      </c>
      <c r="AI1053" s="0" t="n">
        <v>732</v>
      </c>
      <c r="AJ1053" s="0" t="n">
        <v>57</v>
      </c>
      <c r="AK1053" s="0" t="n">
        <v>25</v>
      </c>
      <c r="AL1053" s="0" t="n">
        <v>1.04</v>
      </c>
    </row>
    <row r="1054">
      <c r="A1054" s="0" t="inlineStr">
        <is>
          <t>[석남동]</t>
        </is>
      </c>
      <c r="B1054" s="0" t="n">
        <v>16697</v>
      </c>
      <c r="C1054" s="0" t="n">
        <v>1</v>
      </c>
      <c r="D1054" s="0" t="inlineStr">
        <is>
          <t>중앙1차</t>
        </is>
      </c>
      <c r="E1054" s="0" t="inlineStr">
        <is>
          <t>1984.12.</t>
        </is>
      </c>
      <c r="F1054" s="0" t="n">
        <v>35</v>
      </c>
      <c r="G1054" s="0" t="n">
        <v>26</v>
      </c>
      <c r="H1054" s="0" t="n">
        <v>85.95999999999999</v>
      </c>
      <c r="I1054" s="0" t="n">
        <v>22.21</v>
      </c>
      <c r="J1054" s="0" t="n">
        <v>73.44</v>
      </c>
      <c r="K1054" s="0" t="n">
        <v>30</v>
      </c>
      <c r="T1054" s="0" t="n">
        <v>3</v>
      </c>
      <c r="U1054" s="0" t="n">
        <v>2</v>
      </c>
      <c r="V1054" s="0" t="inlineStr">
        <is>
          <t>계단식</t>
        </is>
      </c>
      <c r="W1054" s="0" t="n">
        <v>85</v>
      </c>
      <c r="X1054" s="0" t="n">
        <v>5</v>
      </c>
      <c r="Y1054" s="0" t="n">
        <v>5</v>
      </c>
      <c r="Z1054" s="0" t="inlineStr">
        <is>
          <t>https://new.land.naver.com/complexes/16697?tab=detail&amp;rf=Y</t>
        </is>
      </c>
      <c r="AA1054" s="0" t="inlineStr">
        <is>
          <t>인천시 서구 석남동 503</t>
        </is>
      </c>
      <c r="AB1054" s="0" t="inlineStr">
        <is>
          <t>인천시</t>
        </is>
      </c>
      <c r="AC1054" s="0" t="inlineStr">
        <is>
          <t>서구</t>
        </is>
      </c>
      <c r="AD1054" s="0" t="inlineStr">
        <is>
          <t>석남동</t>
        </is>
      </c>
      <c r="AG1054" s="0" t="inlineStr">
        <is>
          <t>인천시 서구 옻우물로 6</t>
        </is>
      </c>
      <c r="AH1054" s="0" t="n">
        <v>0</v>
      </c>
      <c r="AI1054" s="0" t="n">
        <v>0</v>
      </c>
      <c r="AJ1054" s="0" t="n">
        <v>0</v>
      </c>
      <c r="AK1054" s="0" t="n">
        <v>0</v>
      </c>
      <c r="AL1054" s="0" t="n">
        <v>0</v>
      </c>
    </row>
    <row r="1055">
      <c r="A1055" s="0" t="inlineStr">
        <is>
          <t>[석남동]</t>
        </is>
      </c>
      <c r="B1055" s="0" t="n">
        <v>16697</v>
      </c>
      <c r="C1055" s="0" t="n">
        <v>2</v>
      </c>
      <c r="D1055" s="0" t="inlineStr">
        <is>
          <t>중앙1차</t>
        </is>
      </c>
      <c r="E1055" s="0" t="inlineStr">
        <is>
          <t>1984.12.</t>
        </is>
      </c>
      <c r="F1055" s="0" t="n">
        <v>35</v>
      </c>
      <c r="G1055" s="0" t="n">
        <v>29.25</v>
      </c>
      <c r="H1055" s="0" t="n">
        <v>96.70999999999999</v>
      </c>
      <c r="I1055" s="0" t="n">
        <v>24.99</v>
      </c>
      <c r="J1055" s="0" t="n">
        <v>82.62</v>
      </c>
      <c r="K1055" s="0" t="n">
        <v>5</v>
      </c>
      <c r="T1055" s="0" t="n">
        <v>3</v>
      </c>
      <c r="U1055" s="0" t="n">
        <v>2</v>
      </c>
      <c r="V1055" s="0" t="inlineStr">
        <is>
          <t>계단식</t>
        </is>
      </c>
      <c r="W1055" s="0" t="n">
        <v>96</v>
      </c>
      <c r="X1055" s="0" t="n">
        <v>5</v>
      </c>
      <c r="Y1055" s="0" t="n">
        <v>5</v>
      </c>
      <c r="Z1055" s="0" t="inlineStr">
        <is>
          <t>https://new.land.naver.com/complexes/16697?tab=detail&amp;rf=Y</t>
        </is>
      </c>
      <c r="AA1055" s="0" t="inlineStr">
        <is>
          <t>인천시 서구 석남동 503</t>
        </is>
      </c>
      <c r="AB1055" s="0" t="inlineStr">
        <is>
          <t>인천시</t>
        </is>
      </c>
      <c r="AC1055" s="0" t="inlineStr">
        <is>
          <t>서구</t>
        </is>
      </c>
      <c r="AD1055" s="0" t="inlineStr">
        <is>
          <t>석남동</t>
        </is>
      </c>
      <c r="AG1055" s="0" t="inlineStr">
        <is>
          <t>인천시 서구 옻우물로 6</t>
        </is>
      </c>
      <c r="AH1055" s="0" t="n">
        <v>0</v>
      </c>
      <c r="AI1055" s="0" t="n">
        <v>0</v>
      </c>
      <c r="AJ1055" s="0" t="n">
        <v>0</v>
      </c>
      <c r="AK1055" s="0" t="n">
        <v>0</v>
      </c>
      <c r="AL1055" s="0" t="n">
        <v>0</v>
      </c>
    </row>
    <row r="1056">
      <c r="A1056" s="0" t="inlineStr">
        <is>
          <t>[석남동]</t>
        </is>
      </c>
      <c r="B1056" s="0" t="n">
        <v>26010</v>
      </c>
      <c r="C1056" s="0" t="n">
        <v>1</v>
      </c>
      <c r="D1056" s="0" t="inlineStr">
        <is>
          <t>knp상상빌리지</t>
        </is>
      </c>
      <c r="E1056" s="0" t="inlineStr">
        <is>
          <t>2007.06.</t>
        </is>
      </c>
      <c r="F1056" s="0" t="n">
        <v>116</v>
      </c>
      <c r="G1056" s="0" t="n">
        <v>30.66</v>
      </c>
      <c r="H1056" s="0" t="n">
        <v>101.37</v>
      </c>
      <c r="I1056" s="0" t="n">
        <v>25.64</v>
      </c>
      <c r="J1056" s="0" t="n">
        <v>84.79000000000001</v>
      </c>
      <c r="K1056" s="0" t="n">
        <v>116</v>
      </c>
      <c r="T1056" s="0" t="n">
        <v>3</v>
      </c>
      <c r="U1056" s="0" t="n">
        <v>2</v>
      </c>
      <c r="V1056" s="0" t="inlineStr">
        <is>
          <t>계단식</t>
        </is>
      </c>
      <c r="W1056" s="0" t="n">
        <v>101</v>
      </c>
      <c r="X1056" s="0" t="n">
        <v>15</v>
      </c>
      <c r="Y1056" s="0" t="n">
        <v>9</v>
      </c>
      <c r="Z1056" s="0" t="inlineStr">
        <is>
          <t>https://new.land.naver.com/complexes/26010?tab=detail&amp;rf=Y</t>
        </is>
      </c>
      <c r="AA1056" s="0" t="inlineStr">
        <is>
          <t>인천시 서구 석남동 517</t>
        </is>
      </c>
      <c r="AB1056" s="0" t="inlineStr">
        <is>
          <t>인천시</t>
        </is>
      </c>
      <c r="AC1056" s="0" t="inlineStr">
        <is>
          <t>서구</t>
        </is>
      </c>
      <c r="AD1056" s="0" t="inlineStr">
        <is>
          <t>석남동</t>
        </is>
      </c>
      <c r="AG1056" s="0" t="inlineStr">
        <is>
          <t>인천시 서구 칠천왕로7번길 8</t>
        </is>
      </c>
      <c r="AH1056" s="0" t="n">
        <v>0</v>
      </c>
      <c r="AI1056" s="0" t="n">
        <v>477</v>
      </c>
      <c r="AJ1056" s="0" t="n">
        <v>65</v>
      </c>
      <c r="AK1056" s="0" t="n">
        <v>190</v>
      </c>
      <c r="AL1056" s="0" t="n">
        <v>1.64</v>
      </c>
    </row>
    <row r="1057">
      <c r="A1057" s="0" t="inlineStr">
        <is>
          <t>[석남동]</t>
        </is>
      </c>
      <c r="B1057" s="0" t="n">
        <v>9409</v>
      </c>
      <c r="C1057" s="0" t="n">
        <v>1</v>
      </c>
      <c r="D1057" s="0" t="inlineStr">
        <is>
          <t>태산</t>
        </is>
      </c>
      <c r="E1057" s="0" t="inlineStr">
        <is>
          <t>1989.04.</t>
        </is>
      </c>
      <c r="F1057" s="0" t="n">
        <v>144</v>
      </c>
      <c r="G1057" s="0" t="n">
        <v>14.52</v>
      </c>
      <c r="H1057" s="0" t="n">
        <v>48.01</v>
      </c>
      <c r="I1057" s="0" t="n">
        <v>11.04</v>
      </c>
      <c r="J1057" s="0" t="n">
        <v>36.52</v>
      </c>
      <c r="K1057" s="0" t="n">
        <v>138</v>
      </c>
      <c r="T1057" s="0" t="n">
        <v>2</v>
      </c>
      <c r="U1057" s="0" t="n">
        <v>1</v>
      </c>
      <c r="V1057" s="0" t="inlineStr">
        <is>
          <t>계단식</t>
        </is>
      </c>
      <c r="W1057" s="0" t="n">
        <v>48</v>
      </c>
      <c r="X1057" s="0" t="n">
        <v>6</v>
      </c>
      <c r="Y1057" s="0" t="n">
        <v>6</v>
      </c>
      <c r="Z1057" s="0" t="inlineStr">
        <is>
          <t>https://new.land.naver.com/complexes/9409?tab=detail&amp;rf=Y</t>
        </is>
      </c>
      <c r="AA1057" s="0" t="inlineStr">
        <is>
          <t>인천시 서구 석남동 499</t>
        </is>
      </c>
      <c r="AB1057" s="0" t="inlineStr">
        <is>
          <t>인천시</t>
        </is>
      </c>
      <c r="AC1057" s="0" t="inlineStr">
        <is>
          <t>서구</t>
        </is>
      </c>
      <c r="AD1057" s="0" t="inlineStr">
        <is>
          <t>석남동</t>
        </is>
      </c>
      <c r="AG1057" s="0" t="inlineStr">
        <is>
          <t>인천시 서구 가정로262번길 19</t>
        </is>
      </c>
      <c r="AH1057" s="0" t="n">
        <v>0</v>
      </c>
      <c r="AI1057" s="0" t="n">
        <v>163</v>
      </c>
      <c r="AJ1057" s="0" t="n">
        <v>28</v>
      </c>
      <c r="AK1057" s="0" t="n">
        <v>0</v>
      </c>
      <c r="AL1057" s="0" t="n">
        <v>0</v>
      </c>
    </row>
    <row r="1058">
      <c r="A1058" s="0" t="inlineStr">
        <is>
          <t>[석남동]</t>
        </is>
      </c>
      <c r="B1058" s="0" t="n">
        <v>9409</v>
      </c>
      <c r="C1058" s="0" t="n">
        <v>2</v>
      </c>
      <c r="D1058" s="0" t="inlineStr">
        <is>
          <t>태산</t>
        </is>
      </c>
      <c r="E1058" s="0" t="inlineStr">
        <is>
          <t>1989.04.</t>
        </is>
      </c>
      <c r="F1058" s="0" t="n">
        <v>144</v>
      </c>
      <c r="G1058" s="0" t="n">
        <v>15.56</v>
      </c>
      <c r="H1058" s="0" t="n">
        <v>51.45</v>
      </c>
      <c r="I1058" s="0" t="n">
        <v>11.94</v>
      </c>
      <c r="J1058" s="0" t="n">
        <v>39.49</v>
      </c>
      <c r="K1058" s="0" t="n">
        <v>6</v>
      </c>
      <c r="T1058" s="0" t="n">
        <v>2</v>
      </c>
      <c r="U1058" s="0" t="n">
        <v>1</v>
      </c>
      <c r="V1058" s="0" t="inlineStr">
        <is>
          <t>계단식</t>
        </is>
      </c>
      <c r="W1058" s="0" t="n">
        <v>51</v>
      </c>
      <c r="X1058" s="0" t="n">
        <v>6</v>
      </c>
      <c r="Y1058" s="0" t="n">
        <v>6</v>
      </c>
      <c r="Z1058" s="0" t="inlineStr">
        <is>
          <t>https://new.land.naver.com/complexes/9409?tab=detail&amp;rf=Y</t>
        </is>
      </c>
      <c r="AA1058" s="0" t="inlineStr">
        <is>
          <t>인천시 서구 석남동 499</t>
        </is>
      </c>
      <c r="AB1058" s="0" t="inlineStr">
        <is>
          <t>인천시</t>
        </is>
      </c>
      <c r="AC1058" s="0" t="inlineStr">
        <is>
          <t>서구</t>
        </is>
      </c>
      <c r="AD1058" s="0" t="inlineStr">
        <is>
          <t>석남동</t>
        </is>
      </c>
      <c r="AG1058" s="0" t="inlineStr">
        <is>
          <t>인천시 서구 가정로262번길 19</t>
        </is>
      </c>
      <c r="AH1058" s="0" t="n">
        <v>0</v>
      </c>
      <c r="AI1058" s="0" t="n">
        <v>163</v>
      </c>
      <c r="AJ1058" s="0" t="n">
        <v>28</v>
      </c>
      <c r="AK1058" s="0" t="n">
        <v>0</v>
      </c>
      <c r="AL1058" s="0" t="n">
        <v>0</v>
      </c>
    </row>
    <row r="1059">
      <c r="A1059" s="0" t="inlineStr">
        <is>
          <t>[석남동]</t>
        </is>
      </c>
      <c r="B1059" s="0" t="n">
        <v>13061</v>
      </c>
      <c r="C1059" s="0" t="n">
        <v>1</v>
      </c>
      <c r="D1059" s="0" t="inlineStr">
        <is>
          <t>경인</t>
        </is>
      </c>
      <c r="E1059" s="0" t="inlineStr">
        <is>
          <t>1984.07.</t>
        </is>
      </c>
      <c r="F1059" s="0" t="n">
        <v>150</v>
      </c>
      <c r="G1059" s="0" t="n">
        <v>16.3</v>
      </c>
      <c r="H1059" s="0" t="n">
        <v>53.89</v>
      </c>
      <c r="I1059" s="0" t="n">
        <v>13.58</v>
      </c>
      <c r="J1059" s="0" t="n">
        <v>44.91</v>
      </c>
      <c r="K1059" s="0" t="n">
        <v>120</v>
      </c>
      <c r="T1059" s="0" t="n">
        <v>3</v>
      </c>
      <c r="U1059" s="0" t="n">
        <v>1</v>
      </c>
      <c r="V1059" s="0" t="inlineStr">
        <is>
          <t>계단식</t>
        </is>
      </c>
      <c r="W1059" s="0" t="inlineStr">
        <is>
          <t>53B</t>
        </is>
      </c>
      <c r="X1059" s="0" t="n">
        <v>5</v>
      </c>
      <c r="Y1059" s="0" t="n">
        <v>5</v>
      </c>
      <c r="Z1059" s="0" t="inlineStr">
        <is>
          <t>https://new.land.naver.com/complexes/13061?tab=detail&amp;rf=Y</t>
        </is>
      </c>
      <c r="AA1059" s="0" t="inlineStr">
        <is>
          <t>인천시 서구 석남동 559</t>
        </is>
      </c>
      <c r="AB1059" s="0" t="inlineStr">
        <is>
          <t>인천시</t>
        </is>
      </c>
      <c r="AC1059" s="0" t="inlineStr">
        <is>
          <t>서구</t>
        </is>
      </c>
      <c r="AD1059" s="0" t="inlineStr">
        <is>
          <t>석남동</t>
        </is>
      </c>
      <c r="AG1059" s="0" t="inlineStr">
        <is>
          <t>인천시 서구 길주로142번길 41</t>
        </is>
      </c>
      <c r="AH1059" s="0" t="n">
        <v>0</v>
      </c>
      <c r="AI1059" s="0" t="n">
        <v>118</v>
      </c>
      <c r="AJ1059" s="0" t="n">
        <v>24</v>
      </c>
      <c r="AK1059" s="0" t="n">
        <v>0</v>
      </c>
      <c r="AL1059" s="0" t="n">
        <v>0</v>
      </c>
    </row>
    <row r="1060">
      <c r="A1060" s="0" t="inlineStr">
        <is>
          <t>[석남동]</t>
        </is>
      </c>
      <c r="B1060" s="0" t="n">
        <v>13061</v>
      </c>
      <c r="C1060" s="0" t="n">
        <v>2</v>
      </c>
      <c r="D1060" s="0" t="inlineStr">
        <is>
          <t>경인</t>
        </is>
      </c>
      <c r="E1060" s="0" t="inlineStr">
        <is>
          <t>1984.07.</t>
        </is>
      </c>
      <c r="F1060" s="0" t="n">
        <v>150</v>
      </c>
      <c r="G1060" s="0" t="n">
        <v>16.26</v>
      </c>
      <c r="H1060" s="0" t="n">
        <v>53.78</v>
      </c>
      <c r="I1060" s="0" t="n">
        <v>13.55</v>
      </c>
      <c r="J1060" s="0" t="n">
        <v>44.82</v>
      </c>
      <c r="K1060" s="0" t="n">
        <v>30</v>
      </c>
      <c r="T1060" s="0" t="n">
        <v>3</v>
      </c>
      <c r="U1060" s="0" t="n">
        <v>1</v>
      </c>
      <c r="V1060" s="0" t="inlineStr">
        <is>
          <t>계단식</t>
        </is>
      </c>
      <c r="W1060" s="0" t="inlineStr">
        <is>
          <t>53A</t>
        </is>
      </c>
      <c r="X1060" s="0" t="n">
        <v>5</v>
      </c>
      <c r="Y1060" s="0" t="n">
        <v>5</v>
      </c>
      <c r="Z1060" s="0" t="inlineStr">
        <is>
          <t>https://new.land.naver.com/complexes/13061?tab=detail&amp;rf=Y</t>
        </is>
      </c>
      <c r="AA1060" s="0" t="inlineStr">
        <is>
          <t>인천시 서구 석남동 559</t>
        </is>
      </c>
      <c r="AB1060" s="0" t="inlineStr">
        <is>
          <t>인천시</t>
        </is>
      </c>
      <c r="AC1060" s="0" t="inlineStr">
        <is>
          <t>서구</t>
        </is>
      </c>
      <c r="AD1060" s="0" t="inlineStr">
        <is>
          <t>석남동</t>
        </is>
      </c>
      <c r="AG1060" s="0" t="inlineStr">
        <is>
          <t>인천시 서구 길주로142번길 41</t>
        </is>
      </c>
      <c r="AH1060" s="0" t="n">
        <v>0</v>
      </c>
      <c r="AI1060" s="0" t="n">
        <v>118</v>
      </c>
      <c r="AJ1060" s="0" t="n">
        <v>24</v>
      </c>
      <c r="AK1060" s="0" t="n">
        <v>0</v>
      </c>
      <c r="AL1060" s="0" t="n">
        <v>0</v>
      </c>
    </row>
    <row r="1061">
      <c r="A1061" s="0" t="inlineStr">
        <is>
          <t>[석남동]</t>
        </is>
      </c>
      <c r="B1061" s="0" t="n">
        <v>139085</v>
      </c>
      <c r="C1061" s="0" t="n">
        <v>1</v>
      </c>
      <c r="D1061" s="0" t="inlineStr">
        <is>
          <t>대명노블리안(도시형)</t>
        </is>
      </c>
      <c r="E1061" s="0" t="inlineStr">
        <is>
          <t>2013.11.</t>
        </is>
      </c>
      <c r="F1061" s="0" t="n">
        <v>11</v>
      </c>
      <c r="G1061" s="0" t="n">
        <v>13.87</v>
      </c>
      <c r="H1061" s="0" t="n">
        <v>45.88</v>
      </c>
      <c r="I1061" s="0" t="n">
        <v>12.15</v>
      </c>
      <c r="J1061" s="0" t="n">
        <v>40.19</v>
      </c>
      <c r="K1061" s="0" t="n">
        <v>1</v>
      </c>
      <c r="T1061" s="0" t="n">
        <v>1</v>
      </c>
      <c r="U1061" s="0" t="n">
        <v>1</v>
      </c>
      <c r="V1061" s="0" t="inlineStr">
        <is>
          <t>계단식</t>
        </is>
      </c>
      <c r="W1061" s="0" t="n">
        <v>45</v>
      </c>
      <c r="X1061" s="0" t="n">
        <v>7</v>
      </c>
      <c r="Y1061" s="0" t="n">
        <v>6</v>
      </c>
      <c r="Z1061" s="0" t="inlineStr">
        <is>
          <t>https://new.land.naver.com/complexes/139085?tab=detail&amp;rf=Y</t>
        </is>
      </c>
      <c r="AA1061" s="0" t="inlineStr">
        <is>
          <t>인천시 서구 석남동 507-24</t>
        </is>
      </c>
      <c r="AB1061" s="0" t="inlineStr">
        <is>
          <t>인천시</t>
        </is>
      </c>
      <c r="AC1061" s="0" t="inlineStr">
        <is>
          <t>서구</t>
        </is>
      </c>
      <c r="AD1061" s="0" t="inlineStr">
        <is>
          <t>석남동</t>
        </is>
      </c>
      <c r="AG1061" s="0" t="inlineStr">
        <is>
          <t>인천시 서구 옻우물로 30-1</t>
        </is>
      </c>
      <c r="AH1061" s="0" t="n">
        <v>0</v>
      </c>
      <c r="AI1061" s="0" t="n">
        <v>339</v>
      </c>
      <c r="AJ1061" s="0" t="n">
        <v>69</v>
      </c>
      <c r="AK1061" s="0" t="n">
        <v>7</v>
      </c>
      <c r="AL1061" s="0" t="n">
        <v>0.64</v>
      </c>
    </row>
    <row r="1062">
      <c r="A1062" s="0" t="inlineStr">
        <is>
          <t>[석남동]</t>
        </is>
      </c>
      <c r="B1062" s="0" t="n">
        <v>139085</v>
      </c>
      <c r="C1062" s="0" t="n">
        <v>2</v>
      </c>
      <c r="D1062" s="0" t="inlineStr">
        <is>
          <t>대명노블리안(도시형)</t>
        </is>
      </c>
      <c r="E1062" s="0" t="inlineStr">
        <is>
          <t>2013.11.</t>
        </is>
      </c>
      <c r="F1062" s="0" t="n">
        <v>11</v>
      </c>
      <c r="G1062" s="0" t="n">
        <v>15.39</v>
      </c>
      <c r="H1062" s="0" t="n">
        <v>50.9</v>
      </c>
      <c r="I1062" s="0" t="n">
        <v>13.48</v>
      </c>
      <c r="J1062" s="0" t="n">
        <v>44.58</v>
      </c>
      <c r="K1062" s="0" t="n">
        <v>1</v>
      </c>
      <c r="T1062" s="0" t="n">
        <v>1</v>
      </c>
      <c r="U1062" s="0" t="n">
        <v>1</v>
      </c>
      <c r="V1062" s="0" t="inlineStr">
        <is>
          <t>계단식</t>
        </is>
      </c>
      <c r="W1062" s="0" t="n">
        <v>50</v>
      </c>
      <c r="X1062" s="0" t="n">
        <v>7</v>
      </c>
      <c r="Y1062" s="0" t="n">
        <v>6</v>
      </c>
      <c r="Z1062" s="0" t="inlineStr">
        <is>
          <t>https://new.land.naver.com/complexes/139085?tab=detail&amp;rf=Y</t>
        </is>
      </c>
      <c r="AA1062" s="0" t="inlineStr">
        <is>
          <t>인천시 서구 석남동 507-24</t>
        </is>
      </c>
      <c r="AB1062" s="0" t="inlineStr">
        <is>
          <t>인천시</t>
        </is>
      </c>
      <c r="AC1062" s="0" t="inlineStr">
        <is>
          <t>서구</t>
        </is>
      </c>
      <c r="AD1062" s="0" t="inlineStr">
        <is>
          <t>석남동</t>
        </is>
      </c>
      <c r="AG1062" s="0" t="inlineStr">
        <is>
          <t>인천시 서구 옻우물로 30-1</t>
        </is>
      </c>
      <c r="AH1062" s="0" t="n">
        <v>0</v>
      </c>
      <c r="AI1062" s="0" t="n">
        <v>339</v>
      </c>
      <c r="AJ1062" s="0" t="n">
        <v>69</v>
      </c>
      <c r="AK1062" s="0" t="n">
        <v>7</v>
      </c>
      <c r="AL1062" s="0" t="n">
        <v>0.64</v>
      </c>
    </row>
    <row r="1063">
      <c r="A1063" s="0" t="inlineStr">
        <is>
          <t>[석남동]</t>
        </is>
      </c>
      <c r="B1063" s="0" t="n">
        <v>139085</v>
      </c>
      <c r="C1063" s="0" t="n">
        <v>3</v>
      </c>
      <c r="D1063" s="0" t="inlineStr">
        <is>
          <t>대명노블리안(도시형)</t>
        </is>
      </c>
      <c r="E1063" s="0" t="inlineStr">
        <is>
          <t>2013.11.</t>
        </is>
      </c>
      <c r="F1063" s="0" t="n">
        <v>11</v>
      </c>
      <c r="G1063" s="0" t="n">
        <v>15.74</v>
      </c>
      <c r="H1063" s="0" t="n">
        <v>52.05</v>
      </c>
      <c r="I1063" s="0" t="n">
        <v>13.79</v>
      </c>
      <c r="J1063" s="0" t="n">
        <v>45.59</v>
      </c>
      <c r="K1063" s="0" t="n">
        <v>3</v>
      </c>
      <c r="T1063" s="0" t="n">
        <v>1</v>
      </c>
      <c r="U1063" s="0" t="n">
        <v>1</v>
      </c>
      <c r="V1063" s="0" t="inlineStr">
        <is>
          <t>계단식</t>
        </is>
      </c>
      <c r="W1063" s="0" t="inlineStr">
        <is>
          <t>52A</t>
        </is>
      </c>
      <c r="X1063" s="0" t="n">
        <v>7</v>
      </c>
      <c r="Y1063" s="0" t="n">
        <v>6</v>
      </c>
      <c r="Z1063" s="0" t="inlineStr">
        <is>
          <t>https://new.land.naver.com/complexes/139085?tab=detail&amp;rf=Y</t>
        </is>
      </c>
      <c r="AA1063" s="0" t="inlineStr">
        <is>
          <t>인천시 서구 석남동 507-24</t>
        </is>
      </c>
      <c r="AB1063" s="0" t="inlineStr">
        <is>
          <t>인천시</t>
        </is>
      </c>
      <c r="AC1063" s="0" t="inlineStr">
        <is>
          <t>서구</t>
        </is>
      </c>
      <c r="AD1063" s="0" t="inlineStr">
        <is>
          <t>석남동</t>
        </is>
      </c>
      <c r="AG1063" s="0" t="inlineStr">
        <is>
          <t>인천시 서구 옻우물로 30-1</t>
        </is>
      </c>
      <c r="AH1063" s="0" t="n">
        <v>0</v>
      </c>
      <c r="AI1063" s="0" t="n">
        <v>339</v>
      </c>
      <c r="AJ1063" s="0" t="n">
        <v>69</v>
      </c>
      <c r="AK1063" s="0" t="n">
        <v>7</v>
      </c>
      <c r="AL1063" s="0" t="n">
        <v>0.64</v>
      </c>
    </row>
    <row r="1064">
      <c r="A1064" s="0" t="inlineStr">
        <is>
          <t>[석남동]</t>
        </is>
      </c>
      <c r="B1064" s="0" t="n">
        <v>139085</v>
      </c>
      <c r="C1064" s="0" t="n">
        <v>4</v>
      </c>
      <c r="D1064" s="0" t="inlineStr">
        <is>
          <t>대명노블리안(도시형)</t>
        </is>
      </c>
      <c r="E1064" s="0" t="inlineStr">
        <is>
          <t>2013.11.</t>
        </is>
      </c>
      <c r="F1064" s="0" t="n">
        <v>11</v>
      </c>
      <c r="G1064" s="0" t="n">
        <v>15.85</v>
      </c>
      <c r="H1064" s="0" t="n">
        <v>52.4</v>
      </c>
      <c r="I1064" s="0" t="n">
        <v>13.88</v>
      </c>
      <c r="J1064" s="0" t="n">
        <v>45.9</v>
      </c>
      <c r="K1064" s="0" t="n">
        <v>3</v>
      </c>
      <c r="T1064" s="0" t="n">
        <v>1</v>
      </c>
      <c r="U1064" s="0" t="n">
        <v>1</v>
      </c>
      <c r="V1064" s="0" t="inlineStr">
        <is>
          <t>계단식</t>
        </is>
      </c>
      <c r="W1064" s="0" t="inlineStr">
        <is>
          <t>52B</t>
        </is>
      </c>
      <c r="X1064" s="0" t="n">
        <v>7</v>
      </c>
      <c r="Y1064" s="0" t="n">
        <v>6</v>
      </c>
      <c r="Z1064" s="0" t="inlineStr">
        <is>
          <t>https://new.land.naver.com/complexes/139085?tab=detail&amp;rf=Y</t>
        </is>
      </c>
      <c r="AA1064" s="0" t="inlineStr">
        <is>
          <t>인천시 서구 석남동 507-24</t>
        </is>
      </c>
      <c r="AB1064" s="0" t="inlineStr">
        <is>
          <t>인천시</t>
        </is>
      </c>
      <c r="AC1064" s="0" t="inlineStr">
        <is>
          <t>서구</t>
        </is>
      </c>
      <c r="AD1064" s="0" t="inlineStr">
        <is>
          <t>석남동</t>
        </is>
      </c>
      <c r="AG1064" s="0" t="inlineStr">
        <is>
          <t>인천시 서구 옻우물로 30-1</t>
        </is>
      </c>
      <c r="AH1064" s="0" t="n">
        <v>0</v>
      </c>
      <c r="AI1064" s="0" t="n">
        <v>339</v>
      </c>
      <c r="AJ1064" s="0" t="n">
        <v>69</v>
      </c>
      <c r="AK1064" s="0" t="n">
        <v>7</v>
      </c>
      <c r="AL1064" s="0" t="n">
        <v>0.64</v>
      </c>
    </row>
    <row r="1065">
      <c r="A1065" s="0" t="inlineStr">
        <is>
          <t>[석남동]</t>
        </is>
      </c>
      <c r="B1065" s="0" t="n">
        <v>139085</v>
      </c>
      <c r="C1065" s="0" t="n">
        <v>5</v>
      </c>
      <c r="D1065" s="0" t="inlineStr">
        <is>
          <t>대명노블리안(도시형)</t>
        </is>
      </c>
      <c r="E1065" s="0" t="inlineStr">
        <is>
          <t>2013.11.</t>
        </is>
      </c>
      <c r="F1065" s="0" t="n">
        <v>11</v>
      </c>
      <c r="G1065" s="0" t="n">
        <v>17.05</v>
      </c>
      <c r="H1065" s="0" t="n">
        <v>56.38</v>
      </c>
      <c r="I1065" s="0" t="n">
        <v>14.93</v>
      </c>
      <c r="J1065" s="0" t="n">
        <v>49.38</v>
      </c>
      <c r="K1065" s="0" t="n">
        <v>3</v>
      </c>
      <c r="T1065" s="0" t="n">
        <v>1</v>
      </c>
      <c r="U1065" s="0" t="n">
        <v>1</v>
      </c>
      <c r="V1065" s="0" t="inlineStr">
        <is>
          <t>계단식</t>
        </is>
      </c>
      <c r="W1065" s="0" t="n">
        <v>56</v>
      </c>
      <c r="X1065" s="0" t="n">
        <v>7</v>
      </c>
      <c r="Y1065" s="0" t="n">
        <v>6</v>
      </c>
      <c r="Z1065" s="0" t="inlineStr">
        <is>
          <t>https://new.land.naver.com/complexes/139085?tab=detail&amp;rf=Y</t>
        </is>
      </c>
      <c r="AA1065" s="0" t="inlineStr">
        <is>
          <t>인천시 서구 석남동 507-24</t>
        </is>
      </c>
      <c r="AB1065" s="0" t="inlineStr">
        <is>
          <t>인천시</t>
        </is>
      </c>
      <c r="AC1065" s="0" t="inlineStr">
        <is>
          <t>서구</t>
        </is>
      </c>
      <c r="AD1065" s="0" t="inlineStr">
        <is>
          <t>석남동</t>
        </is>
      </c>
      <c r="AG1065" s="0" t="inlineStr">
        <is>
          <t>인천시 서구 옻우물로 30-1</t>
        </is>
      </c>
      <c r="AH1065" s="0" t="n">
        <v>0</v>
      </c>
      <c r="AI1065" s="0" t="n">
        <v>339</v>
      </c>
      <c r="AJ1065" s="0" t="n">
        <v>69</v>
      </c>
      <c r="AK1065" s="0" t="n">
        <v>7</v>
      </c>
      <c r="AL1065" s="0" t="n">
        <v>0.64</v>
      </c>
    </row>
    <row r="1066">
      <c r="A1066" s="0" t="inlineStr">
        <is>
          <t>[석남동]</t>
        </is>
      </c>
      <c r="B1066" s="0" t="n">
        <v>103161</v>
      </c>
      <c r="C1066" s="0" t="n">
        <v>1</v>
      </c>
      <c r="D1066" s="0" t="inlineStr">
        <is>
          <t>수피래</t>
        </is>
      </c>
      <c r="E1066" s="0" t="inlineStr">
        <is>
          <t>2005.12.</t>
        </is>
      </c>
      <c r="F1066" s="0" t="n">
        <v>36</v>
      </c>
      <c r="G1066" s="0" t="n">
        <v>28.52</v>
      </c>
      <c r="H1066" s="0" t="n">
        <v>94.3</v>
      </c>
      <c r="I1066" s="0" t="n">
        <v>24.62</v>
      </c>
      <c r="J1066" s="0" t="n">
        <v>81.39</v>
      </c>
      <c r="K1066" s="0" t="n">
        <v>36</v>
      </c>
      <c r="T1066" s="0" t="n">
        <v>3</v>
      </c>
      <c r="U1066" s="0" t="n">
        <v>2</v>
      </c>
      <c r="V1066" s="0" t="inlineStr">
        <is>
          <t>계단식</t>
        </is>
      </c>
      <c r="W1066" s="0" t="n">
        <v>94</v>
      </c>
      <c r="X1066" s="0" t="n">
        <v>12</v>
      </c>
      <c r="Y1066" s="0" t="n">
        <v>8</v>
      </c>
      <c r="Z1066" s="0" t="inlineStr">
        <is>
          <t>https://new.land.naver.com/complexes/103161?tab=detail&amp;rf=Y</t>
        </is>
      </c>
      <c r="AA1066" s="0" t="inlineStr">
        <is>
          <t>인천시 서구 석남동 517-3</t>
        </is>
      </c>
      <c r="AB1066" s="0" t="inlineStr">
        <is>
          <t>인천시</t>
        </is>
      </c>
      <c r="AC1066" s="0" t="inlineStr">
        <is>
          <t>서구</t>
        </is>
      </c>
      <c r="AD1066" s="0" t="inlineStr">
        <is>
          <t>석남동</t>
        </is>
      </c>
      <c r="AG1066" s="0" t="inlineStr">
        <is>
          <t>인천시 서구 칠천왕로 9</t>
        </is>
      </c>
      <c r="AH1066" s="0" t="n">
        <v>0</v>
      </c>
      <c r="AI1066" s="0" t="n">
        <v>364</v>
      </c>
      <c r="AJ1066" s="0" t="n">
        <v>74</v>
      </c>
      <c r="AK1066" s="0" t="n">
        <v>40</v>
      </c>
      <c r="AL1066" s="0" t="n">
        <v>1.11</v>
      </c>
    </row>
    <row r="1067">
      <c r="A1067" s="0" t="inlineStr">
        <is>
          <t>[석남동]</t>
        </is>
      </c>
      <c r="B1067" s="0" t="n">
        <v>119578</v>
      </c>
      <c r="C1067" s="0" t="n">
        <v>1</v>
      </c>
      <c r="D1067" s="0" t="inlineStr">
        <is>
          <t>광덕</t>
        </is>
      </c>
      <c r="E1067" s="0" t="inlineStr">
        <is>
          <t>2017.05.</t>
        </is>
      </c>
      <c r="F1067" s="0" t="n">
        <v>54</v>
      </c>
      <c r="G1067" s="0" t="n">
        <v>22.11</v>
      </c>
      <c r="H1067" s="0" t="n">
        <v>73.09999999999999</v>
      </c>
      <c r="I1067" s="0" t="n">
        <v>17.72</v>
      </c>
      <c r="J1067" s="0" t="n">
        <v>58.6</v>
      </c>
      <c r="K1067" s="0" t="n">
        <v>11</v>
      </c>
      <c r="T1067" s="0" t="n">
        <v>3</v>
      </c>
      <c r="U1067" s="0" t="n">
        <v>1</v>
      </c>
      <c r="V1067" s="0" t="inlineStr">
        <is>
          <t>계단식</t>
        </is>
      </c>
      <c r="W1067" s="0" t="inlineStr">
        <is>
          <t>73A</t>
        </is>
      </c>
      <c r="X1067" s="0" t="n">
        <v>10</v>
      </c>
      <c r="Y1067" s="0" t="n">
        <v>10</v>
      </c>
      <c r="Z1067" s="0" t="inlineStr">
        <is>
          <t>https://new.land.naver.com/complexes/119578?tab=detail&amp;rf=Y</t>
        </is>
      </c>
      <c r="AA1067" s="0" t="inlineStr">
        <is>
          <t>인천시 서구 석남동 507-7</t>
        </is>
      </c>
      <c r="AB1067" s="0" t="inlineStr">
        <is>
          <t>인천시</t>
        </is>
      </c>
      <c r="AC1067" s="0" t="inlineStr">
        <is>
          <t>서구</t>
        </is>
      </c>
      <c r="AD1067" s="0" t="inlineStr">
        <is>
          <t>석남동</t>
        </is>
      </c>
      <c r="AG1067" s="0" t="inlineStr">
        <is>
          <t>인천시 서구 신석로112번길 8</t>
        </is>
      </c>
      <c r="AH1067" s="0" t="n">
        <v>0</v>
      </c>
      <c r="AI1067" s="0" t="n">
        <v>681</v>
      </c>
      <c r="AJ1067" s="0" t="n">
        <v>66</v>
      </c>
      <c r="AK1067" s="0" t="n">
        <v>45</v>
      </c>
      <c r="AL1067" s="0" t="n">
        <v>0.83</v>
      </c>
    </row>
    <row r="1068">
      <c r="A1068" s="0" t="inlineStr">
        <is>
          <t>[석남동]</t>
        </is>
      </c>
      <c r="B1068" s="0" t="n">
        <v>119578</v>
      </c>
      <c r="C1068" s="0" t="n">
        <v>2</v>
      </c>
      <c r="D1068" s="0" t="inlineStr">
        <is>
          <t>광덕</t>
        </is>
      </c>
      <c r="E1068" s="0" t="inlineStr">
        <is>
          <t>2017.05.</t>
        </is>
      </c>
      <c r="F1068" s="0" t="n">
        <v>54</v>
      </c>
      <c r="G1068" s="0" t="n">
        <v>22.27</v>
      </c>
      <c r="H1068" s="0" t="n">
        <v>73.63</v>
      </c>
      <c r="I1068" s="0" t="n">
        <v>18.01</v>
      </c>
      <c r="J1068" s="0" t="n">
        <v>59.55</v>
      </c>
      <c r="K1068" s="0" t="n">
        <v>11</v>
      </c>
      <c r="T1068" s="0" t="n">
        <v>3</v>
      </c>
      <c r="U1068" s="0" t="n">
        <v>1</v>
      </c>
      <c r="V1068" s="0" t="inlineStr">
        <is>
          <t>계단식</t>
        </is>
      </c>
      <c r="W1068" s="0" t="inlineStr">
        <is>
          <t>73B</t>
        </is>
      </c>
      <c r="X1068" s="0" t="n">
        <v>10</v>
      </c>
      <c r="Y1068" s="0" t="n">
        <v>10</v>
      </c>
      <c r="Z1068" s="0" t="inlineStr">
        <is>
          <t>https://new.land.naver.com/complexes/119578?tab=detail&amp;rf=Y</t>
        </is>
      </c>
      <c r="AA1068" s="0" t="inlineStr">
        <is>
          <t>인천시 서구 석남동 507-7</t>
        </is>
      </c>
      <c r="AB1068" s="0" t="inlineStr">
        <is>
          <t>인천시</t>
        </is>
      </c>
      <c r="AC1068" s="0" t="inlineStr">
        <is>
          <t>서구</t>
        </is>
      </c>
      <c r="AD1068" s="0" t="inlineStr">
        <is>
          <t>석남동</t>
        </is>
      </c>
      <c r="AG1068" s="0" t="inlineStr">
        <is>
          <t>인천시 서구 신석로112번길 8</t>
        </is>
      </c>
      <c r="AH1068" s="0" t="n">
        <v>0</v>
      </c>
      <c r="AI1068" s="0" t="n">
        <v>681</v>
      </c>
      <c r="AJ1068" s="0" t="n">
        <v>66</v>
      </c>
      <c r="AK1068" s="0" t="n">
        <v>45</v>
      </c>
      <c r="AL1068" s="0" t="n">
        <v>0.83</v>
      </c>
    </row>
    <row r="1069">
      <c r="A1069" s="0" t="inlineStr">
        <is>
          <t>[석남동]</t>
        </is>
      </c>
      <c r="B1069" s="0" t="n">
        <v>119578</v>
      </c>
      <c r="C1069" s="0" t="n">
        <v>3</v>
      </c>
      <c r="D1069" s="0" t="inlineStr">
        <is>
          <t>광덕</t>
        </is>
      </c>
      <c r="E1069" s="0" t="inlineStr">
        <is>
          <t>2017.05.</t>
        </is>
      </c>
      <c r="F1069" s="0" t="n">
        <v>54</v>
      </c>
      <c r="G1069" s="0" t="n">
        <v>22.53</v>
      </c>
      <c r="H1069" s="0" t="n">
        <v>74.5</v>
      </c>
      <c r="I1069" s="0" t="n">
        <v>18.05</v>
      </c>
      <c r="J1069" s="0" t="n">
        <v>59.7</v>
      </c>
      <c r="K1069" s="0" t="n">
        <v>18</v>
      </c>
      <c r="T1069" s="0" t="n">
        <v>3</v>
      </c>
      <c r="U1069" s="0" t="n">
        <v>1</v>
      </c>
      <c r="V1069" s="0" t="inlineStr">
        <is>
          <t>계단식</t>
        </is>
      </c>
      <c r="W1069" s="0" t="n">
        <v>74</v>
      </c>
      <c r="X1069" s="0" t="n">
        <v>10</v>
      </c>
      <c r="Y1069" s="0" t="n">
        <v>10</v>
      </c>
      <c r="Z1069" s="0" t="inlineStr">
        <is>
          <t>https://new.land.naver.com/complexes/119578?tab=detail&amp;rf=Y</t>
        </is>
      </c>
      <c r="AA1069" s="0" t="inlineStr">
        <is>
          <t>인천시 서구 석남동 507-7</t>
        </is>
      </c>
      <c r="AB1069" s="0" t="inlineStr">
        <is>
          <t>인천시</t>
        </is>
      </c>
      <c r="AC1069" s="0" t="inlineStr">
        <is>
          <t>서구</t>
        </is>
      </c>
      <c r="AD1069" s="0" t="inlineStr">
        <is>
          <t>석남동</t>
        </is>
      </c>
      <c r="AG1069" s="0" t="inlineStr">
        <is>
          <t>인천시 서구 신석로112번길 8</t>
        </is>
      </c>
      <c r="AH1069" s="0" t="n">
        <v>0</v>
      </c>
      <c r="AI1069" s="0" t="n">
        <v>681</v>
      </c>
      <c r="AJ1069" s="0" t="n">
        <v>66</v>
      </c>
      <c r="AK1069" s="0" t="n">
        <v>45</v>
      </c>
      <c r="AL1069" s="0" t="n">
        <v>0.83</v>
      </c>
    </row>
    <row r="1070">
      <c r="A1070" s="0" t="inlineStr">
        <is>
          <t>[석남동]</t>
        </is>
      </c>
      <c r="B1070" s="0" t="n">
        <v>119578</v>
      </c>
      <c r="C1070" s="0" t="n">
        <v>4</v>
      </c>
      <c r="D1070" s="0" t="inlineStr">
        <is>
          <t>광덕</t>
        </is>
      </c>
      <c r="E1070" s="0" t="inlineStr">
        <is>
          <t>2017.05.</t>
        </is>
      </c>
      <c r="F1070" s="0" t="n">
        <v>54</v>
      </c>
      <c r="G1070" s="0" t="n">
        <v>26.35</v>
      </c>
      <c r="H1070" s="0" t="n">
        <v>87.14</v>
      </c>
      <c r="I1070" s="0" t="n">
        <v>21.46</v>
      </c>
      <c r="J1070" s="0" t="n">
        <v>70.97</v>
      </c>
      <c r="K1070" s="0" t="n">
        <v>7</v>
      </c>
      <c r="T1070" s="0" t="n">
        <v>3</v>
      </c>
      <c r="U1070" s="0" t="n">
        <v>2</v>
      </c>
      <c r="V1070" s="0" t="inlineStr">
        <is>
          <t>계단식</t>
        </is>
      </c>
      <c r="W1070" s="0" t="n">
        <v>87</v>
      </c>
      <c r="X1070" s="0" t="n">
        <v>10</v>
      </c>
      <c r="Y1070" s="0" t="n">
        <v>10</v>
      </c>
      <c r="Z1070" s="0" t="inlineStr">
        <is>
          <t>https://new.land.naver.com/complexes/119578?tab=detail&amp;rf=Y</t>
        </is>
      </c>
      <c r="AA1070" s="0" t="inlineStr">
        <is>
          <t>인천시 서구 석남동 507-7</t>
        </is>
      </c>
      <c r="AB1070" s="0" t="inlineStr">
        <is>
          <t>인천시</t>
        </is>
      </c>
      <c r="AC1070" s="0" t="inlineStr">
        <is>
          <t>서구</t>
        </is>
      </c>
      <c r="AD1070" s="0" t="inlineStr">
        <is>
          <t>석남동</t>
        </is>
      </c>
      <c r="AG1070" s="0" t="inlineStr">
        <is>
          <t>인천시 서구 신석로112번길 8</t>
        </is>
      </c>
      <c r="AH1070" s="0" t="n">
        <v>0</v>
      </c>
      <c r="AI1070" s="0" t="n">
        <v>681</v>
      </c>
      <c r="AJ1070" s="0" t="n">
        <v>66</v>
      </c>
      <c r="AK1070" s="0" t="n">
        <v>45</v>
      </c>
      <c r="AL1070" s="0" t="n">
        <v>0.83</v>
      </c>
    </row>
    <row r="1071">
      <c r="A1071" s="0" t="inlineStr">
        <is>
          <t>[석남동]</t>
        </is>
      </c>
      <c r="B1071" s="0" t="n">
        <v>119578</v>
      </c>
      <c r="C1071" s="0" t="n">
        <v>5</v>
      </c>
      <c r="D1071" s="0" t="inlineStr">
        <is>
          <t>광덕</t>
        </is>
      </c>
      <c r="E1071" s="0" t="inlineStr">
        <is>
          <t>2017.05.</t>
        </is>
      </c>
      <c r="F1071" s="0" t="n">
        <v>54</v>
      </c>
      <c r="G1071" s="0" t="n">
        <v>26.98</v>
      </c>
      <c r="H1071" s="0" t="n">
        <v>89.20999999999999</v>
      </c>
      <c r="I1071" s="0" t="n">
        <v>21.83</v>
      </c>
      <c r="J1071" s="0" t="n">
        <v>72.18000000000001</v>
      </c>
      <c r="K1071" s="0" t="n">
        <v>7</v>
      </c>
      <c r="T1071" s="0" t="n">
        <v>3</v>
      </c>
      <c r="U1071" s="0" t="n">
        <v>2</v>
      </c>
      <c r="V1071" s="0" t="inlineStr">
        <is>
          <t>계단식</t>
        </is>
      </c>
      <c r="W1071" s="0" t="n">
        <v>89</v>
      </c>
      <c r="X1071" s="0" t="n">
        <v>10</v>
      </c>
      <c r="Y1071" s="0" t="n">
        <v>10</v>
      </c>
      <c r="Z1071" s="0" t="inlineStr">
        <is>
          <t>https://new.land.naver.com/complexes/119578?tab=detail&amp;rf=Y</t>
        </is>
      </c>
      <c r="AA1071" s="0" t="inlineStr">
        <is>
          <t>인천시 서구 석남동 507-7</t>
        </is>
      </c>
      <c r="AB1071" s="0" t="inlineStr">
        <is>
          <t>인천시</t>
        </is>
      </c>
      <c r="AC1071" s="0" t="inlineStr">
        <is>
          <t>서구</t>
        </is>
      </c>
      <c r="AD1071" s="0" t="inlineStr">
        <is>
          <t>석남동</t>
        </is>
      </c>
      <c r="AG1071" s="0" t="inlineStr">
        <is>
          <t>인천시 서구 신석로112번길 8</t>
        </is>
      </c>
      <c r="AH1071" s="0" t="n">
        <v>0</v>
      </c>
      <c r="AI1071" s="0" t="n">
        <v>681</v>
      </c>
      <c r="AJ1071" s="0" t="n">
        <v>66</v>
      </c>
      <c r="AK1071" s="0" t="n">
        <v>45</v>
      </c>
      <c r="AL1071" s="0" t="n">
        <v>0.83</v>
      </c>
    </row>
    <row r="1072">
      <c r="A1072" s="0" t="inlineStr">
        <is>
          <t>[석남동]</t>
        </is>
      </c>
      <c r="B1072" s="0" t="n">
        <v>10737</v>
      </c>
      <c r="C1072" s="0" t="n">
        <v>1</v>
      </c>
      <c r="D1072" s="0" t="inlineStr">
        <is>
          <t>동진4차</t>
        </is>
      </c>
      <c r="E1072" s="0" t="inlineStr">
        <is>
          <t>1991.12.</t>
        </is>
      </c>
      <c r="F1072" s="0" t="n">
        <v>160</v>
      </c>
      <c r="G1072" s="0" t="n">
        <v>18</v>
      </c>
      <c r="H1072" s="0" t="n">
        <v>59.53</v>
      </c>
      <c r="I1072" s="0" t="n">
        <v>13.82</v>
      </c>
      <c r="J1072" s="0" t="n">
        <v>45.7</v>
      </c>
      <c r="K1072" s="0" t="n">
        <v>6</v>
      </c>
      <c r="T1072" s="0" t="n">
        <v>3</v>
      </c>
      <c r="U1072" s="0" t="n">
        <v>1</v>
      </c>
      <c r="V1072" s="0" t="inlineStr">
        <is>
          <t>계단식</t>
        </is>
      </c>
      <c r="W1072" s="0" t="inlineStr">
        <is>
          <t>59A</t>
        </is>
      </c>
      <c r="X1072" s="0" t="n">
        <v>6</v>
      </c>
      <c r="Y1072" s="0" t="n">
        <v>3</v>
      </c>
      <c r="Z1072" s="0" t="inlineStr">
        <is>
          <t>https://new.land.naver.com/complexes/10737?tab=detail&amp;rf=Y</t>
        </is>
      </c>
      <c r="AA1072" s="0" t="inlineStr">
        <is>
          <t>인천시 서구 석남동 111-13</t>
        </is>
      </c>
      <c r="AB1072" s="0" t="inlineStr">
        <is>
          <t>인천시</t>
        </is>
      </c>
      <c r="AC1072" s="0" t="inlineStr">
        <is>
          <t>서구</t>
        </is>
      </c>
      <c r="AD1072" s="0" t="inlineStr">
        <is>
          <t>석남동</t>
        </is>
      </c>
      <c r="AG1072" s="0" t="inlineStr">
        <is>
          <t>인천시 서구 서달로130번길 25-1</t>
        </is>
      </c>
      <c r="AH1072" s="0" t="n">
        <v>0</v>
      </c>
      <c r="AI1072" s="0" t="n">
        <v>176</v>
      </c>
      <c r="AJ1072" s="0" t="n">
        <v>36</v>
      </c>
      <c r="AK1072" s="0" t="n">
        <v>0</v>
      </c>
      <c r="AL1072" s="0" t="n">
        <v>0</v>
      </c>
    </row>
    <row r="1073">
      <c r="A1073" s="0" t="inlineStr">
        <is>
          <t>[석남동]</t>
        </is>
      </c>
      <c r="B1073" s="0" t="n">
        <v>10737</v>
      </c>
      <c r="C1073" s="0" t="n">
        <v>2</v>
      </c>
      <c r="D1073" s="0" t="inlineStr">
        <is>
          <t>동진4차</t>
        </is>
      </c>
      <c r="E1073" s="0" t="inlineStr">
        <is>
          <t>1991.12.</t>
        </is>
      </c>
      <c r="F1073" s="0" t="n">
        <v>160</v>
      </c>
      <c r="G1073" s="0" t="n">
        <v>18.27</v>
      </c>
      <c r="H1073" s="0" t="n">
        <v>60.4</v>
      </c>
      <c r="I1073" s="0" t="n">
        <v>14.03</v>
      </c>
      <c r="J1073" s="0" t="n">
        <v>46.41</v>
      </c>
      <c r="K1073" s="0" t="n">
        <v>48</v>
      </c>
      <c r="T1073" s="0" t="n">
        <v>3</v>
      </c>
      <c r="U1073" s="0" t="n">
        <v>1</v>
      </c>
      <c r="V1073" s="0" t="inlineStr">
        <is>
          <t>계단식</t>
        </is>
      </c>
      <c r="W1073" s="0" t="inlineStr">
        <is>
          <t>60B</t>
        </is>
      </c>
      <c r="X1073" s="0" t="n">
        <v>6</v>
      </c>
      <c r="Y1073" s="0" t="n">
        <v>3</v>
      </c>
      <c r="Z1073" s="0" t="inlineStr">
        <is>
          <t>https://new.land.naver.com/complexes/10737?tab=detail&amp;rf=Y</t>
        </is>
      </c>
      <c r="AA1073" s="0" t="inlineStr">
        <is>
          <t>인천시 서구 석남동 111-13</t>
        </is>
      </c>
      <c r="AB1073" s="0" t="inlineStr">
        <is>
          <t>인천시</t>
        </is>
      </c>
      <c r="AC1073" s="0" t="inlineStr">
        <is>
          <t>서구</t>
        </is>
      </c>
      <c r="AD1073" s="0" t="inlineStr">
        <is>
          <t>석남동</t>
        </is>
      </c>
      <c r="AG1073" s="0" t="inlineStr">
        <is>
          <t>인천시 서구 서달로130번길 25-1</t>
        </is>
      </c>
      <c r="AH1073" s="0" t="n">
        <v>0</v>
      </c>
      <c r="AI1073" s="0" t="n">
        <v>176</v>
      </c>
      <c r="AJ1073" s="0" t="n">
        <v>36</v>
      </c>
      <c r="AK1073" s="0" t="n">
        <v>0</v>
      </c>
      <c r="AL1073" s="0" t="n">
        <v>0</v>
      </c>
    </row>
    <row r="1074">
      <c r="A1074" s="0" t="inlineStr">
        <is>
          <t>[석남동]</t>
        </is>
      </c>
      <c r="B1074" s="0" t="n">
        <v>10737</v>
      </c>
      <c r="C1074" s="0" t="n">
        <v>3</v>
      </c>
      <c r="D1074" s="0" t="inlineStr">
        <is>
          <t>동진4차</t>
        </is>
      </c>
      <c r="E1074" s="0" t="inlineStr">
        <is>
          <t>1991.12.</t>
        </is>
      </c>
      <c r="F1074" s="0" t="n">
        <v>160</v>
      </c>
      <c r="G1074" s="0" t="n">
        <v>19.19</v>
      </c>
      <c r="H1074" s="0" t="n">
        <v>63.44</v>
      </c>
      <c r="I1074" s="0" t="n">
        <v>14.81</v>
      </c>
      <c r="J1074" s="0" t="n">
        <v>48.99</v>
      </c>
      <c r="K1074" s="0" t="n">
        <v>46</v>
      </c>
      <c r="T1074" s="0" t="n">
        <v>3</v>
      </c>
      <c r="U1074" s="0" t="n">
        <v>1</v>
      </c>
      <c r="V1074" s="0" t="inlineStr">
        <is>
          <t>계단식</t>
        </is>
      </c>
      <c r="W1074" s="0" t="n">
        <v>63</v>
      </c>
      <c r="X1074" s="0" t="n">
        <v>6</v>
      </c>
      <c r="Y1074" s="0" t="n">
        <v>3</v>
      </c>
      <c r="Z1074" s="0" t="inlineStr">
        <is>
          <t>https://new.land.naver.com/complexes/10737?tab=detail&amp;rf=Y</t>
        </is>
      </c>
      <c r="AA1074" s="0" t="inlineStr">
        <is>
          <t>인천시 서구 석남동 111-13</t>
        </is>
      </c>
      <c r="AB1074" s="0" t="inlineStr">
        <is>
          <t>인천시</t>
        </is>
      </c>
      <c r="AC1074" s="0" t="inlineStr">
        <is>
          <t>서구</t>
        </is>
      </c>
      <c r="AD1074" s="0" t="inlineStr">
        <is>
          <t>석남동</t>
        </is>
      </c>
      <c r="AG1074" s="0" t="inlineStr">
        <is>
          <t>인천시 서구 서달로130번길 25-1</t>
        </is>
      </c>
      <c r="AH1074" s="0" t="n">
        <v>0</v>
      </c>
      <c r="AI1074" s="0" t="n">
        <v>176</v>
      </c>
      <c r="AJ1074" s="0" t="n">
        <v>36</v>
      </c>
      <c r="AK1074" s="0" t="n">
        <v>0</v>
      </c>
      <c r="AL1074" s="0" t="n">
        <v>0</v>
      </c>
    </row>
    <row r="1075">
      <c r="A1075" s="0" t="inlineStr">
        <is>
          <t>[석남동]</t>
        </is>
      </c>
      <c r="B1075" s="0" t="n">
        <v>10737</v>
      </c>
      <c r="C1075" s="0" t="n">
        <v>4</v>
      </c>
      <c r="D1075" s="0" t="inlineStr">
        <is>
          <t>동진4차</t>
        </is>
      </c>
      <c r="E1075" s="0" t="inlineStr">
        <is>
          <t>1991.12.</t>
        </is>
      </c>
      <c r="F1075" s="0" t="n">
        <v>160</v>
      </c>
      <c r="G1075" s="0" t="n">
        <v>22.19</v>
      </c>
      <c r="H1075" s="0" t="n">
        <v>73.38</v>
      </c>
      <c r="I1075" s="0" t="n">
        <v>17.37</v>
      </c>
      <c r="J1075" s="0" t="n">
        <v>57.45</v>
      </c>
      <c r="K1075" s="0" t="n">
        <v>60</v>
      </c>
      <c r="T1075" s="0" t="n">
        <v>2</v>
      </c>
      <c r="U1075" s="0" t="n">
        <v>1</v>
      </c>
      <c r="V1075" s="0" t="inlineStr">
        <is>
          <t>계단식</t>
        </is>
      </c>
      <c r="W1075" s="0" t="n">
        <v>73</v>
      </c>
      <c r="X1075" s="0" t="n">
        <v>6</v>
      </c>
      <c r="Y1075" s="0" t="n">
        <v>3</v>
      </c>
      <c r="Z1075" s="0" t="inlineStr">
        <is>
          <t>https://new.land.naver.com/complexes/10737?tab=detail&amp;rf=Y</t>
        </is>
      </c>
      <c r="AA1075" s="0" t="inlineStr">
        <is>
          <t>인천시 서구 석남동 111-13</t>
        </is>
      </c>
      <c r="AB1075" s="0" t="inlineStr">
        <is>
          <t>인천시</t>
        </is>
      </c>
      <c r="AC1075" s="0" t="inlineStr">
        <is>
          <t>서구</t>
        </is>
      </c>
      <c r="AD1075" s="0" t="inlineStr">
        <is>
          <t>석남동</t>
        </is>
      </c>
      <c r="AG1075" s="0" t="inlineStr">
        <is>
          <t>인천시 서구 서달로130번길 25-1</t>
        </is>
      </c>
      <c r="AH1075" s="0" t="n">
        <v>0</v>
      </c>
      <c r="AI1075" s="0" t="n">
        <v>176</v>
      </c>
      <c r="AJ1075" s="0" t="n">
        <v>36</v>
      </c>
      <c r="AK1075" s="0" t="n">
        <v>0</v>
      </c>
      <c r="AL1075" s="0" t="n">
        <v>0</v>
      </c>
    </row>
    <row r="1076">
      <c r="A1076" s="0" t="inlineStr">
        <is>
          <t>[석남동]</t>
        </is>
      </c>
      <c r="B1076" s="0" t="n">
        <v>12977</v>
      </c>
      <c r="C1076" s="0" t="n">
        <v>1</v>
      </c>
      <c r="D1076" s="0" t="inlineStr">
        <is>
          <t>삼산</t>
        </is>
      </c>
      <c r="E1076" s="0" t="inlineStr">
        <is>
          <t>2001.04.</t>
        </is>
      </c>
      <c r="F1076" s="0" t="n">
        <v>47</v>
      </c>
      <c r="G1076" s="0" t="n">
        <v>26.16</v>
      </c>
      <c r="H1076" s="0" t="n">
        <v>86.5</v>
      </c>
      <c r="I1076" s="0" t="n">
        <v>18.81</v>
      </c>
      <c r="J1076" s="0" t="n">
        <v>62.2</v>
      </c>
      <c r="K1076" s="0" t="n">
        <v>8</v>
      </c>
      <c r="T1076" s="0" t="n">
        <v>3</v>
      </c>
      <c r="U1076" s="0" t="n">
        <v>2</v>
      </c>
      <c r="V1076" s="0" t="inlineStr">
        <is>
          <t>계단식</t>
        </is>
      </c>
      <c r="W1076" s="0" t="n">
        <v>86</v>
      </c>
      <c r="X1076" s="0" t="n">
        <v>9</v>
      </c>
      <c r="Y1076" s="0" t="n">
        <v>9</v>
      </c>
      <c r="Z1076" s="0" t="inlineStr">
        <is>
          <t>https://new.land.naver.com/complexes/12977?tab=detail&amp;rf=Y</t>
        </is>
      </c>
      <c r="AA1076" s="0" t="inlineStr">
        <is>
          <t>인천시 서구 석남동 464-1</t>
        </is>
      </c>
      <c r="AB1076" s="0" t="inlineStr">
        <is>
          <t>인천시</t>
        </is>
      </c>
      <c r="AC1076" s="0" t="inlineStr">
        <is>
          <t>서구</t>
        </is>
      </c>
      <c r="AD1076" s="0" t="inlineStr">
        <is>
          <t>석남동</t>
        </is>
      </c>
      <c r="AG1076" s="0" t="inlineStr">
        <is>
          <t>인천시 서구 신석로121번길 23</t>
        </is>
      </c>
      <c r="AH1076" s="0" t="n">
        <v>0</v>
      </c>
      <c r="AI1076" s="0" t="n">
        <v>298</v>
      </c>
      <c r="AJ1076" s="0" t="n">
        <v>40</v>
      </c>
      <c r="AK1076" s="0" t="n">
        <v>47</v>
      </c>
      <c r="AL1076" s="0" t="n">
        <v>1</v>
      </c>
    </row>
    <row r="1077">
      <c r="A1077" s="0" t="inlineStr">
        <is>
          <t>[석남동]</t>
        </is>
      </c>
      <c r="B1077" s="0" t="n">
        <v>12977</v>
      </c>
      <c r="C1077" s="0" t="n">
        <v>2</v>
      </c>
      <c r="D1077" s="0" t="inlineStr">
        <is>
          <t>삼산</t>
        </is>
      </c>
      <c r="E1077" s="0" t="inlineStr">
        <is>
          <t>2001.04.</t>
        </is>
      </c>
      <c r="F1077" s="0" t="n">
        <v>47</v>
      </c>
      <c r="G1077" s="0" t="n">
        <v>26.71</v>
      </c>
      <c r="H1077" s="0" t="n">
        <v>88.33</v>
      </c>
      <c r="I1077" s="0" t="n">
        <v>19.21</v>
      </c>
      <c r="J1077" s="0" t="n">
        <v>63.52</v>
      </c>
      <c r="K1077" s="0" t="n">
        <v>39</v>
      </c>
      <c r="T1077" s="0" t="n">
        <v>3</v>
      </c>
      <c r="U1077" s="0" t="n">
        <v>1</v>
      </c>
      <c r="V1077" s="0" t="inlineStr">
        <is>
          <t>계단식</t>
        </is>
      </c>
      <c r="W1077" s="0" t="n">
        <v>88</v>
      </c>
      <c r="X1077" s="0" t="n">
        <v>9</v>
      </c>
      <c r="Y1077" s="0" t="n">
        <v>9</v>
      </c>
      <c r="Z1077" s="0" t="inlineStr">
        <is>
          <t>https://new.land.naver.com/complexes/12977?tab=detail&amp;rf=Y</t>
        </is>
      </c>
      <c r="AA1077" s="0" t="inlineStr">
        <is>
          <t>인천시 서구 석남동 464-1</t>
        </is>
      </c>
      <c r="AB1077" s="0" t="inlineStr">
        <is>
          <t>인천시</t>
        </is>
      </c>
      <c r="AC1077" s="0" t="inlineStr">
        <is>
          <t>서구</t>
        </is>
      </c>
      <c r="AD1077" s="0" t="inlineStr">
        <is>
          <t>석남동</t>
        </is>
      </c>
      <c r="AG1077" s="0" t="inlineStr">
        <is>
          <t>인천시 서구 신석로121번길 23</t>
        </is>
      </c>
      <c r="AH1077" s="0" t="n">
        <v>0</v>
      </c>
      <c r="AI1077" s="0" t="n">
        <v>298</v>
      </c>
      <c r="AJ1077" s="0" t="n">
        <v>40</v>
      </c>
      <c r="AK1077" s="0" t="n">
        <v>47</v>
      </c>
      <c r="AL1077" s="0" t="n">
        <v>1</v>
      </c>
    </row>
    <row r="1078">
      <c r="A1078" s="0" t="inlineStr">
        <is>
          <t>[석남동]</t>
        </is>
      </c>
      <c r="B1078" s="0" t="n">
        <v>14327</v>
      </c>
      <c r="C1078" s="0" t="n">
        <v>1</v>
      </c>
      <c r="D1078" s="0" t="inlineStr">
        <is>
          <t>우림필유</t>
        </is>
      </c>
      <c r="E1078" s="0" t="inlineStr">
        <is>
          <t>2006.09.</t>
        </is>
      </c>
      <c r="F1078" s="0" t="n">
        <v>288</v>
      </c>
      <c r="G1078" s="0" t="n">
        <v>24.44</v>
      </c>
      <c r="H1078" s="0" t="n">
        <v>80.81999999999999</v>
      </c>
      <c r="I1078" s="0" t="n">
        <v>18.09</v>
      </c>
      <c r="J1078" s="0" t="n">
        <v>59.82</v>
      </c>
      <c r="K1078" s="0" t="n">
        <v>63</v>
      </c>
      <c r="T1078" s="0" t="n">
        <v>3</v>
      </c>
      <c r="U1078" s="0" t="n">
        <v>2</v>
      </c>
      <c r="V1078" s="0" t="inlineStr">
        <is>
          <t>계단식</t>
        </is>
      </c>
      <c r="W1078" s="0" t="n">
        <v>80</v>
      </c>
      <c r="X1078" s="0" t="n">
        <v>27</v>
      </c>
      <c r="Y1078" s="0" t="n">
        <v>14</v>
      </c>
      <c r="Z1078" s="0" t="inlineStr">
        <is>
          <t>https://new.land.naver.com/complexes/14327?tab=detail&amp;rf=Y</t>
        </is>
      </c>
      <c r="AA1078" s="0" t="inlineStr">
        <is>
          <t>인천시 서구 석남동 588</t>
        </is>
      </c>
      <c r="AB1078" s="0" t="inlineStr">
        <is>
          <t>인천시</t>
        </is>
      </c>
      <c r="AC1078" s="0" t="inlineStr">
        <is>
          <t>서구</t>
        </is>
      </c>
      <c r="AD1078" s="0" t="inlineStr">
        <is>
          <t>석남동</t>
        </is>
      </c>
      <c r="AG1078" s="0" t="inlineStr">
        <is>
          <t>인천시 서구 염곡로 198</t>
        </is>
      </c>
      <c r="AH1078" s="0" t="n">
        <v>0</v>
      </c>
      <c r="AI1078" s="0" t="n">
        <v>292</v>
      </c>
      <c r="AJ1078" s="0" t="n">
        <v>18</v>
      </c>
      <c r="AK1078" s="0" t="n">
        <v>294</v>
      </c>
      <c r="AL1078" s="0" t="n">
        <v>1.02</v>
      </c>
    </row>
    <row r="1079">
      <c r="A1079" s="0" t="inlineStr">
        <is>
          <t>[석남동]</t>
        </is>
      </c>
      <c r="B1079" s="0" t="n">
        <v>14327</v>
      </c>
      <c r="C1079" s="0" t="n">
        <v>2</v>
      </c>
      <c r="D1079" s="0" t="inlineStr">
        <is>
          <t>우림필유</t>
        </is>
      </c>
      <c r="E1079" s="0" t="inlineStr">
        <is>
          <t>2006.09.</t>
        </is>
      </c>
      <c r="F1079" s="0" t="n">
        <v>288</v>
      </c>
      <c r="G1079" s="0" t="n">
        <v>28.97</v>
      </c>
      <c r="H1079" s="0" t="n">
        <v>95.8</v>
      </c>
      <c r="I1079" s="0" t="n">
        <v>22.59</v>
      </c>
      <c r="J1079" s="0" t="n">
        <v>74.7</v>
      </c>
      <c r="K1079" s="0" t="n">
        <v>48</v>
      </c>
      <c r="T1079" s="0" t="n">
        <v>3</v>
      </c>
      <c r="U1079" s="0" t="n">
        <v>2</v>
      </c>
      <c r="V1079" s="0" t="inlineStr">
        <is>
          <t>계단식</t>
        </is>
      </c>
      <c r="W1079" s="0" t="n">
        <v>95</v>
      </c>
      <c r="X1079" s="0" t="n">
        <v>27</v>
      </c>
      <c r="Y1079" s="0" t="n">
        <v>14</v>
      </c>
      <c r="Z1079" s="0" t="inlineStr">
        <is>
          <t>https://new.land.naver.com/complexes/14327?tab=detail&amp;rf=Y</t>
        </is>
      </c>
      <c r="AA1079" s="0" t="inlineStr">
        <is>
          <t>인천시 서구 석남동 588</t>
        </is>
      </c>
      <c r="AB1079" s="0" t="inlineStr">
        <is>
          <t>인천시</t>
        </is>
      </c>
      <c r="AC1079" s="0" t="inlineStr">
        <is>
          <t>서구</t>
        </is>
      </c>
      <c r="AD1079" s="0" t="inlineStr">
        <is>
          <t>석남동</t>
        </is>
      </c>
      <c r="AG1079" s="0" t="inlineStr">
        <is>
          <t>인천시 서구 염곡로 198</t>
        </is>
      </c>
      <c r="AH1079" s="0" t="n">
        <v>0</v>
      </c>
      <c r="AI1079" s="0" t="n">
        <v>292</v>
      </c>
      <c r="AJ1079" s="0" t="n">
        <v>18</v>
      </c>
      <c r="AK1079" s="0" t="n">
        <v>294</v>
      </c>
      <c r="AL1079" s="0" t="n">
        <v>1.02</v>
      </c>
    </row>
    <row r="1080">
      <c r="A1080" s="0" t="inlineStr">
        <is>
          <t>[석남동]</t>
        </is>
      </c>
      <c r="B1080" s="0" t="n">
        <v>14327</v>
      </c>
      <c r="C1080" s="0" t="n">
        <v>3</v>
      </c>
      <c r="D1080" s="0" t="inlineStr">
        <is>
          <t>우림필유</t>
        </is>
      </c>
      <c r="E1080" s="0" t="inlineStr">
        <is>
          <t>2006.09.</t>
        </is>
      </c>
      <c r="F1080" s="0" t="n">
        <v>288</v>
      </c>
      <c r="G1080" s="0" t="n">
        <v>31.54</v>
      </c>
      <c r="H1080" s="0" t="n">
        <v>104.27</v>
      </c>
      <c r="I1080" s="0" t="n">
        <v>22.79</v>
      </c>
      <c r="J1080" s="0" t="n">
        <v>75.34999999999999</v>
      </c>
      <c r="K1080" s="0" t="n">
        <v>27</v>
      </c>
      <c r="T1080" s="0" t="n">
        <v>3</v>
      </c>
      <c r="U1080" s="0" t="n">
        <v>2</v>
      </c>
      <c r="V1080" s="0" t="inlineStr">
        <is>
          <t>계단식</t>
        </is>
      </c>
      <c r="W1080" s="0" t="n">
        <v>104</v>
      </c>
      <c r="X1080" s="0" t="n">
        <v>27</v>
      </c>
      <c r="Y1080" s="0" t="n">
        <v>14</v>
      </c>
      <c r="Z1080" s="0" t="inlineStr">
        <is>
          <t>https://new.land.naver.com/complexes/14327?tab=detail&amp;rf=Y</t>
        </is>
      </c>
      <c r="AA1080" s="0" t="inlineStr">
        <is>
          <t>인천시 서구 석남동 588</t>
        </is>
      </c>
      <c r="AB1080" s="0" t="inlineStr">
        <is>
          <t>인천시</t>
        </is>
      </c>
      <c r="AC1080" s="0" t="inlineStr">
        <is>
          <t>서구</t>
        </is>
      </c>
      <c r="AD1080" s="0" t="inlineStr">
        <is>
          <t>석남동</t>
        </is>
      </c>
      <c r="AG1080" s="0" t="inlineStr">
        <is>
          <t>인천시 서구 염곡로 198</t>
        </is>
      </c>
      <c r="AH1080" s="0" t="n">
        <v>0</v>
      </c>
      <c r="AI1080" s="0" t="n">
        <v>292</v>
      </c>
      <c r="AJ1080" s="0" t="n">
        <v>18</v>
      </c>
      <c r="AK1080" s="0" t="n">
        <v>294</v>
      </c>
      <c r="AL1080" s="0" t="n">
        <v>1.02</v>
      </c>
    </row>
    <row r="1081">
      <c r="A1081" s="0" t="inlineStr">
        <is>
          <t>[석남동]</t>
        </is>
      </c>
      <c r="B1081" s="0" t="n">
        <v>14327</v>
      </c>
      <c r="C1081" s="0" t="n">
        <v>4</v>
      </c>
      <c r="D1081" s="0" t="inlineStr">
        <is>
          <t>우림필유</t>
        </is>
      </c>
      <c r="E1081" s="0" t="inlineStr">
        <is>
          <t>2006.09.</t>
        </is>
      </c>
      <c r="F1081" s="0" t="n">
        <v>288</v>
      </c>
      <c r="G1081" s="0" t="n">
        <v>33.23</v>
      </c>
      <c r="H1081" s="0" t="n">
        <v>109.86</v>
      </c>
      <c r="I1081" s="0" t="n">
        <v>25.68</v>
      </c>
      <c r="J1081" s="0" t="n">
        <v>84.92</v>
      </c>
      <c r="K1081" s="0" t="n">
        <v>150</v>
      </c>
      <c r="T1081" s="0" t="n">
        <v>3</v>
      </c>
      <c r="U1081" s="0" t="n">
        <v>2</v>
      </c>
      <c r="V1081" s="0" t="inlineStr">
        <is>
          <t>계단식</t>
        </is>
      </c>
      <c r="W1081" s="0" t="n">
        <v>109</v>
      </c>
      <c r="X1081" s="0" t="n">
        <v>27</v>
      </c>
      <c r="Y1081" s="0" t="n">
        <v>14</v>
      </c>
      <c r="Z1081" s="0" t="inlineStr">
        <is>
          <t>https://new.land.naver.com/complexes/14327?tab=detail&amp;rf=Y</t>
        </is>
      </c>
      <c r="AA1081" s="0" t="inlineStr">
        <is>
          <t>인천시 서구 석남동 588</t>
        </is>
      </c>
      <c r="AB1081" s="0" t="inlineStr">
        <is>
          <t>인천시</t>
        </is>
      </c>
      <c r="AC1081" s="0" t="inlineStr">
        <is>
          <t>서구</t>
        </is>
      </c>
      <c r="AD1081" s="0" t="inlineStr">
        <is>
          <t>석남동</t>
        </is>
      </c>
      <c r="AG1081" s="0" t="inlineStr">
        <is>
          <t>인천시 서구 염곡로 198</t>
        </is>
      </c>
      <c r="AH1081" s="0" t="n">
        <v>0</v>
      </c>
      <c r="AI1081" s="0" t="n">
        <v>292</v>
      </c>
      <c r="AJ1081" s="0" t="n">
        <v>18</v>
      </c>
      <c r="AK1081" s="0" t="n">
        <v>294</v>
      </c>
      <c r="AL1081" s="0" t="n">
        <v>1.02</v>
      </c>
    </row>
    <row r="1082">
      <c r="A1082" s="0" t="inlineStr">
        <is>
          <t>[석남동]</t>
        </is>
      </c>
      <c r="B1082" s="0" t="n">
        <v>120610</v>
      </c>
      <c r="C1082" s="0" t="n">
        <v>1</v>
      </c>
      <c r="D1082" s="0" t="inlineStr">
        <is>
          <t>어반스뷰(도시형)</t>
        </is>
      </c>
      <c r="E1082" s="0" t="inlineStr">
        <is>
          <t>2017.04.</t>
        </is>
      </c>
      <c r="F1082" s="0" t="n">
        <v>24</v>
      </c>
      <c r="G1082" s="0" t="n">
        <v>22.1</v>
      </c>
      <c r="H1082" s="0" t="n">
        <v>73.08</v>
      </c>
      <c r="I1082" s="0" t="n">
        <v>14.68</v>
      </c>
      <c r="J1082" s="0" t="n">
        <v>48.54</v>
      </c>
      <c r="K1082" s="0" t="n">
        <v>4</v>
      </c>
      <c r="T1082" s="0" t="n">
        <v>3</v>
      </c>
      <c r="U1082" s="0" t="n">
        <v>1</v>
      </c>
      <c r="V1082" s="0" t="inlineStr">
        <is>
          <t>계단식</t>
        </is>
      </c>
      <c r="W1082" s="0" t="inlineStr">
        <is>
          <t>73A</t>
        </is>
      </c>
      <c r="X1082" s="0" t="n">
        <v>14</v>
      </c>
      <c r="Y1082" s="0" t="n">
        <v>14</v>
      </c>
      <c r="Z1082" s="0" t="inlineStr">
        <is>
          <t>https://new.land.naver.com/complexes/120610?tab=detail&amp;rf=Y</t>
        </is>
      </c>
      <c r="AA1082" s="0" t="inlineStr">
        <is>
          <t>인천시 서구 석남동 510-12</t>
        </is>
      </c>
      <c r="AB1082" s="0" t="inlineStr">
        <is>
          <t>인천시</t>
        </is>
      </c>
      <c r="AC1082" s="0" t="inlineStr">
        <is>
          <t>서구</t>
        </is>
      </c>
      <c r="AD1082" s="0" t="inlineStr">
        <is>
          <t>석남동</t>
        </is>
      </c>
      <c r="AG1082" s="0" t="inlineStr">
        <is>
          <t>인천시 서구 옻우물로 9</t>
        </is>
      </c>
      <c r="AH1082" s="0" t="n">
        <v>0</v>
      </c>
      <c r="AI1082" s="0" t="n">
        <v>859</v>
      </c>
      <c r="AJ1082" s="0" t="n">
        <v>69</v>
      </c>
      <c r="AK1082" s="0" t="n">
        <v>17</v>
      </c>
      <c r="AL1082" s="0" t="n">
        <v>0.71</v>
      </c>
    </row>
    <row r="1083">
      <c r="A1083" s="0" t="inlineStr">
        <is>
          <t>[석남동]</t>
        </is>
      </c>
      <c r="B1083" s="0" t="n">
        <v>120610</v>
      </c>
      <c r="C1083" s="0" t="n">
        <v>2</v>
      </c>
      <c r="D1083" s="0" t="inlineStr">
        <is>
          <t>어반스뷰(도시형)</t>
        </is>
      </c>
      <c r="E1083" s="0" t="inlineStr">
        <is>
          <t>2017.04.</t>
        </is>
      </c>
      <c r="F1083" s="0" t="n">
        <v>24</v>
      </c>
      <c r="G1083" s="0" t="n">
        <v>22.35</v>
      </c>
      <c r="H1083" s="0" t="n">
        <v>73.90000000000001</v>
      </c>
      <c r="I1083" s="0" t="n">
        <v>14.86</v>
      </c>
      <c r="J1083" s="0" t="n">
        <v>49.13</v>
      </c>
      <c r="K1083" s="0" t="n">
        <v>4</v>
      </c>
      <c r="T1083" s="0" t="n">
        <v>3</v>
      </c>
      <c r="U1083" s="0" t="n">
        <v>1</v>
      </c>
      <c r="V1083" s="0" t="inlineStr">
        <is>
          <t>계단식</t>
        </is>
      </c>
      <c r="W1083" s="0" t="inlineStr">
        <is>
          <t>73B</t>
        </is>
      </c>
      <c r="X1083" s="0" t="n">
        <v>14</v>
      </c>
      <c r="Y1083" s="0" t="n">
        <v>14</v>
      </c>
      <c r="Z1083" s="0" t="inlineStr">
        <is>
          <t>https://new.land.naver.com/complexes/120610?tab=detail&amp;rf=Y</t>
        </is>
      </c>
      <c r="AA1083" s="0" t="inlineStr">
        <is>
          <t>인천시 서구 석남동 510-12</t>
        </is>
      </c>
      <c r="AB1083" s="0" t="inlineStr">
        <is>
          <t>인천시</t>
        </is>
      </c>
      <c r="AC1083" s="0" t="inlineStr">
        <is>
          <t>서구</t>
        </is>
      </c>
      <c r="AD1083" s="0" t="inlineStr">
        <is>
          <t>석남동</t>
        </is>
      </c>
      <c r="AG1083" s="0" t="inlineStr">
        <is>
          <t>인천시 서구 옻우물로 9</t>
        </is>
      </c>
      <c r="AH1083" s="0" t="n">
        <v>0</v>
      </c>
      <c r="AI1083" s="0" t="n">
        <v>859</v>
      </c>
      <c r="AJ1083" s="0" t="n">
        <v>69</v>
      </c>
      <c r="AK1083" s="0" t="n">
        <v>17</v>
      </c>
      <c r="AL1083" s="0" t="n">
        <v>0.71</v>
      </c>
    </row>
    <row r="1084">
      <c r="A1084" s="0" t="inlineStr">
        <is>
          <t>[석남동]</t>
        </is>
      </c>
      <c r="B1084" s="0" t="n">
        <v>120610</v>
      </c>
      <c r="C1084" s="0" t="n">
        <v>3</v>
      </c>
      <c r="D1084" s="0" t="inlineStr">
        <is>
          <t>어반스뷰(도시형)</t>
        </is>
      </c>
      <c r="E1084" s="0" t="inlineStr">
        <is>
          <t>2017.04.</t>
        </is>
      </c>
      <c r="F1084" s="0" t="n">
        <v>24</v>
      </c>
      <c r="G1084" s="0" t="n">
        <v>22.56</v>
      </c>
      <c r="H1084" s="0" t="n">
        <v>74.61</v>
      </c>
      <c r="I1084" s="0" t="n">
        <v>15.04</v>
      </c>
      <c r="J1084" s="0" t="n">
        <v>49.75</v>
      </c>
      <c r="K1084" s="0" t="n">
        <v>4</v>
      </c>
      <c r="T1084" s="0" t="n">
        <v>3</v>
      </c>
      <c r="U1084" s="0" t="n">
        <v>1</v>
      </c>
      <c r="V1084" s="0" t="inlineStr">
        <is>
          <t>계단식</t>
        </is>
      </c>
      <c r="W1084" s="0" t="inlineStr">
        <is>
          <t>74A</t>
        </is>
      </c>
      <c r="X1084" s="0" t="n">
        <v>14</v>
      </c>
      <c r="Y1084" s="0" t="n">
        <v>14</v>
      </c>
      <c r="Z1084" s="0" t="inlineStr">
        <is>
          <t>https://new.land.naver.com/complexes/120610?tab=detail&amp;rf=Y</t>
        </is>
      </c>
      <c r="AA1084" s="0" t="inlineStr">
        <is>
          <t>인천시 서구 석남동 510-12</t>
        </is>
      </c>
      <c r="AB1084" s="0" t="inlineStr">
        <is>
          <t>인천시</t>
        </is>
      </c>
      <c r="AC1084" s="0" t="inlineStr">
        <is>
          <t>서구</t>
        </is>
      </c>
      <c r="AD1084" s="0" t="inlineStr">
        <is>
          <t>석남동</t>
        </is>
      </c>
      <c r="AG1084" s="0" t="inlineStr">
        <is>
          <t>인천시 서구 옻우물로 9</t>
        </is>
      </c>
      <c r="AH1084" s="0" t="n">
        <v>0</v>
      </c>
      <c r="AI1084" s="0" t="n">
        <v>859</v>
      </c>
      <c r="AJ1084" s="0" t="n">
        <v>69</v>
      </c>
      <c r="AK1084" s="0" t="n">
        <v>17</v>
      </c>
      <c r="AL1084" s="0" t="n">
        <v>0.71</v>
      </c>
    </row>
    <row r="1085">
      <c r="A1085" s="0" t="inlineStr">
        <is>
          <t>[석남동]</t>
        </is>
      </c>
      <c r="B1085" s="0" t="n">
        <v>120610</v>
      </c>
      <c r="C1085" s="0" t="n">
        <v>4</v>
      </c>
      <c r="D1085" s="0" t="inlineStr">
        <is>
          <t>어반스뷰(도시형)</t>
        </is>
      </c>
      <c r="E1085" s="0" t="inlineStr">
        <is>
          <t>2017.04.</t>
        </is>
      </c>
      <c r="F1085" s="0" t="n">
        <v>24</v>
      </c>
      <c r="G1085" s="0" t="n">
        <v>22.62</v>
      </c>
      <c r="H1085" s="0" t="n">
        <v>74.8</v>
      </c>
      <c r="I1085" s="0" t="n">
        <v>15.07</v>
      </c>
      <c r="J1085" s="0" t="n">
        <v>49.84</v>
      </c>
      <c r="K1085" s="0" t="n">
        <v>4</v>
      </c>
      <c r="T1085" s="0" t="n">
        <v>3</v>
      </c>
      <c r="U1085" s="0" t="n">
        <v>1</v>
      </c>
      <c r="V1085" s="0" t="inlineStr">
        <is>
          <t>계단식</t>
        </is>
      </c>
      <c r="W1085" s="0" t="inlineStr">
        <is>
          <t>74B</t>
        </is>
      </c>
      <c r="X1085" s="0" t="n">
        <v>14</v>
      </c>
      <c r="Y1085" s="0" t="n">
        <v>14</v>
      </c>
      <c r="Z1085" s="0" t="inlineStr">
        <is>
          <t>https://new.land.naver.com/complexes/120610?tab=detail&amp;rf=Y</t>
        </is>
      </c>
      <c r="AA1085" s="0" t="inlineStr">
        <is>
          <t>인천시 서구 석남동 510-12</t>
        </is>
      </c>
      <c r="AB1085" s="0" t="inlineStr">
        <is>
          <t>인천시</t>
        </is>
      </c>
      <c r="AC1085" s="0" t="inlineStr">
        <is>
          <t>서구</t>
        </is>
      </c>
      <c r="AD1085" s="0" t="inlineStr">
        <is>
          <t>석남동</t>
        </is>
      </c>
      <c r="AG1085" s="0" t="inlineStr">
        <is>
          <t>인천시 서구 옻우물로 9</t>
        </is>
      </c>
      <c r="AH1085" s="0" t="n">
        <v>0</v>
      </c>
      <c r="AI1085" s="0" t="n">
        <v>859</v>
      </c>
      <c r="AJ1085" s="0" t="n">
        <v>69</v>
      </c>
      <c r="AK1085" s="0" t="n">
        <v>17</v>
      </c>
      <c r="AL1085" s="0" t="n">
        <v>0.71</v>
      </c>
    </row>
    <row r="1086">
      <c r="A1086" s="0" t="inlineStr">
        <is>
          <t>[석남동]</t>
        </is>
      </c>
      <c r="B1086" s="0" t="n">
        <v>120610</v>
      </c>
      <c r="C1086" s="0" t="n">
        <v>5</v>
      </c>
      <c r="D1086" s="0" t="inlineStr">
        <is>
          <t>어반스뷰(도시형)</t>
        </is>
      </c>
      <c r="E1086" s="0" t="inlineStr">
        <is>
          <t>2017.04.</t>
        </is>
      </c>
      <c r="F1086" s="0" t="n">
        <v>24</v>
      </c>
      <c r="G1086" s="0" t="n">
        <v>22.48</v>
      </c>
      <c r="H1086" s="0" t="n">
        <v>74.31999999999999</v>
      </c>
      <c r="I1086" s="0" t="n">
        <v>14.98</v>
      </c>
      <c r="J1086" s="0" t="n">
        <v>49.54</v>
      </c>
      <c r="K1086" s="0" t="n">
        <v>4</v>
      </c>
      <c r="T1086" s="0" t="n">
        <v>3</v>
      </c>
      <c r="U1086" s="0" t="n">
        <v>1</v>
      </c>
      <c r="V1086" s="0" t="inlineStr">
        <is>
          <t>계단식</t>
        </is>
      </c>
      <c r="W1086" s="0" t="inlineStr">
        <is>
          <t>74C</t>
        </is>
      </c>
      <c r="X1086" s="0" t="n">
        <v>14</v>
      </c>
      <c r="Y1086" s="0" t="n">
        <v>14</v>
      </c>
      <c r="Z1086" s="0" t="inlineStr">
        <is>
          <t>https://new.land.naver.com/complexes/120610?tab=detail&amp;rf=Y</t>
        </is>
      </c>
      <c r="AA1086" s="0" t="inlineStr">
        <is>
          <t>인천시 서구 석남동 510-12</t>
        </is>
      </c>
      <c r="AB1086" s="0" t="inlineStr">
        <is>
          <t>인천시</t>
        </is>
      </c>
      <c r="AC1086" s="0" t="inlineStr">
        <is>
          <t>서구</t>
        </is>
      </c>
      <c r="AD1086" s="0" t="inlineStr">
        <is>
          <t>석남동</t>
        </is>
      </c>
      <c r="AG1086" s="0" t="inlineStr">
        <is>
          <t>인천시 서구 옻우물로 9</t>
        </is>
      </c>
      <c r="AH1086" s="0" t="n">
        <v>0</v>
      </c>
      <c r="AI1086" s="0" t="n">
        <v>859</v>
      </c>
      <c r="AJ1086" s="0" t="n">
        <v>69</v>
      </c>
      <c r="AK1086" s="0" t="n">
        <v>17</v>
      </c>
      <c r="AL1086" s="0" t="n">
        <v>0.71</v>
      </c>
    </row>
    <row r="1087">
      <c r="A1087" s="0" t="inlineStr">
        <is>
          <t>[석남동]</t>
        </is>
      </c>
      <c r="B1087" s="0" t="n">
        <v>120610</v>
      </c>
      <c r="C1087" s="0" t="n">
        <v>6</v>
      </c>
      <c r="D1087" s="0" t="inlineStr">
        <is>
          <t>어반스뷰(도시형)</t>
        </is>
      </c>
      <c r="E1087" s="0" t="inlineStr">
        <is>
          <t>2017.04.</t>
        </is>
      </c>
      <c r="F1087" s="0" t="n">
        <v>24</v>
      </c>
      <c r="G1087" s="0" t="n">
        <v>22.75</v>
      </c>
      <c r="H1087" s="0" t="n">
        <v>75.20999999999999</v>
      </c>
      <c r="I1087" s="0" t="n">
        <v>15.11</v>
      </c>
      <c r="J1087" s="0" t="n">
        <v>49.98</v>
      </c>
      <c r="K1087" s="0" t="n">
        <v>4</v>
      </c>
      <c r="T1087" s="0" t="n">
        <v>3</v>
      </c>
      <c r="U1087" s="0" t="n">
        <v>1</v>
      </c>
      <c r="V1087" s="0" t="inlineStr">
        <is>
          <t>계단식</t>
        </is>
      </c>
      <c r="W1087" s="0" t="inlineStr">
        <is>
          <t>75C</t>
        </is>
      </c>
      <c r="X1087" s="0" t="n">
        <v>14</v>
      </c>
      <c r="Y1087" s="0" t="n">
        <v>14</v>
      </c>
      <c r="Z1087" s="0" t="inlineStr">
        <is>
          <t>https://new.land.naver.com/complexes/120610?tab=detail&amp;rf=Y</t>
        </is>
      </c>
      <c r="AA1087" s="0" t="inlineStr">
        <is>
          <t>인천시 서구 석남동 510-12</t>
        </is>
      </c>
      <c r="AB1087" s="0" t="inlineStr">
        <is>
          <t>인천시</t>
        </is>
      </c>
      <c r="AC1087" s="0" t="inlineStr">
        <is>
          <t>서구</t>
        </is>
      </c>
      <c r="AD1087" s="0" t="inlineStr">
        <is>
          <t>석남동</t>
        </is>
      </c>
      <c r="AG1087" s="0" t="inlineStr">
        <is>
          <t>인천시 서구 옻우물로 9</t>
        </is>
      </c>
      <c r="AH1087" s="0" t="n">
        <v>0</v>
      </c>
      <c r="AI1087" s="0" t="n">
        <v>859</v>
      </c>
      <c r="AJ1087" s="0" t="n">
        <v>69</v>
      </c>
      <c r="AK1087" s="0" t="n">
        <v>17</v>
      </c>
      <c r="AL1087" s="0" t="n">
        <v>0.71</v>
      </c>
    </row>
    <row r="1088">
      <c r="A1088" s="0" t="inlineStr">
        <is>
          <t>[석남동]</t>
        </is>
      </c>
      <c r="B1088" s="0" t="n">
        <v>2355</v>
      </c>
      <c r="C1088" s="0" t="n">
        <v>1</v>
      </c>
      <c r="D1088" s="0" t="inlineStr">
        <is>
          <t>신동아</t>
        </is>
      </c>
      <c r="E1088" s="0" t="inlineStr">
        <is>
          <t>1996.03.</t>
        </is>
      </c>
      <c r="F1088" s="0" t="n">
        <v>190</v>
      </c>
      <c r="G1088" s="0" t="n">
        <v>23.79</v>
      </c>
      <c r="H1088" s="0" t="n">
        <v>78.66</v>
      </c>
      <c r="I1088" s="0" t="n">
        <v>18.14</v>
      </c>
      <c r="J1088" s="0" t="n">
        <v>59.98</v>
      </c>
      <c r="K1088" s="0" t="n">
        <v>190</v>
      </c>
      <c r="T1088" s="0" t="n">
        <v>3</v>
      </c>
      <c r="U1088" s="0" t="n">
        <v>1</v>
      </c>
      <c r="V1088" s="0" t="inlineStr">
        <is>
          <t>복도식</t>
        </is>
      </c>
      <c r="W1088" s="0" t="n">
        <v>78</v>
      </c>
      <c r="X1088" s="0" t="n">
        <v>18</v>
      </c>
      <c r="Y1088" s="0" t="n">
        <v>7</v>
      </c>
      <c r="Z1088" s="0" t="inlineStr">
        <is>
          <t>https://new.land.naver.com/complexes/2355?tab=detail&amp;rf=Y</t>
        </is>
      </c>
      <c r="AA1088" s="0" t="inlineStr">
        <is>
          <t>인천시 서구 석남동 486-1</t>
        </is>
      </c>
      <c r="AB1088" s="0" t="inlineStr">
        <is>
          <t>인천시</t>
        </is>
      </c>
      <c r="AC1088" s="0" t="inlineStr">
        <is>
          <t>서구</t>
        </is>
      </c>
      <c r="AD1088" s="0" t="inlineStr">
        <is>
          <t>석남동</t>
        </is>
      </c>
      <c r="AG1088" s="0" t="inlineStr">
        <is>
          <t>인천시 서구 서달로123번길 12-4</t>
        </is>
      </c>
      <c r="AH1088" s="0" t="n">
        <v>0</v>
      </c>
      <c r="AI1088" s="0" t="n">
        <v>311</v>
      </c>
      <c r="AJ1088" s="0" t="n">
        <v>30</v>
      </c>
      <c r="AK1088" s="0" t="n">
        <v>122</v>
      </c>
      <c r="AL1088" s="0" t="n">
        <v>0.64</v>
      </c>
    </row>
    <row r="1089">
      <c r="A1089" s="0" t="inlineStr">
        <is>
          <t>[석남동]</t>
        </is>
      </c>
      <c r="B1089" s="0" t="n">
        <v>118626</v>
      </c>
      <c r="C1089" s="0" t="n">
        <v>1</v>
      </c>
      <c r="D1089" s="0" t="inlineStr">
        <is>
          <t>어반스뷰2차</t>
        </is>
      </c>
      <c r="E1089" s="0" t="inlineStr">
        <is>
          <t>2017.09.</t>
        </is>
      </c>
      <c r="F1089" s="0" t="n">
        <v>10</v>
      </c>
      <c r="G1089" s="0" t="n">
        <v>22.27</v>
      </c>
      <c r="H1089" s="0" t="n">
        <v>73.63</v>
      </c>
      <c r="I1089" s="0" t="n">
        <v>16.89</v>
      </c>
      <c r="J1089" s="0" t="n">
        <v>55.86</v>
      </c>
      <c r="K1089" s="0" t="n">
        <v>2</v>
      </c>
      <c r="T1089" s="0" t="n">
        <v>3</v>
      </c>
      <c r="U1089" s="0" t="n">
        <v>1</v>
      </c>
      <c r="V1089" s="0" t="inlineStr">
        <is>
          <t>계단식</t>
        </is>
      </c>
      <c r="W1089" s="0" t="n">
        <v>73</v>
      </c>
      <c r="X1089" s="0" t="n">
        <v>14</v>
      </c>
      <c r="Y1089" s="0" t="n">
        <v>14</v>
      </c>
      <c r="Z1089" s="0" t="inlineStr">
        <is>
          <t>https://new.land.naver.com/complexes/118626?tab=detail&amp;rf=Y</t>
        </is>
      </c>
      <c r="AA1089" s="0" t="inlineStr">
        <is>
          <t>인천시 서구 석남동 516-6</t>
        </is>
      </c>
      <c r="AB1089" s="0" t="inlineStr">
        <is>
          <t>인천시</t>
        </is>
      </c>
      <c r="AC1089" s="0" t="inlineStr">
        <is>
          <t>서구</t>
        </is>
      </c>
      <c r="AD1089" s="0" t="inlineStr">
        <is>
          <t>석남동</t>
        </is>
      </c>
      <c r="AG1089" s="0" t="inlineStr">
        <is>
          <t>인천시 서구 길주로75번길 14</t>
        </is>
      </c>
      <c r="AH1089" s="0" t="n">
        <v>0</v>
      </c>
      <c r="AI1089" s="0" t="n">
        <v>898</v>
      </c>
      <c r="AJ1089" s="0" t="n">
        <v>69</v>
      </c>
      <c r="AK1089" s="0" t="n">
        <v>6</v>
      </c>
      <c r="AL1089" s="0" t="n">
        <v>0.6</v>
      </c>
    </row>
    <row r="1090">
      <c r="A1090" s="0" t="inlineStr">
        <is>
          <t>[석남동]</t>
        </is>
      </c>
      <c r="B1090" s="0" t="n">
        <v>118626</v>
      </c>
      <c r="C1090" s="0" t="n">
        <v>2</v>
      </c>
      <c r="D1090" s="0" t="inlineStr">
        <is>
          <t>어반스뷰2차</t>
        </is>
      </c>
      <c r="E1090" s="0" t="inlineStr">
        <is>
          <t>2017.09.</t>
        </is>
      </c>
      <c r="F1090" s="0" t="n">
        <v>10</v>
      </c>
      <c r="G1090" s="0" t="n">
        <v>22.62</v>
      </c>
      <c r="H1090" s="0" t="n">
        <v>74.8</v>
      </c>
      <c r="I1090" s="0" t="n">
        <v>17.16</v>
      </c>
      <c r="J1090" s="0" t="n">
        <v>56.75</v>
      </c>
      <c r="K1090" s="0" t="n">
        <v>2</v>
      </c>
      <c r="T1090" s="0" t="n">
        <v>3</v>
      </c>
      <c r="U1090" s="0" t="n">
        <v>1</v>
      </c>
      <c r="V1090" s="0" t="inlineStr">
        <is>
          <t>계단식</t>
        </is>
      </c>
      <c r="W1090" s="0" t="inlineStr">
        <is>
          <t>74A</t>
        </is>
      </c>
      <c r="X1090" s="0" t="n">
        <v>14</v>
      </c>
      <c r="Y1090" s="0" t="n">
        <v>14</v>
      </c>
      <c r="Z1090" s="0" t="inlineStr">
        <is>
          <t>https://new.land.naver.com/complexes/118626?tab=detail&amp;rf=Y</t>
        </is>
      </c>
      <c r="AA1090" s="0" t="inlineStr">
        <is>
          <t>인천시 서구 석남동 516-6</t>
        </is>
      </c>
      <c r="AB1090" s="0" t="inlineStr">
        <is>
          <t>인천시</t>
        </is>
      </c>
      <c r="AC1090" s="0" t="inlineStr">
        <is>
          <t>서구</t>
        </is>
      </c>
      <c r="AD1090" s="0" t="inlineStr">
        <is>
          <t>석남동</t>
        </is>
      </c>
      <c r="AG1090" s="0" t="inlineStr">
        <is>
          <t>인천시 서구 길주로75번길 14</t>
        </is>
      </c>
      <c r="AH1090" s="0" t="n">
        <v>0</v>
      </c>
      <c r="AI1090" s="0" t="n">
        <v>898</v>
      </c>
      <c r="AJ1090" s="0" t="n">
        <v>69</v>
      </c>
      <c r="AK1090" s="0" t="n">
        <v>6</v>
      </c>
      <c r="AL1090" s="0" t="n">
        <v>0.6</v>
      </c>
    </row>
    <row r="1091">
      <c r="A1091" s="0" t="inlineStr">
        <is>
          <t>[석남동]</t>
        </is>
      </c>
      <c r="B1091" s="0" t="n">
        <v>118626</v>
      </c>
      <c r="C1091" s="0" t="n">
        <v>3</v>
      </c>
      <c r="D1091" s="0" t="inlineStr">
        <is>
          <t>어반스뷰2차</t>
        </is>
      </c>
      <c r="E1091" s="0" t="inlineStr">
        <is>
          <t>2017.09.</t>
        </is>
      </c>
      <c r="F1091" s="0" t="n">
        <v>10</v>
      </c>
      <c r="G1091" s="0" t="n">
        <v>22.56</v>
      </c>
      <c r="H1091" s="0" t="n">
        <v>74.61</v>
      </c>
      <c r="I1091" s="0" t="n">
        <v>17.12</v>
      </c>
      <c r="J1091" s="0" t="n">
        <v>56.6</v>
      </c>
      <c r="K1091" s="0" t="n">
        <v>2</v>
      </c>
      <c r="T1091" s="0" t="n">
        <v>3</v>
      </c>
      <c r="U1091" s="0" t="n">
        <v>1</v>
      </c>
      <c r="V1091" s="0" t="inlineStr">
        <is>
          <t>계단식</t>
        </is>
      </c>
      <c r="W1091" s="0" t="inlineStr">
        <is>
          <t>74B</t>
        </is>
      </c>
      <c r="X1091" s="0" t="n">
        <v>14</v>
      </c>
      <c r="Y1091" s="0" t="n">
        <v>14</v>
      </c>
      <c r="Z1091" s="0" t="inlineStr">
        <is>
          <t>https://new.land.naver.com/complexes/118626?tab=detail&amp;rf=Y</t>
        </is>
      </c>
      <c r="AA1091" s="0" t="inlineStr">
        <is>
          <t>인천시 서구 석남동 516-6</t>
        </is>
      </c>
      <c r="AB1091" s="0" t="inlineStr">
        <is>
          <t>인천시</t>
        </is>
      </c>
      <c r="AC1091" s="0" t="inlineStr">
        <is>
          <t>서구</t>
        </is>
      </c>
      <c r="AD1091" s="0" t="inlineStr">
        <is>
          <t>석남동</t>
        </is>
      </c>
      <c r="AG1091" s="0" t="inlineStr">
        <is>
          <t>인천시 서구 길주로75번길 14</t>
        </is>
      </c>
      <c r="AH1091" s="0" t="n">
        <v>0</v>
      </c>
      <c r="AI1091" s="0" t="n">
        <v>898</v>
      </c>
      <c r="AJ1091" s="0" t="n">
        <v>69</v>
      </c>
      <c r="AK1091" s="0" t="n">
        <v>6</v>
      </c>
      <c r="AL1091" s="0" t="n">
        <v>0.6</v>
      </c>
    </row>
    <row r="1092">
      <c r="A1092" s="0" t="inlineStr">
        <is>
          <t>[석남동]</t>
        </is>
      </c>
      <c r="B1092" s="0" t="n">
        <v>118626</v>
      </c>
      <c r="C1092" s="0" t="n">
        <v>4</v>
      </c>
      <c r="D1092" s="0" t="inlineStr">
        <is>
          <t>어반스뷰2차</t>
        </is>
      </c>
      <c r="E1092" s="0" t="inlineStr">
        <is>
          <t>2017.09.</t>
        </is>
      </c>
      <c r="F1092" s="0" t="n">
        <v>10</v>
      </c>
      <c r="G1092" s="0" t="n">
        <v>22.75</v>
      </c>
      <c r="H1092" s="0" t="n">
        <v>75.22</v>
      </c>
      <c r="I1092" s="0" t="n">
        <v>17.26</v>
      </c>
      <c r="J1092" s="0" t="n">
        <v>57.07</v>
      </c>
      <c r="K1092" s="0" t="n">
        <v>2</v>
      </c>
      <c r="T1092" s="0" t="n">
        <v>3</v>
      </c>
      <c r="U1092" s="0" t="n">
        <v>1</v>
      </c>
      <c r="V1092" s="0" t="inlineStr">
        <is>
          <t>계단식</t>
        </is>
      </c>
      <c r="W1092" s="0" t="inlineStr">
        <is>
          <t>75C</t>
        </is>
      </c>
      <c r="X1092" s="0" t="n">
        <v>14</v>
      </c>
      <c r="Y1092" s="0" t="n">
        <v>14</v>
      </c>
      <c r="Z1092" s="0" t="inlineStr">
        <is>
          <t>https://new.land.naver.com/complexes/118626?tab=detail&amp;rf=Y</t>
        </is>
      </c>
      <c r="AA1092" s="0" t="inlineStr">
        <is>
          <t>인천시 서구 석남동 516-6</t>
        </is>
      </c>
      <c r="AB1092" s="0" t="inlineStr">
        <is>
          <t>인천시</t>
        </is>
      </c>
      <c r="AC1092" s="0" t="inlineStr">
        <is>
          <t>서구</t>
        </is>
      </c>
      <c r="AD1092" s="0" t="inlineStr">
        <is>
          <t>석남동</t>
        </is>
      </c>
      <c r="AG1092" s="0" t="inlineStr">
        <is>
          <t>인천시 서구 길주로75번길 14</t>
        </is>
      </c>
      <c r="AH1092" s="0" t="n">
        <v>0</v>
      </c>
      <c r="AI1092" s="0" t="n">
        <v>898</v>
      </c>
      <c r="AJ1092" s="0" t="n">
        <v>69</v>
      </c>
      <c r="AK1092" s="0" t="n">
        <v>6</v>
      </c>
      <c r="AL1092" s="0" t="n">
        <v>0.6</v>
      </c>
    </row>
    <row r="1093">
      <c r="A1093" s="0" t="inlineStr">
        <is>
          <t>[석남동]</t>
        </is>
      </c>
      <c r="B1093" s="0" t="n">
        <v>118626</v>
      </c>
      <c r="C1093" s="0" t="n">
        <v>5</v>
      </c>
      <c r="D1093" s="0" t="inlineStr">
        <is>
          <t>어반스뷰2차</t>
        </is>
      </c>
      <c r="E1093" s="0" t="inlineStr">
        <is>
          <t>2017.09.</t>
        </is>
      </c>
      <c r="F1093" s="0" t="n">
        <v>10</v>
      </c>
      <c r="G1093" s="0" t="n">
        <v>22.84</v>
      </c>
      <c r="H1093" s="0" t="n">
        <v>75.53</v>
      </c>
      <c r="I1093" s="0" t="n">
        <v>17.33</v>
      </c>
      <c r="J1093" s="0" t="n">
        <v>57.3</v>
      </c>
      <c r="K1093" s="0" t="n">
        <v>2</v>
      </c>
      <c r="T1093" s="0" t="n">
        <v>3</v>
      </c>
      <c r="U1093" s="0" t="n">
        <v>1</v>
      </c>
      <c r="V1093" s="0" t="inlineStr">
        <is>
          <t>계단식</t>
        </is>
      </c>
      <c r="W1093" s="0" t="inlineStr">
        <is>
          <t>75D</t>
        </is>
      </c>
      <c r="X1093" s="0" t="n">
        <v>14</v>
      </c>
      <c r="Y1093" s="0" t="n">
        <v>14</v>
      </c>
      <c r="Z1093" s="0" t="inlineStr">
        <is>
          <t>https://new.land.naver.com/complexes/118626?tab=detail&amp;rf=Y</t>
        </is>
      </c>
      <c r="AA1093" s="0" t="inlineStr">
        <is>
          <t>인천시 서구 석남동 516-6</t>
        </is>
      </c>
      <c r="AB1093" s="0" t="inlineStr">
        <is>
          <t>인천시</t>
        </is>
      </c>
      <c r="AC1093" s="0" t="inlineStr">
        <is>
          <t>서구</t>
        </is>
      </c>
      <c r="AD1093" s="0" t="inlineStr">
        <is>
          <t>석남동</t>
        </is>
      </c>
      <c r="AG1093" s="0" t="inlineStr">
        <is>
          <t>인천시 서구 길주로75번길 14</t>
        </is>
      </c>
      <c r="AH1093" s="0" t="n">
        <v>0</v>
      </c>
      <c r="AI1093" s="0" t="n">
        <v>898</v>
      </c>
      <c r="AJ1093" s="0" t="n">
        <v>69</v>
      </c>
      <c r="AK1093" s="0" t="n">
        <v>6</v>
      </c>
      <c r="AL1093" s="0" t="n">
        <v>0.6</v>
      </c>
    </row>
    <row r="1094">
      <c r="A1094" s="0" t="inlineStr">
        <is>
          <t>[석남동]</t>
        </is>
      </c>
      <c r="B1094" s="0" t="n">
        <v>27248</v>
      </c>
      <c r="C1094" s="0" t="n">
        <v>1</v>
      </c>
      <c r="D1094" s="0" t="inlineStr">
        <is>
          <t>남양</t>
        </is>
      </c>
      <c r="E1094" s="0" t="inlineStr">
        <is>
          <t>2006.04.</t>
        </is>
      </c>
      <c r="F1094" s="0" t="n">
        <v>56</v>
      </c>
      <c r="G1094" s="0" t="n">
        <v>25.65</v>
      </c>
      <c r="H1094" s="0" t="n">
        <v>84.81</v>
      </c>
      <c r="I1094" s="0" t="n">
        <v>18.42</v>
      </c>
      <c r="J1094" s="0" t="n">
        <v>60.92</v>
      </c>
      <c r="K1094" s="0" t="n">
        <v>2</v>
      </c>
      <c r="T1094" s="0" t="n">
        <v>3</v>
      </c>
      <c r="U1094" s="0" t="n">
        <v>2</v>
      </c>
      <c r="V1094" s="0" t="inlineStr">
        <is>
          <t>계단식</t>
        </is>
      </c>
      <c r="W1094" s="0" t="inlineStr">
        <is>
          <t>84A</t>
        </is>
      </c>
      <c r="X1094" s="0" t="n">
        <v>8</v>
      </c>
      <c r="Y1094" s="0" t="n">
        <v>8</v>
      </c>
      <c r="Z1094" s="0" t="inlineStr">
        <is>
          <t>https://new.land.naver.com/complexes/27248?tab=detail&amp;rf=Y</t>
        </is>
      </c>
      <c r="AA1094" s="0" t="inlineStr">
        <is>
          <t>인천시 서구 석남동 460-2</t>
        </is>
      </c>
      <c r="AB1094" s="0" t="inlineStr">
        <is>
          <t>인천시</t>
        </is>
      </c>
      <c r="AC1094" s="0" t="inlineStr">
        <is>
          <t>서구</t>
        </is>
      </c>
      <c r="AD1094" s="0" t="inlineStr">
        <is>
          <t>석남동</t>
        </is>
      </c>
      <c r="AG1094" s="0" t="inlineStr">
        <is>
          <t>인천시 서구 신석로111번길 29</t>
        </is>
      </c>
      <c r="AH1094" s="0" t="n">
        <v>0</v>
      </c>
      <c r="AI1094" s="0" t="n">
        <v>237</v>
      </c>
      <c r="AJ1094" s="0" t="n">
        <v>35</v>
      </c>
      <c r="AK1094" s="0" t="n">
        <v>56</v>
      </c>
      <c r="AL1094" s="0" t="n">
        <v>1</v>
      </c>
    </row>
    <row r="1095">
      <c r="A1095" s="0" t="inlineStr">
        <is>
          <t>[석남동]</t>
        </is>
      </c>
      <c r="B1095" s="0" t="n">
        <v>27248</v>
      </c>
      <c r="C1095" s="0" t="n">
        <v>2</v>
      </c>
      <c r="D1095" s="0" t="inlineStr">
        <is>
          <t>남양</t>
        </is>
      </c>
      <c r="E1095" s="0" t="inlineStr">
        <is>
          <t>2006.04.</t>
        </is>
      </c>
      <c r="F1095" s="0" t="n">
        <v>56</v>
      </c>
      <c r="G1095" s="0" t="n">
        <v>26.02</v>
      </c>
      <c r="H1095" s="0" t="n">
        <v>86.04000000000001</v>
      </c>
      <c r="I1095" s="0" t="n">
        <v>18.76</v>
      </c>
      <c r="J1095" s="0" t="n">
        <v>62.03</v>
      </c>
      <c r="K1095" s="0" t="n">
        <v>40</v>
      </c>
      <c r="T1095" s="0" t="n">
        <v>3</v>
      </c>
      <c r="U1095" s="0" t="n">
        <v>1</v>
      </c>
      <c r="V1095" s="0" t="inlineStr">
        <is>
          <t>계단식</t>
        </is>
      </c>
      <c r="W1095" s="0" t="inlineStr">
        <is>
          <t>86B</t>
        </is>
      </c>
      <c r="X1095" s="0" t="n">
        <v>8</v>
      </c>
      <c r="Y1095" s="0" t="n">
        <v>8</v>
      </c>
      <c r="Z1095" s="0" t="inlineStr">
        <is>
          <t>https://new.land.naver.com/complexes/27248?tab=detail&amp;rf=Y</t>
        </is>
      </c>
      <c r="AA1095" s="0" t="inlineStr">
        <is>
          <t>인천시 서구 석남동 460-2</t>
        </is>
      </c>
      <c r="AB1095" s="0" t="inlineStr">
        <is>
          <t>인천시</t>
        </is>
      </c>
      <c r="AC1095" s="0" t="inlineStr">
        <is>
          <t>서구</t>
        </is>
      </c>
      <c r="AD1095" s="0" t="inlineStr">
        <is>
          <t>석남동</t>
        </is>
      </c>
      <c r="AG1095" s="0" t="inlineStr">
        <is>
          <t>인천시 서구 신석로111번길 29</t>
        </is>
      </c>
      <c r="AH1095" s="0" t="n">
        <v>0</v>
      </c>
      <c r="AI1095" s="0" t="n">
        <v>237</v>
      </c>
      <c r="AJ1095" s="0" t="n">
        <v>35</v>
      </c>
      <c r="AK1095" s="0" t="n">
        <v>56</v>
      </c>
      <c r="AL1095" s="0" t="n">
        <v>1</v>
      </c>
    </row>
    <row r="1096">
      <c r="A1096" s="0" t="inlineStr">
        <is>
          <t>[석남동]</t>
        </is>
      </c>
      <c r="B1096" s="0" t="n">
        <v>27248</v>
      </c>
      <c r="C1096" s="0" t="n">
        <v>3</v>
      </c>
      <c r="D1096" s="0" t="inlineStr">
        <is>
          <t>남양</t>
        </is>
      </c>
      <c r="E1096" s="0" t="inlineStr">
        <is>
          <t>2006.04.</t>
        </is>
      </c>
      <c r="F1096" s="0" t="n">
        <v>56</v>
      </c>
      <c r="G1096" s="0" t="n">
        <v>27.78</v>
      </c>
      <c r="H1096" s="0" t="n">
        <v>91.86</v>
      </c>
      <c r="I1096" s="0" t="n">
        <v>19.98</v>
      </c>
      <c r="J1096" s="0" t="n">
        <v>66.05</v>
      </c>
      <c r="K1096" s="0" t="n">
        <v>2</v>
      </c>
      <c r="T1096" s="0" t="n">
        <v>3</v>
      </c>
      <c r="U1096" s="0" t="n">
        <v>1</v>
      </c>
      <c r="V1096" s="0" t="inlineStr">
        <is>
          <t>계단식</t>
        </is>
      </c>
      <c r="W1096" s="0" t="n">
        <v>91</v>
      </c>
      <c r="X1096" s="0" t="n">
        <v>8</v>
      </c>
      <c r="Y1096" s="0" t="n">
        <v>8</v>
      </c>
      <c r="Z1096" s="0" t="inlineStr">
        <is>
          <t>https://new.land.naver.com/complexes/27248?tab=detail&amp;rf=Y</t>
        </is>
      </c>
      <c r="AA1096" s="0" t="inlineStr">
        <is>
          <t>인천시 서구 석남동 460-2</t>
        </is>
      </c>
      <c r="AB1096" s="0" t="inlineStr">
        <is>
          <t>인천시</t>
        </is>
      </c>
      <c r="AC1096" s="0" t="inlineStr">
        <is>
          <t>서구</t>
        </is>
      </c>
      <c r="AD1096" s="0" t="inlineStr">
        <is>
          <t>석남동</t>
        </is>
      </c>
      <c r="AG1096" s="0" t="inlineStr">
        <is>
          <t>인천시 서구 신석로111번길 29</t>
        </is>
      </c>
      <c r="AH1096" s="0" t="n">
        <v>0</v>
      </c>
      <c r="AI1096" s="0" t="n">
        <v>237</v>
      </c>
      <c r="AJ1096" s="0" t="n">
        <v>35</v>
      </c>
      <c r="AK1096" s="0" t="n">
        <v>56</v>
      </c>
      <c r="AL1096" s="0" t="n">
        <v>1</v>
      </c>
    </row>
    <row r="1097">
      <c r="A1097" s="0" t="inlineStr">
        <is>
          <t>[석남동]</t>
        </is>
      </c>
      <c r="B1097" s="0" t="n">
        <v>27248</v>
      </c>
      <c r="C1097" s="0" t="n">
        <v>4</v>
      </c>
      <c r="D1097" s="0" t="inlineStr">
        <is>
          <t>남양</t>
        </is>
      </c>
      <c r="E1097" s="0" t="inlineStr">
        <is>
          <t>2006.04.</t>
        </is>
      </c>
      <c r="F1097" s="0" t="n">
        <v>56</v>
      </c>
      <c r="G1097" s="0" t="n">
        <v>28.77</v>
      </c>
      <c r="H1097" s="0" t="n">
        <v>95.14</v>
      </c>
      <c r="I1097" s="0" t="n">
        <v>20.81</v>
      </c>
      <c r="J1097" s="0" t="n">
        <v>68.81999999999999</v>
      </c>
      <c r="K1097" s="0" t="n">
        <v>12</v>
      </c>
      <c r="T1097" s="0" t="n">
        <v>3</v>
      </c>
      <c r="U1097" s="0" t="n">
        <v>1</v>
      </c>
      <c r="V1097" s="0" t="inlineStr">
        <is>
          <t>계단식</t>
        </is>
      </c>
      <c r="W1097" s="0" t="n">
        <v>95</v>
      </c>
      <c r="X1097" s="0" t="n">
        <v>8</v>
      </c>
      <c r="Y1097" s="0" t="n">
        <v>8</v>
      </c>
      <c r="Z1097" s="0" t="inlineStr">
        <is>
          <t>https://new.land.naver.com/complexes/27248?tab=detail&amp;rf=Y</t>
        </is>
      </c>
      <c r="AA1097" s="0" t="inlineStr">
        <is>
          <t>인천시 서구 석남동 460-2</t>
        </is>
      </c>
      <c r="AB1097" s="0" t="inlineStr">
        <is>
          <t>인천시</t>
        </is>
      </c>
      <c r="AC1097" s="0" t="inlineStr">
        <is>
          <t>서구</t>
        </is>
      </c>
      <c r="AD1097" s="0" t="inlineStr">
        <is>
          <t>석남동</t>
        </is>
      </c>
      <c r="AG1097" s="0" t="inlineStr">
        <is>
          <t>인천시 서구 신석로111번길 29</t>
        </is>
      </c>
      <c r="AH1097" s="0" t="n">
        <v>0</v>
      </c>
      <c r="AI1097" s="0" t="n">
        <v>237</v>
      </c>
      <c r="AJ1097" s="0" t="n">
        <v>35</v>
      </c>
      <c r="AK1097" s="0" t="n">
        <v>56</v>
      </c>
      <c r="AL1097" s="0" t="n">
        <v>1</v>
      </c>
    </row>
    <row r="1098">
      <c r="A1098" s="0" t="inlineStr">
        <is>
          <t>[석남동]</t>
        </is>
      </c>
      <c r="B1098" s="0" t="n">
        <v>18385</v>
      </c>
      <c r="C1098" s="0" t="n">
        <v>1</v>
      </c>
      <c r="D1098" s="0" t="inlineStr">
        <is>
          <t>서인천월드메르디앙</t>
        </is>
      </c>
      <c r="E1098" s="0" t="inlineStr">
        <is>
          <t>2006.07.</t>
        </is>
      </c>
      <c r="F1098" s="0" t="n">
        <v>778</v>
      </c>
      <c r="G1098" s="0" t="n">
        <v>24.19</v>
      </c>
      <c r="H1098" s="0" t="n">
        <v>79.98</v>
      </c>
      <c r="I1098" s="0" t="n">
        <v>18.12</v>
      </c>
      <c r="J1098" s="0" t="n">
        <v>59.91</v>
      </c>
      <c r="K1098" s="0" t="n">
        <v>172</v>
      </c>
      <c r="T1098" s="0" t="n">
        <v>3</v>
      </c>
      <c r="U1098" s="0" t="n">
        <v>2</v>
      </c>
      <c r="V1098" s="0" t="inlineStr">
        <is>
          <t>계단식</t>
        </is>
      </c>
      <c r="W1098" s="0" t="n">
        <v>79</v>
      </c>
      <c r="X1098" s="0" t="n">
        <v>20</v>
      </c>
      <c r="Y1098" s="0" t="n">
        <v>15</v>
      </c>
      <c r="Z1098" s="0" t="inlineStr">
        <is>
          <t>https://new.land.naver.com/complexes/18385?tab=detail&amp;rf=Y</t>
        </is>
      </c>
      <c r="AA1098" s="0" t="inlineStr">
        <is>
          <t>인천시 서구 석남동 446</t>
        </is>
      </c>
      <c r="AB1098" s="0" t="inlineStr">
        <is>
          <t>인천시</t>
        </is>
      </c>
      <c r="AC1098" s="0" t="inlineStr">
        <is>
          <t>서구</t>
        </is>
      </c>
      <c r="AD1098" s="0" t="inlineStr">
        <is>
          <t>석남동</t>
        </is>
      </c>
      <c r="AG1098" s="0" t="inlineStr">
        <is>
          <t>인천시 서구 신석로 71</t>
        </is>
      </c>
      <c r="AH1098" s="0" t="n">
        <v>0</v>
      </c>
      <c r="AI1098" s="0" t="n">
        <v>273</v>
      </c>
      <c r="AJ1098" s="0" t="n">
        <v>19</v>
      </c>
      <c r="AK1098" s="0" t="n">
        <v>833</v>
      </c>
      <c r="AL1098" s="0" t="n">
        <v>1.07</v>
      </c>
    </row>
    <row r="1099">
      <c r="A1099" s="0" t="inlineStr">
        <is>
          <t>[석남동]</t>
        </is>
      </c>
      <c r="B1099" s="0" t="n">
        <v>18385</v>
      </c>
      <c r="C1099" s="0" t="n">
        <v>2</v>
      </c>
      <c r="D1099" s="0" t="inlineStr">
        <is>
          <t>서인천월드메르디앙</t>
        </is>
      </c>
      <c r="E1099" s="0" t="inlineStr">
        <is>
          <t>2006.07.</t>
        </is>
      </c>
      <c r="F1099" s="0" t="n">
        <v>778</v>
      </c>
      <c r="G1099" s="0" t="n">
        <v>33.44</v>
      </c>
      <c r="H1099" s="0" t="n">
        <v>110.56</v>
      </c>
      <c r="I1099" s="0" t="n">
        <v>25.7</v>
      </c>
      <c r="J1099" s="0" t="n">
        <v>84.97</v>
      </c>
      <c r="K1099" s="0" t="n">
        <v>511</v>
      </c>
      <c r="T1099" s="0" t="n">
        <v>3</v>
      </c>
      <c r="U1099" s="0" t="n">
        <v>2</v>
      </c>
      <c r="V1099" s="0" t="inlineStr">
        <is>
          <t>계단식</t>
        </is>
      </c>
      <c r="W1099" s="0" t="n">
        <v>110</v>
      </c>
      <c r="X1099" s="0" t="n">
        <v>20</v>
      </c>
      <c r="Y1099" s="0" t="n">
        <v>15</v>
      </c>
      <c r="Z1099" s="0" t="inlineStr">
        <is>
          <t>https://new.land.naver.com/complexes/18385?tab=detail&amp;rf=Y</t>
        </is>
      </c>
      <c r="AA1099" s="0" t="inlineStr">
        <is>
          <t>인천시 서구 석남동 446</t>
        </is>
      </c>
      <c r="AB1099" s="0" t="inlineStr">
        <is>
          <t>인천시</t>
        </is>
      </c>
      <c r="AC1099" s="0" t="inlineStr">
        <is>
          <t>서구</t>
        </is>
      </c>
      <c r="AD1099" s="0" t="inlineStr">
        <is>
          <t>석남동</t>
        </is>
      </c>
      <c r="AG1099" s="0" t="inlineStr">
        <is>
          <t>인천시 서구 신석로 71</t>
        </is>
      </c>
      <c r="AH1099" s="0" t="n">
        <v>0</v>
      </c>
      <c r="AI1099" s="0" t="n">
        <v>273</v>
      </c>
      <c r="AJ1099" s="0" t="n">
        <v>19</v>
      </c>
      <c r="AK1099" s="0" t="n">
        <v>833</v>
      </c>
      <c r="AL1099" s="0" t="n">
        <v>1.07</v>
      </c>
    </row>
    <row r="1100">
      <c r="A1100" s="0" t="inlineStr">
        <is>
          <t>[석남동]</t>
        </is>
      </c>
      <c r="B1100" s="0" t="n">
        <v>18385</v>
      </c>
      <c r="C1100" s="0" t="n">
        <v>3</v>
      </c>
      <c r="D1100" s="0" t="inlineStr">
        <is>
          <t>서인천월드메르디앙</t>
        </is>
      </c>
      <c r="E1100" s="0" t="inlineStr">
        <is>
          <t>2006.07.</t>
        </is>
      </c>
      <c r="F1100" s="0" t="n">
        <v>778</v>
      </c>
      <c r="G1100" s="0" t="n">
        <v>39.85</v>
      </c>
      <c r="H1100" s="0" t="n">
        <v>131.76</v>
      </c>
      <c r="I1100" s="0" t="n">
        <v>31.03</v>
      </c>
      <c r="J1100" s="0" t="n">
        <v>102.6</v>
      </c>
      <c r="K1100" s="0" t="n">
        <v>39</v>
      </c>
      <c r="T1100" s="0" t="n">
        <v>4</v>
      </c>
      <c r="U1100" s="0" t="n">
        <v>2</v>
      </c>
      <c r="V1100" s="0" t="inlineStr">
        <is>
          <t>계단식</t>
        </is>
      </c>
      <c r="W1100" s="0" t="n">
        <v>131</v>
      </c>
      <c r="X1100" s="0" t="n">
        <v>20</v>
      </c>
      <c r="Y1100" s="0" t="n">
        <v>15</v>
      </c>
      <c r="Z1100" s="0" t="inlineStr">
        <is>
          <t>https://new.land.naver.com/complexes/18385?tab=detail&amp;rf=Y</t>
        </is>
      </c>
      <c r="AA1100" s="0" t="inlineStr">
        <is>
          <t>인천시 서구 석남동 446</t>
        </is>
      </c>
      <c r="AB1100" s="0" t="inlineStr">
        <is>
          <t>인천시</t>
        </is>
      </c>
      <c r="AC1100" s="0" t="inlineStr">
        <is>
          <t>서구</t>
        </is>
      </c>
      <c r="AD1100" s="0" t="inlineStr">
        <is>
          <t>석남동</t>
        </is>
      </c>
      <c r="AG1100" s="0" t="inlineStr">
        <is>
          <t>인천시 서구 신석로 71</t>
        </is>
      </c>
      <c r="AH1100" s="0" t="n">
        <v>0</v>
      </c>
      <c r="AI1100" s="0" t="n">
        <v>273</v>
      </c>
      <c r="AJ1100" s="0" t="n">
        <v>19</v>
      </c>
      <c r="AK1100" s="0" t="n">
        <v>833</v>
      </c>
      <c r="AL1100" s="0" t="n">
        <v>1.07</v>
      </c>
    </row>
    <row r="1101">
      <c r="A1101" s="0" t="inlineStr">
        <is>
          <t>[석남동]</t>
        </is>
      </c>
      <c r="B1101" s="0" t="n">
        <v>18385</v>
      </c>
      <c r="C1101" s="0" t="n">
        <v>4</v>
      </c>
      <c r="D1101" s="0" t="inlineStr">
        <is>
          <t>서인천월드메르디앙</t>
        </is>
      </c>
      <c r="E1101" s="0" t="inlineStr">
        <is>
          <t>2006.07.</t>
        </is>
      </c>
      <c r="F1101" s="0" t="n">
        <v>778</v>
      </c>
      <c r="G1101" s="0" t="n">
        <v>46.08</v>
      </c>
      <c r="H1101" s="0" t="n">
        <v>152.36</v>
      </c>
      <c r="I1101" s="0" t="n">
        <v>35.7</v>
      </c>
      <c r="J1101" s="0" t="n">
        <v>118.04</v>
      </c>
      <c r="K1101" s="0" t="n">
        <v>56</v>
      </c>
      <c r="T1101" s="0" t="n">
        <v>4</v>
      </c>
      <c r="U1101" s="0" t="n">
        <v>2</v>
      </c>
      <c r="V1101" s="0" t="inlineStr">
        <is>
          <t>계단식</t>
        </is>
      </c>
      <c r="W1101" s="0" t="n">
        <v>152</v>
      </c>
      <c r="X1101" s="0" t="n">
        <v>20</v>
      </c>
      <c r="Y1101" s="0" t="n">
        <v>15</v>
      </c>
      <c r="Z1101" s="0" t="inlineStr">
        <is>
          <t>https://new.land.naver.com/complexes/18385?tab=detail&amp;rf=Y</t>
        </is>
      </c>
      <c r="AA1101" s="0" t="inlineStr">
        <is>
          <t>인천시 서구 석남동 446</t>
        </is>
      </c>
      <c r="AB1101" s="0" t="inlineStr">
        <is>
          <t>인천시</t>
        </is>
      </c>
      <c r="AC1101" s="0" t="inlineStr">
        <is>
          <t>서구</t>
        </is>
      </c>
      <c r="AD1101" s="0" t="inlineStr">
        <is>
          <t>석남동</t>
        </is>
      </c>
      <c r="AG1101" s="0" t="inlineStr">
        <is>
          <t>인천시 서구 신석로 71</t>
        </is>
      </c>
      <c r="AH1101" s="0" t="n">
        <v>0</v>
      </c>
      <c r="AI1101" s="0" t="n">
        <v>273</v>
      </c>
      <c r="AJ1101" s="0" t="n">
        <v>19</v>
      </c>
      <c r="AK1101" s="0" t="n">
        <v>833</v>
      </c>
      <c r="AL1101" s="0" t="n">
        <v>1.07</v>
      </c>
    </row>
    <row r="1102">
      <c r="A1102" s="0" t="inlineStr">
        <is>
          <t>[석남동]</t>
        </is>
      </c>
      <c r="B1102" s="0" t="n">
        <v>10296</v>
      </c>
      <c r="C1102" s="0" t="n">
        <v>1</v>
      </c>
      <c r="D1102" s="0" t="inlineStr">
        <is>
          <t>동남</t>
        </is>
      </c>
      <c r="E1102" s="0" t="inlineStr">
        <is>
          <t>1989.05.</t>
        </is>
      </c>
      <c r="F1102" s="0" t="n">
        <v>360</v>
      </c>
      <c r="G1102" s="0" t="n">
        <v>16.61</v>
      </c>
      <c r="H1102" s="0" t="n">
        <v>54.91</v>
      </c>
      <c r="I1102" s="0" t="n">
        <v>12.76</v>
      </c>
      <c r="J1102" s="0" t="n">
        <v>42.21</v>
      </c>
      <c r="K1102" s="0" t="n">
        <v>168</v>
      </c>
      <c r="T1102" s="0" t="n">
        <v>2</v>
      </c>
      <c r="U1102" s="0" t="n">
        <v>1</v>
      </c>
      <c r="V1102" s="0" t="inlineStr">
        <is>
          <t>계단식</t>
        </is>
      </c>
      <c r="W1102" s="0" t="n">
        <v>54</v>
      </c>
      <c r="X1102" s="0" t="n">
        <v>6</v>
      </c>
      <c r="Y1102" s="0" t="n">
        <v>6</v>
      </c>
      <c r="Z1102" s="0" t="inlineStr">
        <is>
          <t>https://new.land.naver.com/complexes/10296?tab=detail&amp;rf=Y</t>
        </is>
      </c>
      <c r="AA1102" s="0" t="inlineStr">
        <is>
          <t>인천시 서구 석남동 208-1</t>
        </is>
      </c>
      <c r="AB1102" s="0" t="inlineStr">
        <is>
          <t>인천시</t>
        </is>
      </c>
      <c r="AC1102" s="0" t="inlineStr">
        <is>
          <t>서구</t>
        </is>
      </c>
      <c r="AD1102" s="0" t="inlineStr">
        <is>
          <t>석남동</t>
        </is>
      </c>
      <c r="AG1102" s="0" t="inlineStr">
        <is>
          <t>인천시 서구 새오개로 19</t>
        </is>
      </c>
      <c r="AH1102" s="0" t="n">
        <v>0</v>
      </c>
      <c r="AI1102" s="0" t="n">
        <v>187</v>
      </c>
      <c r="AJ1102" s="0" t="n">
        <v>31</v>
      </c>
      <c r="AK1102" s="0" t="n">
        <v>0</v>
      </c>
      <c r="AL1102" s="0" t="n">
        <v>0</v>
      </c>
    </row>
    <row r="1103">
      <c r="A1103" s="0" t="inlineStr">
        <is>
          <t>[석남동]</t>
        </is>
      </c>
      <c r="B1103" s="0" t="n">
        <v>10296</v>
      </c>
      <c r="C1103" s="0" t="n">
        <v>2</v>
      </c>
      <c r="D1103" s="0" t="inlineStr">
        <is>
          <t>동남</t>
        </is>
      </c>
      <c r="E1103" s="0" t="inlineStr">
        <is>
          <t>1989.05.</t>
        </is>
      </c>
      <c r="F1103" s="0" t="n">
        <v>360</v>
      </c>
      <c r="G1103" s="0" t="n">
        <v>19.96</v>
      </c>
      <c r="H1103" s="0" t="n">
        <v>66</v>
      </c>
      <c r="I1103" s="0" t="n">
        <v>15.57</v>
      </c>
      <c r="J1103" s="0" t="n">
        <v>51.48</v>
      </c>
      <c r="K1103" s="0" t="n">
        <v>96</v>
      </c>
      <c r="T1103" s="0" t="n">
        <v>3</v>
      </c>
      <c r="U1103" s="0" t="n">
        <v>1</v>
      </c>
      <c r="V1103" s="0" t="inlineStr">
        <is>
          <t>계단식</t>
        </is>
      </c>
      <c r="W1103" s="0" t="n">
        <v>66</v>
      </c>
      <c r="X1103" s="0" t="n">
        <v>6</v>
      </c>
      <c r="Y1103" s="0" t="n">
        <v>6</v>
      </c>
      <c r="Z1103" s="0" t="inlineStr">
        <is>
          <t>https://new.land.naver.com/complexes/10296?tab=detail&amp;rf=Y</t>
        </is>
      </c>
      <c r="AA1103" s="0" t="inlineStr">
        <is>
          <t>인천시 서구 석남동 208-1</t>
        </is>
      </c>
      <c r="AB1103" s="0" t="inlineStr">
        <is>
          <t>인천시</t>
        </is>
      </c>
      <c r="AC1103" s="0" t="inlineStr">
        <is>
          <t>서구</t>
        </is>
      </c>
      <c r="AD1103" s="0" t="inlineStr">
        <is>
          <t>석남동</t>
        </is>
      </c>
      <c r="AG1103" s="0" t="inlineStr">
        <is>
          <t>인천시 서구 새오개로 19</t>
        </is>
      </c>
      <c r="AH1103" s="0" t="n">
        <v>0</v>
      </c>
      <c r="AI1103" s="0" t="n">
        <v>187</v>
      </c>
      <c r="AJ1103" s="0" t="n">
        <v>31</v>
      </c>
      <c r="AK1103" s="0" t="n">
        <v>0</v>
      </c>
      <c r="AL1103" s="0" t="n">
        <v>0</v>
      </c>
    </row>
    <row r="1104">
      <c r="A1104" s="0" t="inlineStr">
        <is>
          <t>[석남동]</t>
        </is>
      </c>
      <c r="B1104" s="0" t="n">
        <v>10296</v>
      </c>
      <c r="C1104" s="0" t="n">
        <v>3</v>
      </c>
      <c r="D1104" s="0" t="inlineStr">
        <is>
          <t>동남</t>
        </is>
      </c>
      <c r="E1104" s="0" t="inlineStr">
        <is>
          <t>1989.05.</t>
        </is>
      </c>
      <c r="F1104" s="0" t="n">
        <v>360</v>
      </c>
      <c r="G1104" s="0" t="n">
        <v>20.93</v>
      </c>
      <c r="H1104" s="0" t="n">
        <v>69.2</v>
      </c>
      <c r="I1104" s="0" t="n">
        <v>16.41</v>
      </c>
      <c r="J1104" s="0" t="n">
        <v>54.27</v>
      </c>
      <c r="K1104" s="0" t="n">
        <v>96</v>
      </c>
      <c r="T1104" s="0" t="n">
        <v>3</v>
      </c>
      <c r="U1104" s="0" t="n">
        <v>1</v>
      </c>
      <c r="V1104" s="0" t="inlineStr">
        <is>
          <t>계단식</t>
        </is>
      </c>
      <c r="W1104" s="0" t="n">
        <v>69</v>
      </c>
      <c r="X1104" s="0" t="n">
        <v>6</v>
      </c>
      <c r="Y1104" s="0" t="n">
        <v>6</v>
      </c>
      <c r="Z1104" s="0" t="inlineStr">
        <is>
          <t>https://new.land.naver.com/complexes/10296?tab=detail&amp;rf=Y</t>
        </is>
      </c>
      <c r="AA1104" s="0" t="inlineStr">
        <is>
          <t>인천시 서구 석남동 208-1</t>
        </is>
      </c>
      <c r="AB1104" s="0" t="inlineStr">
        <is>
          <t>인천시</t>
        </is>
      </c>
      <c r="AC1104" s="0" t="inlineStr">
        <is>
          <t>서구</t>
        </is>
      </c>
      <c r="AD1104" s="0" t="inlineStr">
        <is>
          <t>석남동</t>
        </is>
      </c>
      <c r="AG1104" s="0" t="inlineStr">
        <is>
          <t>인천시 서구 새오개로 19</t>
        </is>
      </c>
      <c r="AH1104" s="0" t="n">
        <v>0</v>
      </c>
      <c r="AI1104" s="0" t="n">
        <v>187</v>
      </c>
      <c r="AJ1104" s="0" t="n">
        <v>31</v>
      </c>
      <c r="AK1104" s="0" t="n">
        <v>0</v>
      </c>
      <c r="AL1104" s="0" t="n">
        <v>0</v>
      </c>
    </row>
    <row r="1105">
      <c r="A1105" s="0" t="inlineStr">
        <is>
          <t>[석남동]</t>
        </is>
      </c>
      <c r="B1105" s="0" t="n">
        <v>25700</v>
      </c>
      <c r="C1105" s="0" t="n">
        <v>1</v>
      </c>
      <c r="D1105" s="0" t="inlineStr">
        <is>
          <t>장미</t>
        </is>
      </c>
      <c r="E1105" s="0" t="inlineStr">
        <is>
          <t>1979.12.</t>
        </is>
      </c>
      <c r="F1105" s="0" t="n">
        <v>32</v>
      </c>
      <c r="G1105" s="0" t="n">
        <v>23.73</v>
      </c>
      <c r="H1105" s="0" t="n">
        <v>78.45</v>
      </c>
      <c r="I1105" s="0" t="n">
        <v>20.72</v>
      </c>
      <c r="J1105" s="0" t="n">
        <v>68.5</v>
      </c>
      <c r="K1105" s="0" t="n">
        <v>32</v>
      </c>
      <c r="T1105" s="0" t="n">
        <v>3</v>
      </c>
      <c r="U1105" s="0" t="n">
        <v>1</v>
      </c>
      <c r="V1105" s="0" t="inlineStr">
        <is>
          <t>계단식</t>
        </is>
      </c>
      <c r="W1105" s="0" t="n">
        <v>78</v>
      </c>
      <c r="X1105" s="0" t="n">
        <v>4</v>
      </c>
      <c r="Y1105" s="0" t="n">
        <v>4</v>
      </c>
      <c r="Z1105" s="0" t="inlineStr">
        <is>
          <t>https://new.land.naver.com/complexes/25700?tab=detail&amp;rf=Y</t>
        </is>
      </c>
      <c r="AA1105" s="0" t="inlineStr">
        <is>
          <t>인천시 서구 석남동 529-13</t>
        </is>
      </c>
      <c r="AB1105" s="0" t="inlineStr">
        <is>
          <t>인천시</t>
        </is>
      </c>
      <c r="AC1105" s="0" t="inlineStr">
        <is>
          <t>서구</t>
        </is>
      </c>
      <c r="AD1105" s="0" t="inlineStr">
        <is>
          <t>석남동</t>
        </is>
      </c>
      <c r="AG1105" s="0" t="inlineStr">
        <is>
          <t>인천시 서구 길주로76번길 28</t>
        </is>
      </c>
      <c r="AH1105" s="0" t="n">
        <v>0</v>
      </c>
      <c r="AI1105" s="0" t="n">
        <v>0</v>
      </c>
      <c r="AJ1105" s="0" t="n">
        <v>0</v>
      </c>
      <c r="AK1105" s="0" t="n">
        <v>0</v>
      </c>
      <c r="AL1105" s="0" t="n">
        <v>0</v>
      </c>
    </row>
    <row r="1106">
      <c r="A1106" s="0" t="inlineStr">
        <is>
          <t>[석남동]</t>
        </is>
      </c>
      <c r="B1106" s="0" t="n">
        <v>10436</v>
      </c>
      <c r="C1106" s="0" t="n">
        <v>1</v>
      </c>
      <c r="D1106" s="0" t="inlineStr">
        <is>
          <t>현광</t>
        </is>
      </c>
      <c r="E1106" s="0" t="inlineStr">
        <is>
          <t>1989.10.</t>
        </is>
      </c>
      <c r="F1106" s="0" t="n">
        <v>138</v>
      </c>
      <c r="G1106" s="0" t="n">
        <v>19.13</v>
      </c>
      <c r="H1106" s="0" t="n">
        <v>63.26</v>
      </c>
      <c r="I1106" s="0" t="n">
        <v>14.68</v>
      </c>
      <c r="J1106" s="0" t="n">
        <v>48.54</v>
      </c>
      <c r="K1106" s="0" t="n">
        <v>36</v>
      </c>
      <c r="T1106" s="0" t="n">
        <v>3</v>
      </c>
      <c r="U1106" s="0" t="n">
        <v>1</v>
      </c>
      <c r="V1106" s="0" t="inlineStr">
        <is>
          <t>계단식</t>
        </is>
      </c>
      <c r="W1106" s="0" t="n">
        <v>63</v>
      </c>
      <c r="X1106" s="0" t="n">
        <v>6</v>
      </c>
      <c r="Y1106" s="0" t="n">
        <v>6</v>
      </c>
      <c r="Z1106" s="0" t="inlineStr">
        <is>
          <t>https://new.land.naver.com/complexes/10436?tab=detail&amp;rf=Y</t>
        </is>
      </c>
      <c r="AA1106" s="0" t="inlineStr">
        <is>
          <t>인천시 서구 석남동 466-1</t>
        </is>
      </c>
      <c r="AB1106" s="0" t="inlineStr">
        <is>
          <t>인천시</t>
        </is>
      </c>
      <c r="AC1106" s="0" t="inlineStr">
        <is>
          <t>서구</t>
        </is>
      </c>
      <c r="AD1106" s="0" t="inlineStr">
        <is>
          <t>석남동</t>
        </is>
      </c>
      <c r="AG1106" s="0" t="inlineStr">
        <is>
          <t>인천시 서구 신석로121번길 16</t>
        </is>
      </c>
      <c r="AH1106" s="0" t="n">
        <v>0</v>
      </c>
      <c r="AI1106" s="0" t="n">
        <v>192</v>
      </c>
      <c r="AJ1106" s="0" t="n">
        <v>33</v>
      </c>
      <c r="AK1106" s="0" t="n">
        <v>0</v>
      </c>
      <c r="AL1106" s="0" t="n">
        <v>0</v>
      </c>
    </row>
    <row r="1107">
      <c r="A1107" s="0" t="inlineStr">
        <is>
          <t>[석남동]</t>
        </is>
      </c>
      <c r="B1107" s="0" t="n">
        <v>10436</v>
      </c>
      <c r="C1107" s="0" t="n">
        <v>2</v>
      </c>
      <c r="D1107" s="0" t="inlineStr">
        <is>
          <t>현광</t>
        </is>
      </c>
      <c r="E1107" s="0" t="inlineStr">
        <is>
          <t>1989.10.</t>
        </is>
      </c>
      <c r="F1107" s="0" t="n">
        <v>138</v>
      </c>
      <c r="G1107" s="0" t="n">
        <v>20.32</v>
      </c>
      <c r="H1107" s="0" t="n">
        <v>67.2</v>
      </c>
      <c r="I1107" s="0" t="n">
        <v>15.69</v>
      </c>
      <c r="J1107" s="0" t="n">
        <v>51.87</v>
      </c>
      <c r="K1107" s="0" t="n">
        <v>60</v>
      </c>
      <c r="T1107" s="0" t="n">
        <v>3</v>
      </c>
      <c r="U1107" s="0" t="n">
        <v>1</v>
      </c>
      <c r="V1107" s="0" t="inlineStr">
        <is>
          <t>계단식</t>
        </is>
      </c>
      <c r="W1107" s="0" t="n">
        <v>67</v>
      </c>
      <c r="X1107" s="0" t="n">
        <v>6</v>
      </c>
      <c r="Y1107" s="0" t="n">
        <v>6</v>
      </c>
      <c r="Z1107" s="0" t="inlineStr">
        <is>
          <t>https://new.land.naver.com/complexes/10436?tab=detail&amp;rf=Y</t>
        </is>
      </c>
      <c r="AA1107" s="0" t="inlineStr">
        <is>
          <t>인천시 서구 석남동 466-1</t>
        </is>
      </c>
      <c r="AB1107" s="0" t="inlineStr">
        <is>
          <t>인천시</t>
        </is>
      </c>
      <c r="AC1107" s="0" t="inlineStr">
        <is>
          <t>서구</t>
        </is>
      </c>
      <c r="AD1107" s="0" t="inlineStr">
        <is>
          <t>석남동</t>
        </is>
      </c>
      <c r="AG1107" s="0" t="inlineStr">
        <is>
          <t>인천시 서구 신석로121번길 16</t>
        </is>
      </c>
      <c r="AH1107" s="0" t="n">
        <v>0</v>
      </c>
      <c r="AI1107" s="0" t="n">
        <v>192</v>
      </c>
      <c r="AJ1107" s="0" t="n">
        <v>33</v>
      </c>
      <c r="AK1107" s="0" t="n">
        <v>0</v>
      </c>
      <c r="AL1107" s="0" t="n">
        <v>0</v>
      </c>
    </row>
    <row r="1108">
      <c r="A1108" s="0" t="inlineStr">
        <is>
          <t>[석남동]</t>
        </is>
      </c>
      <c r="B1108" s="0" t="n">
        <v>10436</v>
      </c>
      <c r="C1108" s="0" t="n">
        <v>3</v>
      </c>
      <c r="D1108" s="0" t="inlineStr">
        <is>
          <t>현광</t>
        </is>
      </c>
      <c r="E1108" s="0" t="inlineStr">
        <is>
          <t>1989.10.</t>
        </is>
      </c>
      <c r="F1108" s="0" t="n">
        <v>138</v>
      </c>
      <c r="G1108" s="0" t="n">
        <v>22.39</v>
      </c>
      <c r="H1108" s="0" t="n">
        <v>74.04000000000001</v>
      </c>
      <c r="I1108" s="0" t="n">
        <v>15.99</v>
      </c>
      <c r="J1108" s="0" t="n">
        <v>52.86</v>
      </c>
      <c r="K1108" s="0" t="n">
        <v>6</v>
      </c>
      <c r="T1108" s="0" t="n">
        <v>2</v>
      </c>
      <c r="U1108" s="0" t="n">
        <v>1</v>
      </c>
      <c r="V1108" s="0" t="inlineStr">
        <is>
          <t>계단식</t>
        </is>
      </c>
      <c r="W1108" s="0" t="n">
        <v>74</v>
      </c>
      <c r="X1108" s="0" t="n">
        <v>6</v>
      </c>
      <c r="Y1108" s="0" t="n">
        <v>6</v>
      </c>
      <c r="Z1108" s="0" t="inlineStr">
        <is>
          <t>https://new.land.naver.com/complexes/10436?tab=detail&amp;rf=Y</t>
        </is>
      </c>
      <c r="AA1108" s="0" t="inlineStr">
        <is>
          <t>인천시 서구 석남동 466-1</t>
        </is>
      </c>
      <c r="AB1108" s="0" t="inlineStr">
        <is>
          <t>인천시</t>
        </is>
      </c>
      <c r="AC1108" s="0" t="inlineStr">
        <is>
          <t>서구</t>
        </is>
      </c>
      <c r="AD1108" s="0" t="inlineStr">
        <is>
          <t>석남동</t>
        </is>
      </c>
      <c r="AG1108" s="0" t="inlineStr">
        <is>
          <t>인천시 서구 신석로121번길 16</t>
        </is>
      </c>
      <c r="AH1108" s="0" t="n">
        <v>0</v>
      </c>
      <c r="AI1108" s="0" t="n">
        <v>192</v>
      </c>
      <c r="AJ1108" s="0" t="n">
        <v>33</v>
      </c>
      <c r="AK1108" s="0" t="n">
        <v>0</v>
      </c>
      <c r="AL1108" s="0" t="n">
        <v>0</v>
      </c>
    </row>
    <row r="1109">
      <c r="A1109" s="0" t="inlineStr">
        <is>
          <t>[석남동]</t>
        </is>
      </c>
      <c r="B1109" s="0" t="n">
        <v>10436</v>
      </c>
      <c r="C1109" s="0" t="n">
        <v>4</v>
      </c>
      <c r="D1109" s="0" t="inlineStr">
        <is>
          <t>현광</t>
        </is>
      </c>
      <c r="E1109" s="0" t="inlineStr">
        <is>
          <t>1989.10.</t>
        </is>
      </c>
      <c r="F1109" s="0" t="n">
        <v>138</v>
      </c>
      <c r="G1109" s="0" t="n">
        <v>22.71</v>
      </c>
      <c r="H1109" s="0" t="n">
        <v>75.08</v>
      </c>
      <c r="I1109" s="0" t="n">
        <v>17.7</v>
      </c>
      <c r="J1109" s="0" t="n">
        <v>58.53</v>
      </c>
      <c r="K1109" s="0" t="n">
        <v>36</v>
      </c>
      <c r="T1109" s="0" t="n">
        <v>3</v>
      </c>
      <c r="U1109" s="0" t="n">
        <v>1</v>
      </c>
      <c r="V1109" s="0" t="inlineStr">
        <is>
          <t>계단식</t>
        </is>
      </c>
      <c r="W1109" s="0" t="n">
        <v>75</v>
      </c>
      <c r="X1109" s="0" t="n">
        <v>6</v>
      </c>
      <c r="Y1109" s="0" t="n">
        <v>6</v>
      </c>
      <c r="Z1109" s="0" t="inlineStr">
        <is>
          <t>https://new.land.naver.com/complexes/10436?tab=detail&amp;rf=Y</t>
        </is>
      </c>
      <c r="AA1109" s="0" t="inlineStr">
        <is>
          <t>인천시 서구 석남동 466-1</t>
        </is>
      </c>
      <c r="AB1109" s="0" t="inlineStr">
        <is>
          <t>인천시</t>
        </is>
      </c>
      <c r="AC1109" s="0" t="inlineStr">
        <is>
          <t>서구</t>
        </is>
      </c>
      <c r="AD1109" s="0" t="inlineStr">
        <is>
          <t>석남동</t>
        </is>
      </c>
      <c r="AG1109" s="0" t="inlineStr">
        <is>
          <t>인천시 서구 신석로121번길 16</t>
        </is>
      </c>
      <c r="AH1109" s="0" t="n">
        <v>0</v>
      </c>
      <c r="AI1109" s="0" t="n">
        <v>192</v>
      </c>
      <c r="AJ1109" s="0" t="n">
        <v>33</v>
      </c>
      <c r="AK1109" s="0" t="n">
        <v>0</v>
      </c>
      <c r="AL1109" s="0" t="n">
        <v>0</v>
      </c>
    </row>
    <row r="1110">
      <c r="A1110" s="0" t="inlineStr">
        <is>
          <t>[석남동]</t>
        </is>
      </c>
      <c r="B1110" s="0" t="n">
        <v>106735</v>
      </c>
      <c r="C1110" s="0" t="n">
        <v>1</v>
      </c>
      <c r="D1110" s="0" t="inlineStr">
        <is>
          <t>트윈팰리스</t>
        </is>
      </c>
      <c r="E1110" s="0" t="inlineStr">
        <is>
          <t>2012.01.</t>
        </is>
      </c>
      <c r="F1110" s="0" t="n">
        <v>52</v>
      </c>
      <c r="G1110" s="0" t="n">
        <v>26.17</v>
      </c>
      <c r="H1110" s="0" t="n">
        <v>86.54000000000001</v>
      </c>
      <c r="I1110" s="0" t="n">
        <v>19.97</v>
      </c>
      <c r="J1110" s="0" t="n">
        <v>66.04000000000001</v>
      </c>
      <c r="K1110" s="0" t="n">
        <v>14</v>
      </c>
      <c r="T1110" s="0" t="n">
        <v>3</v>
      </c>
      <c r="U1110" s="0" t="n">
        <v>2</v>
      </c>
      <c r="V1110" s="0" t="inlineStr">
        <is>
          <t>복합식</t>
        </is>
      </c>
      <c r="W1110" s="0" t="n">
        <v>86</v>
      </c>
      <c r="X1110" s="0" t="n">
        <v>10</v>
      </c>
      <c r="Y1110" s="0" t="n">
        <v>9</v>
      </c>
      <c r="Z1110" s="0" t="inlineStr">
        <is>
          <t>https://new.land.naver.com/complexes/106735?tab=detail&amp;rf=Y</t>
        </is>
      </c>
      <c r="AA1110" s="0" t="inlineStr">
        <is>
          <t>인천시 서구 석남동 498-1</t>
        </is>
      </c>
      <c r="AB1110" s="0" t="inlineStr">
        <is>
          <t>인천시</t>
        </is>
      </c>
      <c r="AC1110" s="0" t="inlineStr">
        <is>
          <t>서구</t>
        </is>
      </c>
      <c r="AD1110" s="0" t="inlineStr">
        <is>
          <t>석남동</t>
        </is>
      </c>
      <c r="AG1110" s="0" t="inlineStr">
        <is>
          <t>인천시 서구 옻우물로34번길 14</t>
        </is>
      </c>
      <c r="AH1110" s="0" t="n">
        <v>0</v>
      </c>
      <c r="AI1110" s="0" t="n">
        <v>0</v>
      </c>
      <c r="AJ1110" s="0" t="n">
        <v>0</v>
      </c>
      <c r="AK1110" s="0" t="n">
        <v>69</v>
      </c>
      <c r="AL1110" s="0" t="n">
        <v>1.33</v>
      </c>
    </row>
    <row r="1111">
      <c r="A1111" s="0" t="inlineStr">
        <is>
          <t>[석남동]</t>
        </is>
      </c>
      <c r="B1111" s="0" t="n">
        <v>106735</v>
      </c>
      <c r="C1111" s="0" t="n">
        <v>2</v>
      </c>
      <c r="D1111" s="0" t="inlineStr">
        <is>
          <t>트윈팰리스</t>
        </is>
      </c>
      <c r="E1111" s="0" t="inlineStr">
        <is>
          <t>2012.01.</t>
        </is>
      </c>
      <c r="F1111" s="0" t="n">
        <v>52</v>
      </c>
      <c r="G1111" s="0" t="n">
        <v>26.6</v>
      </c>
      <c r="H1111" s="0" t="n">
        <v>87.94</v>
      </c>
      <c r="I1111" s="0" t="n">
        <v>20.29</v>
      </c>
      <c r="J1111" s="0" t="n">
        <v>67.09999999999999</v>
      </c>
      <c r="K1111" s="0" t="n">
        <v>2</v>
      </c>
      <c r="T1111" s="0" t="n">
        <v>3</v>
      </c>
      <c r="U1111" s="0" t="n">
        <v>2</v>
      </c>
      <c r="V1111" s="0" t="inlineStr">
        <is>
          <t>복합식</t>
        </is>
      </c>
      <c r="W1111" s="0" t="n">
        <v>87</v>
      </c>
      <c r="X1111" s="0" t="n">
        <v>10</v>
      </c>
      <c r="Y1111" s="0" t="n">
        <v>9</v>
      </c>
      <c r="Z1111" s="0" t="inlineStr">
        <is>
          <t>https://new.land.naver.com/complexes/106735?tab=detail&amp;rf=Y</t>
        </is>
      </c>
      <c r="AA1111" s="0" t="inlineStr">
        <is>
          <t>인천시 서구 석남동 498-1</t>
        </is>
      </c>
      <c r="AB1111" s="0" t="inlineStr">
        <is>
          <t>인천시</t>
        </is>
      </c>
      <c r="AC1111" s="0" t="inlineStr">
        <is>
          <t>서구</t>
        </is>
      </c>
      <c r="AD1111" s="0" t="inlineStr">
        <is>
          <t>석남동</t>
        </is>
      </c>
      <c r="AG1111" s="0" t="inlineStr">
        <is>
          <t>인천시 서구 옻우물로34번길 14</t>
        </is>
      </c>
      <c r="AH1111" s="0" t="n">
        <v>0</v>
      </c>
      <c r="AI1111" s="0" t="n">
        <v>0</v>
      </c>
      <c r="AJ1111" s="0" t="n">
        <v>0</v>
      </c>
      <c r="AK1111" s="0" t="n">
        <v>69</v>
      </c>
      <c r="AL1111" s="0" t="n">
        <v>1.33</v>
      </c>
    </row>
    <row r="1112">
      <c r="A1112" s="0" t="inlineStr">
        <is>
          <t>[석남동]</t>
        </is>
      </c>
      <c r="B1112" s="0" t="n">
        <v>106735</v>
      </c>
      <c r="C1112" s="0" t="n">
        <v>3</v>
      </c>
      <c r="D1112" s="0" t="inlineStr">
        <is>
          <t>트윈팰리스</t>
        </is>
      </c>
      <c r="E1112" s="0" t="inlineStr">
        <is>
          <t>2012.01.</t>
        </is>
      </c>
      <c r="F1112" s="0" t="n">
        <v>52</v>
      </c>
      <c r="G1112" s="0" t="n">
        <v>27.7</v>
      </c>
      <c r="H1112" s="0" t="n">
        <v>91.59999999999999</v>
      </c>
      <c r="I1112" s="0" t="n">
        <v>21.14</v>
      </c>
      <c r="J1112" s="0" t="n">
        <v>69.90000000000001</v>
      </c>
      <c r="K1112" s="0" t="n">
        <v>12</v>
      </c>
      <c r="T1112" s="0" t="n">
        <v>3</v>
      </c>
      <c r="U1112" s="0" t="n">
        <v>2</v>
      </c>
      <c r="V1112" s="0" t="inlineStr">
        <is>
          <t>복합식</t>
        </is>
      </c>
      <c r="W1112" s="0" t="n">
        <v>91</v>
      </c>
      <c r="X1112" s="0" t="n">
        <v>10</v>
      </c>
      <c r="Y1112" s="0" t="n">
        <v>9</v>
      </c>
      <c r="Z1112" s="0" t="inlineStr">
        <is>
          <t>https://new.land.naver.com/complexes/106735?tab=detail&amp;rf=Y</t>
        </is>
      </c>
      <c r="AA1112" s="0" t="inlineStr">
        <is>
          <t>인천시 서구 석남동 498-1</t>
        </is>
      </c>
      <c r="AB1112" s="0" t="inlineStr">
        <is>
          <t>인천시</t>
        </is>
      </c>
      <c r="AC1112" s="0" t="inlineStr">
        <is>
          <t>서구</t>
        </is>
      </c>
      <c r="AD1112" s="0" t="inlineStr">
        <is>
          <t>석남동</t>
        </is>
      </c>
      <c r="AG1112" s="0" t="inlineStr">
        <is>
          <t>인천시 서구 옻우물로34번길 14</t>
        </is>
      </c>
      <c r="AH1112" s="0" t="n">
        <v>0</v>
      </c>
      <c r="AI1112" s="0" t="n">
        <v>0</v>
      </c>
      <c r="AJ1112" s="0" t="n">
        <v>0</v>
      </c>
      <c r="AK1112" s="0" t="n">
        <v>69</v>
      </c>
      <c r="AL1112" s="0" t="n">
        <v>1.33</v>
      </c>
    </row>
    <row r="1113">
      <c r="A1113" s="0" t="inlineStr">
        <is>
          <t>[석남동]</t>
        </is>
      </c>
      <c r="B1113" s="0" t="n">
        <v>106735</v>
      </c>
      <c r="C1113" s="0" t="n">
        <v>4</v>
      </c>
      <c r="D1113" s="0" t="inlineStr">
        <is>
          <t>트윈팰리스</t>
        </is>
      </c>
      <c r="E1113" s="0" t="inlineStr">
        <is>
          <t>2012.01.</t>
        </is>
      </c>
      <c r="F1113" s="0" t="n">
        <v>52</v>
      </c>
      <c r="G1113" s="0" t="n">
        <v>28.93</v>
      </c>
      <c r="H1113" s="0" t="n">
        <v>95.64</v>
      </c>
      <c r="I1113" s="0" t="n">
        <v>21.15</v>
      </c>
      <c r="J1113" s="0" t="n">
        <v>69.93000000000001</v>
      </c>
      <c r="K1113" s="0" t="n">
        <v>12</v>
      </c>
      <c r="T1113" s="0" t="n">
        <v>3</v>
      </c>
      <c r="U1113" s="0" t="n">
        <v>2</v>
      </c>
      <c r="V1113" s="0" t="inlineStr">
        <is>
          <t>계단식</t>
        </is>
      </c>
      <c r="W1113" s="0" t="inlineStr">
        <is>
          <t>95A</t>
        </is>
      </c>
      <c r="X1113" s="0" t="n">
        <v>10</v>
      </c>
      <c r="Y1113" s="0" t="n">
        <v>9</v>
      </c>
      <c r="Z1113" s="0" t="inlineStr">
        <is>
          <t>https://new.land.naver.com/complexes/106735?tab=detail&amp;rf=Y</t>
        </is>
      </c>
      <c r="AA1113" s="0" t="inlineStr">
        <is>
          <t>인천시 서구 석남동 498-1</t>
        </is>
      </c>
      <c r="AB1113" s="0" t="inlineStr">
        <is>
          <t>인천시</t>
        </is>
      </c>
      <c r="AC1113" s="0" t="inlineStr">
        <is>
          <t>서구</t>
        </is>
      </c>
      <c r="AD1113" s="0" t="inlineStr">
        <is>
          <t>석남동</t>
        </is>
      </c>
      <c r="AG1113" s="0" t="inlineStr">
        <is>
          <t>인천시 서구 옻우물로34번길 14</t>
        </is>
      </c>
      <c r="AH1113" s="0" t="n">
        <v>0</v>
      </c>
      <c r="AI1113" s="0" t="n">
        <v>0</v>
      </c>
      <c r="AJ1113" s="0" t="n">
        <v>0</v>
      </c>
      <c r="AK1113" s="0" t="n">
        <v>69</v>
      </c>
      <c r="AL1113" s="0" t="n">
        <v>1.33</v>
      </c>
    </row>
    <row r="1114">
      <c r="A1114" s="0" t="inlineStr">
        <is>
          <t>[석남동]</t>
        </is>
      </c>
      <c r="B1114" s="0" t="n">
        <v>106735</v>
      </c>
      <c r="C1114" s="0" t="n">
        <v>5</v>
      </c>
      <c r="D1114" s="0" t="inlineStr">
        <is>
          <t>트윈팰리스</t>
        </is>
      </c>
      <c r="E1114" s="0" t="inlineStr">
        <is>
          <t>2012.01.</t>
        </is>
      </c>
      <c r="F1114" s="0" t="n">
        <v>52</v>
      </c>
      <c r="G1114" s="0" t="n">
        <v>28.92</v>
      </c>
      <c r="H1114" s="0" t="n">
        <v>95.62</v>
      </c>
      <c r="I1114" s="0" t="n">
        <v>21.14</v>
      </c>
      <c r="J1114" s="0" t="n">
        <v>69.91</v>
      </c>
      <c r="K1114" s="0" t="n">
        <v>12</v>
      </c>
      <c r="T1114" s="0" t="n">
        <v>3</v>
      </c>
      <c r="U1114" s="0" t="n">
        <v>2</v>
      </c>
      <c r="V1114" s="0" t="inlineStr">
        <is>
          <t>계단식</t>
        </is>
      </c>
      <c r="W1114" s="0" t="inlineStr">
        <is>
          <t>95B</t>
        </is>
      </c>
      <c r="X1114" s="0" t="n">
        <v>10</v>
      </c>
      <c r="Y1114" s="0" t="n">
        <v>9</v>
      </c>
      <c r="Z1114" s="0" t="inlineStr">
        <is>
          <t>https://new.land.naver.com/complexes/106735?tab=detail&amp;rf=Y</t>
        </is>
      </c>
      <c r="AA1114" s="0" t="inlineStr">
        <is>
          <t>인천시 서구 석남동 498-1</t>
        </is>
      </c>
      <c r="AB1114" s="0" t="inlineStr">
        <is>
          <t>인천시</t>
        </is>
      </c>
      <c r="AC1114" s="0" t="inlineStr">
        <is>
          <t>서구</t>
        </is>
      </c>
      <c r="AD1114" s="0" t="inlineStr">
        <is>
          <t>석남동</t>
        </is>
      </c>
      <c r="AG1114" s="0" t="inlineStr">
        <is>
          <t>인천시 서구 옻우물로34번길 14</t>
        </is>
      </c>
      <c r="AH1114" s="0" t="n">
        <v>0</v>
      </c>
      <c r="AI1114" s="0" t="n">
        <v>0</v>
      </c>
      <c r="AJ1114" s="0" t="n">
        <v>0</v>
      </c>
      <c r="AK1114" s="0" t="n">
        <v>69</v>
      </c>
      <c r="AL1114" s="0" t="n">
        <v>1.33</v>
      </c>
    </row>
    <row r="1115">
      <c r="A1115" s="0" t="inlineStr">
        <is>
          <t>[석남동]</t>
        </is>
      </c>
      <c r="B1115" s="0" t="n">
        <v>112019</v>
      </c>
      <c r="C1115" s="0" t="n">
        <v>1</v>
      </c>
      <c r="D1115" s="0" t="inlineStr">
        <is>
          <t>한화수풀림</t>
        </is>
      </c>
      <c r="E1115" s="0" t="inlineStr">
        <is>
          <t>2005.09.</t>
        </is>
      </c>
      <c r="F1115" s="0" t="n">
        <v>49</v>
      </c>
      <c r="G1115" s="0" t="n">
        <v>27.57</v>
      </c>
      <c r="H1115" s="0" t="n">
        <v>91.16</v>
      </c>
      <c r="I1115" s="0" t="n">
        <v>20.65</v>
      </c>
      <c r="J1115" s="0" t="n">
        <v>68.27</v>
      </c>
      <c r="K1115" s="0" t="n">
        <v>7</v>
      </c>
      <c r="T1115" s="0" t="n">
        <v>3</v>
      </c>
      <c r="U1115" s="0" t="n">
        <v>2</v>
      </c>
      <c r="V1115" s="0" t="inlineStr">
        <is>
          <t>계단식</t>
        </is>
      </c>
      <c r="W1115" s="0" t="inlineStr">
        <is>
          <t>91A</t>
        </is>
      </c>
      <c r="X1115" s="0" t="n">
        <v>8</v>
      </c>
      <c r="Y1115" s="0" t="n">
        <v>7</v>
      </c>
      <c r="Z1115" s="0" t="inlineStr">
        <is>
          <t>https://new.land.naver.com/complexes/112019?tab=detail&amp;rf=Y</t>
        </is>
      </c>
      <c r="AA1115" s="0" t="inlineStr">
        <is>
          <t>인천시 서구 석남동 464-3</t>
        </is>
      </c>
      <c r="AB1115" s="0" t="inlineStr">
        <is>
          <t>인천시</t>
        </is>
      </c>
      <c r="AC1115" s="0" t="inlineStr">
        <is>
          <t>서구</t>
        </is>
      </c>
      <c r="AD1115" s="0" t="inlineStr">
        <is>
          <t>석남동</t>
        </is>
      </c>
      <c r="AG1115" s="0" t="inlineStr">
        <is>
          <t>인천시 서구 신석로111번길 22</t>
        </is>
      </c>
      <c r="AH1115" s="0" t="n">
        <v>0</v>
      </c>
      <c r="AI1115" s="0" t="n">
        <v>247</v>
      </c>
      <c r="AJ1115" s="0" t="n">
        <v>38</v>
      </c>
      <c r="AK1115" s="0" t="n">
        <v>49</v>
      </c>
      <c r="AL1115" s="0" t="n">
        <v>1</v>
      </c>
    </row>
    <row r="1116">
      <c r="A1116" s="0" t="inlineStr">
        <is>
          <t>[석남동]</t>
        </is>
      </c>
      <c r="B1116" s="0" t="n">
        <v>112019</v>
      </c>
      <c r="C1116" s="0" t="n">
        <v>2</v>
      </c>
      <c r="D1116" s="0" t="inlineStr">
        <is>
          <t>한화수풀림</t>
        </is>
      </c>
      <c r="E1116" s="0" t="inlineStr">
        <is>
          <t>2005.09.</t>
        </is>
      </c>
      <c r="F1116" s="0" t="n">
        <v>49</v>
      </c>
      <c r="G1116" s="0" t="n">
        <v>28.35</v>
      </c>
      <c r="H1116" s="0" t="n">
        <v>93.72</v>
      </c>
      <c r="I1116" s="0" t="n">
        <v>21.25</v>
      </c>
      <c r="J1116" s="0" t="n">
        <v>70.27</v>
      </c>
      <c r="K1116" s="0" t="n">
        <v>7</v>
      </c>
      <c r="T1116" s="0" t="n">
        <v>3</v>
      </c>
      <c r="U1116" s="0" t="n">
        <v>2</v>
      </c>
      <c r="V1116" s="0" t="inlineStr">
        <is>
          <t>계단식</t>
        </is>
      </c>
      <c r="W1116" s="0" t="inlineStr">
        <is>
          <t>93B</t>
        </is>
      </c>
      <c r="X1116" s="0" t="n">
        <v>8</v>
      </c>
      <c r="Y1116" s="0" t="n">
        <v>7</v>
      </c>
      <c r="Z1116" s="0" t="inlineStr">
        <is>
          <t>https://new.land.naver.com/complexes/112019?tab=detail&amp;rf=Y</t>
        </is>
      </c>
      <c r="AA1116" s="0" t="inlineStr">
        <is>
          <t>인천시 서구 석남동 464-3</t>
        </is>
      </c>
      <c r="AB1116" s="0" t="inlineStr">
        <is>
          <t>인천시</t>
        </is>
      </c>
      <c r="AC1116" s="0" t="inlineStr">
        <is>
          <t>서구</t>
        </is>
      </c>
      <c r="AD1116" s="0" t="inlineStr">
        <is>
          <t>석남동</t>
        </is>
      </c>
      <c r="AG1116" s="0" t="inlineStr">
        <is>
          <t>인천시 서구 신석로111번길 22</t>
        </is>
      </c>
      <c r="AH1116" s="0" t="n">
        <v>0</v>
      </c>
      <c r="AI1116" s="0" t="n">
        <v>247</v>
      </c>
      <c r="AJ1116" s="0" t="n">
        <v>38</v>
      </c>
      <c r="AK1116" s="0" t="n">
        <v>49</v>
      </c>
      <c r="AL1116" s="0" t="n">
        <v>1</v>
      </c>
    </row>
    <row r="1117">
      <c r="A1117" s="0" t="inlineStr">
        <is>
          <t>[석남동]</t>
        </is>
      </c>
      <c r="B1117" s="0" t="n">
        <v>112019</v>
      </c>
      <c r="C1117" s="0" t="n">
        <v>3</v>
      </c>
      <c r="D1117" s="0" t="inlineStr">
        <is>
          <t>한화수풀림</t>
        </is>
      </c>
      <c r="E1117" s="0" t="inlineStr">
        <is>
          <t>2005.09.</t>
        </is>
      </c>
      <c r="F1117" s="0" t="n">
        <v>49</v>
      </c>
      <c r="G1117" s="0" t="n">
        <v>31.46</v>
      </c>
      <c r="H1117" s="0" t="n">
        <v>104.02</v>
      </c>
      <c r="I1117" s="0" t="n">
        <v>23.73</v>
      </c>
      <c r="J1117" s="0" t="n">
        <v>78.47</v>
      </c>
      <c r="K1117" s="0" t="n">
        <v>35</v>
      </c>
      <c r="T1117" s="0" t="n">
        <v>3</v>
      </c>
      <c r="U1117" s="0" t="n">
        <v>2</v>
      </c>
      <c r="V1117" s="0" t="inlineStr">
        <is>
          <t>계단식</t>
        </is>
      </c>
      <c r="W1117" s="0" t="n">
        <v>104</v>
      </c>
      <c r="X1117" s="0" t="n">
        <v>8</v>
      </c>
      <c r="Y1117" s="0" t="n">
        <v>7</v>
      </c>
      <c r="Z1117" s="0" t="inlineStr">
        <is>
          <t>https://new.land.naver.com/complexes/112019?tab=detail&amp;rf=Y</t>
        </is>
      </c>
      <c r="AA1117" s="0" t="inlineStr">
        <is>
          <t>인천시 서구 석남동 464-3</t>
        </is>
      </c>
      <c r="AB1117" s="0" t="inlineStr">
        <is>
          <t>인천시</t>
        </is>
      </c>
      <c r="AC1117" s="0" t="inlineStr">
        <is>
          <t>서구</t>
        </is>
      </c>
      <c r="AD1117" s="0" t="inlineStr">
        <is>
          <t>석남동</t>
        </is>
      </c>
      <c r="AG1117" s="0" t="inlineStr">
        <is>
          <t>인천시 서구 신석로111번길 22</t>
        </is>
      </c>
      <c r="AH1117" s="0" t="n">
        <v>0</v>
      </c>
      <c r="AI1117" s="0" t="n">
        <v>247</v>
      </c>
      <c r="AJ1117" s="0" t="n">
        <v>38</v>
      </c>
      <c r="AK1117" s="0" t="n">
        <v>49</v>
      </c>
      <c r="AL1117" s="0" t="n">
        <v>1</v>
      </c>
    </row>
    <row r="1118">
      <c r="A1118" s="0" t="inlineStr">
        <is>
          <t>[석남동]</t>
        </is>
      </c>
      <c r="B1118" s="0" t="n">
        <v>8882</v>
      </c>
      <c r="C1118" s="0" t="n">
        <v>1</v>
      </c>
      <c r="D1118" s="0" t="inlineStr">
        <is>
          <t>낙원</t>
        </is>
      </c>
      <c r="E1118" s="0" t="inlineStr">
        <is>
          <t>1989.11.</t>
        </is>
      </c>
      <c r="F1118" s="0" t="n">
        <v>142</v>
      </c>
      <c r="G1118" s="0" t="n">
        <v>17.51</v>
      </c>
      <c r="H1118" s="0" t="n">
        <v>57.89</v>
      </c>
      <c r="I1118" s="0" t="n">
        <v>13.35</v>
      </c>
      <c r="J1118" s="0" t="n">
        <v>44.16</v>
      </c>
      <c r="K1118" s="0" t="n">
        <v>24</v>
      </c>
      <c r="T1118" s="0" t="n">
        <v>2</v>
      </c>
      <c r="U1118" s="0" t="n">
        <v>1</v>
      </c>
      <c r="V1118" s="0" t="inlineStr">
        <is>
          <t>계단식</t>
        </is>
      </c>
      <c r="W1118" s="0" t="n">
        <v>57</v>
      </c>
      <c r="X1118" s="0" t="n">
        <v>6</v>
      </c>
      <c r="Y1118" s="0" t="n">
        <v>5</v>
      </c>
      <c r="Z1118" s="0" t="inlineStr">
        <is>
          <t>https://new.land.naver.com/complexes/8882?tab=detail&amp;rf=Y</t>
        </is>
      </c>
      <c r="AA1118" s="0" t="inlineStr">
        <is>
          <t>인천시 서구 석남동 468-3</t>
        </is>
      </c>
      <c r="AB1118" s="0" t="inlineStr">
        <is>
          <t>인천시</t>
        </is>
      </c>
      <c r="AC1118" s="0" t="inlineStr">
        <is>
          <t>서구</t>
        </is>
      </c>
      <c r="AD1118" s="0" t="inlineStr">
        <is>
          <t>석남동</t>
        </is>
      </c>
      <c r="AG1118" s="0" t="inlineStr">
        <is>
          <t>인천시 서구 서달로149번길 12-7</t>
        </is>
      </c>
      <c r="AH1118" s="0" t="n">
        <v>0</v>
      </c>
      <c r="AI1118" s="0" t="n">
        <v>176</v>
      </c>
      <c r="AJ1118" s="0" t="n">
        <v>31</v>
      </c>
      <c r="AK1118" s="0" t="n">
        <v>101</v>
      </c>
      <c r="AL1118" s="0" t="n">
        <v>0.71</v>
      </c>
    </row>
    <row r="1119">
      <c r="A1119" s="0" t="inlineStr">
        <is>
          <t>[석남동]</t>
        </is>
      </c>
      <c r="B1119" s="0" t="n">
        <v>8882</v>
      </c>
      <c r="C1119" s="0" t="n">
        <v>2</v>
      </c>
      <c r="D1119" s="0" t="inlineStr">
        <is>
          <t>낙원</t>
        </is>
      </c>
      <c r="E1119" s="0" t="inlineStr">
        <is>
          <t>1989.11.</t>
        </is>
      </c>
      <c r="F1119" s="0" t="n">
        <v>142</v>
      </c>
      <c r="G1119" s="0" t="n">
        <v>19.28</v>
      </c>
      <c r="H1119" s="0" t="n">
        <v>63.75</v>
      </c>
      <c r="I1119" s="0" t="n">
        <v>14.97</v>
      </c>
      <c r="J1119" s="0" t="n">
        <v>49.5</v>
      </c>
      <c r="K1119" s="0" t="n">
        <v>6</v>
      </c>
      <c r="T1119" s="0" t="n">
        <v>2</v>
      </c>
      <c r="U1119" s="0" t="n">
        <v>1</v>
      </c>
      <c r="V1119" s="0" t="inlineStr">
        <is>
          <t>계단식</t>
        </is>
      </c>
      <c r="W1119" s="0" t="inlineStr">
        <is>
          <t>63B</t>
        </is>
      </c>
      <c r="X1119" s="0" t="n">
        <v>6</v>
      </c>
      <c r="Y1119" s="0" t="n">
        <v>5</v>
      </c>
      <c r="Z1119" s="0" t="inlineStr">
        <is>
          <t>https://new.land.naver.com/complexes/8882?tab=detail&amp;rf=Y</t>
        </is>
      </c>
      <c r="AA1119" s="0" t="inlineStr">
        <is>
          <t>인천시 서구 석남동 468-3</t>
        </is>
      </c>
      <c r="AB1119" s="0" t="inlineStr">
        <is>
          <t>인천시</t>
        </is>
      </c>
      <c r="AC1119" s="0" t="inlineStr">
        <is>
          <t>서구</t>
        </is>
      </c>
      <c r="AD1119" s="0" t="inlineStr">
        <is>
          <t>석남동</t>
        </is>
      </c>
      <c r="AG1119" s="0" t="inlineStr">
        <is>
          <t>인천시 서구 서달로149번길 12-7</t>
        </is>
      </c>
      <c r="AH1119" s="0" t="n">
        <v>0</v>
      </c>
      <c r="AI1119" s="0" t="n">
        <v>176</v>
      </c>
      <c r="AJ1119" s="0" t="n">
        <v>31</v>
      </c>
      <c r="AK1119" s="0" t="n">
        <v>101</v>
      </c>
      <c r="AL1119" s="0" t="n">
        <v>0.71</v>
      </c>
    </row>
    <row r="1120">
      <c r="A1120" s="0" t="inlineStr">
        <is>
          <t>[석남동]</t>
        </is>
      </c>
      <c r="B1120" s="0" t="n">
        <v>8882</v>
      </c>
      <c r="C1120" s="0" t="n">
        <v>3</v>
      </c>
      <c r="D1120" s="0" t="inlineStr">
        <is>
          <t>낙원</t>
        </is>
      </c>
      <c r="E1120" s="0" t="inlineStr">
        <is>
          <t>1989.11.</t>
        </is>
      </c>
      <c r="F1120" s="0" t="n">
        <v>142</v>
      </c>
      <c r="G1120" s="0" t="n">
        <v>19.46</v>
      </c>
      <c r="H1120" s="0" t="n">
        <v>64.34</v>
      </c>
      <c r="I1120" s="0" t="n">
        <v>14.86</v>
      </c>
      <c r="J1120" s="0" t="n">
        <v>49.14</v>
      </c>
      <c r="K1120" s="0" t="n">
        <v>94</v>
      </c>
      <c r="T1120" s="0" t="n">
        <v>2</v>
      </c>
      <c r="U1120" s="0" t="n">
        <v>1</v>
      </c>
      <c r="V1120" s="0" t="inlineStr">
        <is>
          <t>계단식</t>
        </is>
      </c>
      <c r="W1120" s="0" t="inlineStr">
        <is>
          <t>64A</t>
        </is>
      </c>
      <c r="X1120" s="0" t="n">
        <v>6</v>
      </c>
      <c r="Y1120" s="0" t="n">
        <v>5</v>
      </c>
      <c r="Z1120" s="0" t="inlineStr">
        <is>
          <t>https://new.land.naver.com/complexes/8882?tab=detail&amp;rf=Y</t>
        </is>
      </c>
      <c r="AA1120" s="0" t="inlineStr">
        <is>
          <t>인천시 서구 석남동 468-3</t>
        </is>
      </c>
      <c r="AB1120" s="0" t="inlineStr">
        <is>
          <t>인천시</t>
        </is>
      </c>
      <c r="AC1120" s="0" t="inlineStr">
        <is>
          <t>서구</t>
        </is>
      </c>
      <c r="AD1120" s="0" t="inlineStr">
        <is>
          <t>석남동</t>
        </is>
      </c>
      <c r="AG1120" s="0" t="inlineStr">
        <is>
          <t>인천시 서구 서달로149번길 12-7</t>
        </is>
      </c>
      <c r="AH1120" s="0" t="n">
        <v>0</v>
      </c>
      <c r="AI1120" s="0" t="n">
        <v>176</v>
      </c>
      <c r="AJ1120" s="0" t="n">
        <v>31</v>
      </c>
      <c r="AK1120" s="0" t="n">
        <v>101</v>
      </c>
      <c r="AL1120" s="0" t="n">
        <v>0.71</v>
      </c>
    </row>
    <row r="1121">
      <c r="A1121" s="0" t="inlineStr">
        <is>
          <t>[석남동]</t>
        </is>
      </c>
      <c r="B1121" s="0" t="n">
        <v>8882</v>
      </c>
      <c r="C1121" s="0" t="n">
        <v>4</v>
      </c>
      <c r="D1121" s="0" t="inlineStr">
        <is>
          <t>낙원</t>
        </is>
      </c>
      <c r="E1121" s="0" t="inlineStr">
        <is>
          <t>1989.11.</t>
        </is>
      </c>
      <c r="F1121" s="0" t="n">
        <v>142</v>
      </c>
      <c r="G1121" s="0" t="n">
        <v>20.26</v>
      </c>
      <c r="H1121" s="0" t="n">
        <v>66.98</v>
      </c>
      <c r="I1121" s="0" t="n">
        <v>15.8</v>
      </c>
      <c r="J1121" s="0" t="n">
        <v>52.26</v>
      </c>
      <c r="K1121" s="0" t="n">
        <v>18</v>
      </c>
      <c r="T1121" s="0" t="n">
        <v>3</v>
      </c>
      <c r="U1121" s="0" t="n">
        <v>1</v>
      </c>
      <c r="V1121" s="0" t="inlineStr">
        <is>
          <t>계단식</t>
        </is>
      </c>
      <c r="W1121" s="0" t="n">
        <v>66</v>
      </c>
      <c r="X1121" s="0" t="n">
        <v>6</v>
      </c>
      <c r="Y1121" s="0" t="n">
        <v>5</v>
      </c>
      <c r="Z1121" s="0" t="inlineStr">
        <is>
          <t>https://new.land.naver.com/complexes/8882?tab=detail&amp;rf=Y</t>
        </is>
      </c>
      <c r="AA1121" s="0" t="inlineStr">
        <is>
          <t>인천시 서구 석남동 468-3</t>
        </is>
      </c>
      <c r="AB1121" s="0" t="inlineStr">
        <is>
          <t>인천시</t>
        </is>
      </c>
      <c r="AC1121" s="0" t="inlineStr">
        <is>
          <t>서구</t>
        </is>
      </c>
      <c r="AD1121" s="0" t="inlineStr">
        <is>
          <t>석남동</t>
        </is>
      </c>
      <c r="AG1121" s="0" t="inlineStr">
        <is>
          <t>인천시 서구 서달로149번길 12-7</t>
        </is>
      </c>
      <c r="AH1121" s="0" t="n">
        <v>0</v>
      </c>
      <c r="AI1121" s="0" t="n">
        <v>176</v>
      </c>
      <c r="AJ1121" s="0" t="n">
        <v>31</v>
      </c>
      <c r="AK1121" s="0" t="n">
        <v>101</v>
      </c>
      <c r="AL1121" s="0" t="n">
        <v>0.71</v>
      </c>
    </row>
    <row r="1122">
      <c r="A1122" s="0" t="inlineStr">
        <is>
          <t>[신현동]</t>
        </is>
      </c>
      <c r="B1122" s="0" t="n">
        <v>110742</v>
      </c>
      <c r="C1122" s="0" t="n">
        <v>1</v>
      </c>
      <c r="D1122" s="0" t="inlineStr">
        <is>
          <t>루원시티대성베르힐</t>
        </is>
      </c>
      <c r="E1122" s="0" t="inlineStr">
        <is>
          <t>2017.09.</t>
        </is>
      </c>
      <c r="F1122" s="0" t="n">
        <v>1147</v>
      </c>
      <c r="G1122" s="0" t="n">
        <v>30.64</v>
      </c>
      <c r="H1122" s="0" t="n">
        <v>101.29</v>
      </c>
      <c r="I1122" s="0" t="n">
        <v>22.9</v>
      </c>
      <c r="J1122" s="0" t="n">
        <v>75.73</v>
      </c>
      <c r="K1122" s="0" t="n">
        <v>217</v>
      </c>
      <c r="T1122" s="0" t="n">
        <v>3</v>
      </c>
      <c r="U1122" s="0" t="n">
        <v>2</v>
      </c>
      <c r="V1122" s="0" t="inlineStr">
        <is>
          <t>계단식</t>
        </is>
      </c>
      <c r="W1122" s="0" t="n">
        <v>101</v>
      </c>
      <c r="X1122" s="0" t="n">
        <v>25</v>
      </c>
      <c r="Y1122" s="0" t="n">
        <v>18</v>
      </c>
      <c r="Z1122" s="0" t="inlineStr">
        <is>
          <t>https://new.land.naver.com/complexes/110742?tab=detail&amp;rf=Y</t>
        </is>
      </c>
      <c r="AA1122" s="0" t="inlineStr">
        <is>
          <t>인천시 서구 신현동 304-1</t>
        </is>
      </c>
      <c r="AB1122" s="0" t="inlineStr">
        <is>
          <t>인천시</t>
        </is>
      </c>
      <c r="AC1122" s="0" t="inlineStr">
        <is>
          <t>서구</t>
        </is>
      </c>
      <c r="AD1122" s="0" t="inlineStr">
        <is>
          <t>신현동</t>
        </is>
      </c>
      <c r="AG1122" s="0" t="inlineStr">
        <is>
          <t>인천시 서구 봉오재1로 15</t>
        </is>
      </c>
      <c r="AH1122" s="0" t="n">
        <v>0</v>
      </c>
      <c r="AI1122" s="0" t="n">
        <v>219</v>
      </c>
      <c r="AJ1122" s="0" t="n">
        <v>17</v>
      </c>
      <c r="AK1122" s="0" t="n">
        <v>1425</v>
      </c>
      <c r="AL1122" s="0" t="n">
        <v>1.24</v>
      </c>
    </row>
    <row r="1123">
      <c r="A1123" s="0" t="inlineStr">
        <is>
          <t>[신현동]</t>
        </is>
      </c>
      <c r="B1123" s="0" t="n">
        <v>110742</v>
      </c>
      <c r="C1123" s="0" t="n">
        <v>2</v>
      </c>
      <c r="D1123" s="0" t="inlineStr">
        <is>
          <t>루원시티대성베르힐</t>
        </is>
      </c>
      <c r="E1123" s="0" t="inlineStr">
        <is>
          <t>2017.09.</t>
        </is>
      </c>
      <c r="F1123" s="0" t="n">
        <v>1147</v>
      </c>
      <c r="G1123" s="0" t="n">
        <v>32.38</v>
      </c>
      <c r="H1123" s="0" t="n">
        <v>107.06</v>
      </c>
      <c r="I1123" s="0" t="n">
        <v>24.41</v>
      </c>
      <c r="J1123" s="0" t="n">
        <v>80.7</v>
      </c>
      <c r="K1123" s="0" t="n">
        <v>59</v>
      </c>
      <c r="T1123" s="0" t="n">
        <v>3</v>
      </c>
      <c r="U1123" s="0" t="n">
        <v>2</v>
      </c>
      <c r="V1123" s="0" t="inlineStr">
        <is>
          <t>계단식</t>
        </is>
      </c>
      <c r="W1123" s="0" t="n">
        <v>107</v>
      </c>
      <c r="X1123" s="0" t="n">
        <v>25</v>
      </c>
      <c r="Y1123" s="0" t="n">
        <v>18</v>
      </c>
      <c r="Z1123" s="0" t="inlineStr">
        <is>
          <t>https://new.land.naver.com/complexes/110742?tab=detail&amp;rf=Y</t>
        </is>
      </c>
      <c r="AA1123" s="0" t="inlineStr">
        <is>
          <t>인천시 서구 신현동 304-1</t>
        </is>
      </c>
      <c r="AB1123" s="0" t="inlineStr">
        <is>
          <t>인천시</t>
        </is>
      </c>
      <c r="AC1123" s="0" t="inlineStr">
        <is>
          <t>서구</t>
        </is>
      </c>
      <c r="AD1123" s="0" t="inlineStr">
        <is>
          <t>신현동</t>
        </is>
      </c>
      <c r="AG1123" s="0" t="inlineStr">
        <is>
          <t>인천시 서구 봉오재1로 15</t>
        </is>
      </c>
      <c r="AH1123" s="0" t="n">
        <v>0</v>
      </c>
      <c r="AI1123" s="0" t="n">
        <v>219</v>
      </c>
      <c r="AJ1123" s="0" t="n">
        <v>17</v>
      </c>
      <c r="AK1123" s="0" t="n">
        <v>1425</v>
      </c>
      <c r="AL1123" s="0" t="n">
        <v>1.24</v>
      </c>
    </row>
    <row r="1124">
      <c r="A1124" s="0" t="inlineStr">
        <is>
          <t>[신현동]</t>
        </is>
      </c>
      <c r="B1124" s="0" t="n">
        <v>110742</v>
      </c>
      <c r="C1124" s="0" t="n">
        <v>3</v>
      </c>
      <c r="D1124" s="0" t="inlineStr">
        <is>
          <t>루원시티대성베르힐</t>
        </is>
      </c>
      <c r="E1124" s="0" t="inlineStr">
        <is>
          <t>2017.09.</t>
        </is>
      </c>
      <c r="F1124" s="0" t="n">
        <v>1147</v>
      </c>
      <c r="G1124" s="0" t="n">
        <v>33.83</v>
      </c>
      <c r="H1124" s="0" t="n">
        <v>111.84</v>
      </c>
      <c r="I1124" s="0" t="n">
        <v>25.7</v>
      </c>
      <c r="J1124" s="0" t="n">
        <v>84.97</v>
      </c>
      <c r="K1124" s="0" t="n">
        <v>416</v>
      </c>
      <c r="T1124" s="0" t="n">
        <v>3</v>
      </c>
      <c r="U1124" s="0" t="n">
        <v>2</v>
      </c>
      <c r="V1124" s="0" t="inlineStr">
        <is>
          <t>계단식</t>
        </is>
      </c>
      <c r="W1124" s="0" t="inlineStr">
        <is>
          <t>111A</t>
        </is>
      </c>
      <c r="X1124" s="0" t="n">
        <v>25</v>
      </c>
      <c r="Y1124" s="0" t="n">
        <v>18</v>
      </c>
      <c r="Z1124" s="0" t="inlineStr">
        <is>
          <t>https://new.land.naver.com/complexes/110742?tab=detail&amp;rf=Y</t>
        </is>
      </c>
      <c r="AA1124" s="0" t="inlineStr">
        <is>
          <t>인천시 서구 신현동 304-1</t>
        </is>
      </c>
      <c r="AB1124" s="0" t="inlineStr">
        <is>
          <t>인천시</t>
        </is>
      </c>
      <c r="AC1124" s="0" t="inlineStr">
        <is>
          <t>서구</t>
        </is>
      </c>
      <c r="AD1124" s="0" t="inlineStr">
        <is>
          <t>신현동</t>
        </is>
      </c>
      <c r="AG1124" s="0" t="inlineStr">
        <is>
          <t>인천시 서구 봉오재1로 15</t>
        </is>
      </c>
      <c r="AH1124" s="0" t="n">
        <v>0</v>
      </c>
      <c r="AI1124" s="0" t="n">
        <v>219</v>
      </c>
      <c r="AJ1124" s="0" t="n">
        <v>17</v>
      </c>
      <c r="AK1124" s="0" t="n">
        <v>1425</v>
      </c>
      <c r="AL1124" s="0" t="n">
        <v>1.24</v>
      </c>
    </row>
    <row r="1125">
      <c r="A1125" s="0" t="inlineStr">
        <is>
          <t>[신현동]</t>
        </is>
      </c>
      <c r="B1125" s="0" t="n">
        <v>110742</v>
      </c>
      <c r="C1125" s="0" t="n">
        <v>4</v>
      </c>
      <c r="D1125" s="0" t="inlineStr">
        <is>
          <t>루원시티대성베르힐</t>
        </is>
      </c>
      <c r="E1125" s="0" t="inlineStr">
        <is>
          <t>2017.09.</t>
        </is>
      </c>
      <c r="F1125" s="0" t="n">
        <v>1147</v>
      </c>
      <c r="G1125" s="0" t="n">
        <v>33.63</v>
      </c>
      <c r="H1125" s="0" t="n">
        <v>111.18</v>
      </c>
      <c r="I1125" s="0" t="n">
        <v>25.7</v>
      </c>
      <c r="J1125" s="0" t="n">
        <v>84.97</v>
      </c>
      <c r="K1125" s="0" t="n">
        <v>175</v>
      </c>
      <c r="T1125" s="0" t="n">
        <v>3</v>
      </c>
      <c r="U1125" s="0" t="n">
        <v>2</v>
      </c>
      <c r="V1125" s="0" t="inlineStr">
        <is>
          <t>계단식</t>
        </is>
      </c>
      <c r="W1125" s="0" t="inlineStr">
        <is>
          <t>111B</t>
        </is>
      </c>
      <c r="X1125" s="0" t="n">
        <v>25</v>
      </c>
      <c r="Y1125" s="0" t="n">
        <v>18</v>
      </c>
      <c r="Z1125" s="0" t="inlineStr">
        <is>
          <t>https://new.land.naver.com/complexes/110742?tab=detail&amp;rf=Y</t>
        </is>
      </c>
      <c r="AA1125" s="0" t="inlineStr">
        <is>
          <t>인천시 서구 신현동 304-1</t>
        </is>
      </c>
      <c r="AB1125" s="0" t="inlineStr">
        <is>
          <t>인천시</t>
        </is>
      </c>
      <c r="AC1125" s="0" t="inlineStr">
        <is>
          <t>서구</t>
        </is>
      </c>
      <c r="AD1125" s="0" t="inlineStr">
        <is>
          <t>신현동</t>
        </is>
      </c>
      <c r="AG1125" s="0" t="inlineStr">
        <is>
          <t>인천시 서구 봉오재1로 15</t>
        </is>
      </c>
      <c r="AH1125" s="0" t="n">
        <v>0</v>
      </c>
      <c r="AI1125" s="0" t="n">
        <v>219</v>
      </c>
      <c r="AJ1125" s="0" t="n">
        <v>17</v>
      </c>
      <c r="AK1125" s="0" t="n">
        <v>1425</v>
      </c>
      <c r="AL1125" s="0" t="n">
        <v>1.24</v>
      </c>
    </row>
    <row r="1126">
      <c r="A1126" s="0" t="inlineStr">
        <is>
          <t>[신현동]</t>
        </is>
      </c>
      <c r="B1126" s="0" t="n">
        <v>110742</v>
      </c>
      <c r="C1126" s="0" t="n">
        <v>5</v>
      </c>
      <c r="D1126" s="0" t="inlineStr">
        <is>
          <t>루원시티대성베르힐</t>
        </is>
      </c>
      <c r="E1126" s="0" t="inlineStr">
        <is>
          <t>2017.09.</t>
        </is>
      </c>
      <c r="F1126" s="0" t="n">
        <v>1147</v>
      </c>
      <c r="G1126" s="0" t="n">
        <v>37.78</v>
      </c>
      <c r="H1126" s="0" t="n">
        <v>124.9</v>
      </c>
      <c r="I1126" s="0" t="n">
        <v>30.08</v>
      </c>
      <c r="J1126" s="0" t="n">
        <v>99.47</v>
      </c>
      <c r="K1126" s="0" t="n">
        <v>280</v>
      </c>
      <c r="T1126" s="0" t="n">
        <v>3</v>
      </c>
      <c r="U1126" s="0" t="n">
        <v>2</v>
      </c>
      <c r="V1126" s="0" t="inlineStr">
        <is>
          <t>계단식</t>
        </is>
      </c>
      <c r="W1126" s="0" t="n">
        <v>124</v>
      </c>
      <c r="X1126" s="0" t="n">
        <v>25</v>
      </c>
      <c r="Y1126" s="0" t="n">
        <v>18</v>
      </c>
      <c r="Z1126" s="0" t="inlineStr">
        <is>
          <t>https://new.land.naver.com/complexes/110742?tab=detail&amp;rf=Y</t>
        </is>
      </c>
      <c r="AA1126" s="0" t="inlineStr">
        <is>
          <t>인천시 서구 신현동 304-1</t>
        </is>
      </c>
      <c r="AB1126" s="0" t="inlineStr">
        <is>
          <t>인천시</t>
        </is>
      </c>
      <c r="AC1126" s="0" t="inlineStr">
        <is>
          <t>서구</t>
        </is>
      </c>
      <c r="AD1126" s="0" t="inlineStr">
        <is>
          <t>신현동</t>
        </is>
      </c>
      <c r="AG1126" s="0" t="inlineStr">
        <is>
          <t>인천시 서구 봉오재1로 15</t>
        </is>
      </c>
      <c r="AH1126" s="0" t="n">
        <v>0</v>
      </c>
      <c r="AI1126" s="0" t="n">
        <v>219</v>
      </c>
      <c r="AJ1126" s="0" t="n">
        <v>17</v>
      </c>
      <c r="AK1126" s="0" t="n">
        <v>1425</v>
      </c>
      <c r="AL1126" s="0" t="n">
        <v>1.24</v>
      </c>
    </row>
    <row r="1127">
      <c r="A1127" s="0" t="inlineStr">
        <is>
          <t>[신현동]</t>
        </is>
      </c>
      <c r="B1127" s="0" t="n">
        <v>106121</v>
      </c>
      <c r="C1127" s="0" t="n">
        <v>1</v>
      </c>
      <c r="D1127" s="0" t="inlineStr">
        <is>
          <t>금강아미움</t>
        </is>
      </c>
      <c r="E1127" s="0" t="inlineStr">
        <is>
          <t>2014.04.</t>
        </is>
      </c>
      <c r="F1127" s="0" t="n">
        <v>70</v>
      </c>
      <c r="G1127" s="0" t="n">
        <v>25.57</v>
      </c>
      <c r="H1127" s="0" t="n">
        <v>84.56</v>
      </c>
      <c r="I1127" s="0" t="n">
        <v>18.04</v>
      </c>
      <c r="J1127" s="0" t="n">
        <v>59.64</v>
      </c>
      <c r="K1127" s="0" t="n">
        <v>38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84B</t>
        </is>
      </c>
      <c r="X1127" s="0" t="n">
        <v>18</v>
      </c>
      <c r="Y1127" s="0" t="n">
        <v>11</v>
      </c>
      <c r="Z1127" s="0" t="inlineStr">
        <is>
          <t>https://new.land.naver.com/complexes/106121?tab=detail&amp;rf=Y</t>
        </is>
      </c>
      <c r="AA1127" s="0" t="inlineStr">
        <is>
          <t>인천시 서구 신현동 303</t>
        </is>
      </c>
      <c r="AB1127" s="0" t="inlineStr">
        <is>
          <t>인천시</t>
        </is>
      </c>
      <c r="AC1127" s="0" t="inlineStr">
        <is>
          <t>서구</t>
        </is>
      </c>
      <c r="AD1127" s="0" t="inlineStr">
        <is>
          <t>신현동</t>
        </is>
      </c>
      <c r="AG1127" s="0" t="inlineStr">
        <is>
          <t>인천시 서구 가정로 375</t>
        </is>
      </c>
      <c r="AH1127" s="0" t="n">
        <v>0</v>
      </c>
      <c r="AI1127" s="0" t="n">
        <v>499</v>
      </c>
      <c r="AJ1127" s="0" t="n">
        <v>69</v>
      </c>
      <c r="AK1127" s="0" t="n">
        <v>0</v>
      </c>
      <c r="AL1127" s="0" t="n">
        <v>0</v>
      </c>
    </row>
    <row r="1128">
      <c r="A1128" s="0" t="inlineStr">
        <is>
          <t>[신현동]</t>
        </is>
      </c>
      <c r="B1128" s="0" t="n">
        <v>106121</v>
      </c>
      <c r="C1128" s="0" t="n">
        <v>2</v>
      </c>
      <c r="D1128" s="0" t="inlineStr">
        <is>
          <t>금강아미움</t>
        </is>
      </c>
      <c r="E1128" s="0" t="inlineStr">
        <is>
          <t>2014.04.</t>
        </is>
      </c>
      <c r="F1128" s="0" t="n">
        <v>70</v>
      </c>
      <c r="G1128" s="0" t="n">
        <v>25.91</v>
      </c>
      <c r="H1128" s="0" t="n">
        <v>85.68000000000001</v>
      </c>
      <c r="I1128" s="0" t="n">
        <v>17.87</v>
      </c>
      <c r="J1128" s="0" t="n">
        <v>59.08</v>
      </c>
      <c r="K1128" s="0" t="n">
        <v>2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85A</t>
        </is>
      </c>
      <c r="X1128" s="0" t="n">
        <v>18</v>
      </c>
      <c r="Y1128" s="0" t="n">
        <v>11</v>
      </c>
      <c r="Z1128" s="0" t="inlineStr">
        <is>
          <t>https://new.land.naver.com/complexes/106121?tab=detail&amp;rf=Y</t>
        </is>
      </c>
      <c r="AA1128" s="0" t="inlineStr">
        <is>
          <t>인천시 서구 신현동 303</t>
        </is>
      </c>
      <c r="AB1128" s="0" t="inlineStr">
        <is>
          <t>인천시</t>
        </is>
      </c>
      <c r="AC1128" s="0" t="inlineStr">
        <is>
          <t>서구</t>
        </is>
      </c>
      <c r="AD1128" s="0" t="inlineStr">
        <is>
          <t>신현동</t>
        </is>
      </c>
      <c r="AG1128" s="0" t="inlineStr">
        <is>
          <t>인천시 서구 가정로 375</t>
        </is>
      </c>
      <c r="AH1128" s="0" t="n">
        <v>0</v>
      </c>
      <c r="AI1128" s="0" t="n">
        <v>499</v>
      </c>
      <c r="AJ1128" s="0" t="n">
        <v>69</v>
      </c>
      <c r="AK1128" s="0" t="n">
        <v>0</v>
      </c>
      <c r="AL1128" s="0" t="n">
        <v>0</v>
      </c>
    </row>
    <row r="1129">
      <c r="A1129" s="0" t="inlineStr">
        <is>
          <t>[신현동]</t>
        </is>
      </c>
      <c r="B1129" s="0" t="n">
        <v>106121</v>
      </c>
      <c r="C1129" s="0" t="n">
        <v>3</v>
      </c>
      <c r="D1129" s="0" t="inlineStr">
        <is>
          <t>금강아미움</t>
        </is>
      </c>
      <c r="E1129" s="0" t="inlineStr">
        <is>
          <t>2014.04.</t>
        </is>
      </c>
      <c r="F1129" s="0" t="n">
        <v>70</v>
      </c>
      <c r="G1129" s="0" t="n">
        <v>27.54</v>
      </c>
      <c r="H1129" s="0" t="n">
        <v>91.05</v>
      </c>
      <c r="I1129" s="0" t="n">
        <v>19.73</v>
      </c>
      <c r="J1129" s="0" t="n">
        <v>65.25</v>
      </c>
      <c r="K1129" s="0" t="n">
        <v>26</v>
      </c>
      <c r="T1129" s="0" t="n">
        <v>3</v>
      </c>
      <c r="U1129" s="0" t="n">
        <v>2</v>
      </c>
      <c r="V1129" s="0" t="inlineStr">
        <is>
          <t>계단식</t>
        </is>
      </c>
      <c r="W1129" s="0" t="n">
        <v>91</v>
      </c>
      <c r="X1129" s="0" t="n">
        <v>18</v>
      </c>
      <c r="Y1129" s="0" t="n">
        <v>11</v>
      </c>
      <c r="Z1129" s="0" t="inlineStr">
        <is>
          <t>https://new.land.naver.com/complexes/106121?tab=detail&amp;rf=Y</t>
        </is>
      </c>
      <c r="AA1129" s="0" t="inlineStr">
        <is>
          <t>인천시 서구 신현동 303</t>
        </is>
      </c>
      <c r="AB1129" s="0" t="inlineStr">
        <is>
          <t>인천시</t>
        </is>
      </c>
      <c r="AC1129" s="0" t="inlineStr">
        <is>
          <t>서구</t>
        </is>
      </c>
      <c r="AD1129" s="0" t="inlineStr">
        <is>
          <t>신현동</t>
        </is>
      </c>
      <c r="AG1129" s="0" t="inlineStr">
        <is>
          <t>인천시 서구 가정로 375</t>
        </is>
      </c>
      <c r="AH1129" s="0" t="n">
        <v>0</v>
      </c>
      <c r="AI1129" s="0" t="n">
        <v>499</v>
      </c>
      <c r="AJ1129" s="0" t="n">
        <v>69</v>
      </c>
      <c r="AK1129" s="0" t="n">
        <v>0</v>
      </c>
      <c r="AL1129" s="0" t="n">
        <v>0</v>
      </c>
    </row>
    <row r="1130">
      <c r="A1130" s="0" t="inlineStr">
        <is>
          <t>[신현동]</t>
        </is>
      </c>
      <c r="B1130" s="0" t="n">
        <v>106121</v>
      </c>
      <c r="C1130" s="0" t="n">
        <v>4</v>
      </c>
      <c r="D1130" s="0" t="inlineStr">
        <is>
          <t>금강아미움</t>
        </is>
      </c>
      <c r="E1130" s="0" t="inlineStr">
        <is>
          <t>2014.04.</t>
        </is>
      </c>
      <c r="F1130" s="0" t="n">
        <v>70</v>
      </c>
      <c r="G1130" s="0" t="n">
        <v>36.31</v>
      </c>
      <c r="H1130" s="0" t="n">
        <v>120.05</v>
      </c>
      <c r="I1130" s="0" t="n">
        <v>25.66</v>
      </c>
      <c r="J1130" s="0" t="n">
        <v>84.83</v>
      </c>
      <c r="K1130" s="0" t="n">
        <v>4</v>
      </c>
      <c r="T1130" s="0" t="n">
        <v>3</v>
      </c>
      <c r="U1130" s="0" t="n">
        <v>2</v>
      </c>
      <c r="V1130" s="0" t="inlineStr">
        <is>
          <t>계단식</t>
        </is>
      </c>
      <c r="W1130" s="0" t="n">
        <v>120</v>
      </c>
      <c r="X1130" s="0" t="n">
        <v>18</v>
      </c>
      <c r="Y1130" s="0" t="n">
        <v>11</v>
      </c>
      <c r="Z1130" s="0" t="inlineStr">
        <is>
          <t>https://new.land.naver.com/complexes/106121?tab=detail&amp;rf=Y</t>
        </is>
      </c>
      <c r="AA1130" s="0" t="inlineStr">
        <is>
          <t>인천시 서구 신현동 303</t>
        </is>
      </c>
      <c r="AB1130" s="0" t="inlineStr">
        <is>
          <t>인천시</t>
        </is>
      </c>
      <c r="AC1130" s="0" t="inlineStr">
        <is>
          <t>서구</t>
        </is>
      </c>
      <c r="AD1130" s="0" t="inlineStr">
        <is>
          <t>신현동</t>
        </is>
      </c>
      <c r="AG1130" s="0" t="inlineStr">
        <is>
          <t>인천시 서구 가정로 375</t>
        </is>
      </c>
      <c r="AH1130" s="0" t="n">
        <v>0</v>
      </c>
      <c r="AI1130" s="0" t="n">
        <v>499</v>
      </c>
      <c r="AJ1130" s="0" t="n">
        <v>69</v>
      </c>
      <c r="AK1130" s="0" t="n">
        <v>0</v>
      </c>
      <c r="AL1130" s="0" t="n">
        <v>0</v>
      </c>
    </row>
    <row r="1131">
      <c r="A1131" s="0" t="inlineStr">
        <is>
          <t>[신현동]</t>
        </is>
      </c>
      <c r="B1131" s="0" t="n">
        <v>11911</v>
      </c>
      <c r="C1131" s="0" t="n">
        <v>1</v>
      </c>
      <c r="D1131" s="0" t="inlineStr">
        <is>
          <t>은영</t>
        </is>
      </c>
      <c r="E1131" s="0" t="inlineStr">
        <is>
          <t>1989.10.</t>
        </is>
      </c>
      <c r="F1131" s="0" t="n">
        <v>108</v>
      </c>
      <c r="G1131" s="0" t="n">
        <v>20.07</v>
      </c>
      <c r="H1131" s="0" t="n">
        <v>66.34999999999999</v>
      </c>
      <c r="I1131" s="0" t="n">
        <v>15.71</v>
      </c>
      <c r="J1131" s="0" t="n">
        <v>51.96</v>
      </c>
      <c r="K1131" s="0" t="n">
        <v>36</v>
      </c>
      <c r="T1131" s="0" t="n">
        <v>2</v>
      </c>
      <c r="U1131" s="0" t="n">
        <v>1</v>
      </c>
      <c r="V1131" s="0" t="inlineStr">
        <is>
          <t>계단식</t>
        </is>
      </c>
      <c r="W1131" s="0" t="n">
        <v>66</v>
      </c>
      <c r="X1131" s="0" t="n">
        <v>6</v>
      </c>
      <c r="Y1131" s="0" t="n">
        <v>6</v>
      </c>
      <c r="Z1131" s="0" t="inlineStr">
        <is>
          <t>https://new.land.naver.com/complexes/11911?tab=detail&amp;rf=Y</t>
        </is>
      </c>
      <c r="AA1131" s="0" t="inlineStr">
        <is>
          <t>인천시 서구 신현동 107-4</t>
        </is>
      </c>
      <c r="AB1131" s="0" t="inlineStr">
        <is>
          <t>인천시</t>
        </is>
      </c>
      <c r="AC1131" s="0" t="inlineStr">
        <is>
          <t>서구</t>
        </is>
      </c>
      <c r="AD1131" s="0" t="inlineStr">
        <is>
          <t>신현동</t>
        </is>
      </c>
      <c r="AG1131" s="0" t="inlineStr">
        <is>
          <t>인천시 서구 염곡로397번길 7</t>
        </is>
      </c>
      <c r="AH1131" s="0" t="n">
        <v>0</v>
      </c>
      <c r="AI1131" s="0" t="n">
        <v>0</v>
      </c>
      <c r="AJ1131" s="0" t="n">
        <v>0</v>
      </c>
      <c r="AK1131" s="0" t="n">
        <v>0</v>
      </c>
      <c r="AL1131" s="0" t="n">
        <v>0</v>
      </c>
    </row>
    <row r="1132">
      <c r="A1132" s="0" t="inlineStr">
        <is>
          <t>[신현동]</t>
        </is>
      </c>
      <c r="B1132" s="0" t="n">
        <v>11911</v>
      </c>
      <c r="C1132" s="0" t="n">
        <v>2</v>
      </c>
      <c r="D1132" s="0" t="inlineStr">
        <is>
          <t>은영</t>
        </is>
      </c>
      <c r="E1132" s="0" t="inlineStr">
        <is>
          <t>1989.10.</t>
        </is>
      </c>
      <c r="F1132" s="0" t="n">
        <v>108</v>
      </c>
      <c r="G1132" s="0" t="n">
        <v>21.05</v>
      </c>
      <c r="H1132" s="0" t="n">
        <v>69.59999999999999</v>
      </c>
      <c r="I1132" s="0" t="n">
        <v>16.65</v>
      </c>
      <c r="J1132" s="0" t="n">
        <v>55.05</v>
      </c>
      <c r="K1132" s="0" t="n">
        <v>54</v>
      </c>
      <c r="T1132" s="0" t="n">
        <v>2</v>
      </c>
      <c r="U1132" s="0" t="n">
        <v>1</v>
      </c>
      <c r="V1132" s="0" t="inlineStr">
        <is>
          <t>계단식</t>
        </is>
      </c>
      <c r="W1132" s="0" t="inlineStr">
        <is>
          <t>69A</t>
        </is>
      </c>
      <c r="X1132" s="0" t="n">
        <v>6</v>
      </c>
      <c r="Y1132" s="0" t="n">
        <v>6</v>
      </c>
      <c r="Z1132" s="0" t="inlineStr">
        <is>
          <t>https://new.land.naver.com/complexes/11911?tab=detail&amp;rf=Y</t>
        </is>
      </c>
      <c r="AA1132" s="0" t="inlineStr">
        <is>
          <t>인천시 서구 신현동 107-4</t>
        </is>
      </c>
      <c r="AB1132" s="0" t="inlineStr">
        <is>
          <t>인천시</t>
        </is>
      </c>
      <c r="AC1132" s="0" t="inlineStr">
        <is>
          <t>서구</t>
        </is>
      </c>
      <c r="AD1132" s="0" t="inlineStr">
        <is>
          <t>신현동</t>
        </is>
      </c>
      <c r="AG1132" s="0" t="inlineStr">
        <is>
          <t>인천시 서구 염곡로397번길 7</t>
        </is>
      </c>
      <c r="AH1132" s="0" t="n">
        <v>0</v>
      </c>
      <c r="AI1132" s="0" t="n">
        <v>0</v>
      </c>
      <c r="AJ1132" s="0" t="n">
        <v>0</v>
      </c>
      <c r="AK1132" s="0" t="n">
        <v>0</v>
      </c>
      <c r="AL1132" s="0" t="n">
        <v>0</v>
      </c>
    </row>
    <row r="1133">
      <c r="A1133" s="0" t="inlineStr">
        <is>
          <t>[신현동]</t>
        </is>
      </c>
      <c r="B1133" s="0" t="n">
        <v>11911</v>
      </c>
      <c r="C1133" s="0" t="n">
        <v>3</v>
      </c>
      <c r="D1133" s="0" t="inlineStr">
        <is>
          <t>은영</t>
        </is>
      </c>
      <c r="E1133" s="0" t="inlineStr">
        <is>
          <t>1989.10.</t>
        </is>
      </c>
      <c r="F1133" s="0" t="n">
        <v>108</v>
      </c>
      <c r="G1133" s="0" t="n">
        <v>21.08</v>
      </c>
      <c r="H1133" s="0" t="n">
        <v>69.69</v>
      </c>
      <c r="I1133" s="0" t="n">
        <v>16.58</v>
      </c>
      <c r="J1133" s="0" t="n">
        <v>54.81</v>
      </c>
      <c r="K1133" s="0" t="n">
        <v>12</v>
      </c>
      <c r="T1133" s="0" t="n">
        <v>2</v>
      </c>
      <c r="U1133" s="0" t="n">
        <v>1</v>
      </c>
      <c r="V1133" s="0" t="inlineStr">
        <is>
          <t>계단식</t>
        </is>
      </c>
      <c r="W1133" s="0" t="n">
        <v>69</v>
      </c>
      <c r="X1133" s="0" t="n">
        <v>6</v>
      </c>
      <c r="Y1133" s="0" t="n">
        <v>6</v>
      </c>
      <c r="Z1133" s="0" t="inlineStr">
        <is>
          <t>https://new.land.naver.com/complexes/11911?tab=detail&amp;rf=Y</t>
        </is>
      </c>
      <c r="AA1133" s="0" t="inlineStr">
        <is>
          <t>인천시 서구 신현동 107-4</t>
        </is>
      </c>
      <c r="AB1133" s="0" t="inlineStr">
        <is>
          <t>인천시</t>
        </is>
      </c>
      <c r="AC1133" s="0" t="inlineStr">
        <is>
          <t>서구</t>
        </is>
      </c>
      <c r="AD1133" s="0" t="inlineStr">
        <is>
          <t>신현동</t>
        </is>
      </c>
      <c r="AG1133" s="0" t="inlineStr">
        <is>
          <t>인천시 서구 염곡로397번길 7</t>
        </is>
      </c>
      <c r="AH1133" s="0" t="n">
        <v>0</v>
      </c>
      <c r="AI1133" s="0" t="n">
        <v>0</v>
      </c>
      <c r="AJ1133" s="0" t="n">
        <v>0</v>
      </c>
      <c r="AK1133" s="0" t="n">
        <v>0</v>
      </c>
      <c r="AL1133" s="0" t="n">
        <v>0</v>
      </c>
    </row>
    <row r="1134">
      <c r="A1134" s="0" t="inlineStr">
        <is>
          <t>[신현동]</t>
        </is>
      </c>
      <c r="B1134" s="0" t="n">
        <v>11911</v>
      </c>
      <c r="C1134" s="0" t="n">
        <v>4</v>
      </c>
      <c r="D1134" s="0" t="inlineStr">
        <is>
          <t>은영</t>
        </is>
      </c>
      <c r="E1134" s="0" t="inlineStr">
        <is>
          <t>1989.10.</t>
        </is>
      </c>
      <c r="F1134" s="0" t="n">
        <v>108</v>
      </c>
      <c r="G1134" s="0" t="n">
        <v>22.22</v>
      </c>
      <c r="H1134" s="0" t="n">
        <v>73.45999999999999</v>
      </c>
      <c r="I1134" s="0" t="n">
        <v>17.64</v>
      </c>
      <c r="J1134" s="0" t="n">
        <v>58.32</v>
      </c>
      <c r="K1134" s="0" t="n">
        <v>6</v>
      </c>
      <c r="T1134" s="0" t="n">
        <v>2</v>
      </c>
      <c r="U1134" s="0" t="n">
        <v>1</v>
      </c>
      <c r="V1134" s="0" t="inlineStr">
        <is>
          <t>계단식</t>
        </is>
      </c>
      <c r="W1134" s="0" t="inlineStr">
        <is>
          <t>73B</t>
        </is>
      </c>
      <c r="X1134" s="0" t="n">
        <v>6</v>
      </c>
      <c r="Y1134" s="0" t="n">
        <v>6</v>
      </c>
      <c r="Z1134" s="0" t="inlineStr">
        <is>
          <t>https://new.land.naver.com/complexes/11911?tab=detail&amp;rf=Y</t>
        </is>
      </c>
      <c r="AA1134" s="0" t="inlineStr">
        <is>
          <t>인천시 서구 신현동 107-4</t>
        </is>
      </c>
      <c r="AB1134" s="0" t="inlineStr">
        <is>
          <t>인천시</t>
        </is>
      </c>
      <c r="AC1134" s="0" t="inlineStr">
        <is>
          <t>서구</t>
        </is>
      </c>
      <c r="AD1134" s="0" t="inlineStr">
        <is>
          <t>신현동</t>
        </is>
      </c>
      <c r="AG1134" s="0" t="inlineStr">
        <is>
          <t>인천시 서구 염곡로397번길 7</t>
        </is>
      </c>
      <c r="AH1134" s="0" t="n">
        <v>0</v>
      </c>
      <c r="AI1134" s="0" t="n">
        <v>0</v>
      </c>
      <c r="AJ1134" s="0" t="n">
        <v>0</v>
      </c>
      <c r="AK1134" s="0" t="n">
        <v>0</v>
      </c>
      <c r="AL1134" s="0" t="n">
        <v>0</v>
      </c>
    </row>
    <row r="1135">
      <c r="A1135" s="0" t="inlineStr">
        <is>
          <t>[신현동]</t>
        </is>
      </c>
      <c r="B1135" s="0" t="n">
        <v>9560</v>
      </c>
      <c r="C1135" s="0" t="n">
        <v>1</v>
      </c>
      <c r="D1135" s="0" t="inlineStr">
        <is>
          <t>원흥</t>
        </is>
      </c>
      <c r="E1135" s="0" t="inlineStr">
        <is>
          <t>1991.01.</t>
        </is>
      </c>
      <c r="F1135" s="0" t="n">
        <v>183</v>
      </c>
      <c r="G1135" s="0" t="n">
        <v>24.74</v>
      </c>
      <c r="H1135" s="0" t="n">
        <v>81.81</v>
      </c>
      <c r="I1135" s="0" t="n">
        <v>17.25</v>
      </c>
      <c r="J1135" s="0" t="n">
        <v>57.04</v>
      </c>
      <c r="K1135" s="0" t="n">
        <v>65</v>
      </c>
      <c r="T1135" s="0" t="n">
        <v>2</v>
      </c>
      <c r="U1135" s="0" t="n">
        <v>1</v>
      </c>
      <c r="V1135" s="0" t="inlineStr">
        <is>
          <t>복도식</t>
        </is>
      </c>
      <c r="W1135" s="0" t="n">
        <v>81</v>
      </c>
      <c r="X1135" s="0" t="n">
        <v>13</v>
      </c>
      <c r="Y1135" s="0" t="n">
        <v>10</v>
      </c>
      <c r="Z1135" s="0" t="inlineStr">
        <is>
          <t>https://new.land.naver.com/complexes/9560?tab=detail&amp;rf=Y</t>
        </is>
      </c>
      <c r="AA1135" s="0" t="inlineStr">
        <is>
          <t>인천시 서구 신현동 200-4</t>
        </is>
      </c>
      <c r="AB1135" s="0" t="inlineStr">
        <is>
          <t>인천시</t>
        </is>
      </c>
      <c r="AC1135" s="0" t="inlineStr">
        <is>
          <t>서구</t>
        </is>
      </c>
      <c r="AD1135" s="0" t="inlineStr">
        <is>
          <t>신현동</t>
        </is>
      </c>
      <c r="AG1135" s="0" t="inlineStr">
        <is>
          <t>인천시 서구 율도로15번길 26-8</t>
        </is>
      </c>
      <c r="AH1135" s="0" t="n">
        <v>0</v>
      </c>
      <c r="AI1135" s="0" t="n">
        <v>255</v>
      </c>
      <c r="AJ1135" s="0" t="n">
        <v>21</v>
      </c>
      <c r="AK1135" s="0" t="n">
        <v>0</v>
      </c>
      <c r="AL1135" s="0" t="n">
        <v>0</v>
      </c>
    </row>
    <row r="1136">
      <c r="A1136" s="0" t="inlineStr">
        <is>
          <t>[신현동]</t>
        </is>
      </c>
      <c r="B1136" s="0" t="n">
        <v>9560</v>
      </c>
      <c r="C1136" s="0" t="n">
        <v>2</v>
      </c>
      <c r="D1136" s="0" t="inlineStr">
        <is>
          <t>원흥</t>
        </is>
      </c>
      <c r="E1136" s="0" t="inlineStr">
        <is>
          <t>1991.01.</t>
        </is>
      </c>
      <c r="F1136" s="0" t="n">
        <v>183</v>
      </c>
      <c r="G1136" s="0" t="n">
        <v>28.4</v>
      </c>
      <c r="H1136" s="0" t="n">
        <v>93.90000000000001</v>
      </c>
      <c r="I1136" s="0" t="n">
        <v>20.08</v>
      </c>
      <c r="J1136" s="0" t="n">
        <v>66.40000000000001</v>
      </c>
      <c r="K1136" s="0" t="n">
        <v>105</v>
      </c>
      <c r="T1136" s="0" t="n">
        <v>2</v>
      </c>
      <c r="U1136" s="0" t="n">
        <v>1</v>
      </c>
      <c r="V1136" s="0" t="inlineStr">
        <is>
          <t>복도식</t>
        </is>
      </c>
      <c r="W1136" s="0" t="n">
        <v>93</v>
      </c>
      <c r="X1136" s="0" t="n">
        <v>13</v>
      </c>
      <c r="Y1136" s="0" t="n">
        <v>10</v>
      </c>
      <c r="Z1136" s="0" t="inlineStr">
        <is>
          <t>https://new.land.naver.com/complexes/9560?tab=detail&amp;rf=Y</t>
        </is>
      </c>
      <c r="AA1136" s="0" t="inlineStr">
        <is>
          <t>인천시 서구 신현동 200-4</t>
        </is>
      </c>
      <c r="AB1136" s="0" t="inlineStr">
        <is>
          <t>인천시</t>
        </is>
      </c>
      <c r="AC1136" s="0" t="inlineStr">
        <is>
          <t>서구</t>
        </is>
      </c>
      <c r="AD1136" s="0" t="inlineStr">
        <is>
          <t>신현동</t>
        </is>
      </c>
      <c r="AG1136" s="0" t="inlineStr">
        <is>
          <t>인천시 서구 율도로15번길 26-8</t>
        </is>
      </c>
      <c r="AH1136" s="0" t="n">
        <v>0</v>
      </c>
      <c r="AI1136" s="0" t="n">
        <v>255</v>
      </c>
      <c r="AJ1136" s="0" t="n">
        <v>21</v>
      </c>
      <c r="AK1136" s="0" t="n">
        <v>0</v>
      </c>
      <c r="AL1136" s="0" t="n">
        <v>0</v>
      </c>
    </row>
    <row r="1137">
      <c r="A1137" s="0" t="inlineStr">
        <is>
          <t>[신현동]</t>
        </is>
      </c>
      <c r="B1137" s="0" t="n">
        <v>9560</v>
      </c>
      <c r="C1137" s="0" t="n">
        <v>3</v>
      </c>
      <c r="D1137" s="0" t="inlineStr">
        <is>
          <t>원흥</t>
        </is>
      </c>
      <c r="E1137" s="0" t="inlineStr">
        <is>
          <t>1991.01.</t>
        </is>
      </c>
      <c r="F1137" s="0" t="n">
        <v>183</v>
      </c>
      <c r="G1137" s="0" t="n">
        <v>31.98</v>
      </c>
      <c r="H1137" s="0" t="n">
        <v>105.72</v>
      </c>
      <c r="I1137" s="0" t="n">
        <v>22.45</v>
      </c>
      <c r="J1137" s="0" t="n">
        <v>74.22</v>
      </c>
      <c r="K1137" s="0" t="n">
        <v>13</v>
      </c>
      <c r="T1137" s="0" t="n">
        <v>3</v>
      </c>
      <c r="U1137" s="0" t="n">
        <v>1</v>
      </c>
      <c r="V1137" s="0" t="inlineStr">
        <is>
          <t>복도식</t>
        </is>
      </c>
      <c r="W1137" s="0" t="n">
        <v>105</v>
      </c>
      <c r="X1137" s="0" t="n">
        <v>13</v>
      </c>
      <c r="Y1137" s="0" t="n">
        <v>10</v>
      </c>
      <c r="Z1137" s="0" t="inlineStr">
        <is>
          <t>https://new.land.naver.com/complexes/9560?tab=detail&amp;rf=Y</t>
        </is>
      </c>
      <c r="AA1137" s="0" t="inlineStr">
        <is>
          <t>인천시 서구 신현동 200-4</t>
        </is>
      </c>
      <c r="AB1137" s="0" t="inlineStr">
        <is>
          <t>인천시</t>
        </is>
      </c>
      <c r="AC1137" s="0" t="inlineStr">
        <is>
          <t>서구</t>
        </is>
      </c>
      <c r="AD1137" s="0" t="inlineStr">
        <is>
          <t>신현동</t>
        </is>
      </c>
      <c r="AG1137" s="0" t="inlineStr">
        <is>
          <t>인천시 서구 율도로15번길 26-8</t>
        </is>
      </c>
      <c r="AH1137" s="0" t="n">
        <v>0</v>
      </c>
      <c r="AI1137" s="0" t="n">
        <v>255</v>
      </c>
      <c r="AJ1137" s="0" t="n">
        <v>21</v>
      </c>
      <c r="AK1137" s="0" t="n">
        <v>0</v>
      </c>
      <c r="AL1137" s="0" t="n">
        <v>0</v>
      </c>
    </row>
    <row r="1138">
      <c r="A1138" s="0" t="inlineStr">
        <is>
          <t>[신현동]</t>
        </is>
      </c>
      <c r="B1138" s="0" t="n">
        <v>9551</v>
      </c>
      <c r="C1138" s="0" t="n">
        <v>1</v>
      </c>
      <c r="D1138" s="0" t="inlineStr">
        <is>
          <t>효성</t>
        </is>
      </c>
      <c r="E1138" s="0" t="inlineStr">
        <is>
          <t>1991.01.</t>
        </is>
      </c>
      <c r="F1138" s="0" t="n">
        <v>452</v>
      </c>
      <c r="G1138" s="0" t="n">
        <v>26.38</v>
      </c>
      <c r="H1138" s="0" t="n">
        <v>87.22</v>
      </c>
      <c r="I1138" s="0" t="n">
        <v>21.42</v>
      </c>
      <c r="J1138" s="0" t="n">
        <v>70.81999999999999</v>
      </c>
      <c r="K1138" s="0" t="n">
        <v>218</v>
      </c>
      <c r="T1138" s="0" t="n">
        <v>3</v>
      </c>
      <c r="U1138" s="0" t="n">
        <v>1</v>
      </c>
      <c r="V1138" s="0" t="inlineStr">
        <is>
          <t>계단식</t>
        </is>
      </c>
      <c r="W1138" s="0" t="n">
        <v>87</v>
      </c>
      <c r="X1138" s="0" t="n">
        <v>13</v>
      </c>
      <c r="Y1138" s="0" t="n">
        <v>10</v>
      </c>
      <c r="Z1138" s="0" t="inlineStr">
        <is>
          <t>https://new.land.naver.com/complexes/9551?tab=detail&amp;rf=Y</t>
        </is>
      </c>
      <c r="AA1138" s="0" t="inlineStr">
        <is>
          <t>인천시 서구 신현동 151-3</t>
        </is>
      </c>
      <c r="AB1138" s="0" t="inlineStr">
        <is>
          <t>인천시</t>
        </is>
      </c>
      <c r="AC1138" s="0" t="inlineStr">
        <is>
          <t>서구</t>
        </is>
      </c>
      <c r="AD1138" s="0" t="inlineStr">
        <is>
          <t>신현동</t>
        </is>
      </c>
      <c r="AG1138" s="0" t="inlineStr">
        <is>
          <t>인천시 서구 새오개로 53</t>
        </is>
      </c>
      <c r="AH1138" s="0" t="n">
        <v>0</v>
      </c>
      <c r="AI1138" s="0" t="n">
        <v>255</v>
      </c>
      <c r="AJ1138" s="0" t="n">
        <v>23</v>
      </c>
      <c r="AK1138" s="0" t="n">
        <v>0</v>
      </c>
      <c r="AL1138" s="0" t="n">
        <v>0</v>
      </c>
    </row>
    <row r="1139">
      <c r="A1139" s="0" t="inlineStr">
        <is>
          <t>[신현동]</t>
        </is>
      </c>
      <c r="B1139" s="0" t="n">
        <v>9551</v>
      </c>
      <c r="C1139" s="0" t="n">
        <v>2</v>
      </c>
      <c r="D1139" s="0" t="inlineStr">
        <is>
          <t>효성</t>
        </is>
      </c>
      <c r="E1139" s="0" t="inlineStr">
        <is>
          <t>1991.01.</t>
        </is>
      </c>
      <c r="F1139" s="0" t="n">
        <v>452</v>
      </c>
      <c r="G1139" s="0" t="n">
        <v>27.41</v>
      </c>
      <c r="H1139" s="0" t="n">
        <v>90.64</v>
      </c>
      <c r="I1139" s="0" t="n">
        <v>22.38</v>
      </c>
      <c r="J1139" s="0" t="n">
        <v>74</v>
      </c>
      <c r="K1139" s="0" t="n">
        <v>52</v>
      </c>
      <c r="T1139" s="0" t="n">
        <v>3</v>
      </c>
      <c r="U1139" s="0" t="n">
        <v>1</v>
      </c>
      <c r="V1139" s="0" t="inlineStr">
        <is>
          <t>계단식</t>
        </is>
      </c>
      <c r="W1139" s="0" t="n">
        <v>90</v>
      </c>
      <c r="X1139" s="0" t="n">
        <v>13</v>
      </c>
      <c r="Y1139" s="0" t="n">
        <v>10</v>
      </c>
      <c r="Z1139" s="0" t="inlineStr">
        <is>
          <t>https://new.land.naver.com/complexes/9551?tab=detail&amp;rf=Y</t>
        </is>
      </c>
      <c r="AA1139" s="0" t="inlineStr">
        <is>
          <t>인천시 서구 신현동 151-3</t>
        </is>
      </c>
      <c r="AB1139" s="0" t="inlineStr">
        <is>
          <t>인천시</t>
        </is>
      </c>
      <c r="AC1139" s="0" t="inlineStr">
        <is>
          <t>서구</t>
        </is>
      </c>
      <c r="AD1139" s="0" t="inlineStr">
        <is>
          <t>신현동</t>
        </is>
      </c>
      <c r="AG1139" s="0" t="inlineStr">
        <is>
          <t>인천시 서구 새오개로 53</t>
        </is>
      </c>
      <c r="AH1139" s="0" t="n">
        <v>0</v>
      </c>
      <c r="AI1139" s="0" t="n">
        <v>255</v>
      </c>
      <c r="AJ1139" s="0" t="n">
        <v>23</v>
      </c>
      <c r="AK1139" s="0" t="n">
        <v>0</v>
      </c>
      <c r="AL1139" s="0" t="n">
        <v>0</v>
      </c>
    </row>
    <row r="1140">
      <c r="A1140" s="0" t="inlineStr">
        <is>
          <t>[신현동]</t>
        </is>
      </c>
      <c r="B1140" s="0" t="n">
        <v>9551</v>
      </c>
      <c r="C1140" s="0" t="n">
        <v>3</v>
      </c>
      <c r="D1140" s="0" t="inlineStr">
        <is>
          <t>효성</t>
        </is>
      </c>
      <c r="E1140" s="0" t="inlineStr">
        <is>
          <t>1991.01.</t>
        </is>
      </c>
      <c r="F1140" s="0" t="n">
        <v>452</v>
      </c>
      <c r="G1140" s="0" t="n">
        <v>27.58</v>
      </c>
      <c r="H1140" s="0" t="n">
        <v>91.19</v>
      </c>
      <c r="I1140" s="0" t="n">
        <v>22.53</v>
      </c>
      <c r="J1140" s="0" t="n">
        <v>74.48999999999999</v>
      </c>
      <c r="K1140" s="0" t="n">
        <v>52</v>
      </c>
      <c r="T1140" s="0" t="n">
        <v>3</v>
      </c>
      <c r="U1140" s="0" t="n">
        <v>1</v>
      </c>
      <c r="V1140" s="0" t="inlineStr">
        <is>
          <t>계단식</t>
        </is>
      </c>
      <c r="W1140" s="0" t="inlineStr">
        <is>
          <t>91A</t>
        </is>
      </c>
      <c r="X1140" s="0" t="n">
        <v>13</v>
      </c>
      <c r="Y1140" s="0" t="n">
        <v>10</v>
      </c>
      <c r="Z1140" s="0" t="inlineStr">
        <is>
          <t>https://new.land.naver.com/complexes/9551?tab=detail&amp;rf=Y</t>
        </is>
      </c>
      <c r="AA1140" s="0" t="inlineStr">
        <is>
          <t>인천시 서구 신현동 151-3</t>
        </is>
      </c>
      <c r="AB1140" s="0" t="inlineStr">
        <is>
          <t>인천시</t>
        </is>
      </c>
      <c r="AC1140" s="0" t="inlineStr">
        <is>
          <t>서구</t>
        </is>
      </c>
      <c r="AD1140" s="0" t="inlineStr">
        <is>
          <t>신현동</t>
        </is>
      </c>
      <c r="AG1140" s="0" t="inlineStr">
        <is>
          <t>인천시 서구 새오개로 53</t>
        </is>
      </c>
      <c r="AH1140" s="0" t="n">
        <v>0</v>
      </c>
      <c r="AI1140" s="0" t="n">
        <v>255</v>
      </c>
      <c r="AJ1140" s="0" t="n">
        <v>23</v>
      </c>
      <c r="AK1140" s="0" t="n">
        <v>0</v>
      </c>
      <c r="AL1140" s="0" t="n">
        <v>0</v>
      </c>
    </row>
    <row r="1141">
      <c r="A1141" s="0" t="inlineStr">
        <is>
          <t>[신현동]</t>
        </is>
      </c>
      <c r="B1141" s="0" t="n">
        <v>9551</v>
      </c>
      <c r="C1141" s="0" t="n">
        <v>4</v>
      </c>
      <c r="D1141" s="0" t="inlineStr">
        <is>
          <t>효성</t>
        </is>
      </c>
      <c r="E1141" s="0" t="inlineStr">
        <is>
          <t>1991.01.</t>
        </is>
      </c>
      <c r="F1141" s="0" t="n">
        <v>452</v>
      </c>
      <c r="G1141" s="0" t="n">
        <v>28.45</v>
      </c>
      <c r="H1141" s="0" t="n">
        <v>94.06</v>
      </c>
      <c r="I1141" s="0" t="n">
        <v>23.31</v>
      </c>
      <c r="J1141" s="0" t="n">
        <v>77.09</v>
      </c>
      <c r="K1141" s="0" t="n">
        <v>78</v>
      </c>
      <c r="T1141" s="0" t="n">
        <v>3</v>
      </c>
      <c r="U1141" s="0" t="n">
        <v>1</v>
      </c>
      <c r="V1141" s="0" t="inlineStr">
        <is>
          <t>계단식</t>
        </is>
      </c>
      <c r="W1141" s="0" t="inlineStr">
        <is>
          <t>94B</t>
        </is>
      </c>
      <c r="X1141" s="0" t="n">
        <v>13</v>
      </c>
      <c r="Y1141" s="0" t="n">
        <v>10</v>
      </c>
      <c r="Z1141" s="0" t="inlineStr">
        <is>
          <t>https://new.land.naver.com/complexes/9551?tab=detail&amp;rf=Y</t>
        </is>
      </c>
      <c r="AA1141" s="0" t="inlineStr">
        <is>
          <t>인천시 서구 신현동 151-3</t>
        </is>
      </c>
      <c r="AB1141" s="0" t="inlineStr">
        <is>
          <t>인천시</t>
        </is>
      </c>
      <c r="AC1141" s="0" t="inlineStr">
        <is>
          <t>서구</t>
        </is>
      </c>
      <c r="AD1141" s="0" t="inlineStr">
        <is>
          <t>신현동</t>
        </is>
      </c>
      <c r="AG1141" s="0" t="inlineStr">
        <is>
          <t>인천시 서구 새오개로 53</t>
        </is>
      </c>
      <c r="AH1141" s="0" t="n">
        <v>0</v>
      </c>
      <c r="AI1141" s="0" t="n">
        <v>255</v>
      </c>
      <c r="AJ1141" s="0" t="n">
        <v>23</v>
      </c>
      <c r="AK1141" s="0" t="n">
        <v>0</v>
      </c>
      <c r="AL1141" s="0" t="n">
        <v>0</v>
      </c>
    </row>
    <row r="1142">
      <c r="A1142" s="0" t="inlineStr">
        <is>
          <t>[신현동]</t>
        </is>
      </c>
      <c r="B1142" s="0" t="n">
        <v>9551</v>
      </c>
      <c r="C1142" s="0" t="n">
        <v>5</v>
      </c>
      <c r="D1142" s="0" t="inlineStr">
        <is>
          <t>효성</t>
        </is>
      </c>
      <c r="E1142" s="0" t="inlineStr">
        <is>
          <t>1991.01.</t>
        </is>
      </c>
      <c r="F1142" s="0" t="n">
        <v>452</v>
      </c>
      <c r="G1142" s="0" t="n">
        <v>30.64</v>
      </c>
      <c r="H1142" s="0" t="n">
        <v>101.3</v>
      </c>
      <c r="I1142" s="0" t="n">
        <v>25.13</v>
      </c>
      <c r="J1142" s="0" t="n">
        <v>83.09999999999999</v>
      </c>
      <c r="K1142" s="0" t="n">
        <v>52</v>
      </c>
      <c r="T1142" s="0" t="n">
        <v>3</v>
      </c>
      <c r="U1142" s="0" t="n">
        <v>1</v>
      </c>
      <c r="V1142" s="0" t="inlineStr">
        <is>
          <t>계단식</t>
        </is>
      </c>
      <c r="W1142" s="0" t="n">
        <v>101</v>
      </c>
      <c r="X1142" s="0" t="n">
        <v>13</v>
      </c>
      <c r="Y1142" s="0" t="n">
        <v>10</v>
      </c>
      <c r="Z1142" s="0" t="inlineStr">
        <is>
          <t>https://new.land.naver.com/complexes/9551?tab=detail&amp;rf=Y</t>
        </is>
      </c>
      <c r="AA1142" s="0" t="inlineStr">
        <is>
          <t>인천시 서구 신현동 151-3</t>
        </is>
      </c>
      <c r="AB1142" s="0" t="inlineStr">
        <is>
          <t>인천시</t>
        </is>
      </c>
      <c r="AC1142" s="0" t="inlineStr">
        <is>
          <t>서구</t>
        </is>
      </c>
      <c r="AD1142" s="0" t="inlineStr">
        <is>
          <t>신현동</t>
        </is>
      </c>
      <c r="AG1142" s="0" t="inlineStr">
        <is>
          <t>인천시 서구 새오개로 53</t>
        </is>
      </c>
      <c r="AH1142" s="0" t="n">
        <v>0</v>
      </c>
      <c r="AI1142" s="0" t="n">
        <v>255</v>
      </c>
      <c r="AJ1142" s="0" t="n">
        <v>23</v>
      </c>
      <c r="AK1142" s="0" t="n">
        <v>0</v>
      </c>
      <c r="AL1142" s="0" t="n">
        <v>0</v>
      </c>
    </row>
    <row r="1143">
      <c r="A1143" s="0" t="inlineStr">
        <is>
          <t>[신현동]</t>
        </is>
      </c>
      <c r="B1143" s="0" t="n">
        <v>11953</v>
      </c>
      <c r="C1143" s="0" t="n">
        <v>1</v>
      </c>
      <c r="D1143" s="0" t="inlineStr">
        <is>
          <t>원익</t>
        </is>
      </c>
      <c r="E1143" s="0" t="inlineStr">
        <is>
          <t>1997.04.</t>
        </is>
      </c>
      <c r="F1143" s="0" t="n">
        <v>38</v>
      </c>
      <c r="G1143" s="0" t="n">
        <v>26.9</v>
      </c>
      <c r="H1143" s="0" t="n">
        <v>88.93000000000001</v>
      </c>
      <c r="I1143" s="0" t="n">
        <v>22.35</v>
      </c>
      <c r="J1143" s="0" t="n">
        <v>73.89</v>
      </c>
      <c r="K1143" s="0" t="n">
        <v>14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88A</t>
        </is>
      </c>
      <c r="X1143" s="0" t="n">
        <v>5</v>
      </c>
      <c r="Y1143" s="0" t="n">
        <v>5</v>
      </c>
      <c r="Z1143" s="0" t="inlineStr">
        <is>
          <t>https://new.land.naver.com/complexes/11953?tab=detail&amp;rf=Y</t>
        </is>
      </c>
      <c r="AA1143" s="0" t="inlineStr">
        <is>
          <t>인천시 서구 신현동 154-10</t>
        </is>
      </c>
      <c r="AB1143" s="0" t="inlineStr">
        <is>
          <t>인천시</t>
        </is>
      </c>
      <c r="AC1143" s="0" t="inlineStr">
        <is>
          <t>서구</t>
        </is>
      </c>
      <c r="AD1143" s="0" t="inlineStr">
        <is>
          <t>신현동</t>
        </is>
      </c>
      <c r="AG1143" s="0" t="inlineStr">
        <is>
          <t>인천시 서구 새오개로48번길 11</t>
        </is>
      </c>
      <c r="AH1143" s="0" t="n">
        <v>0</v>
      </c>
      <c r="AI1143" s="0" t="n">
        <v>0</v>
      </c>
      <c r="AJ1143" s="0" t="n">
        <v>0</v>
      </c>
      <c r="AK1143" s="0" t="n">
        <v>31</v>
      </c>
      <c r="AL1143" s="0" t="n">
        <v>0.82</v>
      </c>
    </row>
    <row r="1144">
      <c r="A1144" s="0" t="inlineStr">
        <is>
          <t>[신현동]</t>
        </is>
      </c>
      <c r="B1144" s="0" t="n">
        <v>11953</v>
      </c>
      <c r="C1144" s="0" t="n">
        <v>2</v>
      </c>
      <c r="D1144" s="0" t="inlineStr">
        <is>
          <t>원익</t>
        </is>
      </c>
      <c r="E1144" s="0" t="inlineStr">
        <is>
          <t>1997.04.</t>
        </is>
      </c>
      <c r="F1144" s="0" t="n">
        <v>38</v>
      </c>
      <c r="G1144" s="0" t="n">
        <v>27.05</v>
      </c>
      <c r="H1144" s="0" t="n">
        <v>89.43000000000001</v>
      </c>
      <c r="I1144" s="0" t="n">
        <v>22.35</v>
      </c>
      <c r="J1144" s="0" t="n">
        <v>73.89</v>
      </c>
      <c r="K1144" s="0" t="n">
        <v>15</v>
      </c>
      <c r="T1144" s="0" t="n">
        <v>3</v>
      </c>
      <c r="U1144" s="0" t="n">
        <v>1</v>
      </c>
      <c r="V1144" s="0" t="inlineStr">
        <is>
          <t>계단식</t>
        </is>
      </c>
      <c r="W1144" s="0" t="inlineStr">
        <is>
          <t>89C</t>
        </is>
      </c>
      <c r="X1144" s="0" t="n">
        <v>5</v>
      </c>
      <c r="Y1144" s="0" t="n">
        <v>5</v>
      </c>
      <c r="Z1144" s="0" t="inlineStr">
        <is>
          <t>https://new.land.naver.com/complexes/11953?tab=detail&amp;rf=Y</t>
        </is>
      </c>
      <c r="AA1144" s="0" t="inlineStr">
        <is>
          <t>인천시 서구 신현동 154-10</t>
        </is>
      </c>
      <c r="AB1144" s="0" t="inlineStr">
        <is>
          <t>인천시</t>
        </is>
      </c>
      <c r="AC1144" s="0" t="inlineStr">
        <is>
          <t>서구</t>
        </is>
      </c>
      <c r="AD1144" s="0" t="inlineStr">
        <is>
          <t>신현동</t>
        </is>
      </c>
      <c r="AG1144" s="0" t="inlineStr">
        <is>
          <t>인천시 서구 새오개로48번길 11</t>
        </is>
      </c>
      <c r="AH1144" s="0" t="n">
        <v>0</v>
      </c>
      <c r="AI1144" s="0" t="n">
        <v>0</v>
      </c>
      <c r="AJ1144" s="0" t="n">
        <v>0</v>
      </c>
      <c r="AK1144" s="0" t="n">
        <v>31</v>
      </c>
      <c r="AL1144" s="0" t="n">
        <v>0.82</v>
      </c>
    </row>
    <row r="1145">
      <c r="A1145" s="0" t="inlineStr">
        <is>
          <t>[신현동]</t>
        </is>
      </c>
      <c r="B1145" s="0" t="n">
        <v>11953</v>
      </c>
      <c r="C1145" s="0" t="n">
        <v>3</v>
      </c>
      <c r="D1145" s="0" t="inlineStr">
        <is>
          <t>원익</t>
        </is>
      </c>
      <c r="E1145" s="0" t="inlineStr">
        <is>
          <t>1997.04.</t>
        </is>
      </c>
      <c r="F1145" s="0" t="n">
        <v>38</v>
      </c>
      <c r="G1145" s="0" t="n">
        <v>27.01</v>
      </c>
      <c r="H1145" s="0" t="n">
        <v>89.3</v>
      </c>
      <c r="I1145" s="0" t="n">
        <v>22.31</v>
      </c>
      <c r="J1145" s="0" t="n">
        <v>73.77</v>
      </c>
      <c r="K1145" s="0" t="n">
        <v>4</v>
      </c>
      <c r="T1145" s="0" t="n">
        <v>3</v>
      </c>
      <c r="U1145" s="0" t="n">
        <v>1</v>
      </c>
      <c r="V1145" s="0" t="inlineStr">
        <is>
          <t>계단식</t>
        </is>
      </c>
      <c r="W1145" s="0" t="inlineStr">
        <is>
          <t>89B</t>
        </is>
      </c>
      <c r="X1145" s="0" t="n">
        <v>5</v>
      </c>
      <c r="Y1145" s="0" t="n">
        <v>5</v>
      </c>
      <c r="Z1145" s="0" t="inlineStr">
        <is>
          <t>https://new.land.naver.com/complexes/11953?tab=detail&amp;rf=Y</t>
        </is>
      </c>
      <c r="AA1145" s="0" t="inlineStr">
        <is>
          <t>인천시 서구 신현동 154-10</t>
        </is>
      </c>
      <c r="AB1145" s="0" t="inlineStr">
        <is>
          <t>인천시</t>
        </is>
      </c>
      <c r="AC1145" s="0" t="inlineStr">
        <is>
          <t>서구</t>
        </is>
      </c>
      <c r="AD1145" s="0" t="inlineStr">
        <is>
          <t>신현동</t>
        </is>
      </c>
      <c r="AG1145" s="0" t="inlineStr">
        <is>
          <t>인천시 서구 새오개로48번길 11</t>
        </is>
      </c>
      <c r="AH1145" s="0" t="n">
        <v>0</v>
      </c>
      <c r="AI1145" s="0" t="n">
        <v>0</v>
      </c>
      <c r="AJ1145" s="0" t="n">
        <v>0</v>
      </c>
      <c r="AK1145" s="0" t="n">
        <v>31</v>
      </c>
      <c r="AL1145" s="0" t="n">
        <v>0.82</v>
      </c>
    </row>
    <row r="1146">
      <c r="A1146" s="0" t="inlineStr">
        <is>
          <t>[신현동]</t>
        </is>
      </c>
      <c r="B1146" s="0" t="n">
        <v>11953</v>
      </c>
      <c r="C1146" s="0" t="n">
        <v>4</v>
      </c>
      <c r="D1146" s="0" t="inlineStr">
        <is>
          <t>원익</t>
        </is>
      </c>
      <c r="E1146" s="0" t="inlineStr">
        <is>
          <t>1997.04.</t>
        </is>
      </c>
      <c r="F1146" s="0" t="n">
        <v>38</v>
      </c>
      <c r="G1146" s="0" t="n">
        <v>30.84</v>
      </c>
      <c r="H1146" s="0" t="n">
        <v>101.97</v>
      </c>
      <c r="I1146" s="0" t="n">
        <v>25.61</v>
      </c>
      <c r="J1146" s="0" t="n">
        <v>84.67</v>
      </c>
      <c r="K1146" s="0" t="n">
        <v>5</v>
      </c>
      <c r="T1146" s="0" t="n">
        <v>3</v>
      </c>
      <c r="U1146" s="0" t="n">
        <v>2</v>
      </c>
      <c r="V1146" s="0" t="inlineStr">
        <is>
          <t>계단식</t>
        </is>
      </c>
      <c r="W1146" s="0" t="n">
        <v>101</v>
      </c>
      <c r="X1146" s="0" t="n">
        <v>5</v>
      </c>
      <c r="Y1146" s="0" t="n">
        <v>5</v>
      </c>
      <c r="Z1146" s="0" t="inlineStr">
        <is>
          <t>https://new.land.naver.com/complexes/11953?tab=detail&amp;rf=Y</t>
        </is>
      </c>
      <c r="AA1146" s="0" t="inlineStr">
        <is>
          <t>인천시 서구 신현동 154-10</t>
        </is>
      </c>
      <c r="AB1146" s="0" t="inlineStr">
        <is>
          <t>인천시</t>
        </is>
      </c>
      <c r="AC1146" s="0" t="inlineStr">
        <is>
          <t>서구</t>
        </is>
      </c>
      <c r="AD1146" s="0" t="inlineStr">
        <is>
          <t>신현동</t>
        </is>
      </c>
      <c r="AG1146" s="0" t="inlineStr">
        <is>
          <t>인천시 서구 새오개로48번길 11</t>
        </is>
      </c>
      <c r="AH1146" s="0" t="n">
        <v>0</v>
      </c>
      <c r="AI1146" s="0" t="n">
        <v>0</v>
      </c>
      <c r="AJ1146" s="0" t="n">
        <v>0</v>
      </c>
      <c r="AK1146" s="0" t="n">
        <v>31</v>
      </c>
      <c r="AL1146" s="0" t="n">
        <v>0.82</v>
      </c>
    </row>
    <row r="1147">
      <c r="A1147" s="0" t="inlineStr">
        <is>
          <t>[신현동]</t>
        </is>
      </c>
      <c r="B1147" s="0" t="n">
        <v>11477</v>
      </c>
      <c r="C1147" s="0" t="n">
        <v>1</v>
      </c>
      <c r="D1147" s="0" t="inlineStr">
        <is>
          <t>동진</t>
        </is>
      </c>
      <c r="E1147" s="0" t="inlineStr">
        <is>
          <t>1989.04.</t>
        </is>
      </c>
      <c r="F1147" s="0" t="n">
        <v>240</v>
      </c>
      <c r="G1147" s="0" t="n">
        <v>19.24</v>
      </c>
      <c r="H1147" s="0" t="n">
        <v>63.63</v>
      </c>
      <c r="I1147" s="0" t="n">
        <v>15.54</v>
      </c>
      <c r="J1147" s="0" t="n">
        <v>51.39</v>
      </c>
      <c r="K1147" s="0" t="n">
        <v>96</v>
      </c>
      <c r="T1147" s="0" t="n">
        <v>3</v>
      </c>
      <c r="U1147" s="0" t="n">
        <v>1</v>
      </c>
      <c r="V1147" s="0" t="inlineStr">
        <is>
          <t>계단식</t>
        </is>
      </c>
      <c r="W1147" s="0" t="n">
        <v>63</v>
      </c>
      <c r="X1147" s="0" t="n">
        <v>6</v>
      </c>
      <c r="Y1147" s="0" t="n">
        <v>6</v>
      </c>
      <c r="Z1147" s="0" t="inlineStr">
        <is>
          <t>https://new.land.naver.com/complexes/11477?tab=detail&amp;rf=Y</t>
        </is>
      </c>
      <c r="AA1147" s="0" t="inlineStr">
        <is>
          <t>인천시 서구 신현동 181-4</t>
        </is>
      </c>
      <c r="AB1147" s="0" t="inlineStr">
        <is>
          <t>인천시</t>
        </is>
      </c>
      <c r="AC1147" s="0" t="inlineStr">
        <is>
          <t>서구</t>
        </is>
      </c>
      <c r="AD1147" s="0" t="inlineStr">
        <is>
          <t>신현동</t>
        </is>
      </c>
      <c r="AG1147" s="0" t="inlineStr">
        <is>
          <t>인천시 서구 새오개로77번길 5</t>
        </is>
      </c>
      <c r="AH1147" s="0" t="n">
        <v>0</v>
      </c>
      <c r="AI1147" s="0" t="n">
        <v>203</v>
      </c>
      <c r="AJ1147" s="0" t="n">
        <v>37</v>
      </c>
      <c r="AK1147" s="0" t="n">
        <v>0</v>
      </c>
      <c r="AL1147" s="0" t="n">
        <v>0</v>
      </c>
    </row>
    <row r="1148">
      <c r="A1148" s="0" t="inlineStr">
        <is>
          <t>[신현동]</t>
        </is>
      </c>
      <c r="B1148" s="0" t="n">
        <v>11477</v>
      </c>
      <c r="C1148" s="0" t="n">
        <v>2</v>
      </c>
      <c r="D1148" s="0" t="inlineStr">
        <is>
          <t>동진</t>
        </is>
      </c>
      <c r="E1148" s="0" t="inlineStr">
        <is>
          <t>1989.04.</t>
        </is>
      </c>
      <c r="F1148" s="0" t="n">
        <v>240</v>
      </c>
      <c r="G1148" s="0" t="n">
        <v>20.11</v>
      </c>
      <c r="H1148" s="0" t="n">
        <v>66.48999999999999</v>
      </c>
      <c r="I1148" s="0" t="n">
        <v>16.3</v>
      </c>
      <c r="J1148" s="0" t="n">
        <v>53.91</v>
      </c>
      <c r="K1148" s="0" t="n">
        <v>72</v>
      </c>
      <c r="T1148" s="0" t="n">
        <v>3</v>
      </c>
      <c r="U1148" s="0" t="n">
        <v>1</v>
      </c>
      <c r="V1148" s="0" t="inlineStr">
        <is>
          <t>계단식</t>
        </is>
      </c>
      <c r="W1148" s="0" t="n">
        <v>66</v>
      </c>
      <c r="X1148" s="0" t="n">
        <v>6</v>
      </c>
      <c r="Y1148" s="0" t="n">
        <v>6</v>
      </c>
      <c r="Z1148" s="0" t="inlineStr">
        <is>
          <t>https://new.land.naver.com/complexes/11477?tab=detail&amp;rf=Y</t>
        </is>
      </c>
      <c r="AA1148" s="0" t="inlineStr">
        <is>
          <t>인천시 서구 신현동 181-4</t>
        </is>
      </c>
      <c r="AB1148" s="0" t="inlineStr">
        <is>
          <t>인천시</t>
        </is>
      </c>
      <c r="AC1148" s="0" t="inlineStr">
        <is>
          <t>서구</t>
        </is>
      </c>
      <c r="AD1148" s="0" t="inlineStr">
        <is>
          <t>신현동</t>
        </is>
      </c>
      <c r="AG1148" s="0" t="inlineStr">
        <is>
          <t>인천시 서구 새오개로77번길 5</t>
        </is>
      </c>
      <c r="AH1148" s="0" t="n">
        <v>0</v>
      </c>
      <c r="AI1148" s="0" t="n">
        <v>203</v>
      </c>
      <c r="AJ1148" s="0" t="n">
        <v>37</v>
      </c>
      <c r="AK1148" s="0" t="n">
        <v>0</v>
      </c>
      <c r="AL1148" s="0" t="n">
        <v>0</v>
      </c>
    </row>
    <row r="1149">
      <c r="A1149" s="0" t="inlineStr">
        <is>
          <t>[신현동]</t>
        </is>
      </c>
      <c r="B1149" s="0" t="n">
        <v>11477</v>
      </c>
      <c r="C1149" s="0" t="n">
        <v>3</v>
      </c>
      <c r="D1149" s="0" t="inlineStr">
        <is>
          <t>동진</t>
        </is>
      </c>
      <c r="E1149" s="0" t="inlineStr">
        <is>
          <t>1989.04.</t>
        </is>
      </c>
      <c r="F1149" s="0" t="n">
        <v>240</v>
      </c>
      <c r="G1149" s="0" t="n">
        <v>21.67</v>
      </c>
      <c r="H1149" s="0" t="n">
        <v>71.64</v>
      </c>
      <c r="I1149" s="0" t="n">
        <v>17.68</v>
      </c>
      <c r="J1149" s="0" t="n">
        <v>58.47</v>
      </c>
      <c r="K1149" s="0" t="n">
        <v>60</v>
      </c>
      <c r="T1149" s="0" t="n">
        <v>3</v>
      </c>
      <c r="U1149" s="0" t="n">
        <v>1</v>
      </c>
      <c r="V1149" s="0" t="inlineStr">
        <is>
          <t>계단식</t>
        </is>
      </c>
      <c r="W1149" s="0" t="n">
        <v>71</v>
      </c>
      <c r="X1149" s="0" t="n">
        <v>6</v>
      </c>
      <c r="Y1149" s="0" t="n">
        <v>6</v>
      </c>
      <c r="Z1149" s="0" t="inlineStr">
        <is>
          <t>https://new.land.naver.com/complexes/11477?tab=detail&amp;rf=Y</t>
        </is>
      </c>
      <c r="AA1149" s="0" t="inlineStr">
        <is>
          <t>인천시 서구 신현동 181-4</t>
        </is>
      </c>
      <c r="AB1149" s="0" t="inlineStr">
        <is>
          <t>인천시</t>
        </is>
      </c>
      <c r="AC1149" s="0" t="inlineStr">
        <is>
          <t>서구</t>
        </is>
      </c>
      <c r="AD1149" s="0" t="inlineStr">
        <is>
          <t>신현동</t>
        </is>
      </c>
      <c r="AG1149" s="0" t="inlineStr">
        <is>
          <t>인천시 서구 새오개로77번길 5</t>
        </is>
      </c>
      <c r="AH1149" s="0" t="n">
        <v>0</v>
      </c>
      <c r="AI1149" s="0" t="n">
        <v>203</v>
      </c>
      <c r="AJ1149" s="0" t="n">
        <v>37</v>
      </c>
      <c r="AK1149" s="0" t="n">
        <v>0</v>
      </c>
      <c r="AL1149" s="0" t="n">
        <v>0</v>
      </c>
    </row>
    <row r="1150">
      <c r="A1150" s="0" t="inlineStr">
        <is>
          <t>[신현동]</t>
        </is>
      </c>
      <c r="B1150" s="0" t="n">
        <v>11477</v>
      </c>
      <c r="C1150" s="0" t="n">
        <v>4</v>
      </c>
      <c r="D1150" s="0" t="inlineStr">
        <is>
          <t>동진</t>
        </is>
      </c>
      <c r="E1150" s="0" t="inlineStr">
        <is>
          <t>1989.04.</t>
        </is>
      </c>
      <c r="F1150" s="0" t="n">
        <v>240</v>
      </c>
      <c r="G1150" s="0" t="n">
        <v>22.59</v>
      </c>
      <c r="H1150" s="0" t="n">
        <v>74.68000000000001</v>
      </c>
      <c r="I1150" s="0" t="n">
        <v>16.93</v>
      </c>
      <c r="J1150" s="0" t="n">
        <v>55.98</v>
      </c>
      <c r="K1150" s="0" t="n">
        <v>12</v>
      </c>
      <c r="T1150" s="0" t="n">
        <v>3</v>
      </c>
      <c r="U1150" s="0" t="n">
        <v>1</v>
      </c>
      <c r="V1150" s="0" t="inlineStr">
        <is>
          <t>계단식</t>
        </is>
      </c>
      <c r="W1150" s="0" t="n">
        <v>74</v>
      </c>
      <c r="X1150" s="0" t="n">
        <v>6</v>
      </c>
      <c r="Y1150" s="0" t="n">
        <v>6</v>
      </c>
      <c r="Z1150" s="0" t="inlineStr">
        <is>
          <t>https://new.land.naver.com/complexes/11477?tab=detail&amp;rf=Y</t>
        </is>
      </c>
      <c r="AA1150" s="0" t="inlineStr">
        <is>
          <t>인천시 서구 신현동 181-4</t>
        </is>
      </c>
      <c r="AB1150" s="0" t="inlineStr">
        <is>
          <t>인천시</t>
        </is>
      </c>
      <c r="AC1150" s="0" t="inlineStr">
        <is>
          <t>서구</t>
        </is>
      </c>
      <c r="AD1150" s="0" t="inlineStr">
        <is>
          <t>신현동</t>
        </is>
      </c>
      <c r="AG1150" s="0" t="inlineStr">
        <is>
          <t>인천시 서구 새오개로77번길 5</t>
        </is>
      </c>
      <c r="AH1150" s="0" t="n">
        <v>0</v>
      </c>
      <c r="AI1150" s="0" t="n">
        <v>203</v>
      </c>
      <c r="AJ1150" s="0" t="n">
        <v>37</v>
      </c>
      <c r="AK1150" s="0" t="n">
        <v>0</v>
      </c>
      <c r="AL1150" s="0" t="n">
        <v>0</v>
      </c>
    </row>
    <row r="1151">
      <c r="A1151" s="0" t="inlineStr">
        <is>
          <t>[신현동]</t>
        </is>
      </c>
      <c r="B1151" s="0" t="n">
        <v>111491</v>
      </c>
      <c r="C1151" s="0" t="n">
        <v>1</v>
      </c>
      <c r="D1151" s="0" t="inlineStr">
        <is>
          <t>루원시티센트럴타운</t>
        </is>
      </c>
      <c r="E1151" s="0" t="inlineStr">
        <is>
          <t>2017.12.</t>
        </is>
      </c>
      <c r="F1151" s="0" t="n">
        <v>743</v>
      </c>
      <c r="G1151" s="0" t="n">
        <v>24.57</v>
      </c>
      <c r="H1151" s="0" t="n">
        <v>81.25</v>
      </c>
      <c r="I1151" s="0" t="n">
        <v>18.13</v>
      </c>
      <c r="J1151" s="0" t="n">
        <v>59.96</v>
      </c>
      <c r="K1151" s="0" t="n">
        <v>140</v>
      </c>
      <c r="T1151" s="0" t="n">
        <v>3</v>
      </c>
      <c r="U1151" s="0" t="n">
        <v>2</v>
      </c>
      <c r="V1151" s="0" t="inlineStr">
        <is>
          <t>계단식</t>
        </is>
      </c>
      <c r="W1151" s="0" t="inlineStr">
        <is>
          <t>81A</t>
        </is>
      </c>
      <c r="X1151" s="0" t="n">
        <v>23</v>
      </c>
      <c r="Y1151" s="0" t="n">
        <v>14</v>
      </c>
      <c r="Z1151" s="0" t="inlineStr">
        <is>
          <t>https://new.land.naver.com/complexes/111491?tab=detail&amp;rf=Y</t>
        </is>
      </c>
      <c r="AA1151" s="0" t="inlineStr">
        <is>
          <t>인천시 서구 신현동 306-1</t>
        </is>
      </c>
      <c r="AB1151" s="0" t="inlineStr">
        <is>
          <t>인천시</t>
        </is>
      </c>
      <c r="AC1151" s="0" t="inlineStr">
        <is>
          <t>서구</t>
        </is>
      </c>
      <c r="AD1151" s="0" t="inlineStr">
        <is>
          <t>신현동</t>
        </is>
      </c>
      <c r="AG1151" s="0" t="inlineStr">
        <is>
          <t>인천시 서구 봉오재1로 36</t>
        </is>
      </c>
      <c r="AH1151" s="0" t="n">
        <v>0</v>
      </c>
      <c r="AI1151" s="0" t="n">
        <v>174</v>
      </c>
      <c r="AJ1151" s="0" t="n">
        <v>16</v>
      </c>
      <c r="AK1151" s="0" t="n">
        <v>823</v>
      </c>
      <c r="AL1151" s="0" t="n">
        <v>1.11</v>
      </c>
    </row>
    <row r="1152">
      <c r="A1152" s="0" t="inlineStr">
        <is>
          <t>[신현동]</t>
        </is>
      </c>
      <c r="B1152" s="0" t="n">
        <v>111491</v>
      </c>
      <c r="C1152" s="0" t="n">
        <v>2</v>
      </c>
      <c r="D1152" s="0" t="inlineStr">
        <is>
          <t>루원시티센트럴타운</t>
        </is>
      </c>
      <c r="E1152" s="0" t="inlineStr">
        <is>
          <t>2017.12.</t>
        </is>
      </c>
      <c r="F1152" s="0" t="n">
        <v>743</v>
      </c>
      <c r="G1152" s="0" t="n">
        <v>24.52</v>
      </c>
      <c r="H1152" s="0" t="n">
        <v>81.09</v>
      </c>
      <c r="I1152" s="0" t="n">
        <v>18.1</v>
      </c>
      <c r="J1152" s="0" t="n">
        <v>59.84</v>
      </c>
      <c r="K1152" s="0" t="n">
        <v>56</v>
      </c>
      <c r="T1152" s="0" t="n">
        <v>3</v>
      </c>
      <c r="U1152" s="0" t="n">
        <v>2</v>
      </c>
      <c r="V1152" s="0" t="inlineStr">
        <is>
          <t>계단식</t>
        </is>
      </c>
      <c r="W1152" s="0" t="inlineStr">
        <is>
          <t>81A2</t>
        </is>
      </c>
      <c r="X1152" s="0" t="n">
        <v>23</v>
      </c>
      <c r="Y1152" s="0" t="n">
        <v>14</v>
      </c>
      <c r="Z1152" s="0" t="inlineStr">
        <is>
          <t>https://new.land.naver.com/complexes/111491?tab=detail&amp;rf=Y</t>
        </is>
      </c>
      <c r="AA1152" s="0" t="inlineStr">
        <is>
          <t>인천시 서구 신현동 306-1</t>
        </is>
      </c>
      <c r="AB1152" s="0" t="inlineStr">
        <is>
          <t>인천시</t>
        </is>
      </c>
      <c r="AC1152" s="0" t="inlineStr">
        <is>
          <t>서구</t>
        </is>
      </c>
      <c r="AD1152" s="0" t="inlineStr">
        <is>
          <t>신현동</t>
        </is>
      </c>
      <c r="AG1152" s="0" t="inlineStr">
        <is>
          <t>인천시 서구 봉오재1로 36</t>
        </is>
      </c>
      <c r="AH1152" s="0" t="n">
        <v>0</v>
      </c>
      <c r="AI1152" s="0" t="n">
        <v>174</v>
      </c>
      <c r="AJ1152" s="0" t="n">
        <v>16</v>
      </c>
      <c r="AK1152" s="0" t="n">
        <v>823</v>
      </c>
      <c r="AL1152" s="0" t="n">
        <v>1.11</v>
      </c>
    </row>
    <row r="1153">
      <c r="A1153" s="0" t="inlineStr">
        <is>
          <t>[신현동]</t>
        </is>
      </c>
      <c r="B1153" s="0" t="n">
        <v>111491</v>
      </c>
      <c r="C1153" s="0" t="n">
        <v>3</v>
      </c>
      <c r="D1153" s="0" t="inlineStr">
        <is>
          <t>루원시티센트럴타운</t>
        </is>
      </c>
      <c r="E1153" s="0" t="inlineStr">
        <is>
          <t>2017.12.</t>
        </is>
      </c>
      <c r="F1153" s="0" t="n">
        <v>743</v>
      </c>
      <c r="G1153" s="0" t="n">
        <v>30.73</v>
      </c>
      <c r="H1153" s="0" t="n">
        <v>101.61</v>
      </c>
      <c r="I1153" s="0" t="n">
        <v>22.68</v>
      </c>
      <c r="J1153" s="0" t="n">
        <v>74.98</v>
      </c>
      <c r="K1153" s="0" t="n">
        <v>246</v>
      </c>
      <c r="T1153" s="0" t="n">
        <v>3</v>
      </c>
      <c r="U1153" s="0" t="n">
        <v>2</v>
      </c>
      <c r="V1153" s="0" t="inlineStr">
        <is>
          <t>계단식</t>
        </is>
      </c>
      <c r="W1153" s="0" t="inlineStr">
        <is>
          <t>101A</t>
        </is>
      </c>
      <c r="X1153" s="0" t="n">
        <v>23</v>
      </c>
      <c r="Y1153" s="0" t="n">
        <v>14</v>
      </c>
      <c r="Z1153" s="0" t="inlineStr">
        <is>
          <t>https://new.land.naver.com/complexes/111491?tab=detail&amp;rf=Y</t>
        </is>
      </c>
      <c r="AA1153" s="0" t="inlineStr">
        <is>
          <t>인천시 서구 신현동 306-1</t>
        </is>
      </c>
      <c r="AB1153" s="0" t="inlineStr">
        <is>
          <t>인천시</t>
        </is>
      </c>
      <c r="AC1153" s="0" t="inlineStr">
        <is>
          <t>서구</t>
        </is>
      </c>
      <c r="AD1153" s="0" t="inlineStr">
        <is>
          <t>신현동</t>
        </is>
      </c>
      <c r="AG1153" s="0" t="inlineStr">
        <is>
          <t>인천시 서구 봉오재1로 36</t>
        </is>
      </c>
      <c r="AH1153" s="0" t="n">
        <v>0</v>
      </c>
      <c r="AI1153" s="0" t="n">
        <v>174</v>
      </c>
      <c r="AJ1153" s="0" t="n">
        <v>16</v>
      </c>
      <c r="AK1153" s="0" t="n">
        <v>823</v>
      </c>
      <c r="AL1153" s="0" t="n">
        <v>1.11</v>
      </c>
    </row>
    <row r="1154">
      <c r="A1154" s="0" t="inlineStr">
        <is>
          <t>[신현동]</t>
        </is>
      </c>
      <c r="B1154" s="0" t="n">
        <v>111491</v>
      </c>
      <c r="C1154" s="0" t="n">
        <v>4</v>
      </c>
      <c r="D1154" s="0" t="inlineStr">
        <is>
          <t>루원시티센트럴타운</t>
        </is>
      </c>
      <c r="E1154" s="0" t="inlineStr">
        <is>
          <t>2017.12.</t>
        </is>
      </c>
      <c r="F1154" s="0" t="n">
        <v>743</v>
      </c>
      <c r="G1154" s="0" t="n">
        <v>30.7</v>
      </c>
      <c r="H1154" s="0" t="n">
        <v>101.49</v>
      </c>
      <c r="I1154" s="0" t="n">
        <v>22.65</v>
      </c>
      <c r="J1154" s="0" t="n">
        <v>74.89</v>
      </c>
      <c r="K1154" s="0" t="n">
        <v>46</v>
      </c>
      <c r="T1154" s="0" t="n">
        <v>3</v>
      </c>
      <c r="U1154" s="0" t="n">
        <v>2</v>
      </c>
      <c r="V1154" s="0" t="inlineStr">
        <is>
          <t>계단식</t>
        </is>
      </c>
      <c r="W1154" s="0" t="inlineStr">
        <is>
          <t>101B</t>
        </is>
      </c>
      <c r="X1154" s="0" t="n">
        <v>23</v>
      </c>
      <c r="Y1154" s="0" t="n">
        <v>14</v>
      </c>
      <c r="Z1154" s="0" t="inlineStr">
        <is>
          <t>https://new.land.naver.com/complexes/111491?tab=detail&amp;rf=Y</t>
        </is>
      </c>
      <c r="AA1154" s="0" t="inlineStr">
        <is>
          <t>인천시 서구 신현동 306-1</t>
        </is>
      </c>
      <c r="AB1154" s="0" t="inlineStr">
        <is>
          <t>인천시</t>
        </is>
      </c>
      <c r="AC1154" s="0" t="inlineStr">
        <is>
          <t>서구</t>
        </is>
      </c>
      <c r="AD1154" s="0" t="inlineStr">
        <is>
          <t>신현동</t>
        </is>
      </c>
      <c r="AG1154" s="0" t="inlineStr">
        <is>
          <t>인천시 서구 봉오재1로 36</t>
        </is>
      </c>
      <c r="AH1154" s="0" t="n">
        <v>0</v>
      </c>
      <c r="AI1154" s="0" t="n">
        <v>174</v>
      </c>
      <c r="AJ1154" s="0" t="n">
        <v>16</v>
      </c>
      <c r="AK1154" s="0" t="n">
        <v>823</v>
      </c>
      <c r="AL1154" s="0" t="n">
        <v>1.11</v>
      </c>
    </row>
    <row r="1155">
      <c r="A1155" s="0" t="inlineStr">
        <is>
          <t>[신현동]</t>
        </is>
      </c>
      <c r="B1155" s="0" t="n">
        <v>111491</v>
      </c>
      <c r="C1155" s="0" t="n">
        <v>5</v>
      </c>
      <c r="D1155" s="0" t="inlineStr">
        <is>
          <t>루원시티센트럴타운</t>
        </is>
      </c>
      <c r="E1155" s="0" t="inlineStr">
        <is>
          <t>2017.12.</t>
        </is>
      </c>
      <c r="F1155" s="0" t="n">
        <v>743</v>
      </c>
      <c r="G1155" s="0" t="n">
        <v>30.72</v>
      </c>
      <c r="H1155" s="0" t="n">
        <v>101.58</v>
      </c>
      <c r="I1155" s="0" t="n">
        <v>22.67</v>
      </c>
      <c r="J1155" s="0" t="n">
        <v>74.95999999999999</v>
      </c>
      <c r="K1155" s="0" t="n">
        <v>23</v>
      </c>
      <c r="T1155" s="0" t="n">
        <v>3</v>
      </c>
      <c r="U1155" s="0" t="n">
        <v>2</v>
      </c>
      <c r="V1155" s="0" t="inlineStr">
        <is>
          <t>계단식</t>
        </is>
      </c>
      <c r="W1155" s="0" t="inlineStr">
        <is>
          <t>101C</t>
        </is>
      </c>
      <c r="X1155" s="0" t="n">
        <v>23</v>
      </c>
      <c r="Y1155" s="0" t="n">
        <v>14</v>
      </c>
      <c r="Z1155" s="0" t="inlineStr">
        <is>
          <t>https://new.land.naver.com/complexes/111491?tab=detail&amp;rf=Y</t>
        </is>
      </c>
      <c r="AA1155" s="0" t="inlineStr">
        <is>
          <t>인천시 서구 신현동 306-1</t>
        </is>
      </c>
      <c r="AB1155" s="0" t="inlineStr">
        <is>
          <t>인천시</t>
        </is>
      </c>
      <c r="AC1155" s="0" t="inlineStr">
        <is>
          <t>서구</t>
        </is>
      </c>
      <c r="AD1155" s="0" t="inlineStr">
        <is>
          <t>신현동</t>
        </is>
      </c>
      <c r="AG1155" s="0" t="inlineStr">
        <is>
          <t>인천시 서구 봉오재1로 36</t>
        </is>
      </c>
      <c r="AH1155" s="0" t="n">
        <v>0</v>
      </c>
      <c r="AI1155" s="0" t="n">
        <v>174</v>
      </c>
      <c r="AJ1155" s="0" t="n">
        <v>16</v>
      </c>
      <c r="AK1155" s="0" t="n">
        <v>823</v>
      </c>
      <c r="AL1155" s="0" t="n">
        <v>1.11</v>
      </c>
    </row>
    <row r="1156">
      <c r="A1156" s="0" t="inlineStr">
        <is>
          <t>[신현동]</t>
        </is>
      </c>
      <c r="B1156" s="0" t="n">
        <v>111491</v>
      </c>
      <c r="C1156" s="0" t="n">
        <v>6</v>
      </c>
      <c r="D1156" s="0" t="inlineStr">
        <is>
          <t>루원시티센트럴타운</t>
        </is>
      </c>
      <c r="E1156" s="0" t="inlineStr">
        <is>
          <t>2017.12.</t>
        </is>
      </c>
      <c r="F1156" s="0" t="n">
        <v>743</v>
      </c>
      <c r="G1156" s="0" t="n">
        <v>34.7</v>
      </c>
      <c r="H1156" s="0" t="n">
        <v>114.73</v>
      </c>
      <c r="I1156" s="0" t="n">
        <v>25.6</v>
      </c>
      <c r="J1156" s="0" t="n">
        <v>84.66</v>
      </c>
      <c r="K1156" s="0" t="n">
        <v>232</v>
      </c>
      <c r="T1156" s="0" t="n">
        <v>3</v>
      </c>
      <c r="U1156" s="0" t="n">
        <v>2</v>
      </c>
      <c r="V1156" s="0" t="inlineStr">
        <is>
          <t>계단식</t>
        </is>
      </c>
      <c r="W1156" s="0" t="inlineStr">
        <is>
          <t>114A1</t>
        </is>
      </c>
      <c r="X1156" s="0" t="n">
        <v>23</v>
      </c>
      <c r="Y1156" s="0" t="n">
        <v>14</v>
      </c>
      <c r="Z1156" s="0" t="inlineStr">
        <is>
          <t>https://new.land.naver.com/complexes/111491?tab=detail&amp;rf=Y</t>
        </is>
      </c>
      <c r="AA1156" s="0" t="inlineStr">
        <is>
          <t>인천시 서구 신현동 306-1</t>
        </is>
      </c>
      <c r="AB1156" s="0" t="inlineStr">
        <is>
          <t>인천시</t>
        </is>
      </c>
      <c r="AC1156" s="0" t="inlineStr">
        <is>
          <t>서구</t>
        </is>
      </c>
      <c r="AD1156" s="0" t="inlineStr">
        <is>
          <t>신현동</t>
        </is>
      </c>
      <c r="AG1156" s="0" t="inlineStr">
        <is>
          <t>인천시 서구 봉오재1로 36</t>
        </is>
      </c>
      <c r="AH1156" s="0" t="n">
        <v>0</v>
      </c>
      <c r="AI1156" s="0" t="n">
        <v>174</v>
      </c>
      <c r="AJ1156" s="0" t="n">
        <v>16</v>
      </c>
      <c r="AK1156" s="0" t="n">
        <v>823</v>
      </c>
      <c r="AL1156" s="0" t="n">
        <v>1.11</v>
      </c>
    </row>
    <row r="1157">
      <c r="A1157" s="0" t="inlineStr">
        <is>
          <t>[신현동]</t>
        </is>
      </c>
      <c r="B1157" s="0" t="n">
        <v>2364</v>
      </c>
      <c r="C1157" s="0" t="n">
        <v>1</v>
      </c>
      <c r="D1157" s="0" t="inlineStr">
        <is>
          <t>루원e편한세상하늘채</t>
        </is>
      </c>
      <c r="E1157" s="0" t="inlineStr">
        <is>
          <t>2010.02.</t>
        </is>
      </c>
      <c r="F1157" s="0" t="n">
        <v>3331</v>
      </c>
      <c r="G1157" s="0" t="n">
        <v>25.29</v>
      </c>
      <c r="H1157" s="0" t="n">
        <v>83.61</v>
      </c>
      <c r="I1157" s="0" t="n">
        <v>18.14</v>
      </c>
      <c r="J1157" s="0" t="n">
        <v>59.99</v>
      </c>
      <c r="K1157" s="0" t="n">
        <v>555</v>
      </c>
      <c r="T1157" s="0" t="n">
        <v>3</v>
      </c>
      <c r="U1157" s="0" t="n">
        <v>2</v>
      </c>
      <c r="V1157" s="0" t="inlineStr">
        <is>
          <t>계단식</t>
        </is>
      </c>
      <c r="W1157" s="0" t="n">
        <v>83</v>
      </c>
      <c r="X1157" s="0" t="n">
        <v>33</v>
      </c>
      <c r="Y1157" s="0" t="n">
        <v>16</v>
      </c>
      <c r="Z1157" s="0" t="inlineStr">
        <is>
          <t>https://new.land.naver.com/complexes/2364?tab=detail&amp;rf=Y</t>
        </is>
      </c>
      <c r="AA1157" s="0" t="inlineStr">
        <is>
          <t>인천시 서구 신현동 302-1</t>
        </is>
      </c>
      <c r="AB1157" s="0" t="inlineStr">
        <is>
          <t>인천시</t>
        </is>
      </c>
      <c r="AC1157" s="0" t="inlineStr">
        <is>
          <t>서구</t>
        </is>
      </c>
      <c r="AD1157" s="0" t="inlineStr">
        <is>
          <t>신현동</t>
        </is>
      </c>
      <c r="AG1157" s="0" t="inlineStr">
        <is>
          <t>인천시 서구 가정로 387</t>
        </is>
      </c>
      <c r="AH1157" s="0" t="n">
        <v>0</v>
      </c>
      <c r="AI1157" s="0" t="n">
        <v>256</v>
      </c>
      <c r="AJ1157" s="0" t="n">
        <v>14</v>
      </c>
      <c r="AK1157" s="0" t="n">
        <v>4553</v>
      </c>
      <c r="AL1157" s="0" t="n">
        <v>1.37</v>
      </c>
    </row>
    <row r="1158">
      <c r="A1158" s="0" t="inlineStr">
        <is>
          <t>[신현동]</t>
        </is>
      </c>
      <c r="B1158" s="0" t="n">
        <v>2364</v>
      </c>
      <c r="C1158" s="0" t="n">
        <v>2</v>
      </c>
      <c r="D1158" s="0" t="inlineStr">
        <is>
          <t>루원e편한세상하늘채</t>
        </is>
      </c>
      <c r="E1158" s="0" t="inlineStr">
        <is>
          <t>2010.02.</t>
        </is>
      </c>
      <c r="F1158" s="0" t="n">
        <v>3331</v>
      </c>
      <c r="G1158" s="0" t="n">
        <v>25.54</v>
      </c>
      <c r="H1158" s="0" t="n">
        <v>84.43000000000001</v>
      </c>
      <c r="I1158" s="0" t="n">
        <v>18.14</v>
      </c>
      <c r="J1158" s="0" t="n">
        <v>59.99</v>
      </c>
      <c r="K1158" s="0" t="n">
        <v>144</v>
      </c>
      <c r="T1158" s="0" t="n">
        <v>3</v>
      </c>
      <c r="U1158" s="0" t="n">
        <v>2</v>
      </c>
      <c r="V1158" s="0" t="inlineStr">
        <is>
          <t>계단식</t>
        </is>
      </c>
      <c r="W1158" s="0" t="inlineStr">
        <is>
          <t>84A</t>
        </is>
      </c>
      <c r="X1158" s="0" t="n">
        <v>33</v>
      </c>
      <c r="Y1158" s="0" t="n">
        <v>16</v>
      </c>
      <c r="Z1158" s="0" t="inlineStr">
        <is>
          <t>https://new.land.naver.com/complexes/2364?tab=detail&amp;rf=Y</t>
        </is>
      </c>
      <c r="AA1158" s="0" t="inlineStr">
        <is>
          <t>인천시 서구 신현동 302-1</t>
        </is>
      </c>
      <c r="AB1158" s="0" t="inlineStr">
        <is>
          <t>인천시</t>
        </is>
      </c>
      <c r="AC1158" s="0" t="inlineStr">
        <is>
          <t>서구</t>
        </is>
      </c>
      <c r="AD1158" s="0" t="inlineStr">
        <is>
          <t>신현동</t>
        </is>
      </c>
      <c r="AG1158" s="0" t="inlineStr">
        <is>
          <t>인천시 서구 가정로 387</t>
        </is>
      </c>
      <c r="AH1158" s="0" t="n">
        <v>0</v>
      </c>
      <c r="AI1158" s="0" t="n">
        <v>256</v>
      </c>
      <c r="AJ1158" s="0" t="n">
        <v>14</v>
      </c>
      <c r="AK1158" s="0" t="n">
        <v>4553</v>
      </c>
      <c r="AL1158" s="0" t="n">
        <v>1.37</v>
      </c>
    </row>
    <row r="1159">
      <c r="A1159" s="0" t="inlineStr">
        <is>
          <t>[신현동]</t>
        </is>
      </c>
      <c r="B1159" s="0" t="n">
        <v>2364</v>
      </c>
      <c r="C1159" s="0" t="n">
        <v>3</v>
      </c>
      <c r="D1159" s="0" t="inlineStr">
        <is>
          <t>루원e편한세상하늘채</t>
        </is>
      </c>
      <c r="E1159" s="0" t="inlineStr">
        <is>
          <t>2010.02.</t>
        </is>
      </c>
      <c r="F1159" s="0" t="n">
        <v>3331</v>
      </c>
      <c r="G1159" s="0" t="n">
        <v>33.16</v>
      </c>
      <c r="H1159" s="0" t="n">
        <v>109.63</v>
      </c>
      <c r="I1159" s="0" t="n">
        <v>25.66</v>
      </c>
      <c r="J1159" s="0" t="n">
        <v>84.84999999999999</v>
      </c>
      <c r="K1159" s="0" t="n">
        <v>676</v>
      </c>
      <c r="T1159" s="0" t="n">
        <v>3</v>
      </c>
      <c r="U1159" s="0" t="n">
        <v>2</v>
      </c>
      <c r="V1159" s="0" t="inlineStr">
        <is>
          <t>계단식</t>
        </is>
      </c>
      <c r="W1159" s="0" t="inlineStr">
        <is>
          <t>109A</t>
        </is>
      </c>
      <c r="X1159" s="0" t="n">
        <v>33</v>
      </c>
      <c r="Y1159" s="0" t="n">
        <v>16</v>
      </c>
      <c r="Z1159" s="0" t="inlineStr">
        <is>
          <t>https://new.land.naver.com/complexes/2364?tab=detail&amp;rf=Y</t>
        </is>
      </c>
      <c r="AA1159" s="0" t="inlineStr">
        <is>
          <t>인천시 서구 신현동 302-1</t>
        </is>
      </c>
      <c r="AB1159" s="0" t="inlineStr">
        <is>
          <t>인천시</t>
        </is>
      </c>
      <c r="AC1159" s="0" t="inlineStr">
        <is>
          <t>서구</t>
        </is>
      </c>
      <c r="AD1159" s="0" t="inlineStr">
        <is>
          <t>신현동</t>
        </is>
      </c>
      <c r="AG1159" s="0" t="inlineStr">
        <is>
          <t>인천시 서구 가정로 387</t>
        </is>
      </c>
      <c r="AH1159" s="0" t="n">
        <v>0</v>
      </c>
      <c r="AI1159" s="0" t="n">
        <v>256</v>
      </c>
      <c r="AJ1159" s="0" t="n">
        <v>14</v>
      </c>
      <c r="AK1159" s="0" t="n">
        <v>4553</v>
      </c>
      <c r="AL1159" s="0" t="n">
        <v>1.37</v>
      </c>
    </row>
    <row r="1160">
      <c r="A1160" s="0" t="inlineStr">
        <is>
          <t>[신현동]</t>
        </is>
      </c>
      <c r="B1160" s="0" t="n">
        <v>2364</v>
      </c>
      <c r="C1160" s="0" t="n">
        <v>4</v>
      </c>
      <c r="D1160" s="0" t="inlineStr">
        <is>
          <t>루원e편한세상하늘채</t>
        </is>
      </c>
      <c r="E1160" s="0" t="inlineStr">
        <is>
          <t>2010.02.</t>
        </is>
      </c>
      <c r="F1160" s="0" t="n">
        <v>3331</v>
      </c>
      <c r="G1160" s="0" t="n">
        <v>33.05</v>
      </c>
      <c r="H1160" s="0" t="n">
        <v>109.28</v>
      </c>
      <c r="I1160" s="0" t="n">
        <v>25.68</v>
      </c>
      <c r="J1160" s="0" t="n">
        <v>84.92</v>
      </c>
      <c r="K1160" s="0" t="n">
        <v>309</v>
      </c>
      <c r="T1160" s="0" t="n">
        <v>3</v>
      </c>
      <c r="U1160" s="0" t="n">
        <v>2</v>
      </c>
      <c r="V1160" s="0" t="inlineStr">
        <is>
          <t>계단식</t>
        </is>
      </c>
      <c r="W1160" s="0" t="n">
        <v>109</v>
      </c>
      <c r="X1160" s="0" t="n">
        <v>33</v>
      </c>
      <c r="Y1160" s="0" t="n">
        <v>16</v>
      </c>
      <c r="Z1160" s="0" t="inlineStr">
        <is>
          <t>https://new.land.naver.com/complexes/2364?tab=detail&amp;rf=Y</t>
        </is>
      </c>
      <c r="AA1160" s="0" t="inlineStr">
        <is>
          <t>인천시 서구 신현동 302-1</t>
        </is>
      </c>
      <c r="AB1160" s="0" t="inlineStr">
        <is>
          <t>인천시</t>
        </is>
      </c>
      <c r="AC1160" s="0" t="inlineStr">
        <is>
          <t>서구</t>
        </is>
      </c>
      <c r="AD1160" s="0" t="inlineStr">
        <is>
          <t>신현동</t>
        </is>
      </c>
      <c r="AG1160" s="0" t="inlineStr">
        <is>
          <t>인천시 서구 가정로 387</t>
        </is>
      </c>
      <c r="AH1160" s="0" t="n">
        <v>0</v>
      </c>
      <c r="AI1160" s="0" t="n">
        <v>256</v>
      </c>
      <c r="AJ1160" s="0" t="n">
        <v>14</v>
      </c>
      <c r="AK1160" s="0" t="n">
        <v>4553</v>
      </c>
      <c r="AL1160" s="0" t="n">
        <v>1.37</v>
      </c>
    </row>
    <row r="1161">
      <c r="A1161" s="0" t="inlineStr">
        <is>
          <t>[신현동]</t>
        </is>
      </c>
      <c r="B1161" s="0" t="n">
        <v>2364</v>
      </c>
      <c r="C1161" s="0" t="n">
        <v>5</v>
      </c>
      <c r="D1161" s="0" t="inlineStr">
        <is>
          <t>루원e편한세상하늘채</t>
        </is>
      </c>
      <c r="E1161" s="0" t="inlineStr">
        <is>
          <t>2010.02.</t>
        </is>
      </c>
      <c r="F1161" s="0" t="n">
        <v>3331</v>
      </c>
      <c r="G1161" s="0" t="n">
        <v>33.05</v>
      </c>
      <c r="H1161" s="0" t="n">
        <v>109.27</v>
      </c>
      <c r="I1161" s="0" t="n">
        <v>25.7</v>
      </c>
      <c r="J1161" s="0" t="n">
        <v>84.98999999999999</v>
      </c>
      <c r="K1161" s="0" t="n">
        <v>257</v>
      </c>
      <c r="T1161" s="0" t="n">
        <v>3</v>
      </c>
      <c r="U1161" s="0" t="n">
        <v>2</v>
      </c>
      <c r="V1161" s="0" t="inlineStr">
        <is>
          <t>계단식</t>
        </is>
      </c>
      <c r="W1161" s="0" t="inlineStr">
        <is>
          <t>109C</t>
        </is>
      </c>
      <c r="X1161" s="0" t="n">
        <v>33</v>
      </c>
      <c r="Y1161" s="0" t="n">
        <v>16</v>
      </c>
      <c r="Z1161" s="0" t="inlineStr">
        <is>
          <t>https://new.land.naver.com/complexes/2364?tab=detail&amp;rf=Y</t>
        </is>
      </c>
      <c r="AA1161" s="0" t="inlineStr">
        <is>
          <t>인천시 서구 신현동 302-1</t>
        </is>
      </c>
      <c r="AB1161" s="0" t="inlineStr">
        <is>
          <t>인천시</t>
        </is>
      </c>
      <c r="AC1161" s="0" t="inlineStr">
        <is>
          <t>서구</t>
        </is>
      </c>
      <c r="AD1161" s="0" t="inlineStr">
        <is>
          <t>신현동</t>
        </is>
      </c>
      <c r="AG1161" s="0" t="inlineStr">
        <is>
          <t>인천시 서구 가정로 387</t>
        </is>
      </c>
      <c r="AH1161" s="0" t="n">
        <v>0</v>
      </c>
      <c r="AI1161" s="0" t="n">
        <v>256</v>
      </c>
      <c r="AJ1161" s="0" t="n">
        <v>14</v>
      </c>
      <c r="AK1161" s="0" t="n">
        <v>4553</v>
      </c>
      <c r="AL1161" s="0" t="n">
        <v>1.37</v>
      </c>
    </row>
    <row r="1162">
      <c r="A1162" s="0" t="inlineStr">
        <is>
          <t>[신현동]</t>
        </is>
      </c>
      <c r="B1162" s="0" t="n">
        <v>2364</v>
      </c>
      <c r="C1162" s="0" t="n">
        <v>6</v>
      </c>
      <c r="D1162" s="0" t="inlineStr">
        <is>
          <t>루원e편한세상하늘채</t>
        </is>
      </c>
      <c r="E1162" s="0" t="inlineStr">
        <is>
          <t>2010.02.</t>
        </is>
      </c>
      <c r="F1162" s="0" t="n">
        <v>3331</v>
      </c>
      <c r="G1162" s="0" t="n">
        <v>33.25</v>
      </c>
      <c r="H1162" s="0" t="n">
        <v>109.95</v>
      </c>
      <c r="I1162" s="0" t="n">
        <v>25.67</v>
      </c>
      <c r="J1162" s="0" t="n">
        <v>84.87</v>
      </c>
      <c r="K1162" s="0" t="n">
        <v>104</v>
      </c>
      <c r="T1162" s="0" t="n">
        <v>3</v>
      </c>
      <c r="U1162" s="0" t="n">
        <v>2</v>
      </c>
      <c r="V1162" s="0" t="inlineStr">
        <is>
          <t>계단식</t>
        </is>
      </c>
      <c r="W1162" s="0" t="inlineStr">
        <is>
          <t>109B</t>
        </is>
      </c>
      <c r="X1162" s="0" t="n">
        <v>33</v>
      </c>
      <c r="Y1162" s="0" t="n">
        <v>16</v>
      </c>
      <c r="Z1162" s="0" t="inlineStr">
        <is>
          <t>https://new.land.naver.com/complexes/2364?tab=detail&amp;rf=Y</t>
        </is>
      </c>
      <c r="AA1162" s="0" t="inlineStr">
        <is>
          <t>인천시 서구 신현동 302-1</t>
        </is>
      </c>
      <c r="AB1162" s="0" t="inlineStr">
        <is>
          <t>인천시</t>
        </is>
      </c>
      <c r="AC1162" s="0" t="inlineStr">
        <is>
          <t>서구</t>
        </is>
      </c>
      <c r="AD1162" s="0" t="inlineStr">
        <is>
          <t>신현동</t>
        </is>
      </c>
      <c r="AG1162" s="0" t="inlineStr">
        <is>
          <t>인천시 서구 가정로 387</t>
        </is>
      </c>
      <c r="AH1162" s="0" t="n">
        <v>0</v>
      </c>
      <c r="AI1162" s="0" t="n">
        <v>256</v>
      </c>
      <c r="AJ1162" s="0" t="n">
        <v>14</v>
      </c>
      <c r="AK1162" s="0" t="n">
        <v>4553</v>
      </c>
      <c r="AL1162" s="0" t="n">
        <v>1.37</v>
      </c>
    </row>
    <row r="1163">
      <c r="A1163" s="0" t="inlineStr">
        <is>
          <t>[신현동]</t>
        </is>
      </c>
      <c r="B1163" s="0" t="n">
        <v>2364</v>
      </c>
      <c r="C1163" s="0" t="n">
        <v>7</v>
      </c>
      <c r="D1163" s="0" t="inlineStr">
        <is>
          <t>루원e편한세상하늘채</t>
        </is>
      </c>
      <c r="E1163" s="0" t="inlineStr">
        <is>
          <t>2010.02.</t>
        </is>
      </c>
      <c r="F1163" s="0" t="n">
        <v>3331</v>
      </c>
      <c r="G1163" s="0" t="n">
        <v>40.65</v>
      </c>
      <c r="H1163" s="0" t="n">
        <v>134.41</v>
      </c>
      <c r="I1163" s="0" t="n">
        <v>31.37</v>
      </c>
      <c r="J1163" s="0" t="n">
        <v>103.72</v>
      </c>
      <c r="K1163" s="0" t="n">
        <v>178</v>
      </c>
      <c r="T1163" s="0" t="n">
        <v>3</v>
      </c>
      <c r="U1163" s="0" t="n">
        <v>2</v>
      </c>
      <c r="V1163" s="0" t="inlineStr">
        <is>
          <t>계단식</t>
        </is>
      </c>
      <c r="W1163" s="0" t="n">
        <v>134</v>
      </c>
      <c r="X1163" s="0" t="n">
        <v>33</v>
      </c>
      <c r="Y1163" s="0" t="n">
        <v>16</v>
      </c>
      <c r="Z1163" s="0" t="inlineStr">
        <is>
          <t>https://new.land.naver.com/complexes/2364?tab=detail&amp;rf=Y</t>
        </is>
      </c>
      <c r="AA1163" s="0" t="inlineStr">
        <is>
          <t>인천시 서구 신현동 302-1</t>
        </is>
      </c>
      <c r="AB1163" s="0" t="inlineStr">
        <is>
          <t>인천시</t>
        </is>
      </c>
      <c r="AC1163" s="0" t="inlineStr">
        <is>
          <t>서구</t>
        </is>
      </c>
      <c r="AD1163" s="0" t="inlineStr">
        <is>
          <t>신현동</t>
        </is>
      </c>
      <c r="AG1163" s="0" t="inlineStr">
        <is>
          <t>인천시 서구 가정로 387</t>
        </is>
      </c>
      <c r="AH1163" s="0" t="n">
        <v>0</v>
      </c>
      <c r="AI1163" s="0" t="n">
        <v>256</v>
      </c>
      <c r="AJ1163" s="0" t="n">
        <v>14</v>
      </c>
      <c r="AK1163" s="0" t="n">
        <v>4553</v>
      </c>
      <c r="AL1163" s="0" t="n">
        <v>1.37</v>
      </c>
    </row>
    <row r="1164">
      <c r="A1164" s="0" t="inlineStr">
        <is>
          <t>[신현동]</t>
        </is>
      </c>
      <c r="B1164" s="0" t="n">
        <v>2364</v>
      </c>
      <c r="C1164" s="0" t="n">
        <v>8</v>
      </c>
      <c r="D1164" s="0" t="inlineStr">
        <is>
          <t>루원e편한세상하늘채</t>
        </is>
      </c>
      <c r="E1164" s="0" t="inlineStr">
        <is>
          <t>2010.02.</t>
        </is>
      </c>
      <c r="F1164" s="0" t="n">
        <v>3331</v>
      </c>
      <c r="G1164" s="0" t="n">
        <v>43.77</v>
      </c>
      <c r="H1164" s="0" t="n">
        <v>144.7</v>
      </c>
      <c r="I1164" s="0" t="n">
        <v>34.76</v>
      </c>
      <c r="J1164" s="0" t="n">
        <v>114.94</v>
      </c>
      <c r="K1164" s="0" t="n">
        <v>598</v>
      </c>
      <c r="T1164" s="0" t="n">
        <v>4</v>
      </c>
      <c r="U1164" s="0" t="n">
        <v>2</v>
      </c>
      <c r="V1164" s="0" t="inlineStr">
        <is>
          <t>계단식</t>
        </is>
      </c>
      <c r="W1164" s="0" t="n">
        <v>144</v>
      </c>
      <c r="X1164" s="0" t="n">
        <v>33</v>
      </c>
      <c r="Y1164" s="0" t="n">
        <v>16</v>
      </c>
      <c r="Z1164" s="0" t="inlineStr">
        <is>
          <t>https://new.land.naver.com/complexes/2364?tab=detail&amp;rf=Y</t>
        </is>
      </c>
      <c r="AA1164" s="0" t="inlineStr">
        <is>
          <t>인천시 서구 신현동 302-1</t>
        </is>
      </c>
      <c r="AB1164" s="0" t="inlineStr">
        <is>
          <t>인천시</t>
        </is>
      </c>
      <c r="AC1164" s="0" t="inlineStr">
        <is>
          <t>서구</t>
        </is>
      </c>
      <c r="AD1164" s="0" t="inlineStr">
        <is>
          <t>신현동</t>
        </is>
      </c>
      <c r="AG1164" s="0" t="inlineStr">
        <is>
          <t>인천시 서구 가정로 387</t>
        </is>
      </c>
      <c r="AH1164" s="0" t="n">
        <v>0</v>
      </c>
      <c r="AI1164" s="0" t="n">
        <v>256</v>
      </c>
      <c r="AJ1164" s="0" t="n">
        <v>14</v>
      </c>
      <c r="AK1164" s="0" t="n">
        <v>4553</v>
      </c>
      <c r="AL1164" s="0" t="n">
        <v>1.37</v>
      </c>
    </row>
    <row r="1165">
      <c r="A1165" s="0" t="inlineStr">
        <is>
          <t>[신현동]</t>
        </is>
      </c>
      <c r="B1165" s="0" t="n">
        <v>2364</v>
      </c>
      <c r="C1165" s="0" t="n">
        <v>9</v>
      </c>
      <c r="D1165" s="0" t="inlineStr">
        <is>
          <t>루원e편한세상하늘채</t>
        </is>
      </c>
      <c r="E1165" s="0" t="inlineStr">
        <is>
          <t>2010.02.</t>
        </is>
      </c>
      <c r="F1165" s="0" t="n">
        <v>3331</v>
      </c>
      <c r="G1165" s="0" t="n">
        <v>56.26</v>
      </c>
      <c r="H1165" s="0" t="n">
        <v>186.01</v>
      </c>
      <c r="I1165" s="0" t="n">
        <v>47.27</v>
      </c>
      <c r="J1165" s="0" t="n">
        <v>156.29</v>
      </c>
      <c r="K1165" s="0" t="n">
        <v>302</v>
      </c>
      <c r="T1165" s="0" t="n">
        <v>4</v>
      </c>
      <c r="U1165" s="0" t="n">
        <v>2</v>
      </c>
      <c r="V1165" s="0" t="inlineStr">
        <is>
          <t>계단식</t>
        </is>
      </c>
      <c r="W1165" s="0" t="n">
        <v>186</v>
      </c>
      <c r="X1165" s="0" t="n">
        <v>33</v>
      </c>
      <c r="Y1165" s="0" t="n">
        <v>16</v>
      </c>
      <c r="Z1165" s="0" t="inlineStr">
        <is>
          <t>https://new.land.naver.com/complexes/2364?tab=detail&amp;rf=Y</t>
        </is>
      </c>
      <c r="AA1165" s="0" t="inlineStr">
        <is>
          <t>인천시 서구 신현동 302-1</t>
        </is>
      </c>
      <c r="AB1165" s="0" t="inlineStr">
        <is>
          <t>인천시</t>
        </is>
      </c>
      <c r="AC1165" s="0" t="inlineStr">
        <is>
          <t>서구</t>
        </is>
      </c>
      <c r="AD1165" s="0" t="inlineStr">
        <is>
          <t>신현동</t>
        </is>
      </c>
      <c r="AG1165" s="0" t="inlineStr">
        <is>
          <t>인천시 서구 가정로 387</t>
        </is>
      </c>
      <c r="AH1165" s="0" t="n">
        <v>0</v>
      </c>
      <c r="AI1165" s="0" t="n">
        <v>256</v>
      </c>
      <c r="AJ1165" s="0" t="n">
        <v>14</v>
      </c>
      <c r="AK1165" s="0" t="n">
        <v>4553</v>
      </c>
      <c r="AL1165" s="0" t="n">
        <v>1.37</v>
      </c>
    </row>
    <row r="1166">
      <c r="A1166" s="0" t="inlineStr">
        <is>
          <t>[신현동]</t>
        </is>
      </c>
      <c r="B1166" s="0" t="n">
        <v>2364</v>
      </c>
      <c r="C1166" s="0" t="n">
        <v>10</v>
      </c>
      <c r="D1166" s="0" t="inlineStr">
        <is>
          <t>루원e편한세상하늘채</t>
        </is>
      </c>
      <c r="E1166" s="0" t="inlineStr">
        <is>
          <t>2010.02.</t>
        </is>
      </c>
      <c r="F1166" s="0" t="n">
        <v>3331</v>
      </c>
      <c r="G1166" s="0" t="n">
        <v>62.39</v>
      </c>
      <c r="H1166" s="0" t="n">
        <v>206.28</v>
      </c>
      <c r="I1166" s="0" t="n">
        <v>51.52</v>
      </c>
      <c r="J1166" s="0" t="n">
        <v>170.34</v>
      </c>
      <c r="K1166" s="0" t="n">
        <v>208</v>
      </c>
      <c r="T1166" s="0" t="n">
        <v>4</v>
      </c>
      <c r="U1166" s="0" t="n">
        <v>2</v>
      </c>
      <c r="V1166" s="0" t="inlineStr">
        <is>
          <t>계단식</t>
        </is>
      </c>
      <c r="W1166" s="0" t="n">
        <v>206</v>
      </c>
      <c r="X1166" s="0" t="n">
        <v>33</v>
      </c>
      <c r="Y1166" s="0" t="n">
        <v>16</v>
      </c>
      <c r="Z1166" s="0" t="inlineStr">
        <is>
          <t>https://new.land.naver.com/complexes/2364?tab=detail&amp;rf=Y</t>
        </is>
      </c>
      <c r="AA1166" s="0" t="inlineStr">
        <is>
          <t>인천시 서구 신현동 302-1</t>
        </is>
      </c>
      <c r="AB1166" s="0" t="inlineStr">
        <is>
          <t>인천시</t>
        </is>
      </c>
      <c r="AC1166" s="0" t="inlineStr">
        <is>
          <t>서구</t>
        </is>
      </c>
      <c r="AD1166" s="0" t="inlineStr">
        <is>
          <t>신현동</t>
        </is>
      </c>
      <c r="AG1166" s="0" t="inlineStr">
        <is>
          <t>인천시 서구 가정로 387</t>
        </is>
      </c>
      <c r="AH1166" s="0" t="n">
        <v>0</v>
      </c>
      <c r="AI1166" s="0" t="n">
        <v>256</v>
      </c>
      <c r="AJ1166" s="0" t="n">
        <v>14</v>
      </c>
      <c r="AK1166" s="0" t="n">
        <v>4553</v>
      </c>
      <c r="AL1166" s="0" t="n">
        <v>1.37</v>
      </c>
    </row>
    <row r="1167">
      <c r="A1167" s="0" t="inlineStr">
        <is>
          <t>[신현동]</t>
        </is>
      </c>
      <c r="B1167" s="0" t="n">
        <v>123189</v>
      </c>
      <c r="C1167" s="0" t="n">
        <v>1</v>
      </c>
      <c r="D1167" s="0" t="inlineStr">
        <is>
          <t>한주타운</t>
        </is>
      </c>
      <c r="E1167" s="0" t="inlineStr">
        <is>
          <t>1991.07.</t>
        </is>
      </c>
      <c r="F1167" s="0" t="n">
        <v>222</v>
      </c>
      <c r="G1167" s="0" t="n">
        <v>14.2</v>
      </c>
      <c r="H1167" s="0" t="n">
        <v>46.97</v>
      </c>
      <c r="I1167" s="0" t="n">
        <v>11.07</v>
      </c>
      <c r="J1167" s="0" t="n">
        <v>36.6</v>
      </c>
      <c r="K1167" s="0" t="n">
        <v>176</v>
      </c>
      <c r="T1167" s="0" t="n">
        <v>1</v>
      </c>
      <c r="U1167" s="0" t="n">
        <v>1</v>
      </c>
      <c r="V1167" s="0" t="inlineStr">
        <is>
          <t>계단식</t>
        </is>
      </c>
      <c r="W1167" s="0" t="n">
        <v>46</v>
      </c>
      <c r="X1167" s="0" t="n">
        <v>4</v>
      </c>
      <c r="Y1167" s="0" t="n">
        <v>3</v>
      </c>
      <c r="Z1167" s="0" t="inlineStr">
        <is>
          <t>https://new.land.naver.com/complexes/123189?tab=detail&amp;rf=Y</t>
        </is>
      </c>
      <c r="AA1167" s="0" t="inlineStr">
        <is>
          <t>인천시 서구 신현동 158-4</t>
        </is>
      </c>
      <c r="AB1167" s="0" t="inlineStr">
        <is>
          <t>인천시</t>
        </is>
      </c>
      <c r="AC1167" s="0" t="inlineStr">
        <is>
          <t>서구</t>
        </is>
      </c>
      <c r="AD1167" s="0" t="inlineStr">
        <is>
          <t>신현동</t>
        </is>
      </c>
      <c r="AG1167" s="0" t="inlineStr">
        <is>
          <t>인천시 서구 새오개로54번안길 18</t>
        </is>
      </c>
      <c r="AH1167" s="0" t="n">
        <v>0</v>
      </c>
      <c r="AI1167" s="0" t="n">
        <v>0</v>
      </c>
      <c r="AJ1167" s="0" t="n">
        <v>0</v>
      </c>
      <c r="AK1167" s="0" t="n">
        <v>0</v>
      </c>
      <c r="AL1167" s="0" t="n">
        <v>0</v>
      </c>
    </row>
    <row r="1168">
      <c r="A1168" s="0" t="inlineStr">
        <is>
          <t>[신현동]</t>
        </is>
      </c>
      <c r="B1168" s="0" t="n">
        <v>123189</v>
      </c>
      <c r="C1168" s="0" t="n">
        <v>2</v>
      </c>
      <c r="D1168" s="0" t="inlineStr">
        <is>
          <t>한주타운</t>
        </is>
      </c>
      <c r="E1168" s="0" t="inlineStr">
        <is>
          <t>1991.07.</t>
        </is>
      </c>
      <c r="F1168" s="0" t="n">
        <v>222</v>
      </c>
      <c r="G1168" s="0" t="n">
        <v>15.26</v>
      </c>
      <c r="H1168" s="0" t="n">
        <v>50.45</v>
      </c>
      <c r="I1168" s="0" t="n">
        <v>11.94</v>
      </c>
      <c r="J1168" s="0" t="n">
        <v>39.48</v>
      </c>
      <c r="K1168" s="0" t="n">
        <v>4</v>
      </c>
      <c r="T1168" s="0" t="n">
        <v>2</v>
      </c>
      <c r="U1168" s="0" t="n">
        <v>1</v>
      </c>
      <c r="V1168" s="0" t="inlineStr">
        <is>
          <t>계단식</t>
        </is>
      </c>
      <c r="W1168" s="0" t="n">
        <v>50</v>
      </c>
      <c r="X1168" s="0" t="n">
        <v>4</v>
      </c>
      <c r="Y1168" s="0" t="n">
        <v>3</v>
      </c>
      <c r="Z1168" s="0" t="inlineStr">
        <is>
          <t>https://new.land.naver.com/complexes/123189?tab=detail&amp;rf=Y</t>
        </is>
      </c>
      <c r="AA1168" s="0" t="inlineStr">
        <is>
          <t>인천시 서구 신현동 158-4</t>
        </is>
      </c>
      <c r="AB1168" s="0" t="inlineStr">
        <is>
          <t>인천시</t>
        </is>
      </c>
      <c r="AC1168" s="0" t="inlineStr">
        <is>
          <t>서구</t>
        </is>
      </c>
      <c r="AD1168" s="0" t="inlineStr">
        <is>
          <t>신현동</t>
        </is>
      </c>
      <c r="AG1168" s="0" t="inlineStr">
        <is>
          <t>인천시 서구 새오개로54번안길 18</t>
        </is>
      </c>
      <c r="AH1168" s="0" t="n">
        <v>0</v>
      </c>
      <c r="AI1168" s="0" t="n">
        <v>0</v>
      </c>
      <c r="AJ1168" s="0" t="n">
        <v>0</v>
      </c>
      <c r="AK1168" s="0" t="n">
        <v>0</v>
      </c>
      <c r="AL1168" s="0" t="n">
        <v>0</v>
      </c>
    </row>
    <row r="1169">
      <c r="A1169" s="0" t="inlineStr">
        <is>
          <t>[신현동]</t>
        </is>
      </c>
      <c r="B1169" s="0" t="n">
        <v>123189</v>
      </c>
      <c r="C1169" s="0" t="n">
        <v>3</v>
      </c>
      <c r="D1169" s="0" t="inlineStr">
        <is>
          <t>한주타운</t>
        </is>
      </c>
      <c r="E1169" s="0" t="inlineStr">
        <is>
          <t>1991.07.</t>
        </is>
      </c>
      <c r="F1169" s="0" t="n">
        <v>222</v>
      </c>
      <c r="G1169" s="0" t="n">
        <v>15.86</v>
      </c>
      <c r="H1169" s="0" t="n">
        <v>52.43</v>
      </c>
      <c r="I1169" s="0" t="n">
        <v>12.63</v>
      </c>
      <c r="J1169" s="0" t="n">
        <v>41.76</v>
      </c>
      <c r="K1169" s="0" t="n">
        <v>4</v>
      </c>
      <c r="T1169" s="0" t="n">
        <v>2</v>
      </c>
      <c r="U1169" s="0" t="n">
        <v>1</v>
      </c>
      <c r="V1169" s="0" t="inlineStr">
        <is>
          <t>계단식</t>
        </is>
      </c>
      <c r="W1169" s="0" t="inlineStr">
        <is>
          <t>52A</t>
        </is>
      </c>
      <c r="X1169" s="0" t="n">
        <v>4</v>
      </c>
      <c r="Y1169" s="0" t="n">
        <v>3</v>
      </c>
      <c r="Z1169" s="0" t="inlineStr">
        <is>
          <t>https://new.land.naver.com/complexes/123189?tab=detail&amp;rf=Y</t>
        </is>
      </c>
      <c r="AA1169" s="0" t="inlineStr">
        <is>
          <t>인천시 서구 신현동 158-4</t>
        </is>
      </c>
      <c r="AB1169" s="0" t="inlineStr">
        <is>
          <t>인천시</t>
        </is>
      </c>
      <c r="AC1169" s="0" t="inlineStr">
        <is>
          <t>서구</t>
        </is>
      </c>
      <c r="AD1169" s="0" t="inlineStr">
        <is>
          <t>신현동</t>
        </is>
      </c>
      <c r="AG1169" s="0" t="inlineStr">
        <is>
          <t>인천시 서구 새오개로54번안길 18</t>
        </is>
      </c>
      <c r="AH1169" s="0" t="n">
        <v>0</v>
      </c>
      <c r="AI1169" s="0" t="n">
        <v>0</v>
      </c>
      <c r="AJ1169" s="0" t="n">
        <v>0</v>
      </c>
      <c r="AK1169" s="0" t="n">
        <v>0</v>
      </c>
      <c r="AL1169" s="0" t="n">
        <v>0</v>
      </c>
    </row>
    <row r="1170">
      <c r="A1170" s="0" t="inlineStr">
        <is>
          <t>[신현동]</t>
        </is>
      </c>
      <c r="B1170" s="0" t="n">
        <v>123189</v>
      </c>
      <c r="C1170" s="0" t="n">
        <v>4</v>
      </c>
      <c r="D1170" s="0" t="inlineStr">
        <is>
          <t>한주타운</t>
        </is>
      </c>
      <c r="E1170" s="0" t="inlineStr">
        <is>
          <t>1991.07.</t>
        </is>
      </c>
      <c r="F1170" s="0" t="n">
        <v>222</v>
      </c>
      <c r="G1170" s="0" t="n">
        <v>16.42</v>
      </c>
      <c r="H1170" s="0" t="n">
        <v>54.31</v>
      </c>
      <c r="I1170" s="0" t="n">
        <v>13.57</v>
      </c>
      <c r="J1170" s="0" t="n">
        <v>44.88</v>
      </c>
      <c r="K1170" s="0" t="n">
        <v>8</v>
      </c>
      <c r="T1170" s="0" t="n">
        <v>2</v>
      </c>
      <c r="U1170" s="0" t="n">
        <v>1</v>
      </c>
      <c r="V1170" s="0" t="inlineStr">
        <is>
          <t>계단식</t>
        </is>
      </c>
      <c r="W1170" s="0" t="inlineStr">
        <is>
          <t>54B</t>
        </is>
      </c>
      <c r="X1170" s="0" t="n">
        <v>4</v>
      </c>
      <c r="Y1170" s="0" t="n">
        <v>3</v>
      </c>
      <c r="Z1170" s="0" t="inlineStr">
        <is>
          <t>https://new.land.naver.com/complexes/123189?tab=detail&amp;rf=Y</t>
        </is>
      </c>
      <c r="AA1170" s="0" t="inlineStr">
        <is>
          <t>인천시 서구 신현동 158-4</t>
        </is>
      </c>
      <c r="AB1170" s="0" t="inlineStr">
        <is>
          <t>인천시</t>
        </is>
      </c>
      <c r="AC1170" s="0" t="inlineStr">
        <is>
          <t>서구</t>
        </is>
      </c>
      <c r="AD1170" s="0" t="inlineStr">
        <is>
          <t>신현동</t>
        </is>
      </c>
      <c r="AG1170" s="0" t="inlineStr">
        <is>
          <t>인천시 서구 새오개로54번안길 18</t>
        </is>
      </c>
      <c r="AH1170" s="0" t="n">
        <v>0</v>
      </c>
      <c r="AI1170" s="0" t="n">
        <v>0</v>
      </c>
      <c r="AJ1170" s="0" t="n">
        <v>0</v>
      </c>
      <c r="AK1170" s="0" t="n">
        <v>0</v>
      </c>
      <c r="AL1170" s="0" t="n">
        <v>0</v>
      </c>
    </row>
    <row r="1171">
      <c r="A1171" s="0" t="inlineStr">
        <is>
          <t>[신현동]</t>
        </is>
      </c>
      <c r="B1171" s="0" t="n">
        <v>123189</v>
      </c>
      <c r="C1171" s="0" t="n">
        <v>5</v>
      </c>
      <c r="D1171" s="0" t="inlineStr">
        <is>
          <t>한주타운</t>
        </is>
      </c>
      <c r="E1171" s="0" t="inlineStr">
        <is>
          <t>1991.07.</t>
        </is>
      </c>
      <c r="F1171" s="0" t="n">
        <v>222</v>
      </c>
      <c r="G1171" s="0" t="n">
        <v>16.47</v>
      </c>
      <c r="H1171" s="0" t="n">
        <v>54.46</v>
      </c>
      <c r="I1171" s="0" t="n">
        <v>13.61</v>
      </c>
      <c r="J1171" s="0" t="n">
        <v>45</v>
      </c>
      <c r="K1171" s="0" t="n">
        <v>8</v>
      </c>
      <c r="T1171" s="0" t="n">
        <v>2</v>
      </c>
      <c r="U1171" s="0" t="n">
        <v>1</v>
      </c>
      <c r="V1171" s="0" t="inlineStr">
        <is>
          <t>계단식</t>
        </is>
      </c>
      <c r="W1171" s="0" t="inlineStr">
        <is>
          <t>54C</t>
        </is>
      </c>
      <c r="X1171" s="0" t="n">
        <v>4</v>
      </c>
      <c r="Y1171" s="0" t="n">
        <v>3</v>
      </c>
      <c r="Z1171" s="0" t="inlineStr">
        <is>
          <t>https://new.land.naver.com/complexes/123189?tab=detail&amp;rf=Y</t>
        </is>
      </c>
      <c r="AA1171" s="0" t="inlineStr">
        <is>
          <t>인천시 서구 신현동 158-4</t>
        </is>
      </c>
      <c r="AB1171" s="0" t="inlineStr">
        <is>
          <t>인천시</t>
        </is>
      </c>
      <c r="AC1171" s="0" t="inlineStr">
        <is>
          <t>서구</t>
        </is>
      </c>
      <c r="AD1171" s="0" t="inlineStr">
        <is>
          <t>신현동</t>
        </is>
      </c>
      <c r="AG1171" s="0" t="inlineStr">
        <is>
          <t>인천시 서구 새오개로54번안길 18</t>
        </is>
      </c>
      <c r="AH1171" s="0" t="n">
        <v>0</v>
      </c>
      <c r="AI1171" s="0" t="n">
        <v>0</v>
      </c>
      <c r="AJ1171" s="0" t="n">
        <v>0</v>
      </c>
      <c r="AK1171" s="0" t="n">
        <v>0</v>
      </c>
      <c r="AL1171" s="0" t="n">
        <v>0</v>
      </c>
    </row>
    <row r="1172">
      <c r="A1172" s="0" t="inlineStr">
        <is>
          <t>[신현동]</t>
        </is>
      </c>
      <c r="B1172" s="0" t="n">
        <v>123189</v>
      </c>
      <c r="C1172" s="0" t="n">
        <v>6</v>
      </c>
      <c r="D1172" s="0" t="inlineStr">
        <is>
          <t>한주타운</t>
        </is>
      </c>
      <c r="E1172" s="0" t="inlineStr">
        <is>
          <t>1991.07.</t>
        </is>
      </c>
      <c r="F1172" s="0" t="n">
        <v>222</v>
      </c>
      <c r="G1172" s="0" t="n">
        <v>16.67</v>
      </c>
      <c r="H1172" s="0" t="n">
        <v>55.12</v>
      </c>
      <c r="I1172" s="0" t="n">
        <v>13.79</v>
      </c>
      <c r="J1172" s="0" t="n">
        <v>45.6</v>
      </c>
      <c r="K1172" s="0" t="n">
        <v>16</v>
      </c>
      <c r="T1172" s="0" t="n">
        <v>2</v>
      </c>
      <c r="U1172" s="0" t="n">
        <v>1</v>
      </c>
      <c r="V1172" s="0" t="inlineStr">
        <is>
          <t>계단식</t>
        </is>
      </c>
      <c r="W1172" s="0" t="n">
        <v>55</v>
      </c>
      <c r="X1172" s="0" t="n">
        <v>4</v>
      </c>
      <c r="Y1172" s="0" t="n">
        <v>3</v>
      </c>
      <c r="Z1172" s="0" t="inlineStr">
        <is>
          <t>https://new.land.naver.com/complexes/123189?tab=detail&amp;rf=Y</t>
        </is>
      </c>
      <c r="AA1172" s="0" t="inlineStr">
        <is>
          <t>인천시 서구 신현동 158-4</t>
        </is>
      </c>
      <c r="AB1172" s="0" t="inlineStr">
        <is>
          <t>인천시</t>
        </is>
      </c>
      <c r="AC1172" s="0" t="inlineStr">
        <is>
          <t>서구</t>
        </is>
      </c>
      <c r="AD1172" s="0" t="inlineStr">
        <is>
          <t>신현동</t>
        </is>
      </c>
      <c r="AG1172" s="0" t="inlineStr">
        <is>
          <t>인천시 서구 새오개로54번안길 18</t>
        </is>
      </c>
      <c r="AH1172" s="0" t="n">
        <v>0</v>
      </c>
      <c r="AI1172" s="0" t="n">
        <v>0</v>
      </c>
      <c r="AJ1172" s="0" t="n">
        <v>0</v>
      </c>
      <c r="AK1172" s="0" t="n">
        <v>0</v>
      </c>
      <c r="AL1172" s="0" t="n">
        <v>0</v>
      </c>
    </row>
    <row r="1173">
      <c r="A1173" s="0" t="inlineStr">
        <is>
          <t>[신현동]</t>
        </is>
      </c>
      <c r="B1173" s="0" t="n">
        <v>123189</v>
      </c>
      <c r="C1173" s="0" t="n">
        <v>7</v>
      </c>
      <c r="D1173" s="0" t="inlineStr">
        <is>
          <t>한주타운</t>
        </is>
      </c>
      <c r="E1173" s="0" t="inlineStr">
        <is>
          <t>1991.07.</t>
        </is>
      </c>
      <c r="F1173" s="0" t="n">
        <v>222</v>
      </c>
      <c r="G1173" s="0" t="n">
        <v>21.88</v>
      </c>
      <c r="H1173" s="0" t="n">
        <v>72.36</v>
      </c>
      <c r="I1173" s="0" t="n">
        <v>17.82</v>
      </c>
      <c r="J1173" s="0" t="n">
        <v>58.92</v>
      </c>
      <c r="K1173" s="0" t="n">
        <v>6</v>
      </c>
      <c r="T1173" s="0" t="n">
        <v>3</v>
      </c>
      <c r="U1173" s="0" t="n">
        <v>1</v>
      </c>
      <c r="V1173" s="0" t="inlineStr">
        <is>
          <t>계단식</t>
        </is>
      </c>
      <c r="W1173" s="0" t="n">
        <v>72</v>
      </c>
      <c r="X1173" s="0" t="n">
        <v>4</v>
      </c>
      <c r="Y1173" s="0" t="n">
        <v>3</v>
      </c>
      <c r="Z1173" s="0" t="inlineStr">
        <is>
          <t>https://new.land.naver.com/complexes/123189?tab=detail&amp;rf=Y</t>
        </is>
      </c>
      <c r="AA1173" s="0" t="inlineStr">
        <is>
          <t>인천시 서구 신현동 158-4</t>
        </is>
      </c>
      <c r="AB1173" s="0" t="inlineStr">
        <is>
          <t>인천시</t>
        </is>
      </c>
      <c r="AC1173" s="0" t="inlineStr">
        <is>
          <t>서구</t>
        </is>
      </c>
      <c r="AD1173" s="0" t="inlineStr">
        <is>
          <t>신현동</t>
        </is>
      </c>
      <c r="AG1173" s="0" t="inlineStr">
        <is>
          <t>인천시 서구 새오개로54번안길 18</t>
        </is>
      </c>
      <c r="AH1173" s="0" t="n">
        <v>0</v>
      </c>
      <c r="AI1173" s="0" t="n">
        <v>0</v>
      </c>
      <c r="AJ1173" s="0" t="n">
        <v>0</v>
      </c>
      <c r="AK1173" s="0" t="n">
        <v>0</v>
      </c>
      <c r="AL1173" s="0" t="n">
        <v>0</v>
      </c>
    </row>
    <row r="1174">
      <c r="A1174" s="0" t="inlineStr">
        <is>
          <t>[심곡동]</t>
        </is>
      </c>
      <c r="B1174" s="0" t="n">
        <v>114974</v>
      </c>
      <c r="C1174" s="0" t="n">
        <v>1</v>
      </c>
      <c r="D1174" s="0" t="inlineStr">
        <is>
          <t>국제(도시형)</t>
        </is>
      </c>
      <c r="E1174" s="0" t="inlineStr">
        <is>
          <t>2014.09.</t>
        </is>
      </c>
      <c r="F1174" s="0" t="n">
        <v>40</v>
      </c>
      <c r="G1174" s="0" t="n">
        <v>10.04</v>
      </c>
      <c r="H1174" s="0" t="n">
        <v>33.2</v>
      </c>
      <c r="I1174" s="0" t="n">
        <v>6.69</v>
      </c>
      <c r="J1174" s="0" t="n">
        <v>22.12</v>
      </c>
      <c r="K1174" s="0" t="n">
        <v>34</v>
      </c>
      <c r="T1174" s="0" t="n">
        <v>1</v>
      </c>
      <c r="U1174" s="0" t="n">
        <v>1</v>
      </c>
      <c r="V1174" s="0" t="inlineStr">
        <is>
          <t>복도식</t>
        </is>
      </c>
      <c r="W1174" s="0" t="inlineStr">
        <is>
          <t>33C</t>
        </is>
      </c>
      <c r="X1174" s="0" t="n">
        <v>5</v>
      </c>
      <c r="Y1174" s="0" t="n">
        <v>4</v>
      </c>
      <c r="Z1174" s="0" t="inlineStr">
        <is>
          <t>https://new.land.naver.com/complexes/114974?tab=detail&amp;rf=Y</t>
        </is>
      </c>
      <c r="AA1174" s="0" t="inlineStr">
        <is>
          <t>인천시 서구 심곡동 301-5</t>
        </is>
      </c>
      <c r="AB1174" s="0" t="inlineStr">
        <is>
          <t>인천시</t>
        </is>
      </c>
      <c r="AC1174" s="0" t="inlineStr">
        <is>
          <t>서구</t>
        </is>
      </c>
      <c r="AD1174" s="0" t="inlineStr">
        <is>
          <t>심곡동</t>
        </is>
      </c>
      <c r="AG1174" s="0" t="inlineStr">
        <is>
          <t>인천시 서구 심곡로113번길 29</t>
        </is>
      </c>
      <c r="AH1174" s="0" t="n">
        <v>0</v>
      </c>
      <c r="AI1174" s="0" t="n">
        <v>193</v>
      </c>
      <c r="AJ1174" s="0" t="n">
        <v>59</v>
      </c>
      <c r="AK1174" s="0" t="n">
        <v>20</v>
      </c>
      <c r="AL1174" s="0" t="n">
        <v>0.5</v>
      </c>
    </row>
    <row r="1175">
      <c r="A1175" s="0" t="inlineStr">
        <is>
          <t>[심곡동]</t>
        </is>
      </c>
      <c r="B1175" s="0" t="n">
        <v>114974</v>
      </c>
      <c r="C1175" s="0" t="n">
        <v>2</v>
      </c>
      <c r="D1175" s="0" t="inlineStr">
        <is>
          <t>국제(도시형)</t>
        </is>
      </c>
      <c r="E1175" s="0" t="inlineStr">
        <is>
          <t>2014.09.</t>
        </is>
      </c>
      <c r="F1175" s="0" t="n">
        <v>40</v>
      </c>
      <c r="G1175" s="0" t="n">
        <v>9.98</v>
      </c>
      <c r="H1175" s="0" t="n">
        <v>33</v>
      </c>
      <c r="I1175" s="0" t="n">
        <v>6.53</v>
      </c>
      <c r="J1175" s="0" t="n">
        <v>21.59</v>
      </c>
      <c r="K1175" s="0" t="n">
        <v>3</v>
      </c>
      <c r="T1175" s="0" t="n">
        <v>1</v>
      </c>
      <c r="U1175" s="0" t="n">
        <v>1</v>
      </c>
      <c r="V1175" s="0" t="inlineStr">
        <is>
          <t>복도식</t>
        </is>
      </c>
      <c r="W1175" s="0" t="inlineStr">
        <is>
          <t>33A</t>
        </is>
      </c>
      <c r="X1175" s="0" t="n">
        <v>5</v>
      </c>
      <c r="Y1175" s="0" t="n">
        <v>4</v>
      </c>
      <c r="Z1175" s="0" t="inlineStr">
        <is>
          <t>https://new.land.naver.com/complexes/114974?tab=detail&amp;rf=Y</t>
        </is>
      </c>
      <c r="AA1175" s="0" t="inlineStr">
        <is>
          <t>인천시 서구 심곡동 301-5</t>
        </is>
      </c>
      <c r="AB1175" s="0" t="inlineStr">
        <is>
          <t>인천시</t>
        </is>
      </c>
      <c r="AC1175" s="0" t="inlineStr">
        <is>
          <t>서구</t>
        </is>
      </c>
      <c r="AD1175" s="0" t="inlineStr">
        <is>
          <t>심곡동</t>
        </is>
      </c>
      <c r="AG1175" s="0" t="inlineStr">
        <is>
          <t>인천시 서구 심곡로113번길 29</t>
        </is>
      </c>
      <c r="AH1175" s="0" t="n">
        <v>0</v>
      </c>
      <c r="AI1175" s="0" t="n">
        <v>193</v>
      </c>
      <c r="AJ1175" s="0" t="n">
        <v>59</v>
      </c>
      <c r="AK1175" s="0" t="n">
        <v>20</v>
      </c>
      <c r="AL1175" s="0" t="n">
        <v>0.5</v>
      </c>
    </row>
    <row r="1176">
      <c r="A1176" s="0" t="inlineStr">
        <is>
          <t>[심곡동]</t>
        </is>
      </c>
      <c r="B1176" s="0" t="n">
        <v>114974</v>
      </c>
      <c r="C1176" s="0" t="n">
        <v>3</v>
      </c>
      <c r="D1176" s="0" t="inlineStr">
        <is>
          <t>국제(도시형)</t>
        </is>
      </c>
      <c r="E1176" s="0" t="inlineStr">
        <is>
          <t>2014.09.</t>
        </is>
      </c>
      <c r="F1176" s="0" t="n">
        <v>40</v>
      </c>
      <c r="G1176" s="0" t="n">
        <v>9.98</v>
      </c>
      <c r="H1176" s="0" t="n">
        <v>33.02</v>
      </c>
      <c r="I1176" s="0" t="n">
        <v>6.54</v>
      </c>
      <c r="J1176" s="0" t="n">
        <v>21.63</v>
      </c>
      <c r="K1176" s="0" t="n">
        <v>1</v>
      </c>
      <c r="T1176" s="0" t="n">
        <v>1</v>
      </c>
      <c r="U1176" s="0" t="n">
        <v>1</v>
      </c>
      <c r="V1176" s="0" t="inlineStr">
        <is>
          <t>복도식</t>
        </is>
      </c>
      <c r="W1176" s="0" t="inlineStr">
        <is>
          <t>33B</t>
        </is>
      </c>
      <c r="X1176" s="0" t="n">
        <v>5</v>
      </c>
      <c r="Y1176" s="0" t="n">
        <v>4</v>
      </c>
      <c r="Z1176" s="0" t="inlineStr">
        <is>
          <t>https://new.land.naver.com/complexes/114974?tab=detail&amp;rf=Y</t>
        </is>
      </c>
      <c r="AA1176" s="0" t="inlineStr">
        <is>
          <t>인천시 서구 심곡동 301-5</t>
        </is>
      </c>
      <c r="AB1176" s="0" t="inlineStr">
        <is>
          <t>인천시</t>
        </is>
      </c>
      <c r="AC1176" s="0" t="inlineStr">
        <is>
          <t>서구</t>
        </is>
      </c>
      <c r="AD1176" s="0" t="inlineStr">
        <is>
          <t>심곡동</t>
        </is>
      </c>
      <c r="AG1176" s="0" t="inlineStr">
        <is>
          <t>인천시 서구 심곡로113번길 29</t>
        </is>
      </c>
      <c r="AH1176" s="0" t="n">
        <v>0</v>
      </c>
      <c r="AI1176" s="0" t="n">
        <v>193</v>
      </c>
      <c r="AJ1176" s="0" t="n">
        <v>59</v>
      </c>
      <c r="AK1176" s="0" t="n">
        <v>20</v>
      </c>
      <c r="AL1176" s="0" t="n">
        <v>0.5</v>
      </c>
    </row>
    <row r="1177">
      <c r="A1177" s="0" t="inlineStr">
        <is>
          <t>[심곡동]</t>
        </is>
      </c>
      <c r="B1177" s="0" t="n">
        <v>114974</v>
      </c>
      <c r="C1177" s="0" t="n">
        <v>4</v>
      </c>
      <c r="D1177" s="0" t="inlineStr">
        <is>
          <t>국제(도시형)</t>
        </is>
      </c>
      <c r="E1177" s="0" t="inlineStr">
        <is>
          <t>2014.09.</t>
        </is>
      </c>
      <c r="F1177" s="0" t="n">
        <v>40</v>
      </c>
      <c r="G1177" s="0" t="n">
        <v>12.03</v>
      </c>
      <c r="H1177" s="0" t="n">
        <v>39.79</v>
      </c>
      <c r="I1177" s="0" t="n">
        <v>7.97</v>
      </c>
      <c r="J1177" s="0" t="n">
        <v>26.36</v>
      </c>
      <c r="K1177" s="0" t="n">
        <v>2</v>
      </c>
      <c r="T1177" s="0" t="n">
        <v>1</v>
      </c>
      <c r="U1177" s="0" t="n">
        <v>1</v>
      </c>
      <c r="V1177" s="0" t="inlineStr">
        <is>
          <t>복도식</t>
        </is>
      </c>
      <c r="W1177" s="0" t="n">
        <v>39</v>
      </c>
      <c r="X1177" s="0" t="n">
        <v>5</v>
      </c>
      <c r="Y1177" s="0" t="n">
        <v>4</v>
      </c>
      <c r="Z1177" s="0" t="inlineStr">
        <is>
          <t>https://new.land.naver.com/complexes/114974?tab=detail&amp;rf=Y</t>
        </is>
      </c>
      <c r="AA1177" s="0" t="inlineStr">
        <is>
          <t>인천시 서구 심곡동 301-5</t>
        </is>
      </c>
      <c r="AB1177" s="0" t="inlineStr">
        <is>
          <t>인천시</t>
        </is>
      </c>
      <c r="AC1177" s="0" t="inlineStr">
        <is>
          <t>서구</t>
        </is>
      </c>
      <c r="AD1177" s="0" t="inlineStr">
        <is>
          <t>심곡동</t>
        </is>
      </c>
      <c r="AG1177" s="0" t="inlineStr">
        <is>
          <t>인천시 서구 심곡로113번길 29</t>
        </is>
      </c>
      <c r="AH1177" s="0" t="n">
        <v>0</v>
      </c>
      <c r="AI1177" s="0" t="n">
        <v>193</v>
      </c>
      <c r="AJ1177" s="0" t="n">
        <v>59</v>
      </c>
      <c r="AK1177" s="0" t="n">
        <v>20</v>
      </c>
      <c r="AL1177" s="0" t="n">
        <v>0.5</v>
      </c>
    </row>
    <row r="1178">
      <c r="A1178" s="0" t="inlineStr">
        <is>
          <t>[심곡동]</t>
        </is>
      </c>
      <c r="B1178" s="0" t="n">
        <v>8998</v>
      </c>
      <c r="C1178" s="0" t="n">
        <v>1</v>
      </c>
      <c r="D1178" s="0" t="inlineStr">
        <is>
          <t>녹성</t>
        </is>
      </c>
      <c r="E1178" s="0" t="inlineStr">
        <is>
          <t>1995.11.</t>
        </is>
      </c>
      <c r="F1178" s="0" t="n">
        <v>45</v>
      </c>
      <c r="G1178" s="0" t="n">
        <v>23.85</v>
      </c>
      <c r="H1178" s="0" t="n">
        <v>78.84999999999999</v>
      </c>
      <c r="I1178" s="0" t="n">
        <v>18.1</v>
      </c>
      <c r="J1178" s="0" t="n">
        <v>59.86</v>
      </c>
      <c r="K1178" s="0" t="n">
        <v>45</v>
      </c>
      <c r="T1178" s="0" t="n">
        <v>3</v>
      </c>
      <c r="U1178" s="0" t="n">
        <v>1</v>
      </c>
      <c r="V1178" s="0" t="inlineStr">
        <is>
          <t>복도식</t>
        </is>
      </c>
      <c r="W1178" s="0" t="n">
        <v>78</v>
      </c>
      <c r="X1178" s="0" t="n">
        <v>8</v>
      </c>
      <c r="Y1178" s="0" t="n">
        <v>5</v>
      </c>
      <c r="Z1178" s="0" t="inlineStr">
        <is>
          <t>https://new.land.naver.com/complexes/8998?tab=detail&amp;rf=Y</t>
        </is>
      </c>
      <c r="AA1178" s="0" t="inlineStr">
        <is>
          <t>인천시 서구 심곡동 252-6</t>
        </is>
      </c>
      <c r="AB1178" s="0" t="inlineStr">
        <is>
          <t>인천시</t>
        </is>
      </c>
      <c r="AC1178" s="0" t="inlineStr">
        <is>
          <t>서구</t>
        </is>
      </c>
      <c r="AD1178" s="0" t="inlineStr">
        <is>
          <t>심곡동</t>
        </is>
      </c>
      <c r="AG1178" s="0" t="inlineStr">
        <is>
          <t>인천시 서구 심곡로49번길 7</t>
        </is>
      </c>
      <c r="AH1178" s="0" t="n">
        <v>0</v>
      </c>
      <c r="AI1178" s="0" t="n">
        <v>257</v>
      </c>
      <c r="AJ1178" s="0" t="n">
        <v>57</v>
      </c>
      <c r="AK1178" s="0" t="n">
        <v>65</v>
      </c>
      <c r="AL1178" s="0" t="n">
        <v>1.44</v>
      </c>
    </row>
    <row r="1179">
      <c r="A1179" s="0" t="inlineStr">
        <is>
          <t>[심곡동]</t>
        </is>
      </c>
      <c r="B1179" s="0" t="n">
        <v>8250</v>
      </c>
      <c r="C1179" s="0" t="n">
        <v>1</v>
      </c>
      <c r="D1179" s="0" t="inlineStr">
        <is>
          <t>동남</t>
        </is>
      </c>
      <c r="E1179" s="0" t="inlineStr">
        <is>
          <t>1995.08.</t>
        </is>
      </c>
      <c r="F1179" s="0" t="n">
        <v>280</v>
      </c>
      <c r="G1179" s="0" t="n">
        <v>25.21</v>
      </c>
      <c r="H1179" s="0" t="n">
        <v>83.36</v>
      </c>
      <c r="I1179" s="0" t="n">
        <v>18.06</v>
      </c>
      <c r="J1179" s="0" t="n">
        <v>59.73</v>
      </c>
      <c r="K1179" s="0" t="n">
        <v>160</v>
      </c>
      <c r="T1179" s="0" t="n">
        <v>3</v>
      </c>
      <c r="U1179" s="0" t="n">
        <v>1</v>
      </c>
      <c r="V1179" s="0" t="inlineStr">
        <is>
          <t>복도식</t>
        </is>
      </c>
      <c r="W1179" s="0" t="n">
        <v>83</v>
      </c>
      <c r="X1179" s="0" t="n">
        <v>20</v>
      </c>
      <c r="Y1179" s="0" t="n">
        <v>20</v>
      </c>
      <c r="Z1179" s="0" t="inlineStr">
        <is>
          <t>https://new.land.naver.com/complexes/8250?tab=detail&amp;rf=Y</t>
        </is>
      </c>
      <c r="AA1179" s="0" t="inlineStr">
        <is>
          <t>인천시 서구 심곡동 287</t>
        </is>
      </c>
      <c r="AB1179" s="0" t="inlineStr">
        <is>
          <t>인천시</t>
        </is>
      </c>
      <c r="AC1179" s="0" t="inlineStr">
        <is>
          <t>서구</t>
        </is>
      </c>
      <c r="AD1179" s="0" t="inlineStr">
        <is>
          <t>심곡동</t>
        </is>
      </c>
      <c r="AG1179" s="0" t="inlineStr">
        <is>
          <t>인천시 서구 심곡로132번길 17</t>
        </is>
      </c>
      <c r="AH1179" s="0" t="n">
        <v>0</v>
      </c>
      <c r="AI1179" s="0" t="n">
        <v>390</v>
      </c>
      <c r="AJ1179" s="0" t="n">
        <v>25</v>
      </c>
      <c r="AK1179" s="0" t="n">
        <v>214</v>
      </c>
      <c r="AL1179" s="0" t="n">
        <v>0.76</v>
      </c>
    </row>
    <row r="1180">
      <c r="A1180" s="0" t="inlineStr">
        <is>
          <t>[심곡동]</t>
        </is>
      </c>
      <c r="B1180" s="0" t="n">
        <v>8250</v>
      </c>
      <c r="C1180" s="0" t="n">
        <v>2</v>
      </c>
      <c r="D1180" s="0" t="inlineStr">
        <is>
          <t>동남</t>
        </is>
      </c>
      <c r="E1180" s="0" t="inlineStr">
        <is>
          <t>1995.08.</t>
        </is>
      </c>
      <c r="F1180" s="0" t="n">
        <v>280</v>
      </c>
      <c r="G1180" s="0" t="n">
        <v>31.8</v>
      </c>
      <c r="H1180" s="0" t="n">
        <v>105.15</v>
      </c>
      <c r="I1180" s="0" t="n">
        <v>25.66</v>
      </c>
      <c r="J1180" s="0" t="n">
        <v>84.84</v>
      </c>
      <c r="K1180" s="0" t="n">
        <v>120</v>
      </c>
      <c r="T1180" s="0" t="n">
        <v>3</v>
      </c>
      <c r="U1180" s="0" t="n">
        <v>2</v>
      </c>
      <c r="V1180" s="0" t="inlineStr">
        <is>
          <t>계단식</t>
        </is>
      </c>
      <c r="W1180" s="0" t="n">
        <v>105</v>
      </c>
      <c r="X1180" s="0" t="n">
        <v>20</v>
      </c>
      <c r="Y1180" s="0" t="n">
        <v>20</v>
      </c>
      <c r="Z1180" s="0" t="inlineStr">
        <is>
          <t>https://new.land.naver.com/complexes/8250?tab=detail&amp;rf=Y</t>
        </is>
      </c>
      <c r="AA1180" s="0" t="inlineStr">
        <is>
          <t>인천시 서구 심곡동 287</t>
        </is>
      </c>
      <c r="AB1180" s="0" t="inlineStr">
        <is>
          <t>인천시</t>
        </is>
      </c>
      <c r="AC1180" s="0" t="inlineStr">
        <is>
          <t>서구</t>
        </is>
      </c>
      <c r="AD1180" s="0" t="inlineStr">
        <is>
          <t>심곡동</t>
        </is>
      </c>
      <c r="AG1180" s="0" t="inlineStr">
        <is>
          <t>인천시 서구 심곡로132번길 17</t>
        </is>
      </c>
      <c r="AH1180" s="0" t="n">
        <v>0</v>
      </c>
      <c r="AI1180" s="0" t="n">
        <v>390</v>
      </c>
      <c r="AJ1180" s="0" t="n">
        <v>25</v>
      </c>
      <c r="AK1180" s="0" t="n">
        <v>214</v>
      </c>
      <c r="AL1180" s="0" t="n">
        <v>0.76</v>
      </c>
    </row>
    <row r="1181">
      <c r="A1181" s="0" t="inlineStr">
        <is>
          <t>[심곡동]</t>
        </is>
      </c>
      <c r="B1181" s="0" t="n">
        <v>2384</v>
      </c>
      <c r="C1181" s="0" t="n">
        <v>1</v>
      </c>
      <c r="D1181" s="0" t="inlineStr">
        <is>
          <t>광명</t>
        </is>
      </c>
      <c r="E1181" s="0" t="inlineStr">
        <is>
          <t>1997.01.</t>
        </is>
      </c>
      <c r="F1181" s="0" t="n">
        <v>604</v>
      </c>
      <c r="G1181" s="0" t="n">
        <v>23.68</v>
      </c>
      <c r="H1181" s="0" t="n">
        <v>78.29000000000001</v>
      </c>
      <c r="I1181" s="0" t="n">
        <v>18.11</v>
      </c>
      <c r="J1181" s="0" t="n">
        <v>59.88</v>
      </c>
      <c r="K1181" s="0" t="n">
        <v>266</v>
      </c>
      <c r="T1181" s="0" t="n">
        <v>3</v>
      </c>
      <c r="U1181" s="0" t="n">
        <v>1</v>
      </c>
      <c r="V1181" s="0" t="inlineStr">
        <is>
          <t>계단식</t>
        </is>
      </c>
      <c r="W1181" s="0" t="n">
        <v>78</v>
      </c>
      <c r="X1181" s="0" t="n">
        <v>22</v>
      </c>
      <c r="Y1181" s="0" t="n">
        <v>17</v>
      </c>
      <c r="Z1181" s="0" t="inlineStr">
        <is>
          <t>https://new.land.naver.com/complexes/2384?tab=detail&amp;rf=Y</t>
        </is>
      </c>
      <c r="AA1181" s="0" t="inlineStr">
        <is>
          <t>인천시 서구 심곡동 336-1</t>
        </is>
      </c>
      <c r="AB1181" s="0" t="inlineStr">
        <is>
          <t>인천시</t>
        </is>
      </c>
      <c r="AC1181" s="0" t="inlineStr">
        <is>
          <t>서구</t>
        </is>
      </c>
      <c r="AD1181" s="0" t="inlineStr">
        <is>
          <t>심곡동</t>
        </is>
      </c>
      <c r="AG1181" s="0" t="inlineStr">
        <is>
          <t>인천시 서구 심곡로 11</t>
        </is>
      </c>
      <c r="AH1181" s="0" t="n">
        <v>0</v>
      </c>
      <c r="AI1181" s="0" t="n">
        <v>296</v>
      </c>
      <c r="AJ1181" s="0" t="n">
        <v>19</v>
      </c>
      <c r="AK1181" s="0" t="n">
        <v>622</v>
      </c>
      <c r="AL1181" s="0" t="n">
        <v>1.03</v>
      </c>
    </row>
    <row r="1182">
      <c r="A1182" s="0" t="inlineStr">
        <is>
          <t>[심곡동]</t>
        </is>
      </c>
      <c r="B1182" s="0" t="n">
        <v>2384</v>
      </c>
      <c r="C1182" s="0" t="n">
        <v>2</v>
      </c>
      <c r="D1182" s="0" t="inlineStr">
        <is>
          <t>광명</t>
        </is>
      </c>
      <c r="E1182" s="0" t="inlineStr">
        <is>
          <t>1997.01.</t>
        </is>
      </c>
      <c r="F1182" s="0" t="n">
        <v>604</v>
      </c>
      <c r="G1182" s="0" t="n">
        <v>33.53</v>
      </c>
      <c r="H1182" s="0" t="n">
        <v>110.85</v>
      </c>
      <c r="I1182" s="0" t="n">
        <v>25.64</v>
      </c>
      <c r="J1182" s="0" t="n">
        <v>84.78</v>
      </c>
      <c r="K1182" s="0" t="n">
        <v>338</v>
      </c>
      <c r="T1182" s="0" t="n">
        <v>3</v>
      </c>
      <c r="U1182" s="0" t="n">
        <v>2</v>
      </c>
      <c r="V1182" s="0" t="inlineStr">
        <is>
          <t>계단식</t>
        </is>
      </c>
      <c r="W1182" s="0" t="n">
        <v>110</v>
      </c>
      <c r="X1182" s="0" t="n">
        <v>22</v>
      </c>
      <c r="Y1182" s="0" t="n">
        <v>17</v>
      </c>
      <c r="Z1182" s="0" t="inlineStr">
        <is>
          <t>https://new.land.naver.com/complexes/2384?tab=detail&amp;rf=Y</t>
        </is>
      </c>
      <c r="AA1182" s="0" t="inlineStr">
        <is>
          <t>인천시 서구 심곡동 336-1</t>
        </is>
      </c>
      <c r="AB1182" s="0" t="inlineStr">
        <is>
          <t>인천시</t>
        </is>
      </c>
      <c r="AC1182" s="0" t="inlineStr">
        <is>
          <t>서구</t>
        </is>
      </c>
      <c r="AD1182" s="0" t="inlineStr">
        <is>
          <t>심곡동</t>
        </is>
      </c>
      <c r="AG1182" s="0" t="inlineStr">
        <is>
          <t>인천시 서구 심곡로 11</t>
        </is>
      </c>
      <c r="AH1182" s="0" t="n">
        <v>0</v>
      </c>
      <c r="AI1182" s="0" t="n">
        <v>296</v>
      </c>
      <c r="AJ1182" s="0" t="n">
        <v>19</v>
      </c>
      <c r="AK1182" s="0" t="n">
        <v>622</v>
      </c>
      <c r="AL1182" s="0" t="n">
        <v>1.03</v>
      </c>
    </row>
    <row r="1183">
      <c r="A1183" s="0" t="inlineStr">
        <is>
          <t>[심곡동]</t>
        </is>
      </c>
      <c r="B1183" s="0" t="n">
        <v>9219</v>
      </c>
      <c r="C1183" s="0" t="n">
        <v>1</v>
      </c>
      <c r="D1183" s="0" t="inlineStr">
        <is>
          <t>신원</t>
        </is>
      </c>
      <c r="E1183" s="0" t="inlineStr">
        <is>
          <t>1996.09.</t>
        </is>
      </c>
      <c r="F1183" s="0" t="n">
        <v>32</v>
      </c>
      <c r="G1183" s="0" t="n">
        <v>32.5</v>
      </c>
      <c r="H1183" s="0" t="n">
        <v>107.47</v>
      </c>
      <c r="I1183" s="0" t="n">
        <v>29.07</v>
      </c>
      <c r="J1183" s="0" t="n">
        <v>96.09999999999999</v>
      </c>
      <c r="K1183" s="0" t="n">
        <v>16</v>
      </c>
      <c r="T1183" s="0" t="n">
        <v>3</v>
      </c>
      <c r="U1183" s="0" t="n">
        <v>2</v>
      </c>
      <c r="V1183" s="0" t="inlineStr">
        <is>
          <t>계단식</t>
        </is>
      </c>
      <c r="W1183" s="0" t="n">
        <v>107</v>
      </c>
      <c r="X1183" s="0" t="n">
        <v>8</v>
      </c>
      <c r="Y1183" s="0" t="n">
        <v>8</v>
      </c>
      <c r="Z1183" s="0" t="inlineStr">
        <is>
          <t>https://new.land.naver.com/complexes/9219?tab=detail&amp;rf=Y</t>
        </is>
      </c>
      <c r="AA1183" s="0" t="inlineStr">
        <is>
          <t>인천시 서구 심곡동 290-3</t>
        </is>
      </c>
      <c r="AB1183" s="0" t="inlineStr">
        <is>
          <t>인천시</t>
        </is>
      </c>
      <c r="AC1183" s="0" t="inlineStr">
        <is>
          <t>서구</t>
        </is>
      </c>
      <c r="AD1183" s="0" t="inlineStr">
        <is>
          <t>심곡동</t>
        </is>
      </c>
      <c r="AG1183" s="0" t="inlineStr">
        <is>
          <t>인천시 서구 심곡로132번길 8</t>
        </is>
      </c>
      <c r="AH1183" s="0" t="n">
        <v>0</v>
      </c>
      <c r="AI1183" s="0" t="n">
        <v>0</v>
      </c>
      <c r="AJ1183" s="0" t="n">
        <v>0</v>
      </c>
      <c r="AK1183" s="0" t="n">
        <v>36</v>
      </c>
      <c r="AL1183" s="0" t="n">
        <v>1.12</v>
      </c>
    </row>
    <row r="1184">
      <c r="A1184" s="0" t="inlineStr">
        <is>
          <t>[심곡동]</t>
        </is>
      </c>
      <c r="B1184" s="0" t="n">
        <v>9219</v>
      </c>
      <c r="C1184" s="0" t="n">
        <v>2</v>
      </c>
      <c r="D1184" s="0" t="inlineStr">
        <is>
          <t>신원</t>
        </is>
      </c>
      <c r="E1184" s="0" t="inlineStr">
        <is>
          <t>1996.09.</t>
        </is>
      </c>
      <c r="F1184" s="0" t="n">
        <v>32</v>
      </c>
      <c r="G1184" s="0" t="n">
        <v>39.26</v>
      </c>
      <c r="H1184" s="0" t="n">
        <v>129.79</v>
      </c>
      <c r="I1184" s="0" t="n">
        <v>31.83</v>
      </c>
      <c r="J1184" s="0" t="n">
        <v>105.24</v>
      </c>
      <c r="K1184" s="0" t="n">
        <v>8</v>
      </c>
      <c r="T1184" s="0" t="n">
        <v>3</v>
      </c>
      <c r="U1184" s="0" t="n">
        <v>2</v>
      </c>
      <c r="V1184" s="0" t="inlineStr">
        <is>
          <t>계단식</t>
        </is>
      </c>
      <c r="W1184" s="0" t="n">
        <v>129</v>
      </c>
      <c r="X1184" s="0" t="n">
        <v>8</v>
      </c>
      <c r="Y1184" s="0" t="n">
        <v>8</v>
      </c>
      <c r="Z1184" s="0" t="inlineStr">
        <is>
          <t>https://new.land.naver.com/complexes/9219?tab=detail&amp;rf=Y</t>
        </is>
      </c>
      <c r="AA1184" s="0" t="inlineStr">
        <is>
          <t>인천시 서구 심곡동 290-3</t>
        </is>
      </c>
      <c r="AB1184" s="0" t="inlineStr">
        <is>
          <t>인천시</t>
        </is>
      </c>
      <c r="AC1184" s="0" t="inlineStr">
        <is>
          <t>서구</t>
        </is>
      </c>
      <c r="AD1184" s="0" t="inlineStr">
        <is>
          <t>심곡동</t>
        </is>
      </c>
      <c r="AG1184" s="0" t="inlineStr">
        <is>
          <t>인천시 서구 심곡로132번길 8</t>
        </is>
      </c>
      <c r="AH1184" s="0" t="n">
        <v>0</v>
      </c>
      <c r="AI1184" s="0" t="n">
        <v>0</v>
      </c>
      <c r="AJ1184" s="0" t="n">
        <v>0</v>
      </c>
      <c r="AK1184" s="0" t="n">
        <v>36</v>
      </c>
      <c r="AL1184" s="0" t="n">
        <v>1.12</v>
      </c>
    </row>
    <row r="1185">
      <c r="A1185" s="0" t="inlineStr">
        <is>
          <t>[심곡동]</t>
        </is>
      </c>
      <c r="B1185" s="0" t="n">
        <v>9219</v>
      </c>
      <c r="C1185" s="0" t="n">
        <v>3</v>
      </c>
      <c r="D1185" s="0" t="inlineStr">
        <is>
          <t>신원</t>
        </is>
      </c>
      <c r="E1185" s="0" t="inlineStr">
        <is>
          <t>1996.09.</t>
        </is>
      </c>
      <c r="F1185" s="0" t="n">
        <v>32</v>
      </c>
      <c r="G1185" s="0" t="n">
        <v>42.28</v>
      </c>
      <c r="H1185" s="0" t="n">
        <v>139.78</v>
      </c>
      <c r="I1185" s="0" t="n">
        <v>34.28</v>
      </c>
      <c r="J1185" s="0" t="n">
        <v>113.34</v>
      </c>
      <c r="K1185" s="0" t="n">
        <v>8</v>
      </c>
      <c r="T1185" s="0" t="n">
        <v>4</v>
      </c>
      <c r="U1185" s="0" t="n">
        <v>2</v>
      </c>
      <c r="V1185" s="0" t="inlineStr">
        <is>
          <t>계단식</t>
        </is>
      </c>
      <c r="W1185" s="0" t="n">
        <v>139</v>
      </c>
      <c r="X1185" s="0" t="n">
        <v>8</v>
      </c>
      <c r="Y1185" s="0" t="n">
        <v>8</v>
      </c>
      <c r="Z1185" s="0" t="inlineStr">
        <is>
          <t>https://new.land.naver.com/complexes/9219?tab=detail&amp;rf=Y</t>
        </is>
      </c>
      <c r="AA1185" s="0" t="inlineStr">
        <is>
          <t>인천시 서구 심곡동 290-3</t>
        </is>
      </c>
      <c r="AB1185" s="0" t="inlineStr">
        <is>
          <t>인천시</t>
        </is>
      </c>
      <c r="AC1185" s="0" t="inlineStr">
        <is>
          <t>서구</t>
        </is>
      </c>
      <c r="AD1185" s="0" t="inlineStr">
        <is>
          <t>심곡동</t>
        </is>
      </c>
      <c r="AG1185" s="0" t="inlineStr">
        <is>
          <t>인천시 서구 심곡로132번길 8</t>
        </is>
      </c>
      <c r="AH1185" s="0" t="n">
        <v>0</v>
      </c>
      <c r="AI1185" s="0" t="n">
        <v>0</v>
      </c>
      <c r="AJ1185" s="0" t="n">
        <v>0</v>
      </c>
      <c r="AK1185" s="0" t="n">
        <v>36</v>
      </c>
      <c r="AL1185" s="0" t="n">
        <v>1.12</v>
      </c>
    </row>
    <row r="1186">
      <c r="A1186" s="0" t="inlineStr">
        <is>
          <t>[심곡동]</t>
        </is>
      </c>
      <c r="B1186" s="0" t="n">
        <v>2386</v>
      </c>
      <c r="C1186" s="0" t="n">
        <v>1</v>
      </c>
      <c r="D1186" s="0" t="inlineStr">
        <is>
          <t>삼용타워</t>
        </is>
      </c>
      <c r="E1186" s="0" t="inlineStr">
        <is>
          <t>1996.06.</t>
        </is>
      </c>
      <c r="F1186" s="0" t="n">
        <v>87</v>
      </c>
      <c r="G1186" s="0" t="n">
        <v>23.76</v>
      </c>
      <c r="H1186" s="0" t="n">
        <v>78.56</v>
      </c>
      <c r="I1186" s="0" t="n">
        <v>18.1</v>
      </c>
      <c r="J1186" s="0" t="n">
        <v>59.85</v>
      </c>
      <c r="K1186" s="0" t="n">
        <v>87</v>
      </c>
      <c r="T1186" s="0" t="n">
        <v>3</v>
      </c>
      <c r="U1186" s="0" t="n">
        <v>1</v>
      </c>
      <c r="V1186" s="0" t="inlineStr">
        <is>
          <t>복도식</t>
        </is>
      </c>
      <c r="W1186" s="0" t="n">
        <v>78</v>
      </c>
      <c r="X1186" s="0" t="n">
        <v>13</v>
      </c>
      <c r="Y1186" s="0" t="n">
        <v>13</v>
      </c>
      <c r="Z1186" s="0" t="inlineStr">
        <is>
          <t>https://new.land.naver.com/complexes/2386?tab=detail&amp;rf=Y</t>
        </is>
      </c>
      <c r="AA1186" s="0" t="inlineStr">
        <is>
          <t>인천시 서구 심곡동 282</t>
        </is>
      </c>
      <c r="AB1186" s="0" t="inlineStr">
        <is>
          <t>인천시</t>
        </is>
      </c>
      <c r="AC1186" s="0" t="inlineStr">
        <is>
          <t>서구</t>
        </is>
      </c>
      <c r="AD1186" s="0" t="inlineStr">
        <is>
          <t>심곡동</t>
        </is>
      </c>
      <c r="AG1186" s="0" t="inlineStr">
        <is>
          <t>인천시 서구 탁옥로 89</t>
        </is>
      </c>
      <c r="AH1186" s="0" t="n">
        <v>0</v>
      </c>
      <c r="AI1186" s="0" t="n">
        <v>358</v>
      </c>
      <c r="AJ1186" s="0" t="n">
        <v>50</v>
      </c>
      <c r="AK1186" s="0" t="n">
        <v>66</v>
      </c>
      <c r="AL1186" s="0" t="n">
        <v>0.76</v>
      </c>
    </row>
    <row r="1187">
      <c r="A1187" s="0" t="inlineStr">
        <is>
          <t>[심곡동]</t>
        </is>
      </c>
      <c r="B1187" s="0" t="n">
        <v>2385</v>
      </c>
      <c r="C1187" s="0" t="n">
        <v>1</v>
      </c>
      <c r="D1187" s="0" t="inlineStr">
        <is>
          <t>극동늘푸른</t>
        </is>
      </c>
      <c r="E1187" s="0" t="inlineStr">
        <is>
          <t>1997.08.</t>
        </is>
      </c>
      <c r="F1187" s="0" t="n">
        <v>998</v>
      </c>
      <c r="G1187" s="0" t="n">
        <v>24.45</v>
      </c>
      <c r="H1187" s="0" t="n">
        <v>80.83</v>
      </c>
      <c r="I1187" s="0" t="n">
        <v>18.08</v>
      </c>
      <c r="J1187" s="0" t="n">
        <v>59.79</v>
      </c>
      <c r="K1187" s="0" t="n">
        <v>480</v>
      </c>
      <c r="T1187" s="0" t="n">
        <v>3</v>
      </c>
      <c r="U1187" s="0" t="n">
        <v>1</v>
      </c>
      <c r="V1187" s="0" t="inlineStr">
        <is>
          <t>계단식</t>
        </is>
      </c>
      <c r="W1187" s="0" t="n">
        <v>80</v>
      </c>
      <c r="X1187" s="0" t="n">
        <v>24</v>
      </c>
      <c r="Y1187" s="0" t="n">
        <v>15</v>
      </c>
      <c r="Z1187" s="0" t="inlineStr">
        <is>
          <t>https://new.land.naver.com/complexes/2385?tab=detail&amp;rf=Y</t>
        </is>
      </c>
      <c r="AA1187" s="0" t="inlineStr">
        <is>
          <t>인천시 서구 심곡동 259-2</t>
        </is>
      </c>
      <c r="AB1187" s="0" t="inlineStr">
        <is>
          <t>인천시</t>
        </is>
      </c>
      <c r="AC1187" s="0" t="inlineStr">
        <is>
          <t>서구</t>
        </is>
      </c>
      <c r="AD1187" s="0" t="inlineStr">
        <is>
          <t>심곡동</t>
        </is>
      </c>
      <c r="AG1187" s="0" t="inlineStr">
        <is>
          <t>인천시 서구 승학로 198</t>
        </is>
      </c>
      <c r="AH1187" s="0" t="n">
        <v>0</v>
      </c>
      <c r="AI1187" s="0" t="n">
        <v>276</v>
      </c>
      <c r="AJ1187" s="0" t="n">
        <v>20</v>
      </c>
      <c r="AK1187" s="0" t="n">
        <v>1045</v>
      </c>
      <c r="AL1187" s="0" t="n">
        <v>1.05</v>
      </c>
    </row>
    <row r="1188">
      <c r="A1188" s="0" t="inlineStr">
        <is>
          <t>[심곡동]</t>
        </is>
      </c>
      <c r="B1188" s="0" t="n">
        <v>2385</v>
      </c>
      <c r="C1188" s="0" t="n">
        <v>2</v>
      </c>
      <c r="D1188" s="0" t="inlineStr">
        <is>
          <t>극동늘푸른</t>
        </is>
      </c>
      <c r="E1188" s="0" t="inlineStr">
        <is>
          <t>1997.08.</t>
        </is>
      </c>
      <c r="F1188" s="0" t="n">
        <v>998</v>
      </c>
      <c r="G1188" s="0" t="n">
        <v>32.42</v>
      </c>
      <c r="H1188" s="0" t="n">
        <v>107.18</v>
      </c>
      <c r="I1188" s="0" t="n">
        <v>25.67</v>
      </c>
      <c r="J1188" s="0" t="n">
        <v>84.86</v>
      </c>
      <c r="K1188" s="0" t="n">
        <v>518</v>
      </c>
      <c r="T1188" s="0" t="n">
        <v>3</v>
      </c>
      <c r="U1188" s="0" t="n">
        <v>2</v>
      </c>
      <c r="V1188" s="0" t="inlineStr">
        <is>
          <t>계단식</t>
        </is>
      </c>
      <c r="W1188" s="0" t="n">
        <v>107</v>
      </c>
      <c r="X1188" s="0" t="n">
        <v>24</v>
      </c>
      <c r="Y1188" s="0" t="n">
        <v>15</v>
      </c>
      <c r="Z1188" s="0" t="inlineStr">
        <is>
          <t>https://new.land.naver.com/complexes/2385?tab=detail&amp;rf=Y</t>
        </is>
      </c>
      <c r="AA1188" s="0" t="inlineStr">
        <is>
          <t>인천시 서구 심곡동 259-2</t>
        </is>
      </c>
      <c r="AB1188" s="0" t="inlineStr">
        <is>
          <t>인천시</t>
        </is>
      </c>
      <c r="AC1188" s="0" t="inlineStr">
        <is>
          <t>서구</t>
        </is>
      </c>
      <c r="AD1188" s="0" t="inlineStr">
        <is>
          <t>심곡동</t>
        </is>
      </c>
      <c r="AG1188" s="0" t="inlineStr">
        <is>
          <t>인천시 서구 승학로 198</t>
        </is>
      </c>
      <c r="AH1188" s="0" t="n">
        <v>0</v>
      </c>
      <c r="AI1188" s="0" t="n">
        <v>276</v>
      </c>
      <c r="AJ1188" s="0" t="n">
        <v>20</v>
      </c>
      <c r="AK1188" s="0" t="n">
        <v>1045</v>
      </c>
      <c r="AL1188" s="0" t="n">
        <v>1.05</v>
      </c>
    </row>
    <row r="1189">
      <c r="A1189" s="0" t="inlineStr">
        <is>
          <t>[심곡동]</t>
        </is>
      </c>
      <c r="B1189" s="0" t="n">
        <v>8249</v>
      </c>
      <c r="C1189" s="0" t="n">
        <v>1</v>
      </c>
      <c r="D1189" s="0" t="inlineStr">
        <is>
          <t>한국</t>
        </is>
      </c>
      <c r="E1189" s="0" t="inlineStr">
        <is>
          <t>1995.02.</t>
        </is>
      </c>
      <c r="F1189" s="0" t="n">
        <v>392</v>
      </c>
      <c r="G1189" s="0" t="n">
        <v>24.02</v>
      </c>
      <c r="H1189" s="0" t="n">
        <v>79.42</v>
      </c>
      <c r="I1189" s="0" t="n">
        <v>17.64</v>
      </c>
      <c r="J1189" s="0" t="n">
        <v>58.32</v>
      </c>
      <c r="K1189" s="0" t="n">
        <v>152</v>
      </c>
      <c r="T1189" s="0" t="n">
        <v>2</v>
      </c>
      <c r="U1189" s="0" t="n">
        <v>1</v>
      </c>
      <c r="V1189" s="0" t="inlineStr">
        <is>
          <t>복도식</t>
        </is>
      </c>
      <c r="W1189" s="0" t="n">
        <v>79</v>
      </c>
      <c r="X1189" s="0" t="n">
        <v>21</v>
      </c>
      <c r="Y1189" s="0" t="n">
        <v>19</v>
      </c>
      <c r="Z1189" s="0" t="inlineStr">
        <is>
          <t>https://new.land.naver.com/complexes/8249?tab=detail&amp;rf=Y</t>
        </is>
      </c>
      <c r="AA1189" s="0" t="inlineStr">
        <is>
          <t>인천시 서구 심곡동 302</t>
        </is>
      </c>
      <c r="AB1189" s="0" t="inlineStr">
        <is>
          <t>인천시</t>
        </is>
      </c>
      <c r="AC1189" s="0" t="inlineStr">
        <is>
          <t>서구</t>
        </is>
      </c>
      <c r="AD1189" s="0" t="inlineStr">
        <is>
          <t>심곡동</t>
        </is>
      </c>
      <c r="AG1189" s="0" t="inlineStr">
        <is>
          <t>인천시 서구 탁옥로74번길 3</t>
        </is>
      </c>
      <c r="AH1189" s="0" t="n">
        <v>0</v>
      </c>
      <c r="AI1189" s="0" t="n">
        <v>353</v>
      </c>
      <c r="AJ1189" s="0" t="n">
        <v>23</v>
      </c>
      <c r="AK1189" s="0" t="n">
        <v>318</v>
      </c>
      <c r="AL1189" s="0" t="n">
        <v>0.8100000000000001</v>
      </c>
    </row>
    <row r="1190">
      <c r="A1190" s="0" t="inlineStr">
        <is>
          <t>[심곡동]</t>
        </is>
      </c>
      <c r="B1190" s="0" t="n">
        <v>8249</v>
      </c>
      <c r="C1190" s="0" t="n">
        <v>2</v>
      </c>
      <c r="D1190" s="0" t="inlineStr">
        <is>
          <t>한국</t>
        </is>
      </c>
      <c r="E1190" s="0" t="inlineStr">
        <is>
          <t>1995.02.</t>
        </is>
      </c>
      <c r="F1190" s="0" t="n">
        <v>392</v>
      </c>
      <c r="G1190" s="0" t="n">
        <v>31.23</v>
      </c>
      <c r="H1190" s="0" t="n">
        <v>103.27</v>
      </c>
      <c r="I1190" s="0" t="n">
        <v>25.57</v>
      </c>
      <c r="J1190" s="0" t="n">
        <v>84.56</v>
      </c>
      <c r="K1190" s="0" t="n">
        <v>126</v>
      </c>
      <c r="T1190" s="0" t="n">
        <v>3</v>
      </c>
      <c r="U1190" s="0" t="n">
        <v>2</v>
      </c>
      <c r="V1190" s="0" t="inlineStr">
        <is>
          <t>계단식</t>
        </is>
      </c>
      <c r="W1190" s="0" t="inlineStr">
        <is>
          <t>103A</t>
        </is>
      </c>
      <c r="X1190" s="0" t="n">
        <v>21</v>
      </c>
      <c r="Y1190" s="0" t="n">
        <v>19</v>
      </c>
      <c r="Z1190" s="0" t="inlineStr">
        <is>
          <t>https://new.land.naver.com/complexes/8249?tab=detail&amp;rf=Y</t>
        </is>
      </c>
      <c r="AA1190" s="0" t="inlineStr">
        <is>
          <t>인천시 서구 심곡동 302</t>
        </is>
      </c>
      <c r="AB1190" s="0" t="inlineStr">
        <is>
          <t>인천시</t>
        </is>
      </c>
      <c r="AC1190" s="0" t="inlineStr">
        <is>
          <t>서구</t>
        </is>
      </c>
      <c r="AD1190" s="0" t="inlineStr">
        <is>
          <t>심곡동</t>
        </is>
      </c>
      <c r="AG1190" s="0" t="inlineStr">
        <is>
          <t>인천시 서구 탁옥로74번길 3</t>
        </is>
      </c>
      <c r="AH1190" s="0" t="n">
        <v>0</v>
      </c>
      <c r="AI1190" s="0" t="n">
        <v>353</v>
      </c>
      <c r="AJ1190" s="0" t="n">
        <v>23</v>
      </c>
      <c r="AK1190" s="0" t="n">
        <v>318</v>
      </c>
      <c r="AL1190" s="0" t="n">
        <v>0.8100000000000001</v>
      </c>
    </row>
    <row r="1191">
      <c r="A1191" s="0" t="inlineStr">
        <is>
          <t>[심곡동]</t>
        </is>
      </c>
      <c r="B1191" s="0" t="n">
        <v>8249</v>
      </c>
      <c r="C1191" s="0" t="n">
        <v>3</v>
      </c>
      <c r="D1191" s="0" t="inlineStr">
        <is>
          <t>한국</t>
        </is>
      </c>
      <c r="E1191" s="0" t="inlineStr">
        <is>
          <t>1995.02.</t>
        </is>
      </c>
      <c r="F1191" s="0" t="n">
        <v>392</v>
      </c>
      <c r="G1191" s="0" t="n">
        <v>31.31</v>
      </c>
      <c r="H1191" s="0" t="n">
        <v>103.51</v>
      </c>
      <c r="I1191" s="0" t="n">
        <v>25.63</v>
      </c>
      <c r="J1191" s="0" t="n">
        <v>84.75</v>
      </c>
      <c r="K1191" s="0" t="n">
        <v>38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103B</t>
        </is>
      </c>
      <c r="X1191" s="0" t="n">
        <v>21</v>
      </c>
      <c r="Y1191" s="0" t="n">
        <v>19</v>
      </c>
      <c r="Z1191" s="0" t="inlineStr">
        <is>
          <t>https://new.land.naver.com/complexes/8249?tab=detail&amp;rf=Y</t>
        </is>
      </c>
      <c r="AA1191" s="0" t="inlineStr">
        <is>
          <t>인천시 서구 심곡동 302</t>
        </is>
      </c>
      <c r="AB1191" s="0" t="inlineStr">
        <is>
          <t>인천시</t>
        </is>
      </c>
      <c r="AC1191" s="0" t="inlineStr">
        <is>
          <t>서구</t>
        </is>
      </c>
      <c r="AD1191" s="0" t="inlineStr">
        <is>
          <t>심곡동</t>
        </is>
      </c>
      <c r="AG1191" s="0" t="inlineStr">
        <is>
          <t>인천시 서구 탁옥로74번길 3</t>
        </is>
      </c>
      <c r="AH1191" s="0" t="n">
        <v>0</v>
      </c>
      <c r="AI1191" s="0" t="n">
        <v>353</v>
      </c>
      <c r="AJ1191" s="0" t="n">
        <v>23</v>
      </c>
      <c r="AK1191" s="0" t="n">
        <v>318</v>
      </c>
      <c r="AL1191" s="0" t="n">
        <v>0.8100000000000001</v>
      </c>
    </row>
    <row r="1192">
      <c r="A1192" s="0" t="inlineStr">
        <is>
          <t>[심곡동]</t>
        </is>
      </c>
      <c r="B1192" s="0" t="n">
        <v>8249</v>
      </c>
      <c r="C1192" s="0" t="n">
        <v>4</v>
      </c>
      <c r="D1192" s="0" t="inlineStr">
        <is>
          <t>한국</t>
        </is>
      </c>
      <c r="E1192" s="0" t="inlineStr">
        <is>
          <t>1995.02.</t>
        </is>
      </c>
      <c r="F1192" s="0" t="n">
        <v>392</v>
      </c>
      <c r="G1192" s="0" t="n">
        <v>46.13</v>
      </c>
      <c r="H1192" s="0" t="n">
        <v>152.51</v>
      </c>
      <c r="I1192" s="0" t="n">
        <v>39.36</v>
      </c>
      <c r="J1192" s="0" t="n">
        <v>130.14</v>
      </c>
      <c r="K1192" s="0" t="n">
        <v>76</v>
      </c>
      <c r="T1192" s="0" t="n">
        <v>4</v>
      </c>
      <c r="U1192" s="0" t="n">
        <v>2</v>
      </c>
      <c r="V1192" s="0" t="inlineStr">
        <is>
          <t>계단식</t>
        </is>
      </c>
      <c r="W1192" s="0" t="n">
        <v>152</v>
      </c>
      <c r="X1192" s="0" t="n">
        <v>21</v>
      </c>
      <c r="Y1192" s="0" t="n">
        <v>19</v>
      </c>
      <c r="Z1192" s="0" t="inlineStr">
        <is>
          <t>https://new.land.naver.com/complexes/8249?tab=detail&amp;rf=Y</t>
        </is>
      </c>
      <c r="AA1192" s="0" t="inlineStr">
        <is>
          <t>인천시 서구 심곡동 302</t>
        </is>
      </c>
      <c r="AB1192" s="0" t="inlineStr">
        <is>
          <t>인천시</t>
        </is>
      </c>
      <c r="AC1192" s="0" t="inlineStr">
        <is>
          <t>서구</t>
        </is>
      </c>
      <c r="AD1192" s="0" t="inlineStr">
        <is>
          <t>심곡동</t>
        </is>
      </c>
      <c r="AG1192" s="0" t="inlineStr">
        <is>
          <t>인천시 서구 탁옥로74번길 3</t>
        </is>
      </c>
      <c r="AH1192" s="0" t="n">
        <v>0</v>
      </c>
      <c r="AI1192" s="0" t="n">
        <v>353</v>
      </c>
      <c r="AJ1192" s="0" t="n">
        <v>23</v>
      </c>
      <c r="AK1192" s="0" t="n">
        <v>318</v>
      </c>
      <c r="AL1192" s="0" t="n">
        <v>0.8100000000000001</v>
      </c>
    </row>
    <row r="1193">
      <c r="A1193" s="0" t="inlineStr">
        <is>
          <t>[심곡동]</t>
        </is>
      </c>
      <c r="B1193" s="0" t="n">
        <v>8204</v>
      </c>
      <c r="C1193" s="0" t="n">
        <v>1</v>
      </c>
      <c r="D1193" s="0" t="inlineStr">
        <is>
          <t>삼성</t>
        </is>
      </c>
      <c r="E1193" s="0" t="inlineStr">
        <is>
          <t>1997.06.</t>
        </is>
      </c>
      <c r="F1193" s="0" t="n">
        <v>421</v>
      </c>
      <c r="G1193" s="0" t="n">
        <v>23.56</v>
      </c>
      <c r="H1193" s="0" t="n">
        <v>77.90000000000001</v>
      </c>
      <c r="I1193" s="0" t="n">
        <v>18.11</v>
      </c>
      <c r="J1193" s="0" t="n">
        <v>59.9</v>
      </c>
      <c r="K1193" s="0" t="n">
        <v>172</v>
      </c>
      <c r="T1193" s="0" t="n">
        <v>3</v>
      </c>
      <c r="U1193" s="0" t="n">
        <v>1</v>
      </c>
      <c r="V1193" s="0" t="inlineStr">
        <is>
          <t>계단식</t>
        </is>
      </c>
      <c r="W1193" s="0" t="n">
        <v>77</v>
      </c>
      <c r="X1193" s="0" t="n">
        <v>24</v>
      </c>
      <c r="Y1193" s="0" t="n">
        <v>15</v>
      </c>
      <c r="Z1193" s="0" t="inlineStr">
        <is>
          <t>https://new.land.naver.com/complexes/8204?tab=detail&amp;rf=Y</t>
        </is>
      </c>
      <c r="AA1193" s="0" t="inlineStr">
        <is>
          <t>인천시 서구 심곡동 330-1</t>
        </is>
      </c>
      <c r="AB1193" s="0" t="inlineStr">
        <is>
          <t>인천시</t>
        </is>
      </c>
      <c r="AC1193" s="0" t="inlineStr">
        <is>
          <t>서구</t>
        </is>
      </c>
      <c r="AD1193" s="0" t="inlineStr">
        <is>
          <t>심곡동</t>
        </is>
      </c>
      <c r="AG1193" s="0" t="inlineStr">
        <is>
          <t>인천시 서구 용두산로13번길 12</t>
        </is>
      </c>
      <c r="AH1193" s="0" t="n">
        <v>0</v>
      </c>
      <c r="AI1193" s="0" t="n">
        <v>323</v>
      </c>
      <c r="AJ1193" s="0" t="n">
        <v>26</v>
      </c>
      <c r="AK1193" s="0" t="n">
        <v>437</v>
      </c>
      <c r="AL1193" s="0" t="n">
        <v>1.04</v>
      </c>
    </row>
    <row r="1194">
      <c r="A1194" s="0" t="inlineStr">
        <is>
          <t>[심곡동]</t>
        </is>
      </c>
      <c r="B1194" s="0" t="n">
        <v>8204</v>
      </c>
      <c r="C1194" s="0" t="n">
        <v>2</v>
      </c>
      <c r="D1194" s="0" t="inlineStr">
        <is>
          <t>삼성</t>
        </is>
      </c>
      <c r="E1194" s="0" t="inlineStr">
        <is>
          <t>1997.06.</t>
        </is>
      </c>
      <c r="F1194" s="0" t="n">
        <v>421</v>
      </c>
      <c r="G1194" s="0" t="n">
        <v>33.39</v>
      </c>
      <c r="H1194" s="0" t="n">
        <v>110.39</v>
      </c>
      <c r="I1194" s="0" t="n">
        <v>25.67</v>
      </c>
      <c r="J1194" s="0" t="n">
        <v>84.88</v>
      </c>
      <c r="K1194" s="0" t="n">
        <v>249</v>
      </c>
      <c r="T1194" s="0" t="n">
        <v>3</v>
      </c>
      <c r="U1194" s="0" t="n">
        <v>2</v>
      </c>
      <c r="V1194" s="0" t="inlineStr">
        <is>
          <t>계단식</t>
        </is>
      </c>
      <c r="W1194" s="0" t="n">
        <v>110</v>
      </c>
      <c r="X1194" s="0" t="n">
        <v>24</v>
      </c>
      <c r="Y1194" s="0" t="n">
        <v>15</v>
      </c>
      <c r="Z1194" s="0" t="inlineStr">
        <is>
          <t>https://new.land.naver.com/complexes/8204?tab=detail&amp;rf=Y</t>
        </is>
      </c>
      <c r="AA1194" s="0" t="inlineStr">
        <is>
          <t>인천시 서구 심곡동 330-1</t>
        </is>
      </c>
      <c r="AB1194" s="0" t="inlineStr">
        <is>
          <t>인천시</t>
        </is>
      </c>
      <c r="AC1194" s="0" t="inlineStr">
        <is>
          <t>서구</t>
        </is>
      </c>
      <c r="AD1194" s="0" t="inlineStr">
        <is>
          <t>심곡동</t>
        </is>
      </c>
      <c r="AG1194" s="0" t="inlineStr">
        <is>
          <t>인천시 서구 용두산로13번길 12</t>
        </is>
      </c>
      <c r="AH1194" s="0" t="n">
        <v>0</v>
      </c>
      <c r="AI1194" s="0" t="n">
        <v>323</v>
      </c>
      <c r="AJ1194" s="0" t="n">
        <v>26</v>
      </c>
      <c r="AK1194" s="0" t="n">
        <v>437</v>
      </c>
      <c r="AL1194" s="0" t="n">
        <v>1.04</v>
      </c>
    </row>
    <row r="1195">
      <c r="A1195" s="0" t="inlineStr">
        <is>
          <t>[심곡동]</t>
        </is>
      </c>
      <c r="B1195" s="0" t="n">
        <v>9503</v>
      </c>
      <c r="C1195" s="0" t="n">
        <v>1</v>
      </c>
      <c r="D1195" s="0" t="inlineStr">
        <is>
          <t>대동</t>
        </is>
      </c>
      <c r="E1195" s="0" t="inlineStr">
        <is>
          <t>1996.05.</t>
        </is>
      </c>
      <c r="F1195" s="0" t="n">
        <v>1048</v>
      </c>
      <c r="G1195" s="0" t="n">
        <v>25.47</v>
      </c>
      <c r="H1195" s="0" t="n">
        <v>84.23</v>
      </c>
      <c r="I1195" s="0" t="n">
        <v>18.12</v>
      </c>
      <c r="J1195" s="0" t="n">
        <v>59.91</v>
      </c>
      <c r="K1195" s="0" t="n">
        <v>576</v>
      </c>
      <c r="T1195" s="0" t="n">
        <v>3</v>
      </c>
      <c r="U1195" s="0" t="n">
        <v>1</v>
      </c>
      <c r="V1195" s="0" t="inlineStr">
        <is>
          <t>복도식</t>
        </is>
      </c>
      <c r="W1195" s="0" t="n">
        <v>84</v>
      </c>
      <c r="X1195" s="0" t="n">
        <v>24</v>
      </c>
      <c r="Y1195" s="0" t="n">
        <v>15</v>
      </c>
      <c r="Z1195" s="0" t="inlineStr">
        <is>
          <t>https://new.land.naver.com/complexes/9503?tab=detail&amp;rf=Y</t>
        </is>
      </c>
      <c r="AA1195" s="0" t="inlineStr">
        <is>
          <t>인천시 서구 심곡동 285</t>
        </is>
      </c>
      <c r="AB1195" s="0" t="inlineStr">
        <is>
          <t>인천시</t>
        </is>
      </c>
      <c r="AC1195" s="0" t="inlineStr">
        <is>
          <t>서구</t>
        </is>
      </c>
      <c r="AD1195" s="0" t="inlineStr">
        <is>
          <t>심곡동</t>
        </is>
      </c>
      <c r="AG1195" s="0" t="inlineStr">
        <is>
          <t>인천시 서구 심곡로 135</t>
        </is>
      </c>
      <c r="AH1195" s="0" t="n">
        <v>0</v>
      </c>
      <c r="AI1195" s="0" t="n">
        <v>302</v>
      </c>
      <c r="AJ1195" s="0" t="n">
        <v>19</v>
      </c>
      <c r="AK1195" s="0" t="n">
        <v>1066</v>
      </c>
      <c r="AL1195" s="0" t="n">
        <v>1.02</v>
      </c>
    </row>
    <row r="1196">
      <c r="A1196" s="0" t="inlineStr">
        <is>
          <t>[심곡동]</t>
        </is>
      </c>
      <c r="B1196" s="0" t="n">
        <v>9503</v>
      </c>
      <c r="C1196" s="0" t="n">
        <v>2</v>
      </c>
      <c r="D1196" s="0" t="inlineStr">
        <is>
          <t>대동</t>
        </is>
      </c>
      <c r="E1196" s="0" t="inlineStr">
        <is>
          <t>1996.05.</t>
        </is>
      </c>
      <c r="F1196" s="0" t="n">
        <v>1048</v>
      </c>
      <c r="G1196" s="0" t="n">
        <v>29.56</v>
      </c>
      <c r="H1196" s="0" t="n">
        <v>97.75</v>
      </c>
      <c r="I1196" s="0" t="n">
        <v>22.77</v>
      </c>
      <c r="J1196" s="0" t="n">
        <v>75.28</v>
      </c>
      <c r="K1196" s="0" t="n">
        <v>88</v>
      </c>
      <c r="T1196" s="0" t="n">
        <v>3</v>
      </c>
      <c r="U1196" s="0" t="n">
        <v>1</v>
      </c>
      <c r="V1196" s="0" t="inlineStr">
        <is>
          <t>계단식</t>
        </is>
      </c>
      <c r="W1196" s="0" t="n">
        <v>97</v>
      </c>
      <c r="X1196" s="0" t="n">
        <v>24</v>
      </c>
      <c r="Y1196" s="0" t="n">
        <v>15</v>
      </c>
      <c r="Z1196" s="0" t="inlineStr">
        <is>
          <t>https://new.land.naver.com/complexes/9503?tab=detail&amp;rf=Y</t>
        </is>
      </c>
      <c r="AA1196" s="0" t="inlineStr">
        <is>
          <t>인천시 서구 심곡동 285</t>
        </is>
      </c>
      <c r="AB1196" s="0" t="inlineStr">
        <is>
          <t>인천시</t>
        </is>
      </c>
      <c r="AC1196" s="0" t="inlineStr">
        <is>
          <t>서구</t>
        </is>
      </c>
      <c r="AD1196" s="0" t="inlineStr">
        <is>
          <t>심곡동</t>
        </is>
      </c>
      <c r="AG1196" s="0" t="inlineStr">
        <is>
          <t>인천시 서구 심곡로 135</t>
        </is>
      </c>
      <c r="AH1196" s="0" t="n">
        <v>0</v>
      </c>
      <c r="AI1196" s="0" t="n">
        <v>302</v>
      </c>
      <c r="AJ1196" s="0" t="n">
        <v>19</v>
      </c>
      <c r="AK1196" s="0" t="n">
        <v>1066</v>
      </c>
      <c r="AL1196" s="0" t="n">
        <v>1.02</v>
      </c>
    </row>
    <row r="1197">
      <c r="A1197" s="0" t="inlineStr">
        <is>
          <t>[심곡동]</t>
        </is>
      </c>
      <c r="B1197" s="0" t="n">
        <v>9503</v>
      </c>
      <c r="C1197" s="0" t="n">
        <v>3</v>
      </c>
      <c r="D1197" s="0" t="inlineStr">
        <is>
          <t>대동</t>
        </is>
      </c>
      <c r="E1197" s="0" t="inlineStr">
        <is>
          <t>1996.05.</t>
        </is>
      </c>
      <c r="F1197" s="0" t="n">
        <v>1048</v>
      </c>
      <c r="G1197" s="0" t="n">
        <v>32.8</v>
      </c>
      <c r="H1197" s="0" t="n">
        <v>108.44</v>
      </c>
      <c r="I1197" s="0" t="n">
        <v>25.7</v>
      </c>
      <c r="J1197" s="0" t="n">
        <v>84.95999999999999</v>
      </c>
      <c r="K1197" s="0" t="n">
        <v>384</v>
      </c>
      <c r="T1197" s="0" t="n">
        <v>3</v>
      </c>
      <c r="U1197" s="0" t="n">
        <v>2</v>
      </c>
      <c r="V1197" s="0" t="inlineStr">
        <is>
          <t>계단식</t>
        </is>
      </c>
      <c r="W1197" s="0" t="n">
        <v>108</v>
      </c>
      <c r="X1197" s="0" t="n">
        <v>24</v>
      </c>
      <c r="Y1197" s="0" t="n">
        <v>15</v>
      </c>
      <c r="Z1197" s="0" t="inlineStr">
        <is>
          <t>https://new.land.naver.com/complexes/9503?tab=detail&amp;rf=Y</t>
        </is>
      </c>
      <c r="AA1197" s="0" t="inlineStr">
        <is>
          <t>인천시 서구 심곡동 285</t>
        </is>
      </c>
      <c r="AB1197" s="0" t="inlineStr">
        <is>
          <t>인천시</t>
        </is>
      </c>
      <c r="AC1197" s="0" t="inlineStr">
        <is>
          <t>서구</t>
        </is>
      </c>
      <c r="AD1197" s="0" t="inlineStr">
        <is>
          <t>심곡동</t>
        </is>
      </c>
      <c r="AG1197" s="0" t="inlineStr">
        <is>
          <t>인천시 서구 심곡로 135</t>
        </is>
      </c>
      <c r="AH1197" s="0" t="n">
        <v>0</v>
      </c>
      <c r="AI1197" s="0" t="n">
        <v>302</v>
      </c>
      <c r="AJ1197" s="0" t="n">
        <v>19</v>
      </c>
      <c r="AK1197" s="0" t="n">
        <v>1066</v>
      </c>
      <c r="AL1197" s="0" t="n">
        <v>1.02</v>
      </c>
    </row>
    <row r="1198">
      <c r="A1198" s="0" t="inlineStr">
        <is>
          <t>[연희동]</t>
        </is>
      </c>
      <c r="B1198" s="0" t="n">
        <v>101222</v>
      </c>
      <c r="C1198" s="0" t="n">
        <v>1</v>
      </c>
      <c r="D1198" s="0" t="inlineStr">
        <is>
          <t>한국3차</t>
        </is>
      </c>
      <c r="E1198" s="0" t="inlineStr">
        <is>
          <t>1997.11.</t>
        </is>
      </c>
      <c r="F1198" s="0" t="n">
        <v>120</v>
      </c>
      <c r="G1198" s="0" t="n">
        <v>26.19</v>
      </c>
      <c r="H1198" s="0" t="n">
        <v>86.61</v>
      </c>
      <c r="I1198" s="0" t="n">
        <v>18.03</v>
      </c>
      <c r="J1198" s="0" t="n">
        <v>59.62</v>
      </c>
      <c r="K1198" s="0" t="n">
        <v>37</v>
      </c>
      <c r="T1198" s="0" t="n">
        <v>2</v>
      </c>
      <c r="U1198" s="0" t="n">
        <v>1</v>
      </c>
      <c r="V1198" s="0" t="inlineStr">
        <is>
          <t>복도식</t>
        </is>
      </c>
      <c r="W1198" s="0" t="inlineStr">
        <is>
          <t>86A</t>
        </is>
      </c>
      <c r="X1198" s="0" t="n">
        <v>21</v>
      </c>
      <c r="Y1198" s="0" t="n">
        <v>9</v>
      </c>
      <c r="Z1198" s="0" t="inlineStr">
        <is>
          <t>https://new.land.naver.com/complexes/101222?tab=detail&amp;rf=Y</t>
        </is>
      </c>
      <c r="AA1198" s="0" t="inlineStr">
        <is>
          <t>인천시 서구 연희동 682-14</t>
        </is>
      </c>
      <c r="AB1198" s="0" t="inlineStr">
        <is>
          <t>인천시</t>
        </is>
      </c>
      <c r="AC1198" s="0" t="inlineStr">
        <is>
          <t>서구</t>
        </is>
      </c>
      <c r="AD1198" s="0" t="inlineStr">
        <is>
          <t>연희동</t>
        </is>
      </c>
      <c r="AG1198" s="0" t="inlineStr">
        <is>
          <t>인천시 서구 서곶로369번길 6</t>
        </is>
      </c>
      <c r="AH1198" s="0" t="n">
        <v>0</v>
      </c>
      <c r="AI1198" s="0" t="n">
        <v>289</v>
      </c>
      <c r="AJ1198" s="0" t="n">
        <v>24</v>
      </c>
      <c r="AK1198" s="0" t="n">
        <v>80</v>
      </c>
      <c r="AL1198" s="0" t="n">
        <v>0.67</v>
      </c>
    </row>
    <row r="1199">
      <c r="A1199" s="0" t="inlineStr">
        <is>
          <t>[연희동]</t>
        </is>
      </c>
      <c r="B1199" s="0" t="n">
        <v>101222</v>
      </c>
      <c r="C1199" s="0" t="n">
        <v>2</v>
      </c>
      <c r="D1199" s="0" t="inlineStr">
        <is>
          <t>한국3차</t>
        </is>
      </c>
      <c r="E1199" s="0" t="inlineStr">
        <is>
          <t>1997.11.</t>
        </is>
      </c>
      <c r="F1199" s="0" t="n">
        <v>120</v>
      </c>
      <c r="G1199" s="0" t="n">
        <v>26.34</v>
      </c>
      <c r="H1199" s="0" t="n">
        <v>87.09</v>
      </c>
      <c r="I1199" s="0" t="n">
        <v>18.13</v>
      </c>
      <c r="J1199" s="0" t="n">
        <v>59.95</v>
      </c>
      <c r="K1199" s="0" t="n">
        <v>43</v>
      </c>
      <c r="T1199" s="0" t="n">
        <v>3</v>
      </c>
      <c r="U1199" s="0" t="n">
        <v>2</v>
      </c>
      <c r="V1199" s="0" t="inlineStr">
        <is>
          <t>계단식</t>
        </is>
      </c>
      <c r="W1199" s="0" t="n">
        <v>87</v>
      </c>
      <c r="X1199" s="0" t="n">
        <v>21</v>
      </c>
      <c r="Y1199" s="0" t="n">
        <v>9</v>
      </c>
      <c r="Z1199" s="0" t="inlineStr">
        <is>
          <t>https://new.land.naver.com/complexes/101222?tab=detail&amp;rf=Y</t>
        </is>
      </c>
      <c r="AA1199" s="0" t="inlineStr">
        <is>
          <t>인천시 서구 연희동 682-14</t>
        </is>
      </c>
      <c r="AB1199" s="0" t="inlineStr">
        <is>
          <t>인천시</t>
        </is>
      </c>
      <c r="AC1199" s="0" t="inlineStr">
        <is>
          <t>서구</t>
        </is>
      </c>
      <c r="AD1199" s="0" t="inlineStr">
        <is>
          <t>연희동</t>
        </is>
      </c>
      <c r="AG1199" s="0" t="inlineStr">
        <is>
          <t>인천시 서구 서곶로369번길 6</t>
        </is>
      </c>
      <c r="AH1199" s="0" t="n">
        <v>0</v>
      </c>
      <c r="AI1199" s="0" t="n">
        <v>289</v>
      </c>
      <c r="AJ1199" s="0" t="n">
        <v>24</v>
      </c>
      <c r="AK1199" s="0" t="n">
        <v>80</v>
      </c>
      <c r="AL1199" s="0" t="n">
        <v>0.67</v>
      </c>
    </row>
    <row r="1200">
      <c r="A1200" s="0" t="inlineStr">
        <is>
          <t>[연희동]</t>
        </is>
      </c>
      <c r="B1200" s="0" t="n">
        <v>101222</v>
      </c>
      <c r="C1200" s="0" t="n">
        <v>3</v>
      </c>
      <c r="D1200" s="0" t="inlineStr">
        <is>
          <t>한국3차</t>
        </is>
      </c>
      <c r="E1200" s="0" t="inlineStr">
        <is>
          <t>1997.11.</t>
        </is>
      </c>
      <c r="F1200" s="0" t="n">
        <v>120</v>
      </c>
      <c r="G1200" s="0" t="n">
        <v>31.83</v>
      </c>
      <c r="H1200" s="0" t="n">
        <v>105.23</v>
      </c>
      <c r="I1200" s="0" t="n">
        <v>25.62</v>
      </c>
      <c r="J1200" s="0" t="n">
        <v>84.7</v>
      </c>
      <c r="K1200" s="0" t="n">
        <v>40</v>
      </c>
      <c r="T1200" s="0" t="n">
        <v>3</v>
      </c>
      <c r="U1200" s="0" t="n">
        <v>2</v>
      </c>
      <c r="V1200" s="0" t="inlineStr">
        <is>
          <t>복도식</t>
        </is>
      </c>
      <c r="W1200" s="0" t="inlineStr">
        <is>
          <t>105B</t>
        </is>
      </c>
      <c r="X1200" s="0" t="n">
        <v>21</v>
      </c>
      <c r="Y1200" s="0" t="n">
        <v>9</v>
      </c>
      <c r="Z1200" s="0" t="inlineStr">
        <is>
          <t>https://new.land.naver.com/complexes/101222?tab=detail&amp;rf=Y</t>
        </is>
      </c>
      <c r="AA1200" s="0" t="inlineStr">
        <is>
          <t>인천시 서구 연희동 682-14</t>
        </is>
      </c>
      <c r="AB1200" s="0" t="inlineStr">
        <is>
          <t>인천시</t>
        </is>
      </c>
      <c r="AC1200" s="0" t="inlineStr">
        <is>
          <t>서구</t>
        </is>
      </c>
      <c r="AD1200" s="0" t="inlineStr">
        <is>
          <t>연희동</t>
        </is>
      </c>
      <c r="AG1200" s="0" t="inlineStr">
        <is>
          <t>인천시 서구 서곶로369번길 6</t>
        </is>
      </c>
      <c r="AH1200" s="0" t="n">
        <v>0</v>
      </c>
      <c r="AI1200" s="0" t="n">
        <v>289</v>
      </c>
      <c r="AJ1200" s="0" t="n">
        <v>24</v>
      </c>
      <c r="AK1200" s="0" t="n">
        <v>80</v>
      </c>
      <c r="AL1200" s="0" t="n">
        <v>0.67</v>
      </c>
    </row>
    <row r="1201">
      <c r="A1201" s="0" t="inlineStr">
        <is>
          <t>[연희동]</t>
        </is>
      </c>
      <c r="B1201" s="0" t="n">
        <v>8938</v>
      </c>
      <c r="C1201" s="0" t="n">
        <v>1</v>
      </c>
      <c r="D1201" s="0" t="inlineStr">
        <is>
          <t>중앙공영</t>
        </is>
      </c>
      <c r="E1201" s="0" t="inlineStr">
        <is>
          <t>1997.08.</t>
        </is>
      </c>
      <c r="F1201" s="0" t="n">
        <v>294</v>
      </c>
      <c r="G1201" s="0" t="n">
        <v>10.83</v>
      </c>
      <c r="H1201" s="0" t="n">
        <v>35.81</v>
      </c>
      <c r="I1201" s="0" t="n">
        <v>7.49</v>
      </c>
      <c r="J1201" s="0" t="n">
        <v>24.79</v>
      </c>
      <c r="K1201" s="0" t="n">
        <v>224</v>
      </c>
      <c r="T1201" s="0" t="n">
        <v>1</v>
      </c>
      <c r="U1201" s="0" t="n">
        <v>1</v>
      </c>
      <c r="V1201" s="0" t="inlineStr">
        <is>
          <t>복도식</t>
        </is>
      </c>
      <c r="W1201" s="0" t="n">
        <v>35</v>
      </c>
      <c r="X1201" s="0" t="n">
        <v>15</v>
      </c>
      <c r="Y1201" s="0" t="n">
        <v>10</v>
      </c>
      <c r="Z1201" s="0" t="inlineStr">
        <is>
          <t>https://new.land.naver.com/complexes/8938?tab=detail&amp;rf=Y</t>
        </is>
      </c>
      <c r="AA1201" s="0" t="inlineStr">
        <is>
          <t>인천시 서구 연희동 682</t>
        </is>
      </c>
      <c r="AB1201" s="0" t="inlineStr">
        <is>
          <t>인천시</t>
        </is>
      </c>
      <c r="AC1201" s="0" t="inlineStr">
        <is>
          <t>서구</t>
        </is>
      </c>
      <c r="AD1201" s="0" t="inlineStr">
        <is>
          <t>연희동</t>
        </is>
      </c>
      <c r="AG1201" s="0" t="inlineStr">
        <is>
          <t>인천시 서구 승학로 334</t>
        </is>
      </c>
      <c r="AH1201" s="0" t="n">
        <v>0</v>
      </c>
      <c r="AI1201" s="0" t="n">
        <v>230</v>
      </c>
      <c r="AJ1201" s="0" t="n">
        <v>22</v>
      </c>
      <c r="AK1201" s="0" t="n">
        <v>118</v>
      </c>
      <c r="AL1201" s="0" t="n">
        <v>0.4</v>
      </c>
    </row>
    <row r="1202">
      <c r="A1202" s="0" t="inlineStr">
        <is>
          <t>[연희동]</t>
        </is>
      </c>
      <c r="B1202" s="0" t="n">
        <v>8938</v>
      </c>
      <c r="C1202" s="0" t="n">
        <v>2</v>
      </c>
      <c r="D1202" s="0" t="inlineStr">
        <is>
          <t>중앙공영</t>
        </is>
      </c>
      <c r="E1202" s="0" t="inlineStr">
        <is>
          <t>1997.08.</t>
        </is>
      </c>
      <c r="F1202" s="0" t="n">
        <v>294</v>
      </c>
      <c r="G1202" s="0" t="n">
        <v>22.71</v>
      </c>
      <c r="H1202" s="0" t="n">
        <v>75.09999999999999</v>
      </c>
      <c r="I1202" s="0" t="n">
        <v>18.14</v>
      </c>
      <c r="J1202" s="0" t="n">
        <v>59.99</v>
      </c>
      <c r="K1202" s="0" t="n">
        <v>70</v>
      </c>
      <c r="T1202" s="0" t="n">
        <v>3</v>
      </c>
      <c r="U1202" s="0" t="n">
        <v>1</v>
      </c>
      <c r="V1202" s="0" t="inlineStr">
        <is>
          <t>계단식</t>
        </is>
      </c>
      <c r="W1202" s="0" t="n">
        <v>75</v>
      </c>
      <c r="X1202" s="0" t="n">
        <v>15</v>
      </c>
      <c r="Y1202" s="0" t="n">
        <v>10</v>
      </c>
      <c r="Z1202" s="0" t="inlineStr">
        <is>
          <t>https://new.land.naver.com/complexes/8938?tab=detail&amp;rf=Y</t>
        </is>
      </c>
      <c r="AA1202" s="0" t="inlineStr">
        <is>
          <t>인천시 서구 연희동 682</t>
        </is>
      </c>
      <c r="AB1202" s="0" t="inlineStr">
        <is>
          <t>인천시</t>
        </is>
      </c>
      <c r="AC1202" s="0" t="inlineStr">
        <is>
          <t>서구</t>
        </is>
      </c>
      <c r="AD1202" s="0" t="inlineStr">
        <is>
          <t>연희동</t>
        </is>
      </c>
      <c r="AG1202" s="0" t="inlineStr">
        <is>
          <t>인천시 서구 승학로 334</t>
        </is>
      </c>
      <c r="AH1202" s="0" t="n">
        <v>0</v>
      </c>
      <c r="AI1202" s="0" t="n">
        <v>230</v>
      </c>
      <c r="AJ1202" s="0" t="n">
        <v>22</v>
      </c>
      <c r="AK1202" s="0" t="n">
        <v>118</v>
      </c>
      <c r="AL1202" s="0" t="n">
        <v>0.4</v>
      </c>
    </row>
    <row r="1203">
      <c r="A1203" s="0" t="inlineStr">
        <is>
          <t>[연희동]</t>
        </is>
      </c>
      <c r="B1203" s="0" t="n">
        <v>8207</v>
      </c>
      <c r="C1203" s="0" t="n">
        <v>1</v>
      </c>
      <c r="D1203" s="0" t="inlineStr">
        <is>
          <t>청아</t>
        </is>
      </c>
      <c r="E1203" s="0" t="inlineStr">
        <is>
          <t>1997.09.</t>
        </is>
      </c>
      <c r="F1203" s="0" t="n">
        <v>65</v>
      </c>
      <c r="G1203" s="0" t="n">
        <v>25.45</v>
      </c>
      <c r="H1203" s="0" t="n">
        <v>84.16</v>
      </c>
      <c r="I1203" s="0" t="n">
        <v>17.95</v>
      </c>
      <c r="J1203" s="0" t="n">
        <v>59.36</v>
      </c>
      <c r="K1203" s="0" t="n">
        <v>11</v>
      </c>
      <c r="T1203" s="0" t="n">
        <v>2</v>
      </c>
      <c r="U1203" s="0" t="n">
        <v>1</v>
      </c>
      <c r="V1203" s="0" t="inlineStr">
        <is>
          <t>계단식</t>
        </is>
      </c>
      <c r="W1203" s="0" t="n">
        <v>84</v>
      </c>
      <c r="X1203" s="0" t="n">
        <v>12</v>
      </c>
      <c r="Y1203" s="0" t="n">
        <v>9</v>
      </c>
      <c r="Z1203" s="0" t="inlineStr">
        <is>
          <t>https://new.land.naver.com/complexes/8207?tab=detail&amp;rf=Y</t>
        </is>
      </c>
      <c r="AA1203" s="0" t="inlineStr">
        <is>
          <t>인천시 서구 연희동 728-1</t>
        </is>
      </c>
      <c r="AB1203" s="0" t="inlineStr">
        <is>
          <t>인천시</t>
        </is>
      </c>
      <c r="AC1203" s="0" t="inlineStr">
        <is>
          <t>서구</t>
        </is>
      </c>
      <c r="AD1203" s="0" t="inlineStr">
        <is>
          <t>연희동</t>
        </is>
      </c>
      <c r="AG1203" s="0" t="inlineStr">
        <is>
          <t>인천시 서구 연희로42번길 15</t>
        </is>
      </c>
      <c r="AH1203" s="0" t="n">
        <v>0</v>
      </c>
      <c r="AI1203" s="0" t="n">
        <v>233</v>
      </c>
      <c r="AJ1203" s="0" t="n">
        <v>21</v>
      </c>
      <c r="AK1203" s="0" t="n">
        <v>66</v>
      </c>
      <c r="AL1203" s="0" t="n">
        <v>1.02</v>
      </c>
    </row>
    <row r="1204">
      <c r="A1204" s="0" t="inlineStr">
        <is>
          <t>[연희동]</t>
        </is>
      </c>
      <c r="B1204" s="0" t="n">
        <v>8207</v>
      </c>
      <c r="C1204" s="0" t="n">
        <v>2</v>
      </c>
      <c r="D1204" s="0" t="inlineStr">
        <is>
          <t>청아</t>
        </is>
      </c>
      <c r="E1204" s="0" t="inlineStr">
        <is>
          <t>1997.09.</t>
        </is>
      </c>
      <c r="F1204" s="0" t="n">
        <v>65</v>
      </c>
      <c r="G1204" s="0" t="n">
        <v>25.55</v>
      </c>
      <c r="H1204" s="0" t="n">
        <v>84.47</v>
      </c>
      <c r="I1204" s="0" t="n">
        <v>18.02</v>
      </c>
      <c r="J1204" s="0" t="n">
        <v>59.58</v>
      </c>
      <c r="K1204" s="0" t="n">
        <v>9</v>
      </c>
      <c r="T1204" s="0" t="n">
        <v>3</v>
      </c>
      <c r="U1204" s="0" t="n">
        <v>1</v>
      </c>
      <c r="V1204" s="0" t="inlineStr">
        <is>
          <t>계단식</t>
        </is>
      </c>
      <c r="W1204" s="0" t="n">
        <v>84</v>
      </c>
      <c r="X1204" s="0" t="n">
        <v>12</v>
      </c>
      <c r="Y1204" s="0" t="n">
        <v>9</v>
      </c>
      <c r="Z1204" s="0" t="inlineStr">
        <is>
          <t>https://new.land.naver.com/complexes/8207?tab=detail&amp;rf=Y</t>
        </is>
      </c>
      <c r="AA1204" s="0" t="inlineStr">
        <is>
          <t>인천시 서구 연희동 728-1</t>
        </is>
      </c>
      <c r="AB1204" s="0" t="inlineStr">
        <is>
          <t>인천시</t>
        </is>
      </c>
      <c r="AC1204" s="0" t="inlineStr">
        <is>
          <t>서구</t>
        </is>
      </c>
      <c r="AD1204" s="0" t="inlineStr">
        <is>
          <t>연희동</t>
        </is>
      </c>
      <c r="AG1204" s="0" t="inlineStr">
        <is>
          <t>인천시 서구 연희로42번길 15</t>
        </is>
      </c>
      <c r="AH1204" s="0" t="n">
        <v>0</v>
      </c>
      <c r="AI1204" s="0" t="n">
        <v>233</v>
      </c>
      <c r="AJ1204" s="0" t="n">
        <v>21</v>
      </c>
      <c r="AK1204" s="0" t="n">
        <v>66</v>
      </c>
      <c r="AL1204" s="0" t="n">
        <v>1.02</v>
      </c>
    </row>
    <row r="1205">
      <c r="A1205" s="0" t="inlineStr">
        <is>
          <t>[연희동]</t>
        </is>
      </c>
      <c r="B1205" s="0" t="n">
        <v>8207</v>
      </c>
      <c r="C1205" s="0" t="n">
        <v>3</v>
      </c>
      <c r="D1205" s="0" t="inlineStr">
        <is>
          <t>청아</t>
        </is>
      </c>
      <c r="E1205" s="0" t="inlineStr">
        <is>
          <t>1997.09.</t>
        </is>
      </c>
      <c r="F1205" s="0" t="n">
        <v>65</v>
      </c>
      <c r="G1205" s="0" t="n">
        <v>28.23</v>
      </c>
      <c r="H1205" s="0" t="n">
        <v>93.34</v>
      </c>
      <c r="I1205" s="0" t="n">
        <v>22.27</v>
      </c>
      <c r="J1205" s="0" t="n">
        <v>73.65000000000001</v>
      </c>
      <c r="K1205" s="0" t="n">
        <v>21</v>
      </c>
      <c r="T1205" s="0" t="n">
        <v>3</v>
      </c>
      <c r="U1205" s="0" t="n">
        <v>1</v>
      </c>
      <c r="V1205" s="0" t="inlineStr">
        <is>
          <t>계단식</t>
        </is>
      </c>
      <c r="W1205" s="0" t="n">
        <v>93</v>
      </c>
      <c r="X1205" s="0" t="n">
        <v>12</v>
      </c>
      <c r="Y1205" s="0" t="n">
        <v>9</v>
      </c>
      <c r="Z1205" s="0" t="inlineStr">
        <is>
          <t>https://new.land.naver.com/complexes/8207?tab=detail&amp;rf=Y</t>
        </is>
      </c>
      <c r="AA1205" s="0" t="inlineStr">
        <is>
          <t>인천시 서구 연희동 728-1</t>
        </is>
      </c>
      <c r="AB1205" s="0" t="inlineStr">
        <is>
          <t>인천시</t>
        </is>
      </c>
      <c r="AC1205" s="0" t="inlineStr">
        <is>
          <t>서구</t>
        </is>
      </c>
      <c r="AD1205" s="0" t="inlineStr">
        <is>
          <t>연희동</t>
        </is>
      </c>
      <c r="AG1205" s="0" t="inlineStr">
        <is>
          <t>인천시 서구 연희로42번길 15</t>
        </is>
      </c>
      <c r="AH1205" s="0" t="n">
        <v>0</v>
      </c>
      <c r="AI1205" s="0" t="n">
        <v>233</v>
      </c>
      <c r="AJ1205" s="0" t="n">
        <v>21</v>
      </c>
      <c r="AK1205" s="0" t="n">
        <v>66</v>
      </c>
      <c r="AL1205" s="0" t="n">
        <v>1.02</v>
      </c>
    </row>
    <row r="1206">
      <c r="A1206" s="0" t="inlineStr">
        <is>
          <t>[연희동]</t>
        </is>
      </c>
      <c r="B1206" s="0" t="n">
        <v>8207</v>
      </c>
      <c r="C1206" s="0" t="n">
        <v>4</v>
      </c>
      <c r="D1206" s="0" t="inlineStr">
        <is>
          <t>청아</t>
        </is>
      </c>
      <c r="E1206" s="0" t="inlineStr">
        <is>
          <t>1997.09.</t>
        </is>
      </c>
      <c r="F1206" s="0" t="n">
        <v>65</v>
      </c>
      <c r="G1206" s="0" t="n">
        <v>32.5</v>
      </c>
      <c r="H1206" s="0" t="n">
        <v>107.44</v>
      </c>
      <c r="I1206" s="0" t="n">
        <v>25.64</v>
      </c>
      <c r="J1206" s="0" t="n">
        <v>84.78</v>
      </c>
      <c r="K1206" s="0" t="n">
        <v>24</v>
      </c>
      <c r="T1206" s="0" t="n">
        <v>3</v>
      </c>
      <c r="U1206" s="0" t="n">
        <v>2</v>
      </c>
      <c r="V1206" s="0" t="inlineStr">
        <is>
          <t>계단식</t>
        </is>
      </c>
      <c r="W1206" s="0" t="n">
        <v>107</v>
      </c>
      <c r="X1206" s="0" t="n">
        <v>12</v>
      </c>
      <c r="Y1206" s="0" t="n">
        <v>9</v>
      </c>
      <c r="Z1206" s="0" t="inlineStr">
        <is>
          <t>https://new.land.naver.com/complexes/8207?tab=detail&amp;rf=Y</t>
        </is>
      </c>
      <c r="AA1206" s="0" t="inlineStr">
        <is>
          <t>인천시 서구 연희동 728-1</t>
        </is>
      </c>
      <c r="AB1206" s="0" t="inlineStr">
        <is>
          <t>인천시</t>
        </is>
      </c>
      <c r="AC1206" s="0" t="inlineStr">
        <is>
          <t>서구</t>
        </is>
      </c>
      <c r="AD1206" s="0" t="inlineStr">
        <is>
          <t>연희동</t>
        </is>
      </c>
      <c r="AG1206" s="0" t="inlineStr">
        <is>
          <t>인천시 서구 연희로42번길 15</t>
        </is>
      </c>
      <c r="AH1206" s="0" t="n">
        <v>0</v>
      </c>
      <c r="AI1206" s="0" t="n">
        <v>233</v>
      </c>
      <c r="AJ1206" s="0" t="n">
        <v>21</v>
      </c>
      <c r="AK1206" s="0" t="n">
        <v>66</v>
      </c>
      <c r="AL1206" s="0" t="n">
        <v>1.02</v>
      </c>
    </row>
    <row r="1207">
      <c r="A1207" s="0" t="inlineStr">
        <is>
          <t>[연희동]</t>
        </is>
      </c>
      <c r="B1207" s="0" t="n">
        <v>121274</v>
      </c>
      <c r="C1207" s="0" t="n">
        <v>1</v>
      </c>
      <c r="D1207" s="0" t="inlineStr">
        <is>
          <t>디자인타운(도시형)</t>
        </is>
      </c>
      <c r="E1207" s="0" t="inlineStr">
        <is>
          <t>2014.04.</t>
        </is>
      </c>
      <c r="F1207" s="0" t="n">
        <v>44</v>
      </c>
      <c r="G1207" s="0" t="n">
        <v>11.65</v>
      </c>
      <c r="H1207" s="0" t="n">
        <v>38.52</v>
      </c>
      <c r="I1207" s="0" t="n">
        <v>10.07</v>
      </c>
      <c r="J1207" s="0" t="n">
        <v>33.29</v>
      </c>
      <c r="K1207" s="0" t="n">
        <v>3</v>
      </c>
      <c r="T1207" s="0" t="n">
        <v>1</v>
      </c>
      <c r="U1207" s="0" t="n">
        <v>1</v>
      </c>
      <c r="V1207" s="0" t="inlineStr">
        <is>
          <t>계단식</t>
        </is>
      </c>
      <c r="W1207" s="0" t="inlineStr">
        <is>
          <t>38A</t>
        </is>
      </c>
      <c r="X1207" s="0" t="n">
        <v>5</v>
      </c>
      <c r="Y1207" s="0" t="n">
        <v>5</v>
      </c>
      <c r="Z1207" s="0" t="inlineStr">
        <is>
          <t>https://new.land.naver.com/complexes/121274?tab=detail&amp;rf=Y</t>
        </is>
      </c>
      <c r="AA1207" s="0" t="inlineStr">
        <is>
          <t>인천시 서구 연희동 747-1</t>
        </is>
      </c>
      <c r="AB1207" s="0" t="inlineStr">
        <is>
          <t>인천시</t>
        </is>
      </c>
      <c r="AC1207" s="0" t="inlineStr">
        <is>
          <t>서구</t>
        </is>
      </c>
      <c r="AD1207" s="0" t="inlineStr">
        <is>
          <t>연희동</t>
        </is>
      </c>
      <c r="AG1207" s="0" t="inlineStr">
        <is>
          <t>인천시 서구 연희로39번길 19</t>
        </is>
      </c>
      <c r="AH1207" s="0" t="n">
        <v>0</v>
      </c>
      <c r="AI1207" s="0" t="n">
        <v>0</v>
      </c>
      <c r="AJ1207" s="0" t="n">
        <v>0</v>
      </c>
      <c r="AK1207" s="0" t="n">
        <v>44</v>
      </c>
      <c r="AL1207" s="0" t="n">
        <v>1</v>
      </c>
    </row>
    <row r="1208">
      <c r="A1208" s="0" t="inlineStr">
        <is>
          <t>[연희동]</t>
        </is>
      </c>
      <c r="B1208" s="0" t="n">
        <v>121274</v>
      </c>
      <c r="C1208" s="0" t="n">
        <v>2</v>
      </c>
      <c r="D1208" s="0" t="inlineStr">
        <is>
          <t>디자인타운(도시형)</t>
        </is>
      </c>
      <c r="E1208" s="0" t="inlineStr">
        <is>
          <t>2014.04.</t>
        </is>
      </c>
      <c r="F1208" s="0" t="n">
        <v>44</v>
      </c>
      <c r="G1208" s="0" t="n">
        <v>11.68</v>
      </c>
      <c r="H1208" s="0" t="n">
        <v>38.62</v>
      </c>
      <c r="I1208" s="0" t="n">
        <v>10.09</v>
      </c>
      <c r="J1208" s="0" t="n">
        <v>33.37</v>
      </c>
      <c r="K1208" s="0" t="n">
        <v>3</v>
      </c>
      <c r="T1208" s="0" t="n">
        <v>1</v>
      </c>
      <c r="U1208" s="0" t="n">
        <v>1</v>
      </c>
      <c r="V1208" s="0" t="inlineStr">
        <is>
          <t>계단식</t>
        </is>
      </c>
      <c r="W1208" s="0" t="inlineStr">
        <is>
          <t>38B</t>
        </is>
      </c>
      <c r="X1208" s="0" t="n">
        <v>5</v>
      </c>
      <c r="Y1208" s="0" t="n">
        <v>5</v>
      </c>
      <c r="Z1208" s="0" t="inlineStr">
        <is>
          <t>https://new.land.naver.com/complexes/121274?tab=detail&amp;rf=Y</t>
        </is>
      </c>
      <c r="AA1208" s="0" t="inlineStr">
        <is>
          <t>인천시 서구 연희동 747-1</t>
        </is>
      </c>
      <c r="AB1208" s="0" t="inlineStr">
        <is>
          <t>인천시</t>
        </is>
      </c>
      <c r="AC1208" s="0" t="inlineStr">
        <is>
          <t>서구</t>
        </is>
      </c>
      <c r="AD1208" s="0" t="inlineStr">
        <is>
          <t>연희동</t>
        </is>
      </c>
      <c r="AG1208" s="0" t="inlineStr">
        <is>
          <t>인천시 서구 연희로39번길 19</t>
        </is>
      </c>
      <c r="AH1208" s="0" t="n">
        <v>0</v>
      </c>
      <c r="AI1208" s="0" t="n">
        <v>0</v>
      </c>
      <c r="AJ1208" s="0" t="n">
        <v>0</v>
      </c>
      <c r="AK1208" s="0" t="n">
        <v>44</v>
      </c>
      <c r="AL1208" s="0" t="n">
        <v>1</v>
      </c>
    </row>
    <row r="1209">
      <c r="A1209" s="0" t="inlineStr">
        <is>
          <t>[연희동]</t>
        </is>
      </c>
      <c r="B1209" s="0" t="n">
        <v>121274</v>
      </c>
      <c r="C1209" s="0" t="n">
        <v>3</v>
      </c>
      <c r="D1209" s="0" t="inlineStr">
        <is>
          <t>디자인타운(도시형)</t>
        </is>
      </c>
      <c r="E1209" s="0" t="inlineStr">
        <is>
          <t>2014.04.</t>
        </is>
      </c>
      <c r="F1209" s="0" t="n">
        <v>44</v>
      </c>
      <c r="G1209" s="0" t="n">
        <v>12.02</v>
      </c>
      <c r="H1209" s="0" t="n">
        <v>39.76</v>
      </c>
      <c r="I1209" s="0" t="n">
        <v>10.35</v>
      </c>
      <c r="J1209" s="0" t="n">
        <v>34.23</v>
      </c>
      <c r="K1209" s="0" t="n">
        <v>8</v>
      </c>
      <c r="T1209" s="0" t="n">
        <v>1</v>
      </c>
      <c r="U1209" s="0" t="n">
        <v>1</v>
      </c>
      <c r="V1209" s="0" t="inlineStr">
        <is>
          <t>계단식</t>
        </is>
      </c>
      <c r="W1209" s="0" t="inlineStr">
        <is>
          <t>39D</t>
        </is>
      </c>
      <c r="X1209" s="0" t="n">
        <v>5</v>
      </c>
      <c r="Y1209" s="0" t="n">
        <v>5</v>
      </c>
      <c r="Z1209" s="0" t="inlineStr">
        <is>
          <t>https://new.land.naver.com/complexes/121274?tab=detail&amp;rf=Y</t>
        </is>
      </c>
      <c r="AA1209" s="0" t="inlineStr">
        <is>
          <t>인천시 서구 연희동 747-1</t>
        </is>
      </c>
      <c r="AB1209" s="0" t="inlineStr">
        <is>
          <t>인천시</t>
        </is>
      </c>
      <c r="AC1209" s="0" t="inlineStr">
        <is>
          <t>서구</t>
        </is>
      </c>
      <c r="AD1209" s="0" t="inlineStr">
        <is>
          <t>연희동</t>
        </is>
      </c>
      <c r="AG1209" s="0" t="inlineStr">
        <is>
          <t>인천시 서구 연희로39번길 19</t>
        </is>
      </c>
      <c r="AH1209" s="0" t="n">
        <v>0</v>
      </c>
      <c r="AI1209" s="0" t="n">
        <v>0</v>
      </c>
      <c r="AJ1209" s="0" t="n">
        <v>0</v>
      </c>
      <c r="AK1209" s="0" t="n">
        <v>44</v>
      </c>
      <c r="AL1209" s="0" t="n">
        <v>1</v>
      </c>
    </row>
    <row r="1210">
      <c r="A1210" s="0" t="inlineStr">
        <is>
          <t>[연희동]</t>
        </is>
      </c>
      <c r="B1210" s="0" t="n">
        <v>121274</v>
      </c>
      <c r="C1210" s="0" t="n">
        <v>4</v>
      </c>
      <c r="D1210" s="0" t="inlineStr">
        <is>
          <t>디자인타운(도시형)</t>
        </is>
      </c>
      <c r="E1210" s="0" t="inlineStr">
        <is>
          <t>2014.04.</t>
        </is>
      </c>
      <c r="F1210" s="0" t="n">
        <v>44</v>
      </c>
      <c r="G1210" s="0" t="n">
        <v>11.82</v>
      </c>
      <c r="H1210" s="0" t="n">
        <v>39.09</v>
      </c>
      <c r="I1210" s="0" t="n">
        <v>10.21</v>
      </c>
      <c r="J1210" s="0" t="n">
        <v>33.78</v>
      </c>
      <c r="K1210" s="0" t="n">
        <v>1</v>
      </c>
      <c r="T1210" s="0" t="n">
        <v>1</v>
      </c>
      <c r="U1210" s="0" t="n">
        <v>1</v>
      </c>
      <c r="V1210" s="0" t="inlineStr">
        <is>
          <t>계단식</t>
        </is>
      </c>
      <c r="W1210" s="0" t="inlineStr">
        <is>
          <t>39C</t>
        </is>
      </c>
      <c r="X1210" s="0" t="n">
        <v>5</v>
      </c>
      <c r="Y1210" s="0" t="n">
        <v>5</v>
      </c>
      <c r="Z1210" s="0" t="inlineStr">
        <is>
          <t>https://new.land.naver.com/complexes/121274?tab=detail&amp;rf=Y</t>
        </is>
      </c>
      <c r="AA1210" s="0" t="inlineStr">
        <is>
          <t>인천시 서구 연희동 747-1</t>
        </is>
      </c>
      <c r="AB1210" s="0" t="inlineStr">
        <is>
          <t>인천시</t>
        </is>
      </c>
      <c r="AC1210" s="0" t="inlineStr">
        <is>
          <t>서구</t>
        </is>
      </c>
      <c r="AD1210" s="0" t="inlineStr">
        <is>
          <t>연희동</t>
        </is>
      </c>
      <c r="AG1210" s="0" t="inlineStr">
        <is>
          <t>인천시 서구 연희로39번길 19</t>
        </is>
      </c>
      <c r="AH1210" s="0" t="n">
        <v>0</v>
      </c>
      <c r="AI1210" s="0" t="n">
        <v>0</v>
      </c>
      <c r="AJ1210" s="0" t="n">
        <v>0</v>
      </c>
      <c r="AK1210" s="0" t="n">
        <v>44</v>
      </c>
      <c r="AL1210" s="0" t="n">
        <v>1</v>
      </c>
    </row>
    <row r="1211">
      <c r="A1211" s="0" t="inlineStr">
        <is>
          <t>[연희동]</t>
        </is>
      </c>
      <c r="B1211" s="0" t="n">
        <v>121274</v>
      </c>
      <c r="C1211" s="0" t="n">
        <v>5</v>
      </c>
      <c r="D1211" s="0" t="inlineStr">
        <is>
          <t>디자인타운(도시형)</t>
        </is>
      </c>
      <c r="E1211" s="0" t="inlineStr">
        <is>
          <t>2014.04.</t>
        </is>
      </c>
      <c r="F1211" s="0" t="n">
        <v>44</v>
      </c>
      <c r="G1211" s="0" t="n">
        <v>12.62</v>
      </c>
      <c r="H1211" s="0" t="n">
        <v>41.72</v>
      </c>
      <c r="I1211" s="0" t="n">
        <v>10.9</v>
      </c>
      <c r="J1211" s="0" t="n">
        <v>36.05</v>
      </c>
      <c r="K1211" s="0" t="n">
        <v>3</v>
      </c>
      <c r="T1211" s="0" t="n">
        <v>1</v>
      </c>
      <c r="U1211" s="0" t="n">
        <v>1</v>
      </c>
      <c r="V1211" s="0" t="inlineStr">
        <is>
          <t>계단식</t>
        </is>
      </c>
      <c r="W1211" s="0" t="inlineStr">
        <is>
          <t>41A</t>
        </is>
      </c>
      <c r="X1211" s="0" t="n">
        <v>5</v>
      </c>
      <c r="Y1211" s="0" t="n">
        <v>5</v>
      </c>
      <c r="Z1211" s="0" t="inlineStr">
        <is>
          <t>https://new.land.naver.com/complexes/121274?tab=detail&amp;rf=Y</t>
        </is>
      </c>
      <c r="AA1211" s="0" t="inlineStr">
        <is>
          <t>인천시 서구 연희동 747-1</t>
        </is>
      </c>
      <c r="AB1211" s="0" t="inlineStr">
        <is>
          <t>인천시</t>
        </is>
      </c>
      <c r="AC1211" s="0" t="inlineStr">
        <is>
          <t>서구</t>
        </is>
      </c>
      <c r="AD1211" s="0" t="inlineStr">
        <is>
          <t>연희동</t>
        </is>
      </c>
      <c r="AG1211" s="0" t="inlineStr">
        <is>
          <t>인천시 서구 연희로39번길 19</t>
        </is>
      </c>
      <c r="AH1211" s="0" t="n">
        <v>0</v>
      </c>
      <c r="AI1211" s="0" t="n">
        <v>0</v>
      </c>
      <c r="AJ1211" s="0" t="n">
        <v>0</v>
      </c>
      <c r="AK1211" s="0" t="n">
        <v>44</v>
      </c>
      <c r="AL1211" s="0" t="n">
        <v>1</v>
      </c>
    </row>
    <row r="1212">
      <c r="A1212" s="0" t="inlineStr">
        <is>
          <t>[연희동]</t>
        </is>
      </c>
      <c r="B1212" s="0" t="n">
        <v>121274</v>
      </c>
      <c r="C1212" s="0" t="n">
        <v>6</v>
      </c>
      <c r="D1212" s="0" t="inlineStr">
        <is>
          <t>디자인타운(도시형)</t>
        </is>
      </c>
      <c r="E1212" s="0" t="inlineStr">
        <is>
          <t>2014.04.</t>
        </is>
      </c>
      <c r="F1212" s="0" t="n">
        <v>44</v>
      </c>
      <c r="G1212" s="0" t="n">
        <v>12.9</v>
      </c>
      <c r="H1212" s="0" t="n">
        <v>42.66</v>
      </c>
      <c r="I1212" s="0" t="n">
        <v>11.11</v>
      </c>
      <c r="J1212" s="0" t="n">
        <v>36.73</v>
      </c>
      <c r="K1212" s="0" t="n">
        <v>8</v>
      </c>
      <c r="T1212" s="0" t="n">
        <v>1</v>
      </c>
      <c r="U1212" s="0" t="n">
        <v>1</v>
      </c>
      <c r="V1212" s="0" t="inlineStr">
        <is>
          <t>계단식</t>
        </is>
      </c>
      <c r="W1212" s="0" t="inlineStr">
        <is>
          <t>42B</t>
        </is>
      </c>
      <c r="X1212" s="0" t="n">
        <v>5</v>
      </c>
      <c r="Y1212" s="0" t="n">
        <v>5</v>
      </c>
      <c r="Z1212" s="0" t="inlineStr">
        <is>
          <t>https://new.land.naver.com/complexes/121274?tab=detail&amp;rf=Y</t>
        </is>
      </c>
      <c r="AA1212" s="0" t="inlineStr">
        <is>
          <t>인천시 서구 연희동 747-1</t>
        </is>
      </c>
      <c r="AB1212" s="0" t="inlineStr">
        <is>
          <t>인천시</t>
        </is>
      </c>
      <c r="AC1212" s="0" t="inlineStr">
        <is>
          <t>서구</t>
        </is>
      </c>
      <c r="AD1212" s="0" t="inlineStr">
        <is>
          <t>연희동</t>
        </is>
      </c>
      <c r="AG1212" s="0" t="inlineStr">
        <is>
          <t>인천시 서구 연희로39번길 19</t>
        </is>
      </c>
      <c r="AH1212" s="0" t="n">
        <v>0</v>
      </c>
      <c r="AI1212" s="0" t="n">
        <v>0</v>
      </c>
      <c r="AJ1212" s="0" t="n">
        <v>0</v>
      </c>
      <c r="AK1212" s="0" t="n">
        <v>44</v>
      </c>
      <c r="AL1212" s="0" t="n">
        <v>1</v>
      </c>
    </row>
    <row r="1213">
      <c r="A1213" s="0" t="inlineStr">
        <is>
          <t>[연희동]</t>
        </is>
      </c>
      <c r="B1213" s="0" t="n">
        <v>121274</v>
      </c>
      <c r="C1213" s="0" t="n">
        <v>7</v>
      </c>
      <c r="D1213" s="0" t="inlineStr">
        <is>
          <t>디자인타운(도시형)</t>
        </is>
      </c>
      <c r="E1213" s="0" t="inlineStr">
        <is>
          <t>2014.04.</t>
        </is>
      </c>
      <c r="F1213" s="0" t="n">
        <v>44</v>
      </c>
      <c r="G1213" s="0" t="n">
        <v>13.21</v>
      </c>
      <c r="H1213" s="0" t="n">
        <v>43.7</v>
      </c>
      <c r="I1213" s="0" t="n">
        <v>11.42</v>
      </c>
      <c r="J1213" s="0" t="n">
        <v>37.76</v>
      </c>
      <c r="K1213" s="0" t="n">
        <v>3</v>
      </c>
      <c r="T1213" s="0" t="n">
        <v>1</v>
      </c>
      <c r="U1213" s="0" t="n">
        <v>1</v>
      </c>
      <c r="V1213" s="0" t="inlineStr">
        <is>
          <t>계단식</t>
        </is>
      </c>
      <c r="W1213" s="0" t="inlineStr">
        <is>
          <t>43C</t>
        </is>
      </c>
      <c r="X1213" s="0" t="n">
        <v>5</v>
      </c>
      <c r="Y1213" s="0" t="n">
        <v>5</v>
      </c>
      <c r="Z1213" s="0" t="inlineStr">
        <is>
          <t>https://new.land.naver.com/complexes/121274?tab=detail&amp;rf=Y</t>
        </is>
      </c>
      <c r="AA1213" s="0" t="inlineStr">
        <is>
          <t>인천시 서구 연희동 747-1</t>
        </is>
      </c>
      <c r="AB1213" s="0" t="inlineStr">
        <is>
          <t>인천시</t>
        </is>
      </c>
      <c r="AC1213" s="0" t="inlineStr">
        <is>
          <t>서구</t>
        </is>
      </c>
      <c r="AD1213" s="0" t="inlineStr">
        <is>
          <t>연희동</t>
        </is>
      </c>
      <c r="AG1213" s="0" t="inlineStr">
        <is>
          <t>인천시 서구 연희로39번길 19</t>
        </is>
      </c>
      <c r="AH1213" s="0" t="n">
        <v>0</v>
      </c>
      <c r="AI1213" s="0" t="n">
        <v>0</v>
      </c>
      <c r="AJ1213" s="0" t="n">
        <v>0</v>
      </c>
      <c r="AK1213" s="0" t="n">
        <v>44</v>
      </c>
      <c r="AL1213" s="0" t="n">
        <v>1</v>
      </c>
    </row>
    <row r="1214">
      <c r="A1214" s="0" t="inlineStr">
        <is>
          <t>[연희동]</t>
        </is>
      </c>
      <c r="B1214" s="0" t="n">
        <v>121274</v>
      </c>
      <c r="C1214" s="0" t="n">
        <v>8</v>
      </c>
      <c r="D1214" s="0" t="inlineStr">
        <is>
          <t>디자인타운(도시형)</t>
        </is>
      </c>
      <c r="E1214" s="0" t="inlineStr">
        <is>
          <t>2014.04.</t>
        </is>
      </c>
      <c r="F1214" s="0" t="n">
        <v>44</v>
      </c>
      <c r="G1214" s="0" t="n">
        <v>13.68</v>
      </c>
      <c r="H1214" s="0" t="n">
        <v>45.24</v>
      </c>
      <c r="I1214" s="0" t="n">
        <v>11.82</v>
      </c>
      <c r="J1214" s="0" t="n">
        <v>39.09</v>
      </c>
      <c r="K1214" s="0" t="n">
        <v>1</v>
      </c>
      <c r="T1214" s="0" t="n">
        <v>1</v>
      </c>
      <c r="U1214" s="0" t="n">
        <v>1</v>
      </c>
      <c r="V1214" s="0" t="inlineStr">
        <is>
          <t>계단식</t>
        </is>
      </c>
      <c r="W1214" s="0" t="inlineStr">
        <is>
          <t>45A</t>
        </is>
      </c>
      <c r="X1214" s="0" t="n">
        <v>5</v>
      </c>
      <c r="Y1214" s="0" t="n">
        <v>5</v>
      </c>
      <c r="Z1214" s="0" t="inlineStr">
        <is>
          <t>https://new.land.naver.com/complexes/121274?tab=detail&amp;rf=Y</t>
        </is>
      </c>
      <c r="AA1214" s="0" t="inlineStr">
        <is>
          <t>인천시 서구 연희동 747-1</t>
        </is>
      </c>
      <c r="AB1214" s="0" t="inlineStr">
        <is>
          <t>인천시</t>
        </is>
      </c>
      <c r="AC1214" s="0" t="inlineStr">
        <is>
          <t>서구</t>
        </is>
      </c>
      <c r="AD1214" s="0" t="inlineStr">
        <is>
          <t>연희동</t>
        </is>
      </c>
      <c r="AG1214" s="0" t="inlineStr">
        <is>
          <t>인천시 서구 연희로39번길 19</t>
        </is>
      </c>
      <c r="AH1214" s="0" t="n">
        <v>0</v>
      </c>
      <c r="AI1214" s="0" t="n">
        <v>0</v>
      </c>
      <c r="AJ1214" s="0" t="n">
        <v>0</v>
      </c>
      <c r="AK1214" s="0" t="n">
        <v>44</v>
      </c>
      <c r="AL1214" s="0" t="n">
        <v>1</v>
      </c>
    </row>
    <row r="1215">
      <c r="A1215" s="0" t="inlineStr">
        <is>
          <t>[연희동]</t>
        </is>
      </c>
      <c r="B1215" s="0" t="n">
        <v>121274</v>
      </c>
      <c r="C1215" s="0" t="n">
        <v>9</v>
      </c>
      <c r="D1215" s="0" t="inlineStr">
        <is>
          <t>디자인타운(도시형)</t>
        </is>
      </c>
      <c r="E1215" s="0" t="inlineStr">
        <is>
          <t>2014.04.</t>
        </is>
      </c>
      <c r="F1215" s="0" t="n">
        <v>44</v>
      </c>
      <c r="G1215" s="0" t="n">
        <v>14.29</v>
      </c>
      <c r="H1215" s="0" t="n">
        <v>47.25</v>
      </c>
      <c r="I1215" s="0" t="n">
        <v>12.51</v>
      </c>
      <c r="J1215" s="0" t="n">
        <v>41.36</v>
      </c>
      <c r="K1215" s="0" t="n">
        <v>1</v>
      </c>
      <c r="T1215" s="0" t="n">
        <v>1</v>
      </c>
      <c r="U1215" s="0" t="n">
        <v>1</v>
      </c>
      <c r="V1215" s="0" t="inlineStr">
        <is>
          <t>계단식</t>
        </is>
      </c>
      <c r="W1215" s="0" t="inlineStr">
        <is>
          <t>47B</t>
        </is>
      </c>
      <c r="X1215" s="0" t="n">
        <v>5</v>
      </c>
      <c r="Y1215" s="0" t="n">
        <v>5</v>
      </c>
      <c r="Z1215" s="0" t="inlineStr">
        <is>
          <t>https://new.land.naver.com/complexes/121274?tab=detail&amp;rf=Y</t>
        </is>
      </c>
      <c r="AA1215" s="0" t="inlineStr">
        <is>
          <t>인천시 서구 연희동 747-1</t>
        </is>
      </c>
      <c r="AB1215" s="0" t="inlineStr">
        <is>
          <t>인천시</t>
        </is>
      </c>
      <c r="AC1215" s="0" t="inlineStr">
        <is>
          <t>서구</t>
        </is>
      </c>
      <c r="AD1215" s="0" t="inlineStr">
        <is>
          <t>연희동</t>
        </is>
      </c>
      <c r="AG1215" s="0" t="inlineStr">
        <is>
          <t>인천시 서구 연희로39번길 19</t>
        </is>
      </c>
      <c r="AH1215" s="0" t="n">
        <v>0</v>
      </c>
      <c r="AI1215" s="0" t="n">
        <v>0</v>
      </c>
      <c r="AJ1215" s="0" t="n">
        <v>0</v>
      </c>
      <c r="AK1215" s="0" t="n">
        <v>44</v>
      </c>
      <c r="AL1215" s="0" t="n">
        <v>1</v>
      </c>
    </row>
    <row r="1216">
      <c r="A1216" s="0" t="inlineStr">
        <is>
          <t>[연희동]</t>
        </is>
      </c>
      <c r="B1216" s="0" t="n">
        <v>121274</v>
      </c>
      <c r="C1216" s="0" t="n">
        <v>10</v>
      </c>
      <c r="D1216" s="0" t="inlineStr">
        <is>
          <t>디자인타운(도시형)</t>
        </is>
      </c>
      <c r="E1216" s="0" t="inlineStr">
        <is>
          <t>2014.04.</t>
        </is>
      </c>
      <c r="F1216" s="0" t="n">
        <v>44</v>
      </c>
      <c r="G1216" s="0" t="n">
        <v>14.69</v>
      </c>
      <c r="H1216" s="0" t="n">
        <v>48.58</v>
      </c>
      <c r="I1216" s="0" t="n">
        <v>12.69</v>
      </c>
      <c r="J1216" s="0" t="n">
        <v>41.97</v>
      </c>
      <c r="K1216" s="0" t="n">
        <v>1</v>
      </c>
      <c r="T1216" s="0" t="n">
        <v>3</v>
      </c>
      <c r="U1216" s="0" t="n">
        <v>1</v>
      </c>
      <c r="V1216" s="0" t="inlineStr">
        <is>
          <t>계단식</t>
        </is>
      </c>
      <c r="W1216" s="0" t="n">
        <v>48</v>
      </c>
      <c r="X1216" s="0" t="n">
        <v>5</v>
      </c>
      <c r="Y1216" s="0" t="n">
        <v>5</v>
      </c>
      <c r="Z1216" s="0" t="inlineStr">
        <is>
          <t>https://new.land.naver.com/complexes/121274?tab=detail&amp;rf=Y</t>
        </is>
      </c>
      <c r="AA1216" s="0" t="inlineStr">
        <is>
          <t>인천시 서구 연희동 747-1</t>
        </is>
      </c>
      <c r="AB1216" s="0" t="inlineStr">
        <is>
          <t>인천시</t>
        </is>
      </c>
      <c r="AC1216" s="0" t="inlineStr">
        <is>
          <t>서구</t>
        </is>
      </c>
      <c r="AD1216" s="0" t="inlineStr">
        <is>
          <t>연희동</t>
        </is>
      </c>
      <c r="AG1216" s="0" t="inlineStr">
        <is>
          <t>인천시 서구 연희로39번길 19</t>
        </is>
      </c>
      <c r="AH1216" s="0" t="n">
        <v>0</v>
      </c>
      <c r="AI1216" s="0" t="n">
        <v>0</v>
      </c>
      <c r="AJ1216" s="0" t="n">
        <v>0</v>
      </c>
      <c r="AK1216" s="0" t="n">
        <v>44</v>
      </c>
      <c r="AL1216" s="0" t="n">
        <v>1</v>
      </c>
    </row>
    <row r="1217">
      <c r="A1217" s="0" t="inlineStr">
        <is>
          <t>[연희동]</t>
        </is>
      </c>
      <c r="B1217" s="0" t="n">
        <v>121274</v>
      </c>
      <c r="C1217" s="0" t="n">
        <v>11</v>
      </c>
      <c r="D1217" s="0" t="inlineStr">
        <is>
          <t>디자인타운(도시형)</t>
        </is>
      </c>
      <c r="E1217" s="0" t="inlineStr">
        <is>
          <t>2014.04.</t>
        </is>
      </c>
      <c r="F1217" s="0" t="n">
        <v>44</v>
      </c>
      <c r="G1217" s="0" t="n">
        <v>16.62</v>
      </c>
      <c r="H1217" s="0" t="n">
        <v>54.97</v>
      </c>
      <c r="I1217" s="0" t="n">
        <v>14.55</v>
      </c>
      <c r="J1217" s="0" t="n">
        <v>48.13</v>
      </c>
      <c r="K1217" s="0" t="n">
        <v>3</v>
      </c>
      <c r="T1217" s="0" t="n">
        <v>2</v>
      </c>
      <c r="U1217" s="0" t="n">
        <v>1</v>
      </c>
      <c r="V1217" s="0" t="inlineStr">
        <is>
          <t>계단식</t>
        </is>
      </c>
      <c r="W1217" s="0" t="inlineStr">
        <is>
          <t>54A</t>
        </is>
      </c>
      <c r="X1217" s="0" t="n">
        <v>5</v>
      </c>
      <c r="Y1217" s="0" t="n">
        <v>5</v>
      </c>
      <c r="Z1217" s="0" t="inlineStr">
        <is>
          <t>https://new.land.naver.com/complexes/121274?tab=detail&amp;rf=Y</t>
        </is>
      </c>
      <c r="AA1217" s="0" t="inlineStr">
        <is>
          <t>인천시 서구 연희동 747-1</t>
        </is>
      </c>
      <c r="AB1217" s="0" t="inlineStr">
        <is>
          <t>인천시</t>
        </is>
      </c>
      <c r="AC1217" s="0" t="inlineStr">
        <is>
          <t>서구</t>
        </is>
      </c>
      <c r="AD1217" s="0" t="inlineStr">
        <is>
          <t>연희동</t>
        </is>
      </c>
      <c r="AG1217" s="0" t="inlineStr">
        <is>
          <t>인천시 서구 연희로39번길 19</t>
        </is>
      </c>
      <c r="AH1217" s="0" t="n">
        <v>0</v>
      </c>
      <c r="AI1217" s="0" t="n">
        <v>0</v>
      </c>
      <c r="AJ1217" s="0" t="n">
        <v>0</v>
      </c>
      <c r="AK1217" s="0" t="n">
        <v>44</v>
      </c>
      <c r="AL1217" s="0" t="n">
        <v>1</v>
      </c>
    </row>
    <row r="1218">
      <c r="A1218" s="0" t="inlineStr">
        <is>
          <t>[연희동]</t>
        </is>
      </c>
      <c r="B1218" s="0" t="n">
        <v>121274</v>
      </c>
      <c r="C1218" s="0" t="n">
        <v>12</v>
      </c>
      <c r="D1218" s="0" t="inlineStr">
        <is>
          <t>디자인타운(도시형)</t>
        </is>
      </c>
      <c r="E1218" s="0" t="inlineStr">
        <is>
          <t>2014.04.</t>
        </is>
      </c>
      <c r="F1218" s="0" t="n">
        <v>44</v>
      </c>
      <c r="G1218" s="0" t="n">
        <v>16.76</v>
      </c>
      <c r="H1218" s="0" t="n">
        <v>55.41</v>
      </c>
      <c r="I1218" s="0" t="n">
        <v>14.67</v>
      </c>
      <c r="J1218" s="0" t="n">
        <v>48.51</v>
      </c>
      <c r="K1218" s="0" t="n">
        <v>6</v>
      </c>
      <c r="T1218" s="0" t="n">
        <v>2</v>
      </c>
      <c r="U1218" s="0" t="n">
        <v>1</v>
      </c>
      <c r="V1218" s="0" t="inlineStr">
        <is>
          <t>계단식</t>
        </is>
      </c>
      <c r="W1218" s="0" t="inlineStr">
        <is>
          <t>55B</t>
        </is>
      </c>
      <c r="X1218" s="0" t="n">
        <v>5</v>
      </c>
      <c r="Y1218" s="0" t="n">
        <v>5</v>
      </c>
      <c r="Z1218" s="0" t="inlineStr">
        <is>
          <t>https://new.land.naver.com/complexes/121274?tab=detail&amp;rf=Y</t>
        </is>
      </c>
      <c r="AA1218" s="0" t="inlineStr">
        <is>
          <t>인천시 서구 연희동 747-1</t>
        </is>
      </c>
      <c r="AB1218" s="0" t="inlineStr">
        <is>
          <t>인천시</t>
        </is>
      </c>
      <c r="AC1218" s="0" t="inlineStr">
        <is>
          <t>서구</t>
        </is>
      </c>
      <c r="AD1218" s="0" t="inlineStr">
        <is>
          <t>연희동</t>
        </is>
      </c>
      <c r="AG1218" s="0" t="inlineStr">
        <is>
          <t>인천시 서구 연희로39번길 19</t>
        </is>
      </c>
      <c r="AH1218" s="0" t="n">
        <v>0</v>
      </c>
      <c r="AI1218" s="0" t="n">
        <v>0</v>
      </c>
      <c r="AJ1218" s="0" t="n">
        <v>0</v>
      </c>
      <c r="AK1218" s="0" t="n">
        <v>44</v>
      </c>
      <c r="AL1218" s="0" t="n">
        <v>1</v>
      </c>
    </row>
    <row r="1219">
      <c r="A1219" s="0" t="inlineStr">
        <is>
          <t>[연희동]</t>
        </is>
      </c>
      <c r="B1219" s="0" t="n">
        <v>121274</v>
      </c>
      <c r="C1219" s="0" t="n">
        <v>13</v>
      </c>
      <c r="D1219" s="0" t="inlineStr">
        <is>
          <t>디자인타운(도시형)</t>
        </is>
      </c>
      <c r="E1219" s="0" t="inlineStr">
        <is>
          <t>2014.04.</t>
        </is>
      </c>
      <c r="F1219" s="0" t="n">
        <v>44</v>
      </c>
      <c r="G1219" s="0" t="n">
        <v>17.41</v>
      </c>
      <c r="H1219" s="0" t="n">
        <v>57.56</v>
      </c>
      <c r="I1219" s="0" t="n">
        <v>15.24</v>
      </c>
      <c r="J1219" s="0" t="n">
        <v>50.39</v>
      </c>
      <c r="K1219" s="0" t="n">
        <v>2</v>
      </c>
      <c r="T1219" s="0" t="n">
        <v>2</v>
      </c>
      <c r="U1219" s="0" t="n">
        <v>1</v>
      </c>
      <c r="V1219" s="0" t="inlineStr">
        <is>
          <t>계단식</t>
        </is>
      </c>
      <c r="W1219" s="0" t="inlineStr">
        <is>
          <t>57C</t>
        </is>
      </c>
      <c r="X1219" s="0" t="n">
        <v>5</v>
      </c>
      <c r="Y1219" s="0" t="n">
        <v>5</v>
      </c>
      <c r="Z1219" s="0" t="inlineStr">
        <is>
          <t>https://new.land.naver.com/complexes/121274?tab=detail&amp;rf=Y</t>
        </is>
      </c>
      <c r="AA1219" s="0" t="inlineStr">
        <is>
          <t>인천시 서구 연희동 747-1</t>
        </is>
      </c>
      <c r="AB1219" s="0" t="inlineStr">
        <is>
          <t>인천시</t>
        </is>
      </c>
      <c r="AC1219" s="0" t="inlineStr">
        <is>
          <t>서구</t>
        </is>
      </c>
      <c r="AD1219" s="0" t="inlineStr">
        <is>
          <t>연희동</t>
        </is>
      </c>
      <c r="AG1219" s="0" t="inlineStr">
        <is>
          <t>인천시 서구 연희로39번길 19</t>
        </is>
      </c>
      <c r="AH1219" s="0" t="n">
        <v>0</v>
      </c>
      <c r="AI1219" s="0" t="n">
        <v>0</v>
      </c>
      <c r="AJ1219" s="0" t="n">
        <v>0</v>
      </c>
      <c r="AK1219" s="0" t="n">
        <v>44</v>
      </c>
      <c r="AL1219" s="0" t="n">
        <v>1</v>
      </c>
    </row>
    <row r="1220">
      <c r="A1220" s="0" t="inlineStr">
        <is>
          <t>[연희동]</t>
        </is>
      </c>
      <c r="B1220" s="0" t="n">
        <v>121274</v>
      </c>
      <c r="C1220" s="0" t="n">
        <v>14</v>
      </c>
      <c r="D1220" s="0" t="inlineStr">
        <is>
          <t>디자인타운(도시형)</t>
        </is>
      </c>
      <c r="E1220" s="0" t="inlineStr">
        <is>
          <t>2014.04.</t>
        </is>
      </c>
      <c r="F1220" s="0" t="n">
        <v>44</v>
      </c>
      <c r="G1220" s="0" t="n">
        <v>20.38</v>
      </c>
      <c r="H1220" s="0" t="n">
        <v>67.40000000000001</v>
      </c>
      <c r="I1220" s="0" t="n">
        <v>10.19</v>
      </c>
      <c r="J1220" s="0" t="n">
        <v>33.7</v>
      </c>
      <c r="K1220" s="0" t="n">
        <v>1</v>
      </c>
      <c r="T1220" s="0" t="n">
        <v>3</v>
      </c>
      <c r="U1220" s="0" t="n">
        <v>1</v>
      </c>
      <c r="V1220" s="0" t="inlineStr">
        <is>
          <t>계단식</t>
        </is>
      </c>
      <c r="W1220" s="0" t="n">
        <v>67</v>
      </c>
      <c r="X1220" s="0" t="n">
        <v>5</v>
      </c>
      <c r="Y1220" s="0" t="n">
        <v>5</v>
      </c>
      <c r="Z1220" s="0" t="inlineStr">
        <is>
          <t>https://new.land.naver.com/complexes/121274?tab=detail&amp;rf=Y</t>
        </is>
      </c>
      <c r="AA1220" s="0" t="inlineStr">
        <is>
          <t>인천시 서구 연희동 747-1</t>
        </is>
      </c>
      <c r="AB1220" s="0" t="inlineStr">
        <is>
          <t>인천시</t>
        </is>
      </c>
      <c r="AC1220" s="0" t="inlineStr">
        <is>
          <t>서구</t>
        </is>
      </c>
      <c r="AD1220" s="0" t="inlineStr">
        <is>
          <t>연희동</t>
        </is>
      </c>
      <c r="AG1220" s="0" t="inlineStr">
        <is>
          <t>인천시 서구 연희로39번길 19</t>
        </is>
      </c>
      <c r="AH1220" s="0" t="n">
        <v>0</v>
      </c>
      <c r="AI1220" s="0" t="n">
        <v>0</v>
      </c>
      <c r="AJ1220" s="0" t="n">
        <v>0</v>
      </c>
      <c r="AK1220" s="0" t="n">
        <v>44</v>
      </c>
      <c r="AL1220" s="0" t="n">
        <v>1</v>
      </c>
    </row>
    <row r="1221">
      <c r="A1221" s="0" t="inlineStr">
        <is>
          <t>[연희동]</t>
        </is>
      </c>
      <c r="B1221" s="0" t="n">
        <v>8208</v>
      </c>
      <c r="C1221" s="0" t="n">
        <v>1</v>
      </c>
      <c r="D1221" s="0" t="inlineStr">
        <is>
          <t>우성</t>
        </is>
      </c>
      <c r="E1221" s="0" t="inlineStr">
        <is>
          <t>1997.06.</t>
        </is>
      </c>
      <c r="F1221" s="0" t="n">
        <v>410</v>
      </c>
      <c r="G1221" s="0" t="n">
        <v>23.55</v>
      </c>
      <c r="H1221" s="0" t="n">
        <v>77.86</v>
      </c>
      <c r="I1221" s="0" t="n">
        <v>18.12</v>
      </c>
      <c r="J1221" s="0" t="n">
        <v>59.92</v>
      </c>
      <c r="K1221" s="0" t="n">
        <v>168</v>
      </c>
      <c r="T1221" s="0" t="n">
        <v>3</v>
      </c>
      <c r="U1221" s="0" t="n">
        <v>1</v>
      </c>
      <c r="V1221" s="0" t="inlineStr">
        <is>
          <t>계단식</t>
        </is>
      </c>
      <c r="W1221" s="0" t="n">
        <v>77</v>
      </c>
      <c r="X1221" s="0" t="n">
        <v>18</v>
      </c>
      <c r="Y1221" s="0" t="n">
        <v>16</v>
      </c>
      <c r="Z1221" s="0" t="inlineStr">
        <is>
          <t>https://new.land.naver.com/complexes/8208?tab=detail&amp;rf=Y</t>
        </is>
      </c>
      <c r="AA1221" s="0" t="inlineStr">
        <is>
          <t>인천시 서구 연희동 729-1</t>
        </is>
      </c>
      <c r="AB1221" s="0" t="inlineStr">
        <is>
          <t>인천시</t>
        </is>
      </c>
      <c r="AC1221" s="0" t="inlineStr">
        <is>
          <t>서구</t>
        </is>
      </c>
      <c r="AD1221" s="0" t="inlineStr">
        <is>
          <t>연희동</t>
        </is>
      </c>
      <c r="AG1221" s="0" t="inlineStr">
        <is>
          <t>인천시 서구 대평로56번길 32</t>
        </is>
      </c>
      <c r="AH1221" s="0" t="n">
        <v>0</v>
      </c>
      <c r="AI1221" s="0" t="n">
        <v>222</v>
      </c>
      <c r="AJ1221" s="0" t="n">
        <v>15</v>
      </c>
      <c r="AK1221" s="0" t="n">
        <v>417</v>
      </c>
      <c r="AL1221" s="0" t="n">
        <v>1.02</v>
      </c>
    </row>
    <row r="1222">
      <c r="A1222" s="0" t="inlineStr">
        <is>
          <t>[연희동]</t>
        </is>
      </c>
      <c r="B1222" s="0" t="n">
        <v>8208</v>
      </c>
      <c r="C1222" s="0" t="n">
        <v>2</v>
      </c>
      <c r="D1222" s="0" t="inlineStr">
        <is>
          <t>우성</t>
        </is>
      </c>
      <c r="E1222" s="0" t="inlineStr">
        <is>
          <t>1997.06.</t>
        </is>
      </c>
      <c r="F1222" s="0" t="n">
        <v>410</v>
      </c>
      <c r="G1222" s="0" t="n">
        <v>33.28</v>
      </c>
      <c r="H1222" s="0" t="n">
        <v>110.04</v>
      </c>
      <c r="I1222" s="0" t="n">
        <v>25.61</v>
      </c>
      <c r="J1222" s="0" t="n">
        <v>84.69</v>
      </c>
      <c r="K1222" s="0" t="n">
        <v>242</v>
      </c>
      <c r="T1222" s="0" t="n">
        <v>3</v>
      </c>
      <c r="U1222" s="0" t="n">
        <v>2</v>
      </c>
      <c r="V1222" s="0" t="inlineStr">
        <is>
          <t>계단식</t>
        </is>
      </c>
      <c r="W1222" s="0" t="n">
        <v>110</v>
      </c>
      <c r="X1222" s="0" t="n">
        <v>18</v>
      </c>
      <c r="Y1222" s="0" t="n">
        <v>16</v>
      </c>
      <c r="Z1222" s="0" t="inlineStr">
        <is>
          <t>https://new.land.naver.com/complexes/8208?tab=detail&amp;rf=Y</t>
        </is>
      </c>
      <c r="AA1222" s="0" t="inlineStr">
        <is>
          <t>인천시 서구 연희동 729-1</t>
        </is>
      </c>
      <c r="AB1222" s="0" t="inlineStr">
        <is>
          <t>인천시</t>
        </is>
      </c>
      <c r="AC1222" s="0" t="inlineStr">
        <is>
          <t>서구</t>
        </is>
      </c>
      <c r="AD1222" s="0" t="inlineStr">
        <is>
          <t>연희동</t>
        </is>
      </c>
      <c r="AG1222" s="0" t="inlineStr">
        <is>
          <t>인천시 서구 대평로56번길 32</t>
        </is>
      </c>
      <c r="AH1222" s="0" t="n">
        <v>0</v>
      </c>
      <c r="AI1222" s="0" t="n">
        <v>222</v>
      </c>
      <c r="AJ1222" s="0" t="n">
        <v>15</v>
      </c>
      <c r="AK1222" s="0" t="n">
        <v>417</v>
      </c>
      <c r="AL1222" s="0" t="n">
        <v>1.02</v>
      </c>
    </row>
    <row r="1223">
      <c r="A1223" s="0" t="inlineStr">
        <is>
          <t>[연희동]</t>
        </is>
      </c>
      <c r="B1223" s="0" t="n">
        <v>2387</v>
      </c>
      <c r="C1223" s="0" t="n">
        <v>1</v>
      </c>
      <c r="D1223" s="0" t="inlineStr">
        <is>
          <t>태영</t>
        </is>
      </c>
      <c r="E1223" s="0" t="inlineStr">
        <is>
          <t>1996.11.</t>
        </is>
      </c>
      <c r="F1223" s="0" t="n">
        <v>390</v>
      </c>
      <c r="G1223" s="0" t="n">
        <v>24.22</v>
      </c>
      <c r="H1223" s="0" t="n">
        <v>80.09</v>
      </c>
      <c r="I1223" s="0" t="n">
        <v>17.92</v>
      </c>
      <c r="J1223" s="0" t="n">
        <v>59.24</v>
      </c>
      <c r="K1223" s="0" t="n">
        <v>220</v>
      </c>
      <c r="T1223" s="0" t="n">
        <v>3</v>
      </c>
      <c r="U1223" s="0" t="n">
        <v>1</v>
      </c>
      <c r="V1223" s="0" t="inlineStr">
        <is>
          <t>복도식</t>
        </is>
      </c>
      <c r="W1223" s="0" t="n">
        <v>80</v>
      </c>
      <c r="X1223" s="0" t="n">
        <v>20</v>
      </c>
      <c r="Y1223" s="0" t="n">
        <v>15</v>
      </c>
      <c r="Z1223" s="0" t="inlineStr">
        <is>
          <t>https://new.land.naver.com/complexes/2387?tab=detail&amp;rf=Y</t>
        </is>
      </c>
      <c r="AA1223" s="0" t="inlineStr">
        <is>
          <t>인천시 서구 연희동 690</t>
        </is>
      </c>
      <c r="AB1223" s="0" t="inlineStr">
        <is>
          <t>인천시</t>
        </is>
      </c>
      <c r="AC1223" s="0" t="inlineStr">
        <is>
          <t>서구</t>
        </is>
      </c>
      <c r="AD1223" s="0" t="inlineStr">
        <is>
          <t>연희동</t>
        </is>
      </c>
      <c r="AG1223" s="0" t="inlineStr">
        <is>
          <t>인천시 서구 대평로 10</t>
        </is>
      </c>
      <c r="AH1223" s="0" t="n">
        <v>0</v>
      </c>
      <c r="AI1223" s="0" t="n">
        <v>290</v>
      </c>
      <c r="AJ1223" s="0" t="n">
        <v>23</v>
      </c>
      <c r="AK1223" s="0" t="n">
        <v>400</v>
      </c>
      <c r="AL1223" s="0" t="n">
        <v>1.03</v>
      </c>
    </row>
    <row r="1224">
      <c r="A1224" s="0" t="inlineStr">
        <is>
          <t>[연희동]</t>
        </is>
      </c>
      <c r="B1224" s="0" t="n">
        <v>2387</v>
      </c>
      <c r="C1224" s="0" t="n">
        <v>2</v>
      </c>
      <c r="D1224" s="0" t="inlineStr">
        <is>
          <t>태영</t>
        </is>
      </c>
      <c r="E1224" s="0" t="inlineStr">
        <is>
          <t>1996.11.</t>
        </is>
      </c>
      <c r="F1224" s="0" t="n">
        <v>390</v>
      </c>
      <c r="G1224" s="0" t="n">
        <v>32.69</v>
      </c>
      <c r="H1224" s="0" t="n">
        <v>108.08</v>
      </c>
      <c r="I1224" s="0" t="n">
        <v>25.7</v>
      </c>
      <c r="J1224" s="0" t="n">
        <v>84.95999999999999</v>
      </c>
      <c r="K1224" s="0" t="n">
        <v>170</v>
      </c>
      <c r="T1224" s="0" t="n">
        <v>3</v>
      </c>
      <c r="U1224" s="0" t="n">
        <v>2</v>
      </c>
      <c r="V1224" s="0" t="inlineStr">
        <is>
          <t>계단식</t>
        </is>
      </c>
      <c r="W1224" s="0" t="n">
        <v>108</v>
      </c>
      <c r="X1224" s="0" t="n">
        <v>20</v>
      </c>
      <c r="Y1224" s="0" t="n">
        <v>15</v>
      </c>
      <c r="Z1224" s="0" t="inlineStr">
        <is>
          <t>https://new.land.naver.com/complexes/2387?tab=detail&amp;rf=Y</t>
        </is>
      </c>
      <c r="AA1224" s="0" t="inlineStr">
        <is>
          <t>인천시 서구 연희동 690</t>
        </is>
      </c>
      <c r="AB1224" s="0" t="inlineStr">
        <is>
          <t>인천시</t>
        </is>
      </c>
      <c r="AC1224" s="0" t="inlineStr">
        <is>
          <t>서구</t>
        </is>
      </c>
      <c r="AD1224" s="0" t="inlineStr">
        <is>
          <t>연희동</t>
        </is>
      </c>
      <c r="AG1224" s="0" t="inlineStr">
        <is>
          <t>인천시 서구 대평로 10</t>
        </is>
      </c>
      <c r="AH1224" s="0" t="n">
        <v>0</v>
      </c>
      <c r="AI1224" s="0" t="n">
        <v>290</v>
      </c>
      <c r="AJ1224" s="0" t="n">
        <v>23</v>
      </c>
      <c r="AK1224" s="0" t="n">
        <v>400</v>
      </c>
      <c r="AL1224" s="0" t="n">
        <v>1.03</v>
      </c>
    </row>
    <row r="1225">
      <c r="A1225" s="0" t="inlineStr">
        <is>
          <t>[연희동]</t>
        </is>
      </c>
      <c r="B1225" s="0" t="n">
        <v>2388</v>
      </c>
      <c r="C1225" s="0" t="n">
        <v>1</v>
      </c>
      <c r="D1225" s="0" t="inlineStr">
        <is>
          <t>한국1차</t>
        </is>
      </c>
      <c r="E1225" s="0" t="inlineStr">
        <is>
          <t>1994.08.</t>
        </is>
      </c>
      <c r="F1225" s="0" t="n">
        <v>356</v>
      </c>
      <c r="G1225" s="0" t="n">
        <v>25.12</v>
      </c>
      <c r="H1225" s="0" t="n">
        <v>83.05</v>
      </c>
      <c r="I1225" s="0" t="n">
        <v>17.64</v>
      </c>
      <c r="J1225" s="0" t="n">
        <v>58.32</v>
      </c>
      <c r="K1225" s="0" t="n">
        <v>88</v>
      </c>
      <c r="T1225" s="0" t="n">
        <v>2</v>
      </c>
      <c r="U1225" s="0" t="n">
        <v>1</v>
      </c>
      <c r="V1225" s="0" t="inlineStr">
        <is>
          <t>복도식</t>
        </is>
      </c>
      <c r="W1225" s="0" t="n">
        <v>83</v>
      </c>
      <c r="X1225" s="0" t="n">
        <v>22</v>
      </c>
      <c r="Y1225" s="0" t="n">
        <v>20</v>
      </c>
      <c r="Z1225" s="0" t="inlineStr">
        <is>
          <t>https://new.land.naver.com/complexes/2388?tab=detail&amp;rf=Y</t>
        </is>
      </c>
      <c r="AA1225" s="0" t="inlineStr">
        <is>
          <t>인천시 서구 연희동 682-12</t>
        </is>
      </c>
      <c r="AB1225" s="0" t="inlineStr">
        <is>
          <t>인천시</t>
        </is>
      </c>
      <c r="AC1225" s="0" t="inlineStr">
        <is>
          <t>서구</t>
        </is>
      </c>
      <c r="AD1225" s="0" t="inlineStr">
        <is>
          <t>연희동</t>
        </is>
      </c>
      <c r="AG1225" s="0" t="inlineStr">
        <is>
          <t>인천시 서구 서곶로369번길 18</t>
        </is>
      </c>
      <c r="AH1225" s="0" t="n">
        <v>0</v>
      </c>
      <c r="AI1225" s="0" t="n">
        <v>0</v>
      </c>
      <c r="AJ1225" s="0" t="n">
        <v>0</v>
      </c>
      <c r="AK1225" s="0" t="n">
        <v>314</v>
      </c>
      <c r="AL1225" s="0" t="n">
        <v>0.88</v>
      </c>
    </row>
    <row r="1226">
      <c r="A1226" s="0" t="inlineStr">
        <is>
          <t>[연희동]</t>
        </is>
      </c>
      <c r="B1226" s="0" t="n">
        <v>2388</v>
      </c>
      <c r="C1226" s="0" t="n">
        <v>2</v>
      </c>
      <c r="D1226" s="0" t="inlineStr">
        <is>
          <t>한국1차</t>
        </is>
      </c>
      <c r="E1226" s="0" t="inlineStr">
        <is>
          <t>1994.08.</t>
        </is>
      </c>
      <c r="F1226" s="0" t="n">
        <v>356</v>
      </c>
      <c r="G1226" s="0" t="n">
        <v>26.36</v>
      </c>
      <c r="H1226" s="0" t="n">
        <v>87.16</v>
      </c>
      <c r="I1226" s="0" t="n">
        <v>17.64</v>
      </c>
      <c r="J1226" s="0" t="n">
        <v>58.32</v>
      </c>
      <c r="K1226" s="0" t="n">
        <v>60</v>
      </c>
      <c r="T1226" s="0" t="n">
        <v>2</v>
      </c>
      <c r="U1226" s="0" t="n">
        <v>1</v>
      </c>
      <c r="V1226" s="0" t="inlineStr">
        <is>
          <t>복도식</t>
        </is>
      </c>
      <c r="W1226" s="0" t="n">
        <v>87</v>
      </c>
      <c r="X1226" s="0" t="n">
        <v>22</v>
      </c>
      <c r="Y1226" s="0" t="n">
        <v>20</v>
      </c>
      <c r="Z1226" s="0" t="inlineStr">
        <is>
          <t>https://new.land.naver.com/complexes/2388?tab=detail&amp;rf=Y</t>
        </is>
      </c>
      <c r="AA1226" s="0" t="inlineStr">
        <is>
          <t>인천시 서구 연희동 682-12</t>
        </is>
      </c>
      <c r="AB1226" s="0" t="inlineStr">
        <is>
          <t>인천시</t>
        </is>
      </c>
      <c r="AC1226" s="0" t="inlineStr">
        <is>
          <t>서구</t>
        </is>
      </c>
      <c r="AD1226" s="0" t="inlineStr">
        <is>
          <t>연희동</t>
        </is>
      </c>
      <c r="AG1226" s="0" t="inlineStr">
        <is>
          <t>인천시 서구 서곶로369번길 18</t>
        </is>
      </c>
      <c r="AH1226" s="0" t="n">
        <v>0</v>
      </c>
      <c r="AI1226" s="0" t="n">
        <v>0</v>
      </c>
      <c r="AJ1226" s="0" t="n">
        <v>0</v>
      </c>
      <c r="AK1226" s="0" t="n">
        <v>314</v>
      </c>
      <c r="AL1226" s="0" t="n">
        <v>0.88</v>
      </c>
    </row>
    <row r="1227">
      <c r="A1227" s="0" t="inlineStr">
        <is>
          <t>[연희동]</t>
        </is>
      </c>
      <c r="B1227" s="0" t="n">
        <v>2388</v>
      </c>
      <c r="C1227" s="0" t="n">
        <v>3</v>
      </c>
      <c r="D1227" s="0" t="inlineStr">
        <is>
          <t>한국1차</t>
        </is>
      </c>
      <c r="E1227" s="0" t="inlineStr">
        <is>
          <t>1994.08.</t>
        </is>
      </c>
      <c r="F1227" s="0" t="n">
        <v>356</v>
      </c>
      <c r="G1227" s="0" t="n">
        <v>31.26</v>
      </c>
      <c r="H1227" s="0" t="n">
        <v>103.34</v>
      </c>
      <c r="I1227" s="0" t="n">
        <v>25.63</v>
      </c>
      <c r="J1227" s="0" t="n">
        <v>84.75</v>
      </c>
      <c r="K1227" s="0" t="n">
        <v>164</v>
      </c>
      <c r="T1227" s="0" t="n">
        <v>3</v>
      </c>
      <c r="U1227" s="0" t="n">
        <v>2</v>
      </c>
      <c r="V1227" s="0" t="inlineStr">
        <is>
          <t>계단식</t>
        </is>
      </c>
      <c r="W1227" s="0" t="n">
        <v>103</v>
      </c>
      <c r="X1227" s="0" t="n">
        <v>22</v>
      </c>
      <c r="Y1227" s="0" t="n">
        <v>20</v>
      </c>
      <c r="Z1227" s="0" t="inlineStr">
        <is>
          <t>https://new.land.naver.com/complexes/2388?tab=detail&amp;rf=Y</t>
        </is>
      </c>
      <c r="AA1227" s="0" t="inlineStr">
        <is>
          <t>인천시 서구 연희동 682-12</t>
        </is>
      </c>
      <c r="AB1227" s="0" t="inlineStr">
        <is>
          <t>인천시</t>
        </is>
      </c>
      <c r="AC1227" s="0" t="inlineStr">
        <is>
          <t>서구</t>
        </is>
      </c>
      <c r="AD1227" s="0" t="inlineStr">
        <is>
          <t>연희동</t>
        </is>
      </c>
      <c r="AG1227" s="0" t="inlineStr">
        <is>
          <t>인천시 서구 서곶로369번길 18</t>
        </is>
      </c>
      <c r="AH1227" s="0" t="n">
        <v>0</v>
      </c>
      <c r="AI1227" s="0" t="n">
        <v>0</v>
      </c>
      <c r="AJ1227" s="0" t="n">
        <v>0</v>
      </c>
      <c r="AK1227" s="0" t="n">
        <v>314</v>
      </c>
      <c r="AL1227" s="0" t="n">
        <v>0.88</v>
      </c>
    </row>
    <row r="1228">
      <c r="A1228" s="0" t="inlineStr">
        <is>
          <t>[연희동]</t>
        </is>
      </c>
      <c r="B1228" s="0" t="n">
        <v>2388</v>
      </c>
      <c r="C1228" s="0" t="n">
        <v>4</v>
      </c>
      <c r="D1228" s="0" t="inlineStr">
        <is>
          <t>한국1차</t>
        </is>
      </c>
      <c r="E1228" s="0" t="inlineStr">
        <is>
          <t>1994.08.</t>
        </is>
      </c>
      <c r="F1228" s="0" t="n">
        <v>356</v>
      </c>
      <c r="G1228" s="0" t="n">
        <v>45.85</v>
      </c>
      <c r="H1228" s="0" t="n">
        <v>151.59</v>
      </c>
      <c r="I1228" s="0" t="n">
        <v>39.36</v>
      </c>
      <c r="J1228" s="0" t="n">
        <v>130.14</v>
      </c>
      <c r="K1228" s="0" t="n">
        <v>44</v>
      </c>
      <c r="T1228" s="0" t="n">
        <v>4</v>
      </c>
      <c r="U1228" s="0" t="n">
        <v>2</v>
      </c>
      <c r="V1228" s="0" t="inlineStr">
        <is>
          <t>계단식</t>
        </is>
      </c>
      <c r="W1228" s="0" t="n">
        <v>151</v>
      </c>
      <c r="X1228" s="0" t="n">
        <v>22</v>
      </c>
      <c r="Y1228" s="0" t="n">
        <v>20</v>
      </c>
      <c r="Z1228" s="0" t="inlineStr">
        <is>
          <t>https://new.land.naver.com/complexes/2388?tab=detail&amp;rf=Y</t>
        </is>
      </c>
      <c r="AA1228" s="0" t="inlineStr">
        <is>
          <t>인천시 서구 연희동 682-12</t>
        </is>
      </c>
      <c r="AB1228" s="0" t="inlineStr">
        <is>
          <t>인천시</t>
        </is>
      </c>
      <c r="AC1228" s="0" t="inlineStr">
        <is>
          <t>서구</t>
        </is>
      </c>
      <c r="AD1228" s="0" t="inlineStr">
        <is>
          <t>연희동</t>
        </is>
      </c>
      <c r="AG1228" s="0" t="inlineStr">
        <is>
          <t>인천시 서구 서곶로369번길 18</t>
        </is>
      </c>
      <c r="AH1228" s="0" t="n">
        <v>0</v>
      </c>
      <c r="AI1228" s="0" t="n">
        <v>0</v>
      </c>
      <c r="AJ1228" s="0" t="n">
        <v>0</v>
      </c>
      <c r="AK1228" s="0" t="n">
        <v>314</v>
      </c>
      <c r="AL1228" s="0" t="n">
        <v>0.88</v>
      </c>
    </row>
    <row r="1229">
      <c r="A1229" s="0" t="inlineStr">
        <is>
          <t>[오류동]</t>
        </is>
      </c>
      <c r="B1229" s="0" t="n">
        <v>27690</v>
      </c>
      <c r="C1229" s="0" t="n">
        <v>1</v>
      </c>
      <c r="D1229" s="0" t="inlineStr">
        <is>
          <t>인천검단힐스테이트3차1단지</t>
        </is>
      </c>
      <c r="E1229" s="0" t="inlineStr">
        <is>
          <t>2010.12.</t>
        </is>
      </c>
      <c r="F1229" s="0" t="n">
        <v>348</v>
      </c>
      <c r="G1229" s="0" t="n">
        <v>33.25</v>
      </c>
      <c r="H1229" s="0" t="n">
        <v>109.92</v>
      </c>
      <c r="I1229" s="0" t="n">
        <v>25.66</v>
      </c>
      <c r="J1229" s="0" t="n">
        <v>84.84999999999999</v>
      </c>
      <c r="K1229" s="0" t="n">
        <v>40</v>
      </c>
      <c r="T1229" s="0" t="n">
        <v>3</v>
      </c>
      <c r="U1229" s="0" t="n">
        <v>2</v>
      </c>
      <c r="V1229" s="0" t="inlineStr">
        <is>
          <t>계단식</t>
        </is>
      </c>
      <c r="W1229" s="0" t="inlineStr">
        <is>
          <t>109D</t>
        </is>
      </c>
      <c r="X1229" s="0" t="n">
        <v>20</v>
      </c>
      <c r="Y1229" s="0" t="n">
        <v>19</v>
      </c>
      <c r="Z1229" s="0" t="inlineStr">
        <is>
          <t>https://new.land.naver.com/complexes/27690?tab=detail&amp;rf=Y</t>
        </is>
      </c>
      <c r="AA1229" s="0" t="inlineStr">
        <is>
          <t>인천시 서구 오류동 1719-2</t>
        </is>
      </c>
      <c r="AB1229" s="0" t="inlineStr">
        <is>
          <t>인천시</t>
        </is>
      </c>
      <c r="AC1229" s="0" t="inlineStr">
        <is>
          <t>서구</t>
        </is>
      </c>
      <c r="AD1229" s="0" t="inlineStr">
        <is>
          <t>오류동</t>
        </is>
      </c>
      <c r="AG1229" s="0" t="inlineStr">
        <is>
          <t>인천시 서구 봉화로 60-17</t>
        </is>
      </c>
      <c r="AH1229" s="0" t="n">
        <v>0</v>
      </c>
      <c r="AI1229" s="0" t="n">
        <v>227</v>
      </c>
      <c r="AJ1229" s="0" t="n">
        <v>17</v>
      </c>
      <c r="AK1229" s="0" t="n">
        <v>477</v>
      </c>
      <c r="AL1229" s="0" t="n">
        <v>1.37</v>
      </c>
    </row>
    <row r="1230">
      <c r="A1230" s="0" t="inlineStr">
        <is>
          <t>[오류동]</t>
        </is>
      </c>
      <c r="B1230" s="0" t="n">
        <v>27690</v>
      </c>
      <c r="C1230" s="0" t="n">
        <v>2</v>
      </c>
      <c r="D1230" s="0" t="inlineStr">
        <is>
          <t>인천검단힐스테이트3차1단지</t>
        </is>
      </c>
      <c r="E1230" s="0" t="inlineStr">
        <is>
          <t>2010.12.</t>
        </is>
      </c>
      <c r="F1230" s="0" t="n">
        <v>348</v>
      </c>
      <c r="G1230" s="0" t="n">
        <v>33.32</v>
      </c>
      <c r="H1230" s="0" t="n">
        <v>110.16</v>
      </c>
      <c r="I1230" s="0" t="n">
        <v>25.7</v>
      </c>
      <c r="J1230" s="0" t="n">
        <v>84.98</v>
      </c>
      <c r="K1230" s="0" t="n">
        <v>56</v>
      </c>
      <c r="T1230" s="0" t="n">
        <v>3</v>
      </c>
      <c r="U1230" s="0" t="n">
        <v>2</v>
      </c>
      <c r="V1230" s="0" t="inlineStr">
        <is>
          <t>계단식</t>
        </is>
      </c>
      <c r="W1230" s="0" t="inlineStr">
        <is>
          <t>110B</t>
        </is>
      </c>
      <c r="X1230" s="0" t="n">
        <v>20</v>
      </c>
      <c r="Y1230" s="0" t="n">
        <v>19</v>
      </c>
      <c r="Z1230" s="0" t="inlineStr">
        <is>
          <t>https://new.land.naver.com/complexes/27690?tab=detail&amp;rf=Y</t>
        </is>
      </c>
      <c r="AA1230" s="0" t="inlineStr">
        <is>
          <t>인천시 서구 오류동 1719-2</t>
        </is>
      </c>
      <c r="AB1230" s="0" t="inlineStr">
        <is>
          <t>인천시</t>
        </is>
      </c>
      <c r="AC1230" s="0" t="inlineStr">
        <is>
          <t>서구</t>
        </is>
      </c>
      <c r="AD1230" s="0" t="inlineStr">
        <is>
          <t>오류동</t>
        </is>
      </c>
      <c r="AG1230" s="0" t="inlineStr">
        <is>
          <t>인천시 서구 봉화로 60-17</t>
        </is>
      </c>
      <c r="AH1230" s="0" t="n">
        <v>0</v>
      </c>
      <c r="AI1230" s="0" t="n">
        <v>227</v>
      </c>
      <c r="AJ1230" s="0" t="n">
        <v>17</v>
      </c>
      <c r="AK1230" s="0" t="n">
        <v>477</v>
      </c>
      <c r="AL1230" s="0" t="n">
        <v>1.37</v>
      </c>
    </row>
    <row r="1231">
      <c r="A1231" s="0" t="inlineStr">
        <is>
          <t>[오류동]</t>
        </is>
      </c>
      <c r="B1231" s="0" t="n">
        <v>27690</v>
      </c>
      <c r="C1231" s="0" t="n">
        <v>3</v>
      </c>
      <c r="D1231" s="0" t="inlineStr">
        <is>
          <t>인천검단힐스테이트3차1단지</t>
        </is>
      </c>
      <c r="E1231" s="0" t="inlineStr">
        <is>
          <t>2010.12.</t>
        </is>
      </c>
      <c r="F1231" s="0" t="n">
        <v>348</v>
      </c>
      <c r="G1231" s="0" t="n">
        <v>33.57</v>
      </c>
      <c r="H1231" s="0" t="n">
        <v>110.99</v>
      </c>
      <c r="I1231" s="0" t="n">
        <v>25.68</v>
      </c>
      <c r="J1231" s="0" t="n">
        <v>84.90000000000001</v>
      </c>
      <c r="K1231" s="0" t="n">
        <v>18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110C</t>
        </is>
      </c>
      <c r="X1231" s="0" t="n">
        <v>20</v>
      </c>
      <c r="Y1231" s="0" t="n">
        <v>19</v>
      </c>
      <c r="Z1231" s="0" t="inlineStr">
        <is>
          <t>https://new.land.naver.com/complexes/27690?tab=detail&amp;rf=Y</t>
        </is>
      </c>
      <c r="AA1231" s="0" t="inlineStr">
        <is>
          <t>인천시 서구 오류동 1719-2</t>
        </is>
      </c>
      <c r="AB1231" s="0" t="inlineStr">
        <is>
          <t>인천시</t>
        </is>
      </c>
      <c r="AC1231" s="0" t="inlineStr">
        <is>
          <t>서구</t>
        </is>
      </c>
      <c r="AD1231" s="0" t="inlineStr">
        <is>
          <t>오류동</t>
        </is>
      </c>
      <c r="AG1231" s="0" t="inlineStr">
        <is>
          <t>인천시 서구 봉화로 60-17</t>
        </is>
      </c>
      <c r="AH1231" s="0" t="n">
        <v>0</v>
      </c>
      <c r="AI1231" s="0" t="n">
        <v>227</v>
      </c>
      <c r="AJ1231" s="0" t="n">
        <v>17</v>
      </c>
      <c r="AK1231" s="0" t="n">
        <v>477</v>
      </c>
      <c r="AL1231" s="0" t="n">
        <v>1.37</v>
      </c>
    </row>
    <row r="1232">
      <c r="A1232" s="0" t="inlineStr">
        <is>
          <t>[오류동]</t>
        </is>
      </c>
      <c r="B1232" s="0" t="n">
        <v>27690</v>
      </c>
      <c r="C1232" s="0" t="n">
        <v>4</v>
      </c>
      <c r="D1232" s="0" t="inlineStr">
        <is>
          <t>인천검단힐스테이트3차1단지</t>
        </is>
      </c>
      <c r="E1232" s="0" t="inlineStr">
        <is>
          <t>2010.12.</t>
        </is>
      </c>
      <c r="F1232" s="0" t="n">
        <v>348</v>
      </c>
      <c r="G1232" s="0" t="n">
        <v>33.64</v>
      </c>
      <c r="H1232" s="0" t="n">
        <v>111.21</v>
      </c>
      <c r="I1232" s="0" t="n">
        <v>25.68</v>
      </c>
      <c r="J1232" s="0" t="n">
        <v>84.90000000000001</v>
      </c>
      <c r="K1232" s="0" t="n">
        <v>80</v>
      </c>
      <c r="T1232" s="0" t="n">
        <v>3</v>
      </c>
      <c r="U1232" s="0" t="n">
        <v>2</v>
      </c>
      <c r="V1232" s="0" t="inlineStr">
        <is>
          <t>계단식</t>
        </is>
      </c>
      <c r="W1232" s="0" t="inlineStr">
        <is>
          <t>111A</t>
        </is>
      </c>
      <c r="X1232" s="0" t="n">
        <v>20</v>
      </c>
      <c r="Y1232" s="0" t="n">
        <v>19</v>
      </c>
      <c r="Z1232" s="0" t="inlineStr">
        <is>
          <t>https://new.land.naver.com/complexes/27690?tab=detail&amp;rf=Y</t>
        </is>
      </c>
      <c r="AA1232" s="0" t="inlineStr">
        <is>
          <t>인천시 서구 오류동 1719-2</t>
        </is>
      </c>
      <c r="AB1232" s="0" t="inlineStr">
        <is>
          <t>인천시</t>
        </is>
      </c>
      <c r="AC1232" s="0" t="inlineStr">
        <is>
          <t>서구</t>
        </is>
      </c>
      <c r="AD1232" s="0" t="inlineStr">
        <is>
          <t>오류동</t>
        </is>
      </c>
      <c r="AG1232" s="0" t="inlineStr">
        <is>
          <t>인천시 서구 봉화로 60-17</t>
        </is>
      </c>
      <c r="AH1232" s="0" t="n">
        <v>0</v>
      </c>
      <c r="AI1232" s="0" t="n">
        <v>227</v>
      </c>
      <c r="AJ1232" s="0" t="n">
        <v>17</v>
      </c>
      <c r="AK1232" s="0" t="n">
        <v>477</v>
      </c>
      <c r="AL1232" s="0" t="n">
        <v>1.37</v>
      </c>
    </row>
    <row r="1233">
      <c r="A1233" s="0" t="inlineStr">
        <is>
          <t>[오류동]</t>
        </is>
      </c>
      <c r="B1233" s="0" t="n">
        <v>27690</v>
      </c>
      <c r="C1233" s="0" t="n">
        <v>5</v>
      </c>
      <c r="D1233" s="0" t="inlineStr">
        <is>
          <t>인천검단힐스테이트3차1단지</t>
        </is>
      </c>
      <c r="E1233" s="0" t="inlineStr">
        <is>
          <t>2010.12.</t>
        </is>
      </c>
      <c r="F1233" s="0" t="n">
        <v>348</v>
      </c>
      <c r="G1233" s="0" t="n">
        <v>39.4</v>
      </c>
      <c r="H1233" s="0" t="n">
        <v>130.25</v>
      </c>
      <c r="I1233" s="0" t="n">
        <v>31.67</v>
      </c>
      <c r="J1233" s="0" t="n">
        <v>104.72</v>
      </c>
      <c r="K1233" s="0" t="n">
        <v>40</v>
      </c>
      <c r="T1233" s="0" t="n">
        <v>3</v>
      </c>
      <c r="U1233" s="0" t="n">
        <v>2</v>
      </c>
      <c r="V1233" s="0" t="inlineStr">
        <is>
          <t>계단식</t>
        </is>
      </c>
      <c r="W1233" s="0" t="inlineStr">
        <is>
          <t>130A</t>
        </is>
      </c>
      <c r="X1233" s="0" t="n">
        <v>20</v>
      </c>
      <c r="Y1233" s="0" t="n">
        <v>19</v>
      </c>
      <c r="Z1233" s="0" t="inlineStr">
        <is>
          <t>https://new.land.naver.com/complexes/27690?tab=detail&amp;rf=Y</t>
        </is>
      </c>
      <c r="AA1233" s="0" t="inlineStr">
        <is>
          <t>인천시 서구 오류동 1719-2</t>
        </is>
      </c>
      <c r="AB1233" s="0" t="inlineStr">
        <is>
          <t>인천시</t>
        </is>
      </c>
      <c r="AC1233" s="0" t="inlineStr">
        <is>
          <t>서구</t>
        </is>
      </c>
      <c r="AD1233" s="0" t="inlineStr">
        <is>
          <t>오류동</t>
        </is>
      </c>
      <c r="AG1233" s="0" t="inlineStr">
        <is>
          <t>인천시 서구 봉화로 60-17</t>
        </is>
      </c>
      <c r="AH1233" s="0" t="n">
        <v>0</v>
      </c>
      <c r="AI1233" s="0" t="n">
        <v>227</v>
      </c>
      <c r="AJ1233" s="0" t="n">
        <v>17</v>
      </c>
      <c r="AK1233" s="0" t="n">
        <v>477</v>
      </c>
      <c r="AL1233" s="0" t="n">
        <v>1.37</v>
      </c>
    </row>
    <row r="1234">
      <c r="A1234" s="0" t="inlineStr">
        <is>
          <t>[오류동]</t>
        </is>
      </c>
      <c r="B1234" s="0" t="n">
        <v>27690</v>
      </c>
      <c r="C1234" s="0" t="n">
        <v>6</v>
      </c>
      <c r="D1234" s="0" t="inlineStr">
        <is>
          <t>인천검단힐스테이트3차1단지</t>
        </is>
      </c>
      <c r="E1234" s="0" t="inlineStr">
        <is>
          <t>2010.12.</t>
        </is>
      </c>
      <c r="F1234" s="0" t="n">
        <v>348</v>
      </c>
      <c r="G1234" s="0" t="n">
        <v>39.48</v>
      </c>
      <c r="H1234" s="0" t="n">
        <v>130.52</v>
      </c>
      <c r="I1234" s="0" t="n">
        <v>31.9</v>
      </c>
      <c r="J1234" s="0" t="n">
        <v>105.47</v>
      </c>
      <c r="K1234" s="0" t="n">
        <v>37</v>
      </c>
      <c r="T1234" s="0" t="n">
        <v>3</v>
      </c>
      <c r="U1234" s="0" t="n">
        <v>2</v>
      </c>
      <c r="V1234" s="0" t="inlineStr">
        <is>
          <t>계단식</t>
        </is>
      </c>
      <c r="W1234" s="0" t="inlineStr">
        <is>
          <t>130B</t>
        </is>
      </c>
      <c r="X1234" s="0" t="n">
        <v>20</v>
      </c>
      <c r="Y1234" s="0" t="n">
        <v>19</v>
      </c>
      <c r="Z1234" s="0" t="inlineStr">
        <is>
          <t>https://new.land.naver.com/complexes/27690?tab=detail&amp;rf=Y</t>
        </is>
      </c>
      <c r="AA1234" s="0" t="inlineStr">
        <is>
          <t>인천시 서구 오류동 1719-2</t>
        </is>
      </c>
      <c r="AB1234" s="0" t="inlineStr">
        <is>
          <t>인천시</t>
        </is>
      </c>
      <c r="AC1234" s="0" t="inlineStr">
        <is>
          <t>서구</t>
        </is>
      </c>
      <c r="AD1234" s="0" t="inlineStr">
        <is>
          <t>오류동</t>
        </is>
      </c>
      <c r="AG1234" s="0" t="inlineStr">
        <is>
          <t>인천시 서구 봉화로 60-17</t>
        </is>
      </c>
      <c r="AH1234" s="0" t="n">
        <v>0</v>
      </c>
      <c r="AI1234" s="0" t="n">
        <v>227</v>
      </c>
      <c r="AJ1234" s="0" t="n">
        <v>17</v>
      </c>
      <c r="AK1234" s="0" t="n">
        <v>477</v>
      </c>
      <c r="AL1234" s="0" t="n">
        <v>1.37</v>
      </c>
    </row>
    <row r="1235">
      <c r="A1235" s="0" t="inlineStr">
        <is>
          <t>[오류동]</t>
        </is>
      </c>
      <c r="B1235" s="0" t="n">
        <v>27690</v>
      </c>
      <c r="C1235" s="0" t="n">
        <v>7</v>
      </c>
      <c r="D1235" s="0" t="inlineStr">
        <is>
          <t>인천검단힐스테이트3차1단지</t>
        </is>
      </c>
      <c r="E1235" s="0" t="inlineStr">
        <is>
          <t>2010.12.</t>
        </is>
      </c>
      <c r="F1235" s="0" t="n">
        <v>348</v>
      </c>
      <c r="G1235" s="0" t="n">
        <v>49.53</v>
      </c>
      <c r="H1235" s="0" t="n">
        <v>163.76</v>
      </c>
      <c r="I1235" s="0" t="n">
        <v>41.17</v>
      </c>
      <c r="J1235" s="0" t="n">
        <v>136.11</v>
      </c>
      <c r="K1235" s="0" t="n">
        <v>38</v>
      </c>
      <c r="T1235" s="0" t="n">
        <v>4</v>
      </c>
      <c r="U1235" s="0" t="n">
        <v>2</v>
      </c>
      <c r="V1235" s="0" t="inlineStr">
        <is>
          <t>계단식</t>
        </is>
      </c>
      <c r="W1235" s="0" t="inlineStr">
        <is>
          <t>163B</t>
        </is>
      </c>
      <c r="X1235" s="0" t="n">
        <v>20</v>
      </c>
      <c r="Y1235" s="0" t="n">
        <v>19</v>
      </c>
      <c r="Z1235" s="0" t="inlineStr">
        <is>
          <t>https://new.land.naver.com/complexes/27690?tab=detail&amp;rf=Y</t>
        </is>
      </c>
      <c r="AA1235" s="0" t="inlineStr">
        <is>
          <t>인천시 서구 오류동 1719-2</t>
        </is>
      </c>
      <c r="AB1235" s="0" t="inlineStr">
        <is>
          <t>인천시</t>
        </is>
      </c>
      <c r="AC1235" s="0" t="inlineStr">
        <is>
          <t>서구</t>
        </is>
      </c>
      <c r="AD1235" s="0" t="inlineStr">
        <is>
          <t>오류동</t>
        </is>
      </c>
      <c r="AG1235" s="0" t="inlineStr">
        <is>
          <t>인천시 서구 봉화로 60-17</t>
        </is>
      </c>
      <c r="AH1235" s="0" t="n">
        <v>0</v>
      </c>
      <c r="AI1235" s="0" t="n">
        <v>227</v>
      </c>
      <c r="AJ1235" s="0" t="n">
        <v>17</v>
      </c>
      <c r="AK1235" s="0" t="n">
        <v>477</v>
      </c>
      <c r="AL1235" s="0" t="n">
        <v>1.37</v>
      </c>
    </row>
    <row r="1236">
      <c r="A1236" s="0" t="inlineStr">
        <is>
          <t>[오류동]</t>
        </is>
      </c>
      <c r="B1236" s="0" t="n">
        <v>27690</v>
      </c>
      <c r="C1236" s="0" t="n">
        <v>8</v>
      </c>
      <c r="D1236" s="0" t="inlineStr">
        <is>
          <t>인천검단힐스테이트3차1단지</t>
        </is>
      </c>
      <c r="E1236" s="0" t="inlineStr">
        <is>
          <t>2010.12.</t>
        </is>
      </c>
      <c r="F1236" s="0" t="n">
        <v>348</v>
      </c>
      <c r="G1236" s="0" t="n">
        <v>49.75</v>
      </c>
      <c r="H1236" s="0" t="n">
        <v>164.47</v>
      </c>
      <c r="I1236" s="0" t="n">
        <v>41.02</v>
      </c>
      <c r="J1236" s="0" t="n">
        <v>135.63</v>
      </c>
      <c r="K1236" s="0" t="n">
        <v>38</v>
      </c>
      <c r="T1236" s="0" t="n">
        <v>4</v>
      </c>
      <c r="U1236" s="0" t="n">
        <v>2</v>
      </c>
      <c r="V1236" s="0" t="inlineStr">
        <is>
          <t>계단식</t>
        </is>
      </c>
      <c r="W1236" s="0" t="inlineStr">
        <is>
          <t>164A</t>
        </is>
      </c>
      <c r="X1236" s="0" t="n">
        <v>20</v>
      </c>
      <c r="Y1236" s="0" t="n">
        <v>19</v>
      </c>
      <c r="Z1236" s="0" t="inlineStr">
        <is>
          <t>https://new.land.naver.com/complexes/27690?tab=detail&amp;rf=Y</t>
        </is>
      </c>
      <c r="AA1236" s="0" t="inlineStr">
        <is>
          <t>인천시 서구 오류동 1719-2</t>
        </is>
      </c>
      <c r="AB1236" s="0" t="inlineStr">
        <is>
          <t>인천시</t>
        </is>
      </c>
      <c r="AC1236" s="0" t="inlineStr">
        <is>
          <t>서구</t>
        </is>
      </c>
      <c r="AD1236" s="0" t="inlineStr">
        <is>
          <t>오류동</t>
        </is>
      </c>
      <c r="AG1236" s="0" t="inlineStr">
        <is>
          <t>인천시 서구 봉화로 60-17</t>
        </is>
      </c>
      <c r="AH1236" s="0" t="n">
        <v>0</v>
      </c>
      <c r="AI1236" s="0" t="n">
        <v>227</v>
      </c>
      <c r="AJ1236" s="0" t="n">
        <v>17</v>
      </c>
      <c r="AK1236" s="0" t="n">
        <v>477</v>
      </c>
      <c r="AL1236" s="0" t="n">
        <v>1.37</v>
      </c>
    </row>
    <row r="1237">
      <c r="A1237" s="0" t="inlineStr">
        <is>
          <t>[오류동]</t>
        </is>
      </c>
      <c r="B1237" s="0" t="n">
        <v>27690</v>
      </c>
      <c r="C1237" s="0" t="n">
        <v>9</v>
      </c>
      <c r="D1237" s="0" t="inlineStr">
        <is>
          <t>인천검단힐스테이트3차1단지</t>
        </is>
      </c>
      <c r="E1237" s="0" t="inlineStr">
        <is>
          <t>2010.12.</t>
        </is>
      </c>
      <c r="F1237" s="0" t="n">
        <v>348</v>
      </c>
      <c r="G1237" s="0" t="n">
        <v>74.90000000000001</v>
      </c>
      <c r="H1237" s="0" t="n">
        <v>247.61</v>
      </c>
      <c r="I1237" s="0" t="n">
        <v>61.42</v>
      </c>
      <c r="J1237" s="0" t="n">
        <v>203.07</v>
      </c>
      <c r="K1237" s="0" t="n">
        <v>1</v>
      </c>
      <c r="T1237" s="0" t="n">
        <v>5</v>
      </c>
      <c r="U1237" s="0" t="n">
        <v>2</v>
      </c>
      <c r="V1237" s="0" t="inlineStr">
        <is>
          <t>계단식</t>
        </is>
      </c>
      <c r="W1237" s="0" t="n">
        <v>247</v>
      </c>
      <c r="X1237" s="0" t="n">
        <v>20</v>
      </c>
      <c r="Y1237" s="0" t="n">
        <v>19</v>
      </c>
      <c r="Z1237" s="0" t="inlineStr">
        <is>
          <t>https://new.land.naver.com/complexes/27690?tab=detail&amp;rf=Y</t>
        </is>
      </c>
      <c r="AA1237" s="0" t="inlineStr">
        <is>
          <t>인천시 서구 오류동 1719-2</t>
        </is>
      </c>
      <c r="AB1237" s="0" t="inlineStr">
        <is>
          <t>인천시</t>
        </is>
      </c>
      <c r="AC1237" s="0" t="inlineStr">
        <is>
          <t>서구</t>
        </is>
      </c>
      <c r="AD1237" s="0" t="inlineStr">
        <is>
          <t>오류동</t>
        </is>
      </c>
      <c r="AG1237" s="0" t="inlineStr">
        <is>
          <t>인천시 서구 봉화로 60-17</t>
        </is>
      </c>
      <c r="AH1237" s="0" t="n">
        <v>0</v>
      </c>
      <c r="AI1237" s="0" t="n">
        <v>227</v>
      </c>
      <c r="AJ1237" s="0" t="n">
        <v>17</v>
      </c>
      <c r="AK1237" s="0" t="n">
        <v>477</v>
      </c>
      <c r="AL1237" s="0" t="n">
        <v>1.37</v>
      </c>
    </row>
    <row r="1238">
      <c r="A1238" s="0" t="inlineStr">
        <is>
          <t>[오류동]</t>
        </is>
      </c>
      <c r="B1238" s="0" t="n">
        <v>27514</v>
      </c>
      <c r="C1238" s="0" t="n">
        <v>1</v>
      </c>
      <c r="D1238" s="0" t="inlineStr">
        <is>
          <t>검단오류풍림아이원</t>
        </is>
      </c>
      <c r="E1238" s="0" t="inlineStr">
        <is>
          <t>2011.03.</t>
        </is>
      </c>
      <c r="F1238" s="0" t="n">
        <v>207</v>
      </c>
      <c r="G1238" s="0" t="n">
        <v>33.04</v>
      </c>
      <c r="H1238" s="0" t="n">
        <v>109.23</v>
      </c>
      <c r="I1238" s="0" t="n">
        <v>25.7</v>
      </c>
      <c r="J1238" s="0" t="n">
        <v>84.98</v>
      </c>
      <c r="K1238" s="0" t="n">
        <v>59</v>
      </c>
      <c r="T1238" s="0" t="n">
        <v>3</v>
      </c>
      <c r="U1238" s="0" t="n">
        <v>2</v>
      </c>
      <c r="V1238" s="0" t="inlineStr">
        <is>
          <t>복합식</t>
        </is>
      </c>
      <c r="W1238" s="0" t="inlineStr">
        <is>
          <t>109A</t>
        </is>
      </c>
      <c r="X1238" s="0" t="n">
        <v>20</v>
      </c>
      <c r="Y1238" s="0" t="n">
        <v>18</v>
      </c>
      <c r="Z1238" s="0" t="inlineStr">
        <is>
          <t>https://new.land.naver.com/complexes/27514?tab=detail&amp;rf=Y</t>
        </is>
      </c>
      <c r="AA1238" s="0" t="inlineStr">
        <is>
          <t>인천시 서구 오류동 1719-1</t>
        </is>
      </c>
      <c r="AB1238" s="0" t="inlineStr">
        <is>
          <t>인천시</t>
        </is>
      </c>
      <c r="AC1238" s="0" t="inlineStr">
        <is>
          <t>서구</t>
        </is>
      </c>
      <c r="AD1238" s="0" t="inlineStr">
        <is>
          <t>오류동</t>
        </is>
      </c>
      <c r="AG1238" s="0" t="inlineStr">
        <is>
          <t>인천시 서구 봉화로 78</t>
        </is>
      </c>
      <c r="AH1238" s="0" t="n">
        <v>0</v>
      </c>
      <c r="AI1238" s="0" t="n">
        <v>229</v>
      </c>
      <c r="AJ1238" s="0" t="n">
        <v>20</v>
      </c>
      <c r="AK1238" s="0" t="n">
        <v>226</v>
      </c>
      <c r="AL1238" s="0" t="n">
        <v>1.09</v>
      </c>
    </row>
    <row r="1239">
      <c r="A1239" s="0" t="inlineStr">
        <is>
          <t>[오류동]</t>
        </is>
      </c>
      <c r="B1239" s="0" t="n">
        <v>27514</v>
      </c>
      <c r="C1239" s="0" t="n">
        <v>2</v>
      </c>
      <c r="D1239" s="0" t="inlineStr">
        <is>
          <t>검단오류풍림아이원</t>
        </is>
      </c>
      <c r="E1239" s="0" t="inlineStr">
        <is>
          <t>2011.03.</t>
        </is>
      </c>
      <c r="F1239" s="0" t="n">
        <v>207</v>
      </c>
      <c r="G1239" s="0" t="n">
        <v>33.17</v>
      </c>
      <c r="H1239" s="0" t="n">
        <v>109.68</v>
      </c>
      <c r="I1239" s="0" t="n">
        <v>25.59</v>
      </c>
      <c r="J1239" s="0" t="n">
        <v>84.62</v>
      </c>
      <c r="K1239" s="0" t="n">
        <v>56</v>
      </c>
      <c r="T1239" s="0" t="n">
        <v>3</v>
      </c>
      <c r="U1239" s="0" t="n">
        <v>2</v>
      </c>
      <c r="V1239" s="0" t="inlineStr">
        <is>
          <t>복합식</t>
        </is>
      </c>
      <c r="W1239" s="0" t="inlineStr">
        <is>
          <t>109C</t>
        </is>
      </c>
      <c r="X1239" s="0" t="n">
        <v>20</v>
      </c>
      <c r="Y1239" s="0" t="n">
        <v>18</v>
      </c>
      <c r="Z1239" s="0" t="inlineStr">
        <is>
          <t>https://new.land.naver.com/complexes/27514?tab=detail&amp;rf=Y</t>
        </is>
      </c>
      <c r="AA1239" s="0" t="inlineStr">
        <is>
          <t>인천시 서구 오류동 1719-1</t>
        </is>
      </c>
      <c r="AB1239" s="0" t="inlineStr">
        <is>
          <t>인천시</t>
        </is>
      </c>
      <c r="AC1239" s="0" t="inlineStr">
        <is>
          <t>서구</t>
        </is>
      </c>
      <c r="AD1239" s="0" t="inlineStr">
        <is>
          <t>오류동</t>
        </is>
      </c>
      <c r="AG1239" s="0" t="inlineStr">
        <is>
          <t>인천시 서구 봉화로 78</t>
        </is>
      </c>
      <c r="AH1239" s="0" t="n">
        <v>0</v>
      </c>
      <c r="AI1239" s="0" t="n">
        <v>229</v>
      </c>
      <c r="AJ1239" s="0" t="n">
        <v>20</v>
      </c>
      <c r="AK1239" s="0" t="n">
        <v>226</v>
      </c>
      <c r="AL1239" s="0" t="n">
        <v>1.09</v>
      </c>
    </row>
    <row r="1240">
      <c r="A1240" s="0" t="inlineStr">
        <is>
          <t>[오류동]</t>
        </is>
      </c>
      <c r="B1240" s="0" t="n">
        <v>27514</v>
      </c>
      <c r="C1240" s="0" t="n">
        <v>3</v>
      </c>
      <c r="D1240" s="0" t="inlineStr">
        <is>
          <t>검단오류풍림아이원</t>
        </is>
      </c>
      <c r="E1240" s="0" t="inlineStr">
        <is>
          <t>2011.03.</t>
        </is>
      </c>
      <c r="F1240" s="0" t="n">
        <v>207</v>
      </c>
      <c r="G1240" s="0" t="n">
        <v>33.47</v>
      </c>
      <c r="H1240" s="0" t="n">
        <v>110.65</v>
      </c>
      <c r="I1240" s="0" t="n">
        <v>25.59</v>
      </c>
      <c r="J1240" s="0" t="n">
        <v>84.59999999999999</v>
      </c>
      <c r="K1240" s="0" t="n">
        <v>72</v>
      </c>
      <c r="T1240" s="0" t="n">
        <v>3</v>
      </c>
      <c r="U1240" s="0" t="n">
        <v>2</v>
      </c>
      <c r="V1240" s="0" t="inlineStr">
        <is>
          <t>복합식</t>
        </is>
      </c>
      <c r="W1240" s="0" t="inlineStr">
        <is>
          <t>110D</t>
        </is>
      </c>
      <c r="X1240" s="0" t="n">
        <v>20</v>
      </c>
      <c r="Y1240" s="0" t="n">
        <v>18</v>
      </c>
      <c r="Z1240" s="0" t="inlineStr">
        <is>
          <t>https://new.land.naver.com/complexes/27514?tab=detail&amp;rf=Y</t>
        </is>
      </c>
      <c r="AA1240" s="0" t="inlineStr">
        <is>
          <t>인천시 서구 오류동 1719-1</t>
        </is>
      </c>
      <c r="AB1240" s="0" t="inlineStr">
        <is>
          <t>인천시</t>
        </is>
      </c>
      <c r="AC1240" s="0" t="inlineStr">
        <is>
          <t>서구</t>
        </is>
      </c>
      <c r="AD1240" s="0" t="inlineStr">
        <is>
          <t>오류동</t>
        </is>
      </c>
      <c r="AG1240" s="0" t="inlineStr">
        <is>
          <t>인천시 서구 봉화로 78</t>
        </is>
      </c>
      <c r="AH1240" s="0" t="n">
        <v>0</v>
      </c>
      <c r="AI1240" s="0" t="n">
        <v>229</v>
      </c>
      <c r="AJ1240" s="0" t="n">
        <v>20</v>
      </c>
      <c r="AK1240" s="0" t="n">
        <v>226</v>
      </c>
      <c r="AL1240" s="0" t="n">
        <v>1.09</v>
      </c>
    </row>
    <row r="1241">
      <c r="A1241" s="0" t="inlineStr">
        <is>
          <t>[오류동]</t>
        </is>
      </c>
      <c r="B1241" s="0" t="n">
        <v>27514</v>
      </c>
      <c r="C1241" s="0" t="n">
        <v>4</v>
      </c>
      <c r="D1241" s="0" t="inlineStr">
        <is>
          <t>검단오류풍림아이원</t>
        </is>
      </c>
      <c r="E1241" s="0" t="inlineStr">
        <is>
          <t>2011.03.</t>
        </is>
      </c>
      <c r="F1241" s="0" t="n">
        <v>207</v>
      </c>
      <c r="G1241" s="0" t="n">
        <v>33.4</v>
      </c>
      <c r="H1241" s="0" t="n">
        <v>110.44</v>
      </c>
      <c r="I1241" s="0" t="n">
        <v>25.66</v>
      </c>
      <c r="J1241" s="0" t="n">
        <v>84.84</v>
      </c>
      <c r="K1241" s="0" t="n">
        <v>20</v>
      </c>
      <c r="T1241" s="0" t="n">
        <v>3</v>
      </c>
      <c r="U1241" s="0" t="n">
        <v>2</v>
      </c>
      <c r="V1241" s="0" t="inlineStr">
        <is>
          <t>복합식</t>
        </is>
      </c>
      <c r="W1241" s="0" t="inlineStr">
        <is>
          <t>110B</t>
        </is>
      </c>
      <c r="X1241" s="0" t="n">
        <v>20</v>
      </c>
      <c r="Y1241" s="0" t="n">
        <v>18</v>
      </c>
      <c r="Z1241" s="0" t="inlineStr">
        <is>
          <t>https://new.land.naver.com/complexes/27514?tab=detail&amp;rf=Y</t>
        </is>
      </c>
      <c r="AA1241" s="0" t="inlineStr">
        <is>
          <t>인천시 서구 오류동 1719-1</t>
        </is>
      </c>
      <c r="AB1241" s="0" t="inlineStr">
        <is>
          <t>인천시</t>
        </is>
      </c>
      <c r="AC1241" s="0" t="inlineStr">
        <is>
          <t>서구</t>
        </is>
      </c>
      <c r="AD1241" s="0" t="inlineStr">
        <is>
          <t>오류동</t>
        </is>
      </c>
      <c r="AG1241" s="0" t="inlineStr">
        <is>
          <t>인천시 서구 봉화로 78</t>
        </is>
      </c>
      <c r="AH1241" s="0" t="n">
        <v>0</v>
      </c>
      <c r="AI1241" s="0" t="n">
        <v>229</v>
      </c>
      <c r="AJ1241" s="0" t="n">
        <v>20</v>
      </c>
      <c r="AK1241" s="0" t="n">
        <v>226</v>
      </c>
      <c r="AL1241" s="0" t="n">
        <v>1.09</v>
      </c>
    </row>
    <row r="1242">
      <c r="A1242" s="0" t="inlineStr">
        <is>
          <t>[오류동]</t>
        </is>
      </c>
      <c r="B1242" s="0" t="n">
        <v>124922</v>
      </c>
      <c r="C1242" s="0" t="n">
        <v>1</v>
      </c>
      <c r="D1242" s="0" t="inlineStr">
        <is>
          <t>검단오류역우방아이유쉘</t>
        </is>
      </c>
      <c r="E1242" s="0" t="inlineStr">
        <is>
          <t>2021.04.</t>
        </is>
      </c>
      <c r="F1242" s="0" t="n">
        <v>420</v>
      </c>
      <c r="G1242" s="0" t="n">
        <v>26.59</v>
      </c>
      <c r="H1242" s="0" t="n">
        <v>87.91</v>
      </c>
      <c r="I1242" s="0" t="n">
        <v>20.11</v>
      </c>
      <c r="J1242" s="0" t="n">
        <v>66.51000000000001</v>
      </c>
      <c r="K1242" s="0" t="n">
        <v>250</v>
      </c>
      <c r="T1242" s="0" t="n">
        <v>3</v>
      </c>
      <c r="U1242" s="0" t="n">
        <v>2</v>
      </c>
      <c r="V1242" s="0" t="inlineStr">
        <is>
          <t>계단식</t>
        </is>
      </c>
      <c r="W1242" s="0" t="inlineStr">
        <is>
          <t>87A</t>
        </is>
      </c>
      <c r="X1242" s="0" t="n">
        <v>18</v>
      </c>
      <c r="Y1242" s="0" t="n">
        <v>14</v>
      </c>
      <c r="Z1242" s="0" t="inlineStr">
        <is>
          <t>https://new.land.naver.com/complexes/124922?tab=detail&amp;rf=Y</t>
        </is>
      </c>
      <c r="AA1242" s="0" t="inlineStr">
        <is>
          <t>인천시 서구 오류동 1722-1</t>
        </is>
      </c>
      <c r="AB1242" s="0" t="inlineStr">
        <is>
          <t>인천시</t>
        </is>
      </c>
      <c r="AC1242" s="0" t="inlineStr">
        <is>
          <t>서구</t>
        </is>
      </c>
      <c r="AD1242" s="0" t="inlineStr">
        <is>
          <t>오류동</t>
        </is>
      </c>
      <c r="AG1242" s="0" t="inlineStr">
        <is>
          <t>인천시 서구 대촌로 26</t>
        </is>
      </c>
      <c r="AH1242" s="0" t="n">
        <v>0</v>
      </c>
      <c r="AI1242" s="0" t="n">
        <v>229</v>
      </c>
      <c r="AJ1242" s="0" t="n">
        <v>22</v>
      </c>
      <c r="AK1242" s="0" t="n">
        <v>514</v>
      </c>
      <c r="AL1242" s="0" t="n">
        <v>1.22</v>
      </c>
    </row>
    <row r="1243">
      <c r="A1243" s="0" t="inlineStr">
        <is>
          <t>[오류동]</t>
        </is>
      </c>
      <c r="B1243" s="0" t="n">
        <v>124922</v>
      </c>
      <c r="C1243" s="0" t="n">
        <v>2</v>
      </c>
      <c r="D1243" s="0" t="inlineStr">
        <is>
          <t>검단오류역우방아이유쉘</t>
        </is>
      </c>
      <c r="E1243" s="0" t="inlineStr">
        <is>
          <t>2021.04.</t>
        </is>
      </c>
      <c r="F1243" s="0" t="n">
        <v>420</v>
      </c>
      <c r="G1243" s="0" t="n">
        <v>26.44</v>
      </c>
      <c r="H1243" s="0" t="n">
        <v>87.42</v>
      </c>
      <c r="I1243" s="0" t="n">
        <v>20.04</v>
      </c>
      <c r="J1243" s="0" t="n">
        <v>66.27</v>
      </c>
      <c r="K1243" s="0" t="n">
        <v>71</v>
      </c>
      <c r="T1243" s="0" t="n">
        <v>3</v>
      </c>
      <c r="U1243" s="0" t="n">
        <v>2</v>
      </c>
      <c r="V1243" s="0" t="inlineStr">
        <is>
          <t>계단식</t>
        </is>
      </c>
      <c r="W1243" s="0" t="inlineStr">
        <is>
          <t>87C</t>
        </is>
      </c>
      <c r="X1243" s="0" t="n">
        <v>18</v>
      </c>
      <c r="Y1243" s="0" t="n">
        <v>14</v>
      </c>
      <c r="Z1243" s="0" t="inlineStr">
        <is>
          <t>https://new.land.naver.com/complexes/124922?tab=detail&amp;rf=Y</t>
        </is>
      </c>
      <c r="AA1243" s="0" t="inlineStr">
        <is>
          <t>인천시 서구 오류동 1722-1</t>
        </is>
      </c>
      <c r="AB1243" s="0" t="inlineStr">
        <is>
          <t>인천시</t>
        </is>
      </c>
      <c r="AC1243" s="0" t="inlineStr">
        <is>
          <t>서구</t>
        </is>
      </c>
      <c r="AD1243" s="0" t="inlineStr">
        <is>
          <t>오류동</t>
        </is>
      </c>
      <c r="AG1243" s="0" t="inlineStr">
        <is>
          <t>인천시 서구 대촌로 26</t>
        </is>
      </c>
      <c r="AH1243" s="0" t="n">
        <v>0</v>
      </c>
      <c r="AI1243" s="0" t="n">
        <v>229</v>
      </c>
      <c r="AJ1243" s="0" t="n">
        <v>22</v>
      </c>
      <c r="AK1243" s="0" t="n">
        <v>514</v>
      </c>
      <c r="AL1243" s="0" t="n">
        <v>1.22</v>
      </c>
    </row>
    <row r="1244">
      <c r="A1244" s="0" t="inlineStr">
        <is>
          <t>[오류동]</t>
        </is>
      </c>
      <c r="B1244" s="0" t="n">
        <v>124922</v>
      </c>
      <c r="C1244" s="0" t="n">
        <v>3</v>
      </c>
      <c r="D1244" s="0" t="inlineStr">
        <is>
          <t>검단오류역우방아이유쉘</t>
        </is>
      </c>
      <c r="E1244" s="0" t="inlineStr">
        <is>
          <t>2021.04.</t>
        </is>
      </c>
      <c r="F1244" s="0" t="n">
        <v>420</v>
      </c>
      <c r="G1244" s="0" t="n">
        <v>26.34</v>
      </c>
      <c r="H1244" s="0" t="n">
        <v>87.08</v>
      </c>
      <c r="I1244" s="0" t="n">
        <v>19.99</v>
      </c>
      <c r="J1244" s="0" t="n">
        <v>66.11</v>
      </c>
      <c r="K1244" s="0" t="n">
        <v>35</v>
      </c>
      <c r="T1244" s="0" t="n">
        <v>3</v>
      </c>
      <c r="U1244" s="0" t="n">
        <v>2</v>
      </c>
      <c r="V1244" s="0" t="inlineStr">
        <is>
          <t>계단식</t>
        </is>
      </c>
      <c r="W1244" s="0" t="inlineStr">
        <is>
          <t>87D</t>
        </is>
      </c>
      <c r="X1244" s="0" t="n">
        <v>18</v>
      </c>
      <c r="Y1244" s="0" t="n">
        <v>14</v>
      </c>
      <c r="Z1244" s="0" t="inlineStr">
        <is>
          <t>https://new.land.naver.com/complexes/124922?tab=detail&amp;rf=Y</t>
        </is>
      </c>
      <c r="AA1244" s="0" t="inlineStr">
        <is>
          <t>인천시 서구 오류동 1722-1</t>
        </is>
      </c>
      <c r="AB1244" s="0" t="inlineStr">
        <is>
          <t>인천시</t>
        </is>
      </c>
      <c r="AC1244" s="0" t="inlineStr">
        <is>
          <t>서구</t>
        </is>
      </c>
      <c r="AD1244" s="0" t="inlineStr">
        <is>
          <t>오류동</t>
        </is>
      </c>
      <c r="AG1244" s="0" t="inlineStr">
        <is>
          <t>인천시 서구 대촌로 26</t>
        </is>
      </c>
      <c r="AH1244" s="0" t="n">
        <v>0</v>
      </c>
      <c r="AI1244" s="0" t="n">
        <v>229</v>
      </c>
      <c r="AJ1244" s="0" t="n">
        <v>22</v>
      </c>
      <c r="AK1244" s="0" t="n">
        <v>514</v>
      </c>
      <c r="AL1244" s="0" t="n">
        <v>1.22</v>
      </c>
    </row>
    <row r="1245">
      <c r="A1245" s="0" t="inlineStr">
        <is>
          <t>[오류동]</t>
        </is>
      </c>
      <c r="B1245" s="0" t="n">
        <v>124922</v>
      </c>
      <c r="C1245" s="0" t="n">
        <v>4</v>
      </c>
      <c r="D1245" s="0" t="inlineStr">
        <is>
          <t>검단오류역우방아이유쉘</t>
        </is>
      </c>
      <c r="E1245" s="0" t="inlineStr">
        <is>
          <t>2021.04.</t>
        </is>
      </c>
      <c r="F1245" s="0" t="n">
        <v>420</v>
      </c>
      <c r="G1245" s="0" t="n">
        <v>26.42</v>
      </c>
      <c r="H1245" s="0" t="n">
        <v>87.36</v>
      </c>
      <c r="I1245" s="0" t="n">
        <v>20.05</v>
      </c>
      <c r="J1245" s="0" t="n">
        <v>66.29000000000001</v>
      </c>
      <c r="K1245" s="0" t="n">
        <v>16</v>
      </c>
      <c r="T1245" s="0" t="n">
        <v>3</v>
      </c>
      <c r="U1245" s="0" t="n">
        <v>2</v>
      </c>
      <c r="V1245" s="0" t="inlineStr">
        <is>
          <t>계단식</t>
        </is>
      </c>
      <c r="W1245" s="0" t="inlineStr">
        <is>
          <t>87E</t>
        </is>
      </c>
      <c r="X1245" s="0" t="n">
        <v>18</v>
      </c>
      <c r="Y1245" s="0" t="n">
        <v>14</v>
      </c>
      <c r="Z1245" s="0" t="inlineStr">
        <is>
          <t>https://new.land.naver.com/complexes/124922?tab=detail&amp;rf=Y</t>
        </is>
      </c>
      <c r="AA1245" s="0" t="inlineStr">
        <is>
          <t>인천시 서구 오류동 1722-1</t>
        </is>
      </c>
      <c r="AB1245" s="0" t="inlineStr">
        <is>
          <t>인천시</t>
        </is>
      </c>
      <c r="AC1245" s="0" t="inlineStr">
        <is>
          <t>서구</t>
        </is>
      </c>
      <c r="AD1245" s="0" t="inlineStr">
        <is>
          <t>오류동</t>
        </is>
      </c>
      <c r="AG1245" s="0" t="inlineStr">
        <is>
          <t>인천시 서구 대촌로 26</t>
        </is>
      </c>
      <c r="AH1245" s="0" t="n">
        <v>0</v>
      </c>
      <c r="AI1245" s="0" t="n">
        <v>229</v>
      </c>
      <c r="AJ1245" s="0" t="n">
        <v>22</v>
      </c>
      <c r="AK1245" s="0" t="n">
        <v>514</v>
      </c>
      <c r="AL1245" s="0" t="n">
        <v>1.22</v>
      </c>
    </row>
    <row r="1246">
      <c r="A1246" s="0" t="inlineStr">
        <is>
          <t>[오류동]</t>
        </is>
      </c>
      <c r="B1246" s="0" t="n">
        <v>124922</v>
      </c>
      <c r="C1246" s="0" t="n">
        <v>5</v>
      </c>
      <c r="D1246" s="0" t="inlineStr">
        <is>
          <t>검단오류역우방아이유쉘</t>
        </is>
      </c>
      <c r="E1246" s="0" t="inlineStr">
        <is>
          <t>2021.04.</t>
        </is>
      </c>
      <c r="F1246" s="0" t="n">
        <v>420</v>
      </c>
      <c r="G1246" s="0" t="n">
        <v>26.38</v>
      </c>
      <c r="H1246" s="0" t="n">
        <v>87.22</v>
      </c>
      <c r="I1246" s="0" t="n">
        <v>19.99</v>
      </c>
      <c r="J1246" s="0" t="n">
        <v>66.11</v>
      </c>
      <c r="K1246" s="0" t="n">
        <v>13</v>
      </c>
      <c r="T1246" s="0" t="n">
        <v>3</v>
      </c>
      <c r="U1246" s="0" t="n">
        <v>2</v>
      </c>
      <c r="V1246" s="0" t="inlineStr">
        <is>
          <t>계단식</t>
        </is>
      </c>
      <c r="W1246" s="0" t="inlineStr">
        <is>
          <t>87F</t>
        </is>
      </c>
      <c r="X1246" s="0" t="n">
        <v>18</v>
      </c>
      <c r="Y1246" s="0" t="n">
        <v>14</v>
      </c>
      <c r="Z1246" s="0" t="inlineStr">
        <is>
          <t>https://new.land.naver.com/complexes/124922?tab=detail&amp;rf=Y</t>
        </is>
      </c>
      <c r="AA1246" s="0" t="inlineStr">
        <is>
          <t>인천시 서구 오류동 1722-1</t>
        </is>
      </c>
      <c r="AB1246" s="0" t="inlineStr">
        <is>
          <t>인천시</t>
        </is>
      </c>
      <c r="AC1246" s="0" t="inlineStr">
        <is>
          <t>서구</t>
        </is>
      </c>
      <c r="AD1246" s="0" t="inlineStr">
        <is>
          <t>오류동</t>
        </is>
      </c>
      <c r="AG1246" s="0" t="inlineStr">
        <is>
          <t>인천시 서구 대촌로 26</t>
        </is>
      </c>
      <c r="AH1246" s="0" t="n">
        <v>0</v>
      </c>
      <c r="AI1246" s="0" t="n">
        <v>229</v>
      </c>
      <c r="AJ1246" s="0" t="n">
        <v>22</v>
      </c>
      <c r="AK1246" s="0" t="n">
        <v>514</v>
      </c>
      <c r="AL1246" s="0" t="n">
        <v>1.22</v>
      </c>
    </row>
    <row r="1247">
      <c r="A1247" s="0" t="inlineStr">
        <is>
          <t>[오류동]</t>
        </is>
      </c>
      <c r="B1247" s="0" t="n">
        <v>124922</v>
      </c>
      <c r="C1247" s="0" t="n">
        <v>6</v>
      </c>
      <c r="D1247" s="0" t="inlineStr">
        <is>
          <t>검단오류역우방아이유쉘</t>
        </is>
      </c>
      <c r="E1247" s="0" t="inlineStr">
        <is>
          <t>2021.04.</t>
        </is>
      </c>
      <c r="F1247" s="0" t="n">
        <v>420</v>
      </c>
      <c r="G1247" s="0" t="n">
        <v>26.62</v>
      </c>
      <c r="H1247" s="0" t="n">
        <v>88.03</v>
      </c>
      <c r="I1247" s="0" t="n">
        <v>20.1</v>
      </c>
      <c r="J1247" s="0" t="n">
        <v>66.45</v>
      </c>
      <c r="K1247" s="0" t="n">
        <v>35</v>
      </c>
      <c r="T1247" s="0" t="n">
        <v>3</v>
      </c>
      <c r="U1247" s="0" t="n">
        <v>2</v>
      </c>
      <c r="V1247" s="0" t="inlineStr">
        <is>
          <t>계단식</t>
        </is>
      </c>
      <c r="W1247" s="0" t="inlineStr">
        <is>
          <t>88B</t>
        </is>
      </c>
      <c r="X1247" s="0" t="n">
        <v>18</v>
      </c>
      <c r="Y1247" s="0" t="n">
        <v>14</v>
      </c>
      <c r="Z1247" s="0" t="inlineStr">
        <is>
          <t>https://new.land.naver.com/complexes/124922?tab=detail&amp;rf=Y</t>
        </is>
      </c>
      <c r="AA1247" s="0" t="inlineStr">
        <is>
          <t>인천시 서구 오류동 1722-1</t>
        </is>
      </c>
      <c r="AB1247" s="0" t="inlineStr">
        <is>
          <t>인천시</t>
        </is>
      </c>
      <c r="AC1247" s="0" t="inlineStr">
        <is>
          <t>서구</t>
        </is>
      </c>
      <c r="AD1247" s="0" t="inlineStr">
        <is>
          <t>오류동</t>
        </is>
      </c>
      <c r="AG1247" s="0" t="inlineStr">
        <is>
          <t>인천시 서구 대촌로 26</t>
        </is>
      </c>
      <c r="AH1247" s="0" t="n">
        <v>0</v>
      </c>
      <c r="AI1247" s="0" t="n">
        <v>229</v>
      </c>
      <c r="AJ1247" s="0" t="n">
        <v>22</v>
      </c>
      <c r="AK1247" s="0" t="n">
        <v>514</v>
      </c>
      <c r="AL1247" s="0" t="n">
        <v>1.22</v>
      </c>
    </row>
    <row r="1248">
      <c r="A1248" s="0" t="inlineStr">
        <is>
          <t>[오류동]</t>
        </is>
      </c>
      <c r="B1248" s="0" t="n">
        <v>100299</v>
      </c>
      <c r="C1248" s="0" t="n">
        <v>1</v>
      </c>
      <c r="D1248" s="0" t="inlineStr">
        <is>
          <t>검단힐스테이트2단지</t>
        </is>
      </c>
      <c r="E1248" s="0" t="inlineStr">
        <is>
          <t>2010.12.</t>
        </is>
      </c>
      <c r="F1248" s="0" t="n">
        <v>303</v>
      </c>
      <c r="G1248" s="0" t="n">
        <v>33.37</v>
      </c>
      <c r="H1248" s="0" t="n">
        <v>110.34</v>
      </c>
      <c r="I1248" s="0" t="n">
        <v>25.7</v>
      </c>
      <c r="J1248" s="0" t="n">
        <v>84.98</v>
      </c>
      <c r="K1248" s="0" t="n">
        <v>36</v>
      </c>
      <c r="T1248" s="0" t="n">
        <v>3</v>
      </c>
      <c r="U1248" s="0" t="n">
        <v>2</v>
      </c>
      <c r="V1248" s="0" t="inlineStr">
        <is>
          <t>계단식</t>
        </is>
      </c>
      <c r="W1248" s="0" t="inlineStr">
        <is>
          <t>110B</t>
        </is>
      </c>
      <c r="X1248" s="0" t="n">
        <v>20</v>
      </c>
      <c r="Y1248" s="0" t="n">
        <v>19</v>
      </c>
      <c r="Z1248" s="0" t="inlineStr">
        <is>
          <t>https://new.land.naver.com/complexes/100299?tab=detail&amp;rf=Y</t>
        </is>
      </c>
      <c r="AA1248" s="0" t="inlineStr">
        <is>
          <t>인천시 서구 오류동 1721-1</t>
        </is>
      </c>
      <c r="AB1248" s="0" t="inlineStr">
        <is>
          <t>인천시</t>
        </is>
      </c>
      <c r="AC1248" s="0" t="inlineStr">
        <is>
          <t>서구</t>
        </is>
      </c>
      <c r="AD1248" s="0" t="inlineStr">
        <is>
          <t>오류동</t>
        </is>
      </c>
      <c r="AG1248" s="0" t="inlineStr">
        <is>
          <t>인천시 서구 버들로 46</t>
        </is>
      </c>
      <c r="AH1248" s="0" t="n">
        <v>0</v>
      </c>
      <c r="AI1248" s="0" t="n">
        <v>228</v>
      </c>
      <c r="AJ1248" s="0" t="n">
        <v>17</v>
      </c>
      <c r="AK1248" s="0" t="n">
        <v>468</v>
      </c>
      <c r="AL1248" s="0" t="n">
        <v>1.54</v>
      </c>
    </row>
    <row r="1249">
      <c r="A1249" s="0" t="inlineStr">
        <is>
          <t>[오류동]</t>
        </is>
      </c>
      <c r="B1249" s="0" t="n">
        <v>100299</v>
      </c>
      <c r="C1249" s="0" t="n">
        <v>2</v>
      </c>
      <c r="D1249" s="0" t="inlineStr">
        <is>
          <t>검단힐스테이트2단지</t>
        </is>
      </c>
      <c r="E1249" s="0" t="inlineStr">
        <is>
          <t>2010.12.</t>
        </is>
      </c>
      <c r="F1249" s="0" t="n">
        <v>303</v>
      </c>
      <c r="G1249" s="0" t="n">
        <v>33.69</v>
      </c>
      <c r="H1249" s="0" t="n">
        <v>111.38</v>
      </c>
      <c r="I1249" s="0" t="n">
        <v>25.68</v>
      </c>
      <c r="J1249" s="0" t="n">
        <v>84.90000000000001</v>
      </c>
      <c r="K1249" s="0" t="n">
        <v>40</v>
      </c>
      <c r="T1249" s="0" t="n">
        <v>3</v>
      </c>
      <c r="U1249" s="0" t="n">
        <v>2</v>
      </c>
      <c r="V1249" s="0" t="inlineStr">
        <is>
          <t>계단식</t>
        </is>
      </c>
      <c r="W1249" s="0" t="inlineStr">
        <is>
          <t>111A</t>
        </is>
      </c>
      <c r="X1249" s="0" t="n">
        <v>20</v>
      </c>
      <c r="Y1249" s="0" t="n">
        <v>19</v>
      </c>
      <c r="Z1249" s="0" t="inlineStr">
        <is>
          <t>https://new.land.naver.com/complexes/100299?tab=detail&amp;rf=Y</t>
        </is>
      </c>
      <c r="AA1249" s="0" t="inlineStr">
        <is>
          <t>인천시 서구 오류동 1721-1</t>
        </is>
      </c>
      <c r="AB1249" s="0" t="inlineStr">
        <is>
          <t>인천시</t>
        </is>
      </c>
      <c r="AC1249" s="0" t="inlineStr">
        <is>
          <t>서구</t>
        </is>
      </c>
      <c r="AD1249" s="0" t="inlineStr">
        <is>
          <t>오류동</t>
        </is>
      </c>
      <c r="AG1249" s="0" t="inlineStr">
        <is>
          <t>인천시 서구 버들로 46</t>
        </is>
      </c>
      <c r="AH1249" s="0" t="n">
        <v>0</v>
      </c>
      <c r="AI1249" s="0" t="n">
        <v>228</v>
      </c>
      <c r="AJ1249" s="0" t="n">
        <v>17</v>
      </c>
      <c r="AK1249" s="0" t="n">
        <v>468</v>
      </c>
      <c r="AL1249" s="0" t="n">
        <v>1.54</v>
      </c>
    </row>
    <row r="1250">
      <c r="A1250" s="0" t="inlineStr">
        <is>
          <t>[오류동]</t>
        </is>
      </c>
      <c r="B1250" s="0" t="n">
        <v>100299</v>
      </c>
      <c r="C1250" s="0" t="n">
        <v>3</v>
      </c>
      <c r="D1250" s="0" t="inlineStr">
        <is>
          <t>검단힐스테이트2단지</t>
        </is>
      </c>
      <c r="E1250" s="0" t="inlineStr">
        <is>
          <t>2010.12.</t>
        </is>
      </c>
      <c r="F1250" s="0" t="n">
        <v>303</v>
      </c>
      <c r="G1250" s="0" t="n">
        <v>39.39</v>
      </c>
      <c r="H1250" s="0" t="n">
        <v>130.23</v>
      </c>
      <c r="I1250" s="0" t="n">
        <v>31.67</v>
      </c>
      <c r="J1250" s="0" t="n">
        <v>104.72</v>
      </c>
      <c r="K1250" s="0" t="n">
        <v>78</v>
      </c>
      <c r="T1250" s="0" t="n">
        <v>3</v>
      </c>
      <c r="U1250" s="0" t="n">
        <v>2</v>
      </c>
      <c r="V1250" s="0" t="inlineStr">
        <is>
          <t>계단식</t>
        </is>
      </c>
      <c r="W1250" s="0" t="inlineStr">
        <is>
          <t>130A</t>
        </is>
      </c>
      <c r="X1250" s="0" t="n">
        <v>20</v>
      </c>
      <c r="Y1250" s="0" t="n">
        <v>19</v>
      </c>
      <c r="Z1250" s="0" t="inlineStr">
        <is>
          <t>https://new.land.naver.com/complexes/100299?tab=detail&amp;rf=Y</t>
        </is>
      </c>
      <c r="AA1250" s="0" t="inlineStr">
        <is>
          <t>인천시 서구 오류동 1721-1</t>
        </is>
      </c>
      <c r="AB1250" s="0" t="inlineStr">
        <is>
          <t>인천시</t>
        </is>
      </c>
      <c r="AC1250" s="0" t="inlineStr">
        <is>
          <t>서구</t>
        </is>
      </c>
      <c r="AD1250" s="0" t="inlineStr">
        <is>
          <t>오류동</t>
        </is>
      </c>
      <c r="AG1250" s="0" t="inlineStr">
        <is>
          <t>인천시 서구 버들로 46</t>
        </is>
      </c>
      <c r="AH1250" s="0" t="n">
        <v>0</v>
      </c>
      <c r="AI1250" s="0" t="n">
        <v>228</v>
      </c>
      <c r="AJ1250" s="0" t="n">
        <v>17</v>
      </c>
      <c r="AK1250" s="0" t="n">
        <v>468</v>
      </c>
      <c r="AL1250" s="0" t="n">
        <v>1.54</v>
      </c>
    </row>
    <row r="1251">
      <c r="A1251" s="0" t="inlineStr">
        <is>
          <t>[오류동]</t>
        </is>
      </c>
      <c r="B1251" s="0" t="n">
        <v>100299</v>
      </c>
      <c r="C1251" s="0" t="n">
        <v>4</v>
      </c>
      <c r="D1251" s="0" t="inlineStr">
        <is>
          <t>검단힐스테이트2단지</t>
        </is>
      </c>
      <c r="E1251" s="0" t="inlineStr">
        <is>
          <t>2010.12.</t>
        </is>
      </c>
      <c r="F1251" s="0" t="n">
        <v>303</v>
      </c>
      <c r="G1251" s="0" t="n">
        <v>39.47</v>
      </c>
      <c r="H1251" s="0" t="n">
        <v>130.49</v>
      </c>
      <c r="I1251" s="0" t="n">
        <v>31.9</v>
      </c>
      <c r="J1251" s="0" t="n">
        <v>105.47</v>
      </c>
      <c r="K1251" s="0" t="n">
        <v>72</v>
      </c>
      <c r="T1251" s="0" t="n">
        <v>3</v>
      </c>
      <c r="U1251" s="0" t="n">
        <v>2</v>
      </c>
      <c r="V1251" s="0" t="inlineStr">
        <is>
          <t>계단식</t>
        </is>
      </c>
      <c r="W1251" s="0" t="inlineStr">
        <is>
          <t>130B</t>
        </is>
      </c>
      <c r="X1251" s="0" t="n">
        <v>20</v>
      </c>
      <c r="Y1251" s="0" t="n">
        <v>19</v>
      </c>
      <c r="Z1251" s="0" t="inlineStr">
        <is>
          <t>https://new.land.naver.com/complexes/100299?tab=detail&amp;rf=Y</t>
        </is>
      </c>
      <c r="AA1251" s="0" t="inlineStr">
        <is>
          <t>인천시 서구 오류동 1721-1</t>
        </is>
      </c>
      <c r="AB1251" s="0" t="inlineStr">
        <is>
          <t>인천시</t>
        </is>
      </c>
      <c r="AC1251" s="0" t="inlineStr">
        <is>
          <t>서구</t>
        </is>
      </c>
      <c r="AD1251" s="0" t="inlineStr">
        <is>
          <t>오류동</t>
        </is>
      </c>
      <c r="AG1251" s="0" t="inlineStr">
        <is>
          <t>인천시 서구 버들로 46</t>
        </is>
      </c>
      <c r="AH1251" s="0" t="n">
        <v>0</v>
      </c>
      <c r="AI1251" s="0" t="n">
        <v>228</v>
      </c>
      <c r="AJ1251" s="0" t="n">
        <v>17</v>
      </c>
      <c r="AK1251" s="0" t="n">
        <v>468</v>
      </c>
      <c r="AL1251" s="0" t="n">
        <v>1.54</v>
      </c>
    </row>
    <row r="1252">
      <c r="A1252" s="0" t="inlineStr">
        <is>
          <t>[오류동]</t>
        </is>
      </c>
      <c r="B1252" s="0" t="n">
        <v>100299</v>
      </c>
      <c r="C1252" s="0" t="n">
        <v>5</v>
      </c>
      <c r="D1252" s="0" t="inlineStr">
        <is>
          <t>검단힐스테이트2단지</t>
        </is>
      </c>
      <c r="E1252" s="0" t="inlineStr">
        <is>
          <t>2010.12.</t>
        </is>
      </c>
      <c r="F1252" s="0" t="n">
        <v>303</v>
      </c>
      <c r="G1252" s="0" t="n">
        <v>49.53</v>
      </c>
      <c r="H1252" s="0" t="n">
        <v>163.76</v>
      </c>
      <c r="I1252" s="0" t="n">
        <v>41.17</v>
      </c>
      <c r="J1252" s="0" t="n">
        <v>136.11</v>
      </c>
      <c r="K1252" s="0" t="n">
        <v>38</v>
      </c>
      <c r="T1252" s="0" t="n">
        <v>4</v>
      </c>
      <c r="U1252" s="0" t="n">
        <v>2</v>
      </c>
      <c r="V1252" s="0" t="inlineStr">
        <is>
          <t>계단식</t>
        </is>
      </c>
      <c r="W1252" s="0" t="inlineStr">
        <is>
          <t>163B</t>
        </is>
      </c>
      <c r="X1252" s="0" t="n">
        <v>20</v>
      </c>
      <c r="Y1252" s="0" t="n">
        <v>19</v>
      </c>
      <c r="Z1252" s="0" t="inlineStr">
        <is>
          <t>https://new.land.naver.com/complexes/100299?tab=detail&amp;rf=Y</t>
        </is>
      </c>
      <c r="AA1252" s="0" t="inlineStr">
        <is>
          <t>인천시 서구 오류동 1721-1</t>
        </is>
      </c>
      <c r="AB1252" s="0" t="inlineStr">
        <is>
          <t>인천시</t>
        </is>
      </c>
      <c r="AC1252" s="0" t="inlineStr">
        <is>
          <t>서구</t>
        </is>
      </c>
      <c r="AD1252" s="0" t="inlineStr">
        <is>
          <t>오류동</t>
        </is>
      </c>
      <c r="AG1252" s="0" t="inlineStr">
        <is>
          <t>인천시 서구 버들로 46</t>
        </is>
      </c>
      <c r="AH1252" s="0" t="n">
        <v>0</v>
      </c>
      <c r="AI1252" s="0" t="n">
        <v>228</v>
      </c>
      <c r="AJ1252" s="0" t="n">
        <v>17</v>
      </c>
      <c r="AK1252" s="0" t="n">
        <v>468</v>
      </c>
      <c r="AL1252" s="0" t="n">
        <v>1.54</v>
      </c>
    </row>
    <row r="1253">
      <c r="A1253" s="0" t="inlineStr">
        <is>
          <t>[오류동]</t>
        </is>
      </c>
      <c r="B1253" s="0" t="n">
        <v>100299</v>
      </c>
      <c r="C1253" s="0" t="n">
        <v>6</v>
      </c>
      <c r="D1253" s="0" t="inlineStr">
        <is>
          <t>검단힐스테이트2단지</t>
        </is>
      </c>
      <c r="E1253" s="0" t="inlineStr">
        <is>
          <t>2010.12.</t>
        </is>
      </c>
      <c r="F1253" s="0" t="n">
        <v>303</v>
      </c>
      <c r="G1253" s="0" t="n">
        <v>49.75</v>
      </c>
      <c r="H1253" s="0" t="n">
        <v>164.47</v>
      </c>
      <c r="I1253" s="0" t="n">
        <v>41.02</v>
      </c>
      <c r="J1253" s="0" t="n">
        <v>135.63</v>
      </c>
      <c r="K1253" s="0" t="n">
        <v>38</v>
      </c>
      <c r="T1253" s="0" t="n">
        <v>4</v>
      </c>
      <c r="U1253" s="0" t="n">
        <v>2</v>
      </c>
      <c r="V1253" s="0" t="inlineStr">
        <is>
          <t>계단식</t>
        </is>
      </c>
      <c r="W1253" s="0" t="inlineStr">
        <is>
          <t>164A</t>
        </is>
      </c>
      <c r="X1253" s="0" t="n">
        <v>20</v>
      </c>
      <c r="Y1253" s="0" t="n">
        <v>19</v>
      </c>
      <c r="Z1253" s="0" t="inlineStr">
        <is>
          <t>https://new.land.naver.com/complexes/100299?tab=detail&amp;rf=Y</t>
        </is>
      </c>
      <c r="AA1253" s="0" t="inlineStr">
        <is>
          <t>인천시 서구 오류동 1721-1</t>
        </is>
      </c>
      <c r="AB1253" s="0" t="inlineStr">
        <is>
          <t>인천시</t>
        </is>
      </c>
      <c r="AC1253" s="0" t="inlineStr">
        <is>
          <t>서구</t>
        </is>
      </c>
      <c r="AD1253" s="0" t="inlineStr">
        <is>
          <t>오류동</t>
        </is>
      </c>
      <c r="AG1253" s="0" t="inlineStr">
        <is>
          <t>인천시 서구 버들로 46</t>
        </is>
      </c>
      <c r="AH1253" s="0" t="n">
        <v>0</v>
      </c>
      <c r="AI1253" s="0" t="n">
        <v>228</v>
      </c>
      <c r="AJ1253" s="0" t="n">
        <v>17</v>
      </c>
      <c r="AK1253" s="0" t="n">
        <v>468</v>
      </c>
      <c r="AL1253" s="0" t="n">
        <v>1.54</v>
      </c>
    </row>
    <row r="1254">
      <c r="A1254" s="0" t="inlineStr">
        <is>
          <t>[오류동]</t>
        </is>
      </c>
      <c r="B1254" s="0" t="n">
        <v>100299</v>
      </c>
      <c r="C1254" s="0" t="n">
        <v>7</v>
      </c>
      <c r="D1254" s="0" t="inlineStr">
        <is>
          <t>검단힐스테이트2단지</t>
        </is>
      </c>
      <c r="E1254" s="0" t="inlineStr">
        <is>
          <t>2010.12.</t>
        </is>
      </c>
      <c r="F1254" s="0" t="n">
        <v>303</v>
      </c>
      <c r="G1254" s="0" t="n">
        <v>74.90000000000001</v>
      </c>
      <c r="H1254" s="0" t="n">
        <v>247.61</v>
      </c>
      <c r="I1254" s="0" t="n">
        <v>61.42</v>
      </c>
      <c r="J1254" s="0" t="n">
        <v>203.07</v>
      </c>
      <c r="K1254" s="0" t="n">
        <v>1</v>
      </c>
      <c r="T1254" s="0" t="n">
        <v>6</v>
      </c>
      <c r="U1254" s="0" t="n">
        <v>3</v>
      </c>
      <c r="V1254" s="0" t="inlineStr">
        <is>
          <t>계단식</t>
        </is>
      </c>
      <c r="W1254" s="0" t="n">
        <v>247</v>
      </c>
      <c r="X1254" s="0" t="n">
        <v>20</v>
      </c>
      <c r="Y1254" s="0" t="n">
        <v>19</v>
      </c>
      <c r="Z1254" s="0" t="inlineStr">
        <is>
          <t>https://new.land.naver.com/complexes/100299?tab=detail&amp;rf=Y</t>
        </is>
      </c>
      <c r="AA1254" s="0" t="inlineStr">
        <is>
          <t>인천시 서구 오류동 1721-1</t>
        </is>
      </c>
      <c r="AB1254" s="0" t="inlineStr">
        <is>
          <t>인천시</t>
        </is>
      </c>
      <c r="AC1254" s="0" t="inlineStr">
        <is>
          <t>서구</t>
        </is>
      </c>
      <c r="AD1254" s="0" t="inlineStr">
        <is>
          <t>오류동</t>
        </is>
      </c>
      <c r="AG1254" s="0" t="inlineStr">
        <is>
          <t>인천시 서구 버들로 46</t>
        </is>
      </c>
      <c r="AH1254" s="0" t="n">
        <v>0</v>
      </c>
      <c r="AI1254" s="0" t="n">
        <v>228</v>
      </c>
      <c r="AJ1254" s="0" t="n">
        <v>17</v>
      </c>
      <c r="AK1254" s="0" t="n">
        <v>468</v>
      </c>
      <c r="AL1254" s="0" t="n">
        <v>1.54</v>
      </c>
    </row>
    <row r="1255">
      <c r="A1255" s="0" t="inlineStr">
        <is>
          <t>[왕길동]</t>
        </is>
      </c>
      <c r="B1255" s="0" t="n">
        <v>24986</v>
      </c>
      <c r="C1255" s="0" t="n">
        <v>1</v>
      </c>
      <c r="D1255" s="0" t="inlineStr">
        <is>
          <t>동남디아망</t>
        </is>
      </c>
      <c r="E1255" s="0" t="inlineStr">
        <is>
          <t>2006.05.</t>
        </is>
      </c>
      <c r="F1255" s="0" t="n">
        <v>308</v>
      </c>
      <c r="G1255" s="0" t="n">
        <v>34.14</v>
      </c>
      <c r="H1255" s="0" t="n">
        <v>112.86</v>
      </c>
      <c r="I1255" s="0" t="n">
        <v>25.7</v>
      </c>
      <c r="J1255" s="0" t="n">
        <v>84.95999999999999</v>
      </c>
      <c r="K1255" s="0" t="n">
        <v>308</v>
      </c>
      <c r="T1255" s="0" t="n">
        <v>3</v>
      </c>
      <c r="U1255" s="0" t="n">
        <v>2</v>
      </c>
      <c r="V1255" s="0" t="inlineStr">
        <is>
          <t>계단식</t>
        </is>
      </c>
      <c r="W1255" s="0" t="n">
        <v>112</v>
      </c>
      <c r="X1255" s="0" t="n">
        <v>15</v>
      </c>
      <c r="Y1255" s="0" t="n">
        <v>11</v>
      </c>
      <c r="Z1255" s="0" t="inlineStr">
        <is>
          <t>https://new.land.naver.com/complexes/24986?tab=detail&amp;rf=Y</t>
        </is>
      </c>
      <c r="AA1255" s="0" t="inlineStr">
        <is>
          <t>인천시 서구 왕길동 633-2</t>
        </is>
      </c>
      <c r="AB1255" s="0" t="inlineStr">
        <is>
          <t>인천시</t>
        </is>
      </c>
      <c r="AC1255" s="0" t="inlineStr">
        <is>
          <t>서구</t>
        </is>
      </c>
      <c r="AD1255" s="0" t="inlineStr">
        <is>
          <t>왕길동</t>
        </is>
      </c>
      <c r="AG1255" s="0" t="inlineStr">
        <is>
          <t>인천시 서구 봉수대로1440번길 19</t>
        </is>
      </c>
      <c r="AH1255" s="0" t="n">
        <v>0</v>
      </c>
      <c r="AI1255" s="0" t="n">
        <v>219</v>
      </c>
      <c r="AJ1255" s="0" t="n">
        <v>17</v>
      </c>
      <c r="AK1255" s="0" t="n">
        <v>319</v>
      </c>
      <c r="AL1255" s="0" t="n">
        <v>1.04</v>
      </c>
    </row>
    <row r="1256">
      <c r="A1256" s="0" t="inlineStr">
        <is>
          <t>[왕길동]</t>
        </is>
      </c>
      <c r="B1256" s="0" t="n">
        <v>25074</v>
      </c>
      <c r="C1256" s="0" t="n">
        <v>1</v>
      </c>
      <c r="D1256" s="0" t="inlineStr">
        <is>
          <t>검단e-편한세상</t>
        </is>
      </c>
      <c r="E1256" s="0" t="inlineStr">
        <is>
          <t>2007.06.</t>
        </is>
      </c>
      <c r="F1256" s="0" t="n">
        <v>1003</v>
      </c>
      <c r="G1256" s="0" t="n">
        <v>33.14</v>
      </c>
      <c r="H1256" s="0" t="n">
        <v>109.56</v>
      </c>
      <c r="I1256" s="0" t="n">
        <v>25.68</v>
      </c>
      <c r="J1256" s="0" t="n">
        <v>84.91</v>
      </c>
      <c r="K1256" s="0" t="n">
        <v>716</v>
      </c>
      <c r="T1256" s="0" t="n">
        <v>3</v>
      </c>
      <c r="U1256" s="0" t="n">
        <v>2</v>
      </c>
      <c r="V1256" s="0" t="inlineStr">
        <is>
          <t>계단식</t>
        </is>
      </c>
      <c r="W1256" s="0" t="n">
        <v>109</v>
      </c>
      <c r="X1256" s="0" t="n">
        <v>15</v>
      </c>
      <c r="Y1256" s="0" t="n">
        <v>10</v>
      </c>
      <c r="Z1256" s="0" t="inlineStr">
        <is>
          <t>https://new.land.naver.com/complexes/25074?tab=detail&amp;rf=Y</t>
        </is>
      </c>
      <c r="AA1256" s="0" t="inlineStr">
        <is>
          <t>인천시 서구 왕길동 661-1</t>
        </is>
      </c>
      <c r="AB1256" s="0" t="inlineStr">
        <is>
          <t>인천시</t>
        </is>
      </c>
      <c r="AC1256" s="0" t="inlineStr">
        <is>
          <t>서구</t>
        </is>
      </c>
      <c r="AD1256" s="0" t="inlineStr">
        <is>
          <t>왕길동</t>
        </is>
      </c>
      <c r="AG1256" s="0" t="inlineStr">
        <is>
          <t>인천시 서구 검단로 446</t>
        </is>
      </c>
      <c r="AH1256" s="0" t="n">
        <v>0</v>
      </c>
      <c r="AI1256" s="0" t="n">
        <v>0</v>
      </c>
      <c r="AJ1256" s="0" t="n">
        <v>0</v>
      </c>
      <c r="AK1256" s="0" t="n">
        <v>0</v>
      </c>
      <c r="AL1256" s="0" t="n">
        <v>0</v>
      </c>
    </row>
    <row r="1257">
      <c r="A1257" s="0" t="inlineStr">
        <is>
          <t>[왕길동]</t>
        </is>
      </c>
      <c r="B1257" s="0" t="n">
        <v>25074</v>
      </c>
      <c r="C1257" s="0" t="n">
        <v>2</v>
      </c>
      <c r="D1257" s="0" t="inlineStr">
        <is>
          <t>검단e-편한세상</t>
        </is>
      </c>
      <c r="E1257" s="0" t="inlineStr">
        <is>
          <t>2007.06.</t>
        </is>
      </c>
      <c r="F1257" s="0" t="n">
        <v>1003</v>
      </c>
      <c r="G1257" s="0" t="n">
        <v>43.14</v>
      </c>
      <c r="H1257" s="0" t="n">
        <v>142.64</v>
      </c>
      <c r="I1257" s="0" t="n">
        <v>36.31</v>
      </c>
      <c r="J1257" s="0" t="n">
        <v>120.06</v>
      </c>
      <c r="K1257" s="0" t="n">
        <v>146</v>
      </c>
      <c r="T1257" s="0" t="n">
        <v>4</v>
      </c>
      <c r="U1257" s="0" t="n">
        <v>2</v>
      </c>
      <c r="V1257" s="0" t="inlineStr">
        <is>
          <t>계단식</t>
        </is>
      </c>
      <c r="W1257" s="0" t="n">
        <v>142</v>
      </c>
      <c r="X1257" s="0" t="n">
        <v>15</v>
      </c>
      <c r="Y1257" s="0" t="n">
        <v>10</v>
      </c>
      <c r="Z1257" s="0" t="inlineStr">
        <is>
          <t>https://new.land.naver.com/complexes/25074?tab=detail&amp;rf=Y</t>
        </is>
      </c>
      <c r="AA1257" s="0" t="inlineStr">
        <is>
          <t>인천시 서구 왕길동 661-1</t>
        </is>
      </c>
      <c r="AB1257" s="0" t="inlineStr">
        <is>
          <t>인천시</t>
        </is>
      </c>
      <c r="AC1257" s="0" t="inlineStr">
        <is>
          <t>서구</t>
        </is>
      </c>
      <c r="AD1257" s="0" t="inlineStr">
        <is>
          <t>왕길동</t>
        </is>
      </c>
      <c r="AG1257" s="0" t="inlineStr">
        <is>
          <t>인천시 서구 검단로 446</t>
        </is>
      </c>
      <c r="AH1257" s="0" t="n">
        <v>0</v>
      </c>
      <c r="AI1257" s="0" t="n">
        <v>0</v>
      </c>
      <c r="AJ1257" s="0" t="n">
        <v>0</v>
      </c>
      <c r="AK1257" s="0" t="n">
        <v>0</v>
      </c>
      <c r="AL1257" s="0" t="n">
        <v>0</v>
      </c>
    </row>
    <row r="1258">
      <c r="A1258" s="0" t="inlineStr">
        <is>
          <t>[왕길동]</t>
        </is>
      </c>
      <c r="B1258" s="0" t="n">
        <v>25074</v>
      </c>
      <c r="C1258" s="0" t="n">
        <v>3</v>
      </c>
      <c r="D1258" s="0" t="inlineStr">
        <is>
          <t>검단e-편한세상</t>
        </is>
      </c>
      <c r="E1258" s="0" t="inlineStr">
        <is>
          <t>2007.06.</t>
        </is>
      </c>
      <c r="F1258" s="0" t="n">
        <v>1003</v>
      </c>
      <c r="G1258" s="0" t="n">
        <v>48.03</v>
      </c>
      <c r="H1258" s="0" t="n">
        <v>158.8</v>
      </c>
      <c r="I1258" s="0" t="n">
        <v>40.12</v>
      </c>
      <c r="J1258" s="0" t="n">
        <v>132.66</v>
      </c>
      <c r="K1258" s="0" t="n">
        <v>83</v>
      </c>
      <c r="T1258" s="0" t="n">
        <v>4</v>
      </c>
      <c r="U1258" s="0" t="n">
        <v>2</v>
      </c>
      <c r="V1258" s="0" t="inlineStr">
        <is>
          <t>계단식</t>
        </is>
      </c>
      <c r="W1258" s="0" t="n">
        <v>158</v>
      </c>
      <c r="X1258" s="0" t="n">
        <v>15</v>
      </c>
      <c r="Y1258" s="0" t="n">
        <v>10</v>
      </c>
      <c r="Z1258" s="0" t="inlineStr">
        <is>
          <t>https://new.land.naver.com/complexes/25074?tab=detail&amp;rf=Y</t>
        </is>
      </c>
      <c r="AA1258" s="0" t="inlineStr">
        <is>
          <t>인천시 서구 왕길동 661-1</t>
        </is>
      </c>
      <c r="AB1258" s="0" t="inlineStr">
        <is>
          <t>인천시</t>
        </is>
      </c>
      <c r="AC1258" s="0" t="inlineStr">
        <is>
          <t>서구</t>
        </is>
      </c>
      <c r="AD1258" s="0" t="inlineStr">
        <is>
          <t>왕길동</t>
        </is>
      </c>
      <c r="AG1258" s="0" t="inlineStr">
        <is>
          <t>인천시 서구 검단로 446</t>
        </is>
      </c>
      <c r="AH1258" s="0" t="n">
        <v>0</v>
      </c>
      <c r="AI1258" s="0" t="n">
        <v>0</v>
      </c>
      <c r="AJ1258" s="0" t="n">
        <v>0</v>
      </c>
      <c r="AK1258" s="0" t="n">
        <v>0</v>
      </c>
      <c r="AL1258" s="0" t="n">
        <v>0</v>
      </c>
    </row>
    <row r="1259">
      <c r="A1259" s="0" t="inlineStr">
        <is>
          <t>[왕길동]</t>
        </is>
      </c>
      <c r="B1259" s="0" t="n">
        <v>25074</v>
      </c>
      <c r="C1259" s="0" t="n">
        <v>4</v>
      </c>
      <c r="D1259" s="0" t="inlineStr">
        <is>
          <t>검단e-편한세상</t>
        </is>
      </c>
      <c r="E1259" s="0" t="inlineStr">
        <is>
          <t>2007.06.</t>
        </is>
      </c>
      <c r="F1259" s="0" t="n">
        <v>1003</v>
      </c>
      <c r="G1259" s="0" t="n">
        <v>54.7</v>
      </c>
      <c r="H1259" s="0" t="n">
        <v>180.83</v>
      </c>
      <c r="I1259" s="0" t="n">
        <v>46.48</v>
      </c>
      <c r="J1259" s="0" t="n">
        <v>153.68</v>
      </c>
      <c r="K1259" s="0" t="n">
        <v>58</v>
      </c>
      <c r="T1259" s="0" t="n">
        <v>4</v>
      </c>
      <c r="U1259" s="0" t="n">
        <v>2</v>
      </c>
      <c r="V1259" s="0" t="inlineStr">
        <is>
          <t>계단식</t>
        </is>
      </c>
      <c r="W1259" s="0" t="n">
        <v>180</v>
      </c>
      <c r="X1259" s="0" t="n">
        <v>15</v>
      </c>
      <c r="Y1259" s="0" t="n">
        <v>10</v>
      </c>
      <c r="Z1259" s="0" t="inlineStr">
        <is>
          <t>https://new.land.naver.com/complexes/25074?tab=detail&amp;rf=Y</t>
        </is>
      </c>
      <c r="AA1259" s="0" t="inlineStr">
        <is>
          <t>인천시 서구 왕길동 661-1</t>
        </is>
      </c>
      <c r="AB1259" s="0" t="inlineStr">
        <is>
          <t>인천시</t>
        </is>
      </c>
      <c r="AC1259" s="0" t="inlineStr">
        <is>
          <t>서구</t>
        </is>
      </c>
      <c r="AD1259" s="0" t="inlineStr">
        <is>
          <t>왕길동</t>
        </is>
      </c>
      <c r="AG1259" s="0" t="inlineStr">
        <is>
          <t>인천시 서구 검단로 446</t>
        </is>
      </c>
      <c r="AH1259" s="0" t="n">
        <v>0</v>
      </c>
      <c r="AI1259" s="0" t="n">
        <v>0</v>
      </c>
      <c r="AJ1259" s="0" t="n">
        <v>0</v>
      </c>
      <c r="AK1259" s="0" t="n">
        <v>0</v>
      </c>
      <c r="AL1259" s="0" t="n">
        <v>0</v>
      </c>
    </row>
    <row r="1260">
      <c r="A1260" s="0" t="inlineStr">
        <is>
          <t>[왕길동]</t>
        </is>
      </c>
      <c r="B1260" s="0" t="n">
        <v>26746</v>
      </c>
      <c r="C1260" s="0" t="n">
        <v>1</v>
      </c>
      <c r="D1260" s="0" t="inlineStr">
        <is>
          <t>드림파크어울림2단지</t>
        </is>
      </c>
      <c r="E1260" s="0" t="inlineStr">
        <is>
          <t>2010.12.</t>
        </is>
      </c>
      <c r="F1260" s="0" t="n">
        <v>203</v>
      </c>
      <c r="G1260" s="0" t="n">
        <v>33.85</v>
      </c>
      <c r="H1260" s="0" t="n">
        <v>111.92</v>
      </c>
      <c r="I1260" s="0" t="n">
        <v>25.69</v>
      </c>
      <c r="J1260" s="0" t="n">
        <v>84.93000000000001</v>
      </c>
      <c r="K1260" s="0" t="n">
        <v>90</v>
      </c>
      <c r="T1260" s="0" t="n">
        <v>3</v>
      </c>
      <c r="U1260" s="0" t="n">
        <v>2</v>
      </c>
      <c r="V1260" s="0" t="inlineStr">
        <is>
          <t>계단식</t>
        </is>
      </c>
      <c r="W1260" s="0" t="inlineStr">
        <is>
          <t>111B</t>
        </is>
      </c>
      <c r="X1260" s="0" t="n">
        <v>15</v>
      </c>
      <c r="Y1260" s="0" t="n">
        <v>11</v>
      </c>
      <c r="Z1260" s="0" t="inlineStr">
        <is>
          <t>https://new.land.naver.com/complexes/26746?tab=detail&amp;rf=Y</t>
        </is>
      </c>
      <c r="AA1260" s="0" t="inlineStr">
        <is>
          <t>인천시 서구 왕길동 696-2</t>
        </is>
      </c>
      <c r="AB1260" s="0" t="inlineStr">
        <is>
          <t>인천시</t>
        </is>
      </c>
      <c r="AC1260" s="0" t="inlineStr">
        <is>
          <t>서구</t>
        </is>
      </c>
      <c r="AD1260" s="0" t="inlineStr">
        <is>
          <t>왕길동</t>
        </is>
      </c>
      <c r="AG1260" s="0" t="inlineStr">
        <is>
          <t>인천시 서구 오동로 40</t>
        </is>
      </c>
      <c r="AH1260" s="0" t="n">
        <v>0</v>
      </c>
      <c r="AI1260" s="0" t="n">
        <v>199</v>
      </c>
      <c r="AJ1260" s="0" t="n">
        <v>19</v>
      </c>
      <c r="AK1260" s="0" t="n">
        <v>218</v>
      </c>
      <c r="AL1260" s="0" t="n">
        <v>1.07</v>
      </c>
    </row>
    <row r="1261">
      <c r="A1261" s="0" t="inlineStr">
        <is>
          <t>[왕길동]</t>
        </is>
      </c>
      <c r="B1261" s="0" t="n">
        <v>26746</v>
      </c>
      <c r="C1261" s="0" t="n">
        <v>2</v>
      </c>
      <c r="D1261" s="0" t="inlineStr">
        <is>
          <t>드림파크어울림2단지</t>
        </is>
      </c>
      <c r="E1261" s="0" t="inlineStr">
        <is>
          <t>2010.12.</t>
        </is>
      </c>
      <c r="F1261" s="0" t="n">
        <v>203</v>
      </c>
      <c r="G1261" s="0" t="n">
        <v>33.82</v>
      </c>
      <c r="H1261" s="0" t="n">
        <v>111.83</v>
      </c>
      <c r="I1261" s="0" t="n">
        <v>25.66</v>
      </c>
      <c r="J1261" s="0" t="n">
        <v>84.83</v>
      </c>
      <c r="K1261" s="0" t="n">
        <v>75</v>
      </c>
      <c r="T1261" s="0" t="n">
        <v>3</v>
      </c>
      <c r="U1261" s="0" t="n">
        <v>2</v>
      </c>
      <c r="V1261" s="0" t="inlineStr">
        <is>
          <t>계단식</t>
        </is>
      </c>
      <c r="W1261" s="0" t="inlineStr">
        <is>
          <t>111A</t>
        </is>
      </c>
      <c r="X1261" s="0" t="n">
        <v>15</v>
      </c>
      <c r="Y1261" s="0" t="n">
        <v>11</v>
      </c>
      <c r="Z1261" s="0" t="inlineStr">
        <is>
          <t>https://new.land.naver.com/complexes/26746?tab=detail&amp;rf=Y</t>
        </is>
      </c>
      <c r="AA1261" s="0" t="inlineStr">
        <is>
          <t>인천시 서구 왕길동 696-2</t>
        </is>
      </c>
      <c r="AB1261" s="0" t="inlineStr">
        <is>
          <t>인천시</t>
        </is>
      </c>
      <c r="AC1261" s="0" t="inlineStr">
        <is>
          <t>서구</t>
        </is>
      </c>
      <c r="AD1261" s="0" t="inlineStr">
        <is>
          <t>왕길동</t>
        </is>
      </c>
      <c r="AG1261" s="0" t="inlineStr">
        <is>
          <t>인천시 서구 오동로 40</t>
        </is>
      </c>
      <c r="AH1261" s="0" t="n">
        <v>0</v>
      </c>
      <c r="AI1261" s="0" t="n">
        <v>199</v>
      </c>
      <c r="AJ1261" s="0" t="n">
        <v>19</v>
      </c>
      <c r="AK1261" s="0" t="n">
        <v>218</v>
      </c>
      <c r="AL1261" s="0" t="n">
        <v>1.07</v>
      </c>
    </row>
    <row r="1262">
      <c r="A1262" s="0" t="inlineStr">
        <is>
          <t>[왕길동]</t>
        </is>
      </c>
      <c r="B1262" s="0" t="n">
        <v>26746</v>
      </c>
      <c r="C1262" s="0" t="n">
        <v>3</v>
      </c>
      <c r="D1262" s="0" t="inlineStr">
        <is>
          <t>드림파크어울림2단지</t>
        </is>
      </c>
      <c r="E1262" s="0" t="inlineStr">
        <is>
          <t>2010.12.</t>
        </is>
      </c>
      <c r="F1262" s="0" t="n">
        <v>203</v>
      </c>
      <c r="G1262" s="0" t="n">
        <v>33.89</v>
      </c>
      <c r="H1262" s="0" t="n">
        <v>112.05</v>
      </c>
      <c r="I1262" s="0" t="n">
        <v>25.66</v>
      </c>
      <c r="J1262" s="0" t="n">
        <v>84.83</v>
      </c>
      <c r="K1262" s="0" t="n">
        <v>13</v>
      </c>
      <c r="T1262" s="0" t="n">
        <v>3</v>
      </c>
      <c r="U1262" s="0" t="n">
        <v>2</v>
      </c>
      <c r="V1262" s="0" t="inlineStr">
        <is>
          <t>계단식</t>
        </is>
      </c>
      <c r="W1262" s="0" t="inlineStr">
        <is>
          <t>112C</t>
        </is>
      </c>
      <c r="X1262" s="0" t="n">
        <v>15</v>
      </c>
      <c r="Y1262" s="0" t="n">
        <v>11</v>
      </c>
      <c r="Z1262" s="0" t="inlineStr">
        <is>
          <t>https://new.land.naver.com/complexes/26746?tab=detail&amp;rf=Y</t>
        </is>
      </c>
      <c r="AA1262" s="0" t="inlineStr">
        <is>
          <t>인천시 서구 왕길동 696-2</t>
        </is>
      </c>
      <c r="AB1262" s="0" t="inlineStr">
        <is>
          <t>인천시</t>
        </is>
      </c>
      <c r="AC1262" s="0" t="inlineStr">
        <is>
          <t>서구</t>
        </is>
      </c>
      <c r="AD1262" s="0" t="inlineStr">
        <is>
          <t>왕길동</t>
        </is>
      </c>
      <c r="AG1262" s="0" t="inlineStr">
        <is>
          <t>인천시 서구 오동로 40</t>
        </is>
      </c>
      <c r="AH1262" s="0" t="n">
        <v>0</v>
      </c>
      <c r="AI1262" s="0" t="n">
        <v>199</v>
      </c>
      <c r="AJ1262" s="0" t="n">
        <v>19</v>
      </c>
      <c r="AK1262" s="0" t="n">
        <v>218</v>
      </c>
      <c r="AL1262" s="0" t="n">
        <v>1.07</v>
      </c>
    </row>
    <row r="1263">
      <c r="A1263" s="0" t="inlineStr">
        <is>
          <t>[왕길동]</t>
        </is>
      </c>
      <c r="B1263" s="0" t="n">
        <v>26746</v>
      </c>
      <c r="C1263" s="0" t="n">
        <v>4</v>
      </c>
      <c r="D1263" s="0" t="inlineStr">
        <is>
          <t>드림파크어울림2단지</t>
        </is>
      </c>
      <c r="E1263" s="0" t="inlineStr">
        <is>
          <t>2010.12.</t>
        </is>
      </c>
      <c r="F1263" s="0" t="n">
        <v>203</v>
      </c>
      <c r="G1263" s="0" t="n">
        <v>40.49</v>
      </c>
      <c r="H1263" s="0" t="n">
        <v>133.87</v>
      </c>
      <c r="I1263" s="0" t="n">
        <v>30.85</v>
      </c>
      <c r="J1263" s="0" t="n">
        <v>101.99</v>
      </c>
      <c r="K1263" s="0" t="n">
        <v>25</v>
      </c>
      <c r="T1263" s="0" t="n">
        <v>4</v>
      </c>
      <c r="U1263" s="0" t="n">
        <v>2</v>
      </c>
      <c r="V1263" s="0" t="inlineStr">
        <is>
          <t>계단식</t>
        </is>
      </c>
      <c r="W1263" s="0" t="n">
        <v>133</v>
      </c>
      <c r="X1263" s="0" t="n">
        <v>15</v>
      </c>
      <c r="Y1263" s="0" t="n">
        <v>11</v>
      </c>
      <c r="Z1263" s="0" t="inlineStr">
        <is>
          <t>https://new.land.naver.com/complexes/26746?tab=detail&amp;rf=Y</t>
        </is>
      </c>
      <c r="AA1263" s="0" t="inlineStr">
        <is>
          <t>인천시 서구 왕길동 696-2</t>
        </is>
      </c>
      <c r="AB1263" s="0" t="inlineStr">
        <is>
          <t>인천시</t>
        </is>
      </c>
      <c r="AC1263" s="0" t="inlineStr">
        <is>
          <t>서구</t>
        </is>
      </c>
      <c r="AD1263" s="0" t="inlineStr">
        <is>
          <t>왕길동</t>
        </is>
      </c>
      <c r="AG1263" s="0" t="inlineStr">
        <is>
          <t>인천시 서구 오동로 40</t>
        </is>
      </c>
      <c r="AH1263" s="0" t="n">
        <v>0</v>
      </c>
      <c r="AI1263" s="0" t="n">
        <v>199</v>
      </c>
      <c r="AJ1263" s="0" t="n">
        <v>19</v>
      </c>
      <c r="AK1263" s="0" t="n">
        <v>218</v>
      </c>
      <c r="AL1263" s="0" t="n">
        <v>1.07</v>
      </c>
    </row>
    <row r="1264">
      <c r="A1264" s="0" t="inlineStr">
        <is>
          <t>[왕길동]</t>
        </is>
      </c>
      <c r="B1264" s="0" t="n">
        <v>8883</v>
      </c>
      <c r="C1264" s="0" t="n">
        <v>1</v>
      </c>
      <c r="D1264" s="0" t="inlineStr">
        <is>
          <t>유승</t>
        </is>
      </c>
      <c r="E1264" s="0" t="inlineStr">
        <is>
          <t>2000.04.</t>
        </is>
      </c>
      <c r="F1264" s="0" t="n">
        <v>608</v>
      </c>
      <c r="G1264" s="0" t="n">
        <v>23.19</v>
      </c>
      <c r="H1264" s="0" t="n">
        <v>76.68000000000001</v>
      </c>
      <c r="I1264" s="0" t="n">
        <v>18.07</v>
      </c>
      <c r="J1264" s="0" t="n">
        <v>59.75</v>
      </c>
      <c r="K1264" s="0" t="n">
        <v>256</v>
      </c>
      <c r="T1264" s="0" t="n">
        <v>3</v>
      </c>
      <c r="U1264" s="0" t="n">
        <v>1</v>
      </c>
      <c r="V1264" s="0" t="inlineStr">
        <is>
          <t>계단식</t>
        </is>
      </c>
      <c r="W1264" s="0" t="n">
        <v>76</v>
      </c>
      <c r="X1264" s="0" t="n">
        <v>16</v>
      </c>
      <c r="Y1264" s="0" t="n">
        <v>16</v>
      </c>
      <c r="Z1264" s="0" t="inlineStr">
        <is>
          <t>https://new.land.naver.com/complexes/8883?tab=detail&amp;rf=Y</t>
        </is>
      </c>
      <c r="AA1264" s="0" t="inlineStr">
        <is>
          <t>인천시 서구 왕길동 295-1</t>
        </is>
      </c>
      <c r="AB1264" s="0" t="inlineStr">
        <is>
          <t>인천시</t>
        </is>
      </c>
      <c r="AC1264" s="0" t="inlineStr">
        <is>
          <t>서구</t>
        </is>
      </c>
      <c r="AD1264" s="0" t="inlineStr">
        <is>
          <t>왕길동</t>
        </is>
      </c>
      <c r="AG1264" s="0" t="inlineStr">
        <is>
          <t>인천시 서구 단봉로 12</t>
        </is>
      </c>
      <c r="AH1264" s="0" t="n">
        <v>0</v>
      </c>
      <c r="AI1264" s="0" t="n">
        <v>247</v>
      </c>
      <c r="AJ1264" s="0" t="n">
        <v>16</v>
      </c>
      <c r="AK1264" s="0" t="n">
        <v>655</v>
      </c>
      <c r="AL1264" s="0" t="n">
        <v>1.08</v>
      </c>
    </row>
    <row r="1265">
      <c r="A1265" s="0" t="inlineStr">
        <is>
          <t>[왕길동]</t>
        </is>
      </c>
      <c r="B1265" s="0" t="n">
        <v>8883</v>
      </c>
      <c r="C1265" s="0" t="n">
        <v>2</v>
      </c>
      <c r="D1265" s="0" t="inlineStr">
        <is>
          <t>유승</t>
        </is>
      </c>
      <c r="E1265" s="0" t="inlineStr">
        <is>
          <t>2000.04.</t>
        </is>
      </c>
      <c r="F1265" s="0" t="n">
        <v>608</v>
      </c>
      <c r="G1265" s="0" t="n">
        <v>32.98</v>
      </c>
      <c r="H1265" s="0" t="n">
        <v>109.03</v>
      </c>
      <c r="I1265" s="0" t="n">
        <v>25.7</v>
      </c>
      <c r="J1265" s="0" t="n">
        <v>84.95999999999999</v>
      </c>
      <c r="K1265" s="0" t="n">
        <v>352</v>
      </c>
      <c r="T1265" s="0" t="n">
        <v>3</v>
      </c>
      <c r="U1265" s="0" t="n">
        <v>2</v>
      </c>
      <c r="V1265" s="0" t="inlineStr">
        <is>
          <t>계단식</t>
        </is>
      </c>
      <c r="W1265" s="0" t="n">
        <v>109</v>
      </c>
      <c r="X1265" s="0" t="n">
        <v>16</v>
      </c>
      <c r="Y1265" s="0" t="n">
        <v>16</v>
      </c>
      <c r="Z1265" s="0" t="inlineStr">
        <is>
          <t>https://new.land.naver.com/complexes/8883?tab=detail&amp;rf=Y</t>
        </is>
      </c>
      <c r="AA1265" s="0" t="inlineStr">
        <is>
          <t>인천시 서구 왕길동 295-1</t>
        </is>
      </c>
      <c r="AB1265" s="0" t="inlineStr">
        <is>
          <t>인천시</t>
        </is>
      </c>
      <c r="AC1265" s="0" t="inlineStr">
        <is>
          <t>서구</t>
        </is>
      </c>
      <c r="AD1265" s="0" t="inlineStr">
        <is>
          <t>왕길동</t>
        </is>
      </c>
      <c r="AG1265" s="0" t="inlineStr">
        <is>
          <t>인천시 서구 단봉로 12</t>
        </is>
      </c>
      <c r="AH1265" s="0" t="n">
        <v>0</v>
      </c>
      <c r="AI1265" s="0" t="n">
        <v>247</v>
      </c>
      <c r="AJ1265" s="0" t="n">
        <v>16</v>
      </c>
      <c r="AK1265" s="0" t="n">
        <v>655</v>
      </c>
      <c r="AL1265" s="0" t="n">
        <v>1.08</v>
      </c>
    </row>
    <row r="1266">
      <c r="A1266" s="0" t="inlineStr">
        <is>
          <t>[왕길동]</t>
        </is>
      </c>
      <c r="B1266" s="0" t="n">
        <v>26470</v>
      </c>
      <c r="C1266" s="0" t="n">
        <v>1</v>
      </c>
      <c r="D1266" s="0" t="inlineStr">
        <is>
          <t>검단자이1단지</t>
        </is>
      </c>
      <c r="E1266" s="0" t="inlineStr">
        <is>
          <t>2010.12.</t>
        </is>
      </c>
      <c r="F1266" s="0" t="n">
        <v>418</v>
      </c>
      <c r="G1266" s="0" t="n">
        <v>34.35</v>
      </c>
      <c r="H1266" s="0" t="n">
        <v>113.57</v>
      </c>
      <c r="I1266" s="0" t="n">
        <v>25.63</v>
      </c>
      <c r="J1266" s="0" t="n">
        <v>84.73999999999999</v>
      </c>
      <c r="K1266" s="0" t="n">
        <v>118</v>
      </c>
      <c r="T1266" s="0" t="n">
        <v>3</v>
      </c>
      <c r="U1266" s="0" t="n">
        <v>2</v>
      </c>
      <c r="V1266" s="0" t="inlineStr">
        <is>
          <t>계단식</t>
        </is>
      </c>
      <c r="W1266" s="0" t="inlineStr">
        <is>
          <t>113A</t>
        </is>
      </c>
      <c r="X1266" s="0" t="n">
        <v>15</v>
      </c>
      <c r="Y1266" s="0" t="n">
        <v>15</v>
      </c>
      <c r="Z1266" s="0" t="inlineStr">
        <is>
          <t>https://new.land.naver.com/complexes/26470?tab=detail&amp;rf=Y</t>
        </is>
      </c>
      <c r="AA1266" s="0" t="inlineStr">
        <is>
          <t>인천시 서구 왕길동 692-1</t>
        </is>
      </c>
      <c r="AB1266" s="0" t="inlineStr">
        <is>
          <t>인천시</t>
        </is>
      </c>
      <c r="AC1266" s="0" t="inlineStr">
        <is>
          <t>서구</t>
        </is>
      </c>
      <c r="AD1266" s="0" t="inlineStr">
        <is>
          <t>왕길동</t>
        </is>
      </c>
      <c r="AG1266" s="0" t="inlineStr">
        <is>
          <t>인천시 서구 버들로 27</t>
        </is>
      </c>
      <c r="AH1266" s="0" t="n">
        <v>0</v>
      </c>
      <c r="AI1266" s="0" t="n">
        <v>199</v>
      </c>
      <c r="AJ1266" s="0" t="n">
        <v>23</v>
      </c>
      <c r="AK1266" s="0" t="n">
        <v>562</v>
      </c>
      <c r="AL1266" s="0" t="n">
        <v>1.34</v>
      </c>
    </row>
    <row r="1267">
      <c r="A1267" s="0" t="inlineStr">
        <is>
          <t>[왕길동]</t>
        </is>
      </c>
      <c r="B1267" s="0" t="n">
        <v>26470</v>
      </c>
      <c r="C1267" s="0" t="n">
        <v>2</v>
      </c>
      <c r="D1267" s="0" t="inlineStr">
        <is>
          <t>검단자이1단지</t>
        </is>
      </c>
      <c r="E1267" s="0" t="inlineStr">
        <is>
          <t>2010.12.</t>
        </is>
      </c>
      <c r="F1267" s="0" t="n">
        <v>418</v>
      </c>
      <c r="G1267" s="0" t="n">
        <v>34.28</v>
      </c>
      <c r="H1267" s="0" t="n">
        <v>113.34</v>
      </c>
      <c r="I1267" s="0" t="n">
        <v>25.51</v>
      </c>
      <c r="J1267" s="0" t="n">
        <v>84.34</v>
      </c>
      <c r="K1267" s="0" t="n">
        <v>114</v>
      </c>
      <c r="T1267" s="0" t="n">
        <v>3</v>
      </c>
      <c r="U1267" s="0" t="n">
        <v>2</v>
      </c>
      <c r="V1267" s="0" t="inlineStr">
        <is>
          <t>계단식</t>
        </is>
      </c>
      <c r="W1267" s="0" t="inlineStr">
        <is>
          <t>113B</t>
        </is>
      </c>
      <c r="X1267" s="0" t="n">
        <v>15</v>
      </c>
      <c r="Y1267" s="0" t="n">
        <v>15</v>
      </c>
      <c r="Z1267" s="0" t="inlineStr">
        <is>
          <t>https://new.land.naver.com/complexes/26470?tab=detail&amp;rf=Y</t>
        </is>
      </c>
      <c r="AA1267" s="0" t="inlineStr">
        <is>
          <t>인천시 서구 왕길동 692-1</t>
        </is>
      </c>
      <c r="AB1267" s="0" t="inlineStr">
        <is>
          <t>인천시</t>
        </is>
      </c>
      <c r="AC1267" s="0" t="inlineStr">
        <is>
          <t>서구</t>
        </is>
      </c>
      <c r="AD1267" s="0" t="inlineStr">
        <is>
          <t>왕길동</t>
        </is>
      </c>
      <c r="AG1267" s="0" t="inlineStr">
        <is>
          <t>인천시 서구 버들로 27</t>
        </is>
      </c>
      <c r="AH1267" s="0" t="n">
        <v>0</v>
      </c>
      <c r="AI1267" s="0" t="n">
        <v>199</v>
      </c>
      <c r="AJ1267" s="0" t="n">
        <v>23</v>
      </c>
      <c r="AK1267" s="0" t="n">
        <v>562</v>
      </c>
      <c r="AL1267" s="0" t="n">
        <v>1.34</v>
      </c>
    </row>
    <row r="1268">
      <c r="A1268" s="0" t="inlineStr">
        <is>
          <t>[왕길동]</t>
        </is>
      </c>
      <c r="B1268" s="0" t="n">
        <v>26470</v>
      </c>
      <c r="C1268" s="0" t="n">
        <v>3</v>
      </c>
      <c r="D1268" s="0" t="inlineStr">
        <is>
          <t>검단자이1단지</t>
        </is>
      </c>
      <c r="E1268" s="0" t="inlineStr">
        <is>
          <t>2010.12.</t>
        </is>
      </c>
      <c r="F1268" s="0" t="n">
        <v>418</v>
      </c>
      <c r="G1268" s="0" t="n">
        <v>34.79</v>
      </c>
      <c r="H1268" s="0" t="n">
        <v>115.02</v>
      </c>
      <c r="I1268" s="0" t="n">
        <v>25.65</v>
      </c>
      <c r="J1268" s="0" t="n">
        <v>84.8</v>
      </c>
      <c r="K1268" s="0" t="n">
        <v>70</v>
      </c>
      <c r="T1268" s="0" t="n">
        <v>3</v>
      </c>
      <c r="U1268" s="0" t="n">
        <v>2</v>
      </c>
      <c r="V1268" s="0" t="inlineStr">
        <is>
          <t>계단식</t>
        </is>
      </c>
      <c r="W1268" s="0" t="n">
        <v>115</v>
      </c>
      <c r="X1268" s="0" t="n">
        <v>15</v>
      </c>
      <c r="Y1268" s="0" t="n">
        <v>15</v>
      </c>
      <c r="Z1268" s="0" t="inlineStr">
        <is>
          <t>https://new.land.naver.com/complexes/26470?tab=detail&amp;rf=Y</t>
        </is>
      </c>
      <c r="AA1268" s="0" t="inlineStr">
        <is>
          <t>인천시 서구 왕길동 692-1</t>
        </is>
      </c>
      <c r="AB1268" s="0" t="inlineStr">
        <is>
          <t>인천시</t>
        </is>
      </c>
      <c r="AC1268" s="0" t="inlineStr">
        <is>
          <t>서구</t>
        </is>
      </c>
      <c r="AD1268" s="0" t="inlineStr">
        <is>
          <t>왕길동</t>
        </is>
      </c>
      <c r="AG1268" s="0" t="inlineStr">
        <is>
          <t>인천시 서구 버들로 27</t>
        </is>
      </c>
      <c r="AH1268" s="0" t="n">
        <v>0</v>
      </c>
      <c r="AI1268" s="0" t="n">
        <v>199</v>
      </c>
      <c r="AJ1268" s="0" t="n">
        <v>23</v>
      </c>
      <c r="AK1268" s="0" t="n">
        <v>562</v>
      </c>
      <c r="AL1268" s="0" t="n">
        <v>1.34</v>
      </c>
    </row>
    <row r="1269">
      <c r="A1269" s="0" t="inlineStr">
        <is>
          <t>[왕길동]</t>
        </is>
      </c>
      <c r="B1269" s="0" t="n">
        <v>26470</v>
      </c>
      <c r="C1269" s="0" t="n">
        <v>4</v>
      </c>
      <c r="D1269" s="0" t="inlineStr">
        <is>
          <t>검단자이1단지</t>
        </is>
      </c>
      <c r="E1269" s="0" t="inlineStr">
        <is>
          <t>2010.12.</t>
        </is>
      </c>
      <c r="F1269" s="0" t="n">
        <v>418</v>
      </c>
      <c r="G1269" s="0" t="n">
        <v>49.12</v>
      </c>
      <c r="H1269" s="0" t="n">
        <v>162.41</v>
      </c>
      <c r="I1269" s="0" t="n">
        <v>37.36</v>
      </c>
      <c r="J1269" s="0" t="n">
        <v>123.51</v>
      </c>
      <c r="K1269" s="0" t="n">
        <v>30</v>
      </c>
      <c r="T1269" s="0" t="n">
        <v>3</v>
      </c>
      <c r="U1269" s="0" t="n">
        <v>2</v>
      </c>
      <c r="V1269" s="0" t="inlineStr">
        <is>
          <t>계단식</t>
        </is>
      </c>
      <c r="W1269" s="0" t="inlineStr">
        <is>
          <t>162A</t>
        </is>
      </c>
      <c r="X1269" s="0" t="n">
        <v>15</v>
      </c>
      <c r="Y1269" s="0" t="n">
        <v>15</v>
      </c>
      <c r="Z1269" s="0" t="inlineStr">
        <is>
          <t>https://new.land.naver.com/complexes/26470?tab=detail&amp;rf=Y</t>
        </is>
      </c>
      <c r="AA1269" s="0" t="inlineStr">
        <is>
          <t>인천시 서구 왕길동 692-1</t>
        </is>
      </c>
      <c r="AB1269" s="0" t="inlineStr">
        <is>
          <t>인천시</t>
        </is>
      </c>
      <c r="AC1269" s="0" t="inlineStr">
        <is>
          <t>서구</t>
        </is>
      </c>
      <c r="AD1269" s="0" t="inlineStr">
        <is>
          <t>왕길동</t>
        </is>
      </c>
      <c r="AG1269" s="0" t="inlineStr">
        <is>
          <t>인천시 서구 버들로 27</t>
        </is>
      </c>
      <c r="AH1269" s="0" t="n">
        <v>0</v>
      </c>
      <c r="AI1269" s="0" t="n">
        <v>199</v>
      </c>
      <c r="AJ1269" s="0" t="n">
        <v>23</v>
      </c>
      <c r="AK1269" s="0" t="n">
        <v>562</v>
      </c>
      <c r="AL1269" s="0" t="n">
        <v>1.34</v>
      </c>
    </row>
    <row r="1270">
      <c r="A1270" s="0" t="inlineStr">
        <is>
          <t>[왕길동]</t>
        </is>
      </c>
      <c r="B1270" s="0" t="n">
        <v>26470</v>
      </c>
      <c r="C1270" s="0" t="n">
        <v>5</v>
      </c>
      <c r="D1270" s="0" t="inlineStr">
        <is>
          <t>검단자이1단지</t>
        </is>
      </c>
      <c r="E1270" s="0" t="inlineStr">
        <is>
          <t>2010.12.</t>
        </is>
      </c>
      <c r="F1270" s="0" t="n">
        <v>418</v>
      </c>
      <c r="G1270" s="0" t="n">
        <v>49.47</v>
      </c>
      <c r="H1270" s="0" t="n">
        <v>163.57</v>
      </c>
      <c r="I1270" s="0" t="n">
        <v>37.37</v>
      </c>
      <c r="J1270" s="0" t="n">
        <v>123.54</v>
      </c>
      <c r="K1270" s="0" t="n">
        <v>56</v>
      </c>
      <c r="T1270" s="0" t="n">
        <v>4</v>
      </c>
      <c r="U1270" s="0" t="n">
        <v>2</v>
      </c>
      <c r="V1270" s="0" t="inlineStr">
        <is>
          <t>계단식</t>
        </is>
      </c>
      <c r="W1270" s="0" t="inlineStr">
        <is>
          <t>163B</t>
        </is>
      </c>
      <c r="X1270" s="0" t="n">
        <v>15</v>
      </c>
      <c r="Y1270" s="0" t="n">
        <v>15</v>
      </c>
      <c r="Z1270" s="0" t="inlineStr">
        <is>
          <t>https://new.land.naver.com/complexes/26470?tab=detail&amp;rf=Y</t>
        </is>
      </c>
      <c r="AA1270" s="0" t="inlineStr">
        <is>
          <t>인천시 서구 왕길동 692-1</t>
        </is>
      </c>
      <c r="AB1270" s="0" t="inlineStr">
        <is>
          <t>인천시</t>
        </is>
      </c>
      <c r="AC1270" s="0" t="inlineStr">
        <is>
          <t>서구</t>
        </is>
      </c>
      <c r="AD1270" s="0" t="inlineStr">
        <is>
          <t>왕길동</t>
        </is>
      </c>
      <c r="AG1270" s="0" t="inlineStr">
        <is>
          <t>인천시 서구 버들로 27</t>
        </is>
      </c>
      <c r="AH1270" s="0" t="n">
        <v>0</v>
      </c>
      <c r="AI1270" s="0" t="n">
        <v>199</v>
      </c>
      <c r="AJ1270" s="0" t="n">
        <v>23</v>
      </c>
      <c r="AK1270" s="0" t="n">
        <v>562</v>
      </c>
      <c r="AL1270" s="0" t="n">
        <v>1.34</v>
      </c>
    </row>
    <row r="1271">
      <c r="A1271" s="0" t="inlineStr">
        <is>
          <t>[왕길동]</t>
        </is>
      </c>
      <c r="B1271" s="0" t="n">
        <v>26470</v>
      </c>
      <c r="C1271" s="0" t="n">
        <v>6</v>
      </c>
      <c r="D1271" s="0" t="inlineStr">
        <is>
          <t>검단자이1단지</t>
        </is>
      </c>
      <c r="E1271" s="0" t="inlineStr">
        <is>
          <t>2010.12.</t>
        </is>
      </c>
      <c r="F1271" s="0" t="n">
        <v>418</v>
      </c>
      <c r="G1271" s="0" t="n">
        <v>49.61</v>
      </c>
      <c r="H1271" s="0" t="n">
        <v>164</v>
      </c>
      <c r="I1271" s="0" t="n">
        <v>37.26</v>
      </c>
      <c r="J1271" s="0" t="n">
        <v>123.19</v>
      </c>
      <c r="K1271" s="0" t="n">
        <v>30</v>
      </c>
      <c r="T1271" s="0" t="n">
        <v>4</v>
      </c>
      <c r="U1271" s="0" t="n">
        <v>2</v>
      </c>
      <c r="V1271" s="0" t="inlineStr">
        <is>
          <t>계단식</t>
        </is>
      </c>
      <c r="W1271" s="0" t="inlineStr">
        <is>
          <t>164C</t>
        </is>
      </c>
      <c r="X1271" s="0" t="n">
        <v>15</v>
      </c>
      <c r="Y1271" s="0" t="n">
        <v>15</v>
      </c>
      <c r="Z1271" s="0" t="inlineStr">
        <is>
          <t>https://new.land.naver.com/complexes/26470?tab=detail&amp;rf=Y</t>
        </is>
      </c>
      <c r="AA1271" s="0" t="inlineStr">
        <is>
          <t>인천시 서구 왕길동 692-1</t>
        </is>
      </c>
      <c r="AB1271" s="0" t="inlineStr">
        <is>
          <t>인천시</t>
        </is>
      </c>
      <c r="AC1271" s="0" t="inlineStr">
        <is>
          <t>서구</t>
        </is>
      </c>
      <c r="AD1271" s="0" t="inlineStr">
        <is>
          <t>왕길동</t>
        </is>
      </c>
      <c r="AG1271" s="0" t="inlineStr">
        <is>
          <t>인천시 서구 버들로 27</t>
        </is>
      </c>
      <c r="AH1271" s="0" t="n">
        <v>0</v>
      </c>
      <c r="AI1271" s="0" t="n">
        <v>199</v>
      </c>
      <c r="AJ1271" s="0" t="n">
        <v>23</v>
      </c>
      <c r="AK1271" s="0" t="n">
        <v>562</v>
      </c>
      <c r="AL1271" s="0" t="n">
        <v>1.34</v>
      </c>
    </row>
    <row r="1272">
      <c r="A1272" s="0" t="inlineStr">
        <is>
          <t>[왕길동]</t>
        </is>
      </c>
      <c r="B1272" s="0" t="n">
        <v>122601</v>
      </c>
      <c r="C1272" s="0" t="n">
        <v>1</v>
      </c>
      <c r="D1272" s="0" t="inlineStr">
        <is>
          <t>드림(도시형)</t>
        </is>
      </c>
      <c r="E1272" s="0" t="inlineStr">
        <is>
          <t>2012.04.</t>
        </is>
      </c>
      <c r="F1272" s="0" t="n">
        <v>50</v>
      </c>
      <c r="G1272" s="0" t="n">
        <v>8.07</v>
      </c>
      <c r="H1272" s="0" t="n">
        <v>26.7</v>
      </c>
      <c r="I1272" s="0" t="n">
        <v>5.76</v>
      </c>
      <c r="J1272" s="0" t="n">
        <v>19.07</v>
      </c>
      <c r="K1272" s="0" t="n">
        <v>10</v>
      </c>
      <c r="T1272" s="0" t="n">
        <v>1</v>
      </c>
      <c r="U1272" s="0" t="n">
        <v>1</v>
      </c>
      <c r="V1272" s="0" t="inlineStr">
        <is>
          <t>계단식</t>
        </is>
      </c>
      <c r="W1272" s="0" t="n">
        <v>26</v>
      </c>
      <c r="X1272" s="0" t="n">
        <v>6</v>
      </c>
      <c r="Y1272" s="0" t="n">
        <v>6</v>
      </c>
      <c r="Z1272" s="0" t="inlineStr">
        <is>
          <t>https://new.land.naver.com/complexes/122601?tab=detail&amp;rf=Y</t>
        </is>
      </c>
      <c r="AA1272" s="0" t="inlineStr">
        <is>
          <t>인천시 서구 왕길동 660-3</t>
        </is>
      </c>
      <c r="AB1272" s="0" t="inlineStr">
        <is>
          <t>인천시</t>
        </is>
      </c>
      <c r="AC1272" s="0" t="inlineStr">
        <is>
          <t>서구</t>
        </is>
      </c>
      <c r="AD1272" s="0" t="inlineStr">
        <is>
          <t>왕길동</t>
        </is>
      </c>
      <c r="AG1272" s="0" t="inlineStr">
        <is>
          <t>인천시 서구 완정로117번길 57</t>
        </is>
      </c>
      <c r="AH1272" s="0" t="n">
        <v>50</v>
      </c>
      <c r="AI1272" s="0" t="n">
        <v>389</v>
      </c>
      <c r="AJ1272" s="0" t="n">
        <v>68</v>
      </c>
      <c r="AK1272" s="0" t="n">
        <v>11</v>
      </c>
      <c r="AL1272" s="0" t="n">
        <v>0.22</v>
      </c>
    </row>
    <row r="1273">
      <c r="A1273" s="0" t="inlineStr">
        <is>
          <t>[왕길동]</t>
        </is>
      </c>
      <c r="B1273" s="0" t="n">
        <v>122601</v>
      </c>
      <c r="C1273" s="0" t="n">
        <v>2</v>
      </c>
      <c r="D1273" s="0" t="inlineStr">
        <is>
          <t>드림(도시형)</t>
        </is>
      </c>
      <c r="E1273" s="0" t="inlineStr">
        <is>
          <t>2012.04.</t>
        </is>
      </c>
      <c r="F1273" s="0" t="n">
        <v>50</v>
      </c>
      <c r="G1273" s="0" t="n">
        <v>9.210000000000001</v>
      </c>
      <c r="H1273" s="0" t="n">
        <v>30.46</v>
      </c>
      <c r="I1273" s="0" t="n">
        <v>6.56</v>
      </c>
      <c r="J1273" s="0" t="n">
        <v>21.71</v>
      </c>
      <c r="K1273" s="0" t="n">
        <v>20</v>
      </c>
      <c r="T1273" s="0" t="n">
        <v>1</v>
      </c>
      <c r="U1273" s="0" t="n">
        <v>1</v>
      </c>
      <c r="V1273" s="0" t="inlineStr">
        <is>
          <t>계단식</t>
        </is>
      </c>
      <c r="W1273" s="0" t="inlineStr">
        <is>
          <t>30A</t>
        </is>
      </c>
      <c r="X1273" s="0" t="n">
        <v>6</v>
      </c>
      <c r="Y1273" s="0" t="n">
        <v>6</v>
      </c>
      <c r="Z1273" s="0" t="inlineStr">
        <is>
          <t>https://new.land.naver.com/complexes/122601?tab=detail&amp;rf=Y</t>
        </is>
      </c>
      <c r="AA1273" s="0" t="inlineStr">
        <is>
          <t>인천시 서구 왕길동 660-3</t>
        </is>
      </c>
      <c r="AB1273" s="0" t="inlineStr">
        <is>
          <t>인천시</t>
        </is>
      </c>
      <c r="AC1273" s="0" t="inlineStr">
        <is>
          <t>서구</t>
        </is>
      </c>
      <c r="AD1273" s="0" t="inlineStr">
        <is>
          <t>왕길동</t>
        </is>
      </c>
      <c r="AG1273" s="0" t="inlineStr">
        <is>
          <t>인천시 서구 완정로117번길 57</t>
        </is>
      </c>
      <c r="AH1273" s="0" t="n">
        <v>50</v>
      </c>
      <c r="AI1273" s="0" t="n">
        <v>389</v>
      </c>
      <c r="AJ1273" s="0" t="n">
        <v>68</v>
      </c>
      <c r="AK1273" s="0" t="n">
        <v>11</v>
      </c>
      <c r="AL1273" s="0" t="n">
        <v>0.22</v>
      </c>
    </row>
    <row r="1274">
      <c r="A1274" s="0" t="inlineStr">
        <is>
          <t>[왕길동]</t>
        </is>
      </c>
      <c r="B1274" s="0" t="n">
        <v>122601</v>
      </c>
      <c r="C1274" s="0" t="n">
        <v>3</v>
      </c>
      <c r="D1274" s="0" t="inlineStr">
        <is>
          <t>드림(도시형)</t>
        </is>
      </c>
      <c r="E1274" s="0" t="inlineStr">
        <is>
          <t>2012.04.</t>
        </is>
      </c>
      <c r="F1274" s="0" t="n">
        <v>50</v>
      </c>
      <c r="G1274" s="0" t="n">
        <v>9.25</v>
      </c>
      <c r="H1274" s="0" t="n">
        <v>30.58</v>
      </c>
      <c r="I1274" s="0" t="n">
        <v>6.68</v>
      </c>
      <c r="J1274" s="0" t="n">
        <v>22.11</v>
      </c>
      <c r="K1274" s="0" t="n">
        <v>20</v>
      </c>
      <c r="T1274" s="0" t="n">
        <v>1</v>
      </c>
      <c r="U1274" s="0" t="n">
        <v>1</v>
      </c>
      <c r="V1274" s="0" t="inlineStr">
        <is>
          <t>계단식</t>
        </is>
      </c>
      <c r="W1274" s="0" t="inlineStr">
        <is>
          <t>30B</t>
        </is>
      </c>
      <c r="X1274" s="0" t="n">
        <v>6</v>
      </c>
      <c r="Y1274" s="0" t="n">
        <v>6</v>
      </c>
      <c r="Z1274" s="0" t="inlineStr">
        <is>
          <t>https://new.land.naver.com/complexes/122601?tab=detail&amp;rf=Y</t>
        </is>
      </c>
      <c r="AA1274" s="0" t="inlineStr">
        <is>
          <t>인천시 서구 왕길동 660-3</t>
        </is>
      </c>
      <c r="AB1274" s="0" t="inlineStr">
        <is>
          <t>인천시</t>
        </is>
      </c>
      <c r="AC1274" s="0" t="inlineStr">
        <is>
          <t>서구</t>
        </is>
      </c>
      <c r="AD1274" s="0" t="inlineStr">
        <is>
          <t>왕길동</t>
        </is>
      </c>
      <c r="AG1274" s="0" t="inlineStr">
        <is>
          <t>인천시 서구 완정로117번길 57</t>
        </is>
      </c>
      <c r="AH1274" s="0" t="n">
        <v>50</v>
      </c>
      <c r="AI1274" s="0" t="n">
        <v>389</v>
      </c>
      <c r="AJ1274" s="0" t="n">
        <v>68</v>
      </c>
      <c r="AK1274" s="0" t="n">
        <v>11</v>
      </c>
      <c r="AL1274" s="0" t="n">
        <v>0.22</v>
      </c>
    </row>
    <row r="1275">
      <c r="A1275" s="0" t="inlineStr">
        <is>
          <t>[왕길동]</t>
        </is>
      </c>
      <c r="B1275" s="0" t="n">
        <v>137244</v>
      </c>
      <c r="C1275" s="0" t="n">
        <v>1</v>
      </c>
      <c r="D1275" s="0" t="inlineStr">
        <is>
          <t>아델리아(도시형)</t>
        </is>
      </c>
      <c r="E1275" s="0" t="inlineStr">
        <is>
          <t>2015.07.</t>
        </is>
      </c>
      <c r="F1275" s="0" t="n">
        <v>20</v>
      </c>
      <c r="G1275" s="0" t="n">
        <v>18.4</v>
      </c>
      <c r="H1275" s="0" t="n">
        <v>60.85</v>
      </c>
      <c r="I1275" s="0" t="n">
        <v>14.99</v>
      </c>
      <c r="J1275" s="0" t="n">
        <v>49.58</v>
      </c>
      <c r="K1275" s="0" t="n">
        <v>4</v>
      </c>
      <c r="T1275" s="0" t="n">
        <v>3</v>
      </c>
      <c r="U1275" s="0" t="n">
        <v>1</v>
      </c>
      <c r="V1275" s="0" t="inlineStr">
        <is>
          <t>계단식</t>
        </is>
      </c>
      <c r="W1275" s="0" t="n">
        <v>60</v>
      </c>
      <c r="X1275" s="0" t="n">
        <v>7</v>
      </c>
      <c r="Y1275" s="0" t="n">
        <v>7</v>
      </c>
      <c r="Z1275" s="0" t="inlineStr">
        <is>
          <t>https://new.land.naver.com/complexes/137244?tab=detail&amp;rf=Y</t>
        </is>
      </c>
      <c r="AA1275" s="0" t="inlineStr">
        <is>
          <t>인천시 서구 왕길동 660-1</t>
        </is>
      </c>
      <c r="AB1275" s="0" t="inlineStr">
        <is>
          <t>인천시</t>
        </is>
      </c>
      <c r="AC1275" s="0" t="inlineStr">
        <is>
          <t>서구</t>
        </is>
      </c>
      <c r="AD1275" s="0" t="inlineStr">
        <is>
          <t>왕길동</t>
        </is>
      </c>
      <c r="AG1275" s="0" t="inlineStr">
        <is>
          <t>인천시 서구 완정로117번길 63</t>
        </is>
      </c>
      <c r="AH1275" s="0" t="n">
        <v>0</v>
      </c>
      <c r="AI1275" s="0" t="n">
        <v>381</v>
      </c>
      <c r="AJ1275" s="0" t="n">
        <v>69</v>
      </c>
      <c r="AK1275" s="0" t="n">
        <v>14</v>
      </c>
      <c r="AL1275" s="0" t="n">
        <v>0.7</v>
      </c>
    </row>
    <row r="1276">
      <c r="A1276" s="0" t="inlineStr">
        <is>
          <t>[왕길동]</t>
        </is>
      </c>
      <c r="B1276" s="0" t="n">
        <v>137244</v>
      </c>
      <c r="C1276" s="0" t="n">
        <v>2</v>
      </c>
      <c r="D1276" s="0" t="inlineStr">
        <is>
          <t>아델리아(도시형)</t>
        </is>
      </c>
      <c r="E1276" s="0" t="inlineStr">
        <is>
          <t>2015.07.</t>
        </is>
      </c>
      <c r="F1276" s="0" t="n">
        <v>20</v>
      </c>
      <c r="G1276" s="0" t="n">
        <v>18.62</v>
      </c>
      <c r="H1276" s="0" t="n">
        <v>61.58</v>
      </c>
      <c r="I1276" s="0" t="n">
        <v>15.08</v>
      </c>
      <c r="J1276" s="0" t="n">
        <v>49.87</v>
      </c>
      <c r="K1276" s="0" t="n">
        <v>4</v>
      </c>
      <c r="T1276" s="0" t="n">
        <v>3</v>
      </c>
      <c r="U1276" s="0" t="n">
        <v>1</v>
      </c>
      <c r="V1276" s="0" t="inlineStr">
        <is>
          <t>계단식</t>
        </is>
      </c>
      <c r="W1276" s="0" t="inlineStr">
        <is>
          <t>61A</t>
        </is>
      </c>
      <c r="X1276" s="0" t="n">
        <v>7</v>
      </c>
      <c r="Y1276" s="0" t="n">
        <v>7</v>
      </c>
      <c r="Z1276" s="0" t="inlineStr">
        <is>
          <t>https://new.land.naver.com/complexes/137244?tab=detail&amp;rf=Y</t>
        </is>
      </c>
      <c r="AA1276" s="0" t="inlineStr">
        <is>
          <t>인천시 서구 왕길동 660-1</t>
        </is>
      </c>
      <c r="AB1276" s="0" t="inlineStr">
        <is>
          <t>인천시</t>
        </is>
      </c>
      <c r="AC1276" s="0" t="inlineStr">
        <is>
          <t>서구</t>
        </is>
      </c>
      <c r="AD1276" s="0" t="inlineStr">
        <is>
          <t>왕길동</t>
        </is>
      </c>
      <c r="AG1276" s="0" t="inlineStr">
        <is>
          <t>인천시 서구 완정로117번길 63</t>
        </is>
      </c>
      <c r="AH1276" s="0" t="n">
        <v>0</v>
      </c>
      <c r="AI1276" s="0" t="n">
        <v>381</v>
      </c>
      <c r="AJ1276" s="0" t="n">
        <v>69</v>
      </c>
      <c r="AK1276" s="0" t="n">
        <v>14</v>
      </c>
      <c r="AL1276" s="0" t="n">
        <v>0.7</v>
      </c>
    </row>
    <row r="1277">
      <c r="A1277" s="0" t="inlineStr">
        <is>
          <t>[왕길동]</t>
        </is>
      </c>
      <c r="B1277" s="0" t="n">
        <v>137244</v>
      </c>
      <c r="C1277" s="0" t="n">
        <v>3</v>
      </c>
      <c r="D1277" s="0" t="inlineStr">
        <is>
          <t>아델리아(도시형)</t>
        </is>
      </c>
      <c r="E1277" s="0" t="inlineStr">
        <is>
          <t>2015.07.</t>
        </is>
      </c>
      <c r="F1277" s="0" t="n">
        <v>20</v>
      </c>
      <c r="G1277" s="0" t="n">
        <v>18.56</v>
      </c>
      <c r="H1277" s="0" t="n">
        <v>61.38</v>
      </c>
      <c r="I1277" s="0" t="n">
        <v>15.08</v>
      </c>
      <c r="J1277" s="0" t="n">
        <v>49.88</v>
      </c>
      <c r="K1277" s="0" t="n">
        <v>4</v>
      </c>
      <c r="T1277" s="0" t="n">
        <v>3</v>
      </c>
      <c r="U1277" s="0" t="n">
        <v>1</v>
      </c>
      <c r="V1277" s="0" t="inlineStr">
        <is>
          <t>계단식</t>
        </is>
      </c>
      <c r="W1277" s="0" t="inlineStr">
        <is>
          <t>61B</t>
        </is>
      </c>
      <c r="X1277" s="0" t="n">
        <v>7</v>
      </c>
      <c r="Y1277" s="0" t="n">
        <v>7</v>
      </c>
      <c r="Z1277" s="0" t="inlineStr">
        <is>
          <t>https://new.land.naver.com/complexes/137244?tab=detail&amp;rf=Y</t>
        </is>
      </c>
      <c r="AA1277" s="0" t="inlineStr">
        <is>
          <t>인천시 서구 왕길동 660-1</t>
        </is>
      </c>
      <c r="AB1277" s="0" t="inlineStr">
        <is>
          <t>인천시</t>
        </is>
      </c>
      <c r="AC1277" s="0" t="inlineStr">
        <is>
          <t>서구</t>
        </is>
      </c>
      <c r="AD1277" s="0" t="inlineStr">
        <is>
          <t>왕길동</t>
        </is>
      </c>
      <c r="AG1277" s="0" t="inlineStr">
        <is>
          <t>인천시 서구 완정로117번길 63</t>
        </is>
      </c>
      <c r="AH1277" s="0" t="n">
        <v>0</v>
      </c>
      <c r="AI1277" s="0" t="n">
        <v>381</v>
      </c>
      <c r="AJ1277" s="0" t="n">
        <v>69</v>
      </c>
      <c r="AK1277" s="0" t="n">
        <v>14</v>
      </c>
      <c r="AL1277" s="0" t="n">
        <v>0.7</v>
      </c>
    </row>
    <row r="1278">
      <c r="A1278" s="0" t="inlineStr">
        <is>
          <t>[왕길동]</t>
        </is>
      </c>
      <c r="B1278" s="0" t="n">
        <v>137244</v>
      </c>
      <c r="C1278" s="0" t="n">
        <v>4</v>
      </c>
      <c r="D1278" s="0" t="inlineStr">
        <is>
          <t>아델리아(도시형)</t>
        </is>
      </c>
      <c r="E1278" s="0" t="inlineStr">
        <is>
          <t>2015.07.</t>
        </is>
      </c>
      <c r="F1278" s="0" t="n">
        <v>20</v>
      </c>
      <c r="G1278" s="0" t="n">
        <v>18.56</v>
      </c>
      <c r="H1278" s="0" t="n">
        <v>61.36</v>
      </c>
      <c r="I1278" s="0" t="n">
        <v>15.09</v>
      </c>
      <c r="J1278" s="0" t="n">
        <v>49.9</v>
      </c>
      <c r="K1278" s="0" t="n">
        <v>4</v>
      </c>
      <c r="T1278" s="0" t="n">
        <v>3</v>
      </c>
      <c r="U1278" s="0" t="n">
        <v>1</v>
      </c>
      <c r="V1278" s="0" t="inlineStr">
        <is>
          <t>계단식</t>
        </is>
      </c>
      <c r="W1278" s="0" t="inlineStr">
        <is>
          <t>61C</t>
        </is>
      </c>
      <c r="X1278" s="0" t="n">
        <v>7</v>
      </c>
      <c r="Y1278" s="0" t="n">
        <v>7</v>
      </c>
      <c r="Z1278" s="0" t="inlineStr">
        <is>
          <t>https://new.land.naver.com/complexes/137244?tab=detail&amp;rf=Y</t>
        </is>
      </c>
      <c r="AA1278" s="0" t="inlineStr">
        <is>
          <t>인천시 서구 왕길동 660-1</t>
        </is>
      </c>
      <c r="AB1278" s="0" t="inlineStr">
        <is>
          <t>인천시</t>
        </is>
      </c>
      <c r="AC1278" s="0" t="inlineStr">
        <is>
          <t>서구</t>
        </is>
      </c>
      <c r="AD1278" s="0" t="inlineStr">
        <is>
          <t>왕길동</t>
        </is>
      </c>
      <c r="AG1278" s="0" t="inlineStr">
        <is>
          <t>인천시 서구 완정로117번길 63</t>
        </is>
      </c>
      <c r="AH1278" s="0" t="n">
        <v>0</v>
      </c>
      <c r="AI1278" s="0" t="n">
        <v>381</v>
      </c>
      <c r="AJ1278" s="0" t="n">
        <v>69</v>
      </c>
      <c r="AK1278" s="0" t="n">
        <v>14</v>
      </c>
      <c r="AL1278" s="0" t="n">
        <v>0.7</v>
      </c>
    </row>
    <row r="1279">
      <c r="A1279" s="0" t="inlineStr">
        <is>
          <t>[왕길동]</t>
        </is>
      </c>
      <c r="B1279" s="0" t="n">
        <v>137244</v>
      </c>
      <c r="C1279" s="0" t="n">
        <v>5</v>
      </c>
      <c r="D1279" s="0" t="inlineStr">
        <is>
          <t>아델리아(도시형)</t>
        </is>
      </c>
      <c r="E1279" s="0" t="inlineStr">
        <is>
          <t>2015.07.</t>
        </is>
      </c>
      <c r="F1279" s="0" t="n">
        <v>20</v>
      </c>
      <c r="G1279" s="0" t="n">
        <v>18.57</v>
      </c>
      <c r="H1279" s="0" t="n">
        <v>61.39</v>
      </c>
      <c r="I1279" s="0" t="n">
        <v>15.1</v>
      </c>
      <c r="J1279" s="0" t="n">
        <v>49.94</v>
      </c>
      <c r="K1279" s="0" t="n">
        <v>4</v>
      </c>
      <c r="T1279" s="0" t="n">
        <v>3</v>
      </c>
      <c r="U1279" s="0" t="n">
        <v>1</v>
      </c>
      <c r="V1279" s="0" t="inlineStr">
        <is>
          <t>계단식</t>
        </is>
      </c>
      <c r="W1279" s="0" t="inlineStr">
        <is>
          <t>61D</t>
        </is>
      </c>
      <c r="X1279" s="0" t="n">
        <v>7</v>
      </c>
      <c r="Y1279" s="0" t="n">
        <v>7</v>
      </c>
      <c r="Z1279" s="0" t="inlineStr">
        <is>
          <t>https://new.land.naver.com/complexes/137244?tab=detail&amp;rf=Y</t>
        </is>
      </c>
      <c r="AA1279" s="0" t="inlineStr">
        <is>
          <t>인천시 서구 왕길동 660-1</t>
        </is>
      </c>
      <c r="AB1279" s="0" t="inlineStr">
        <is>
          <t>인천시</t>
        </is>
      </c>
      <c r="AC1279" s="0" t="inlineStr">
        <is>
          <t>서구</t>
        </is>
      </c>
      <c r="AD1279" s="0" t="inlineStr">
        <is>
          <t>왕길동</t>
        </is>
      </c>
      <c r="AG1279" s="0" t="inlineStr">
        <is>
          <t>인천시 서구 완정로117번길 63</t>
        </is>
      </c>
      <c r="AH1279" s="0" t="n">
        <v>0</v>
      </c>
      <c r="AI1279" s="0" t="n">
        <v>381</v>
      </c>
      <c r="AJ1279" s="0" t="n">
        <v>69</v>
      </c>
      <c r="AK1279" s="0" t="n">
        <v>14</v>
      </c>
      <c r="AL1279" s="0" t="n">
        <v>0.7</v>
      </c>
    </row>
    <row r="1280">
      <c r="A1280" s="0" t="inlineStr">
        <is>
          <t>[왕길동]</t>
        </is>
      </c>
      <c r="B1280" s="0" t="n">
        <v>26487</v>
      </c>
      <c r="C1280" s="0" t="n">
        <v>1</v>
      </c>
      <c r="D1280" s="0" t="inlineStr">
        <is>
          <t>검단자이2단지</t>
        </is>
      </c>
      <c r="E1280" s="0" t="inlineStr">
        <is>
          <t>2010.12.</t>
        </is>
      </c>
      <c r="F1280" s="0" t="n">
        <v>413</v>
      </c>
      <c r="G1280" s="0" t="n">
        <v>33.85</v>
      </c>
      <c r="H1280" s="0" t="n">
        <v>111.92</v>
      </c>
      <c r="I1280" s="0" t="n">
        <v>25.63</v>
      </c>
      <c r="J1280" s="0" t="n">
        <v>84.73999999999999</v>
      </c>
      <c r="K1280" s="0" t="n">
        <v>150</v>
      </c>
      <c r="T1280" s="0" t="n">
        <v>3</v>
      </c>
      <c r="U1280" s="0" t="n">
        <v>2</v>
      </c>
      <c r="V1280" s="0" t="inlineStr">
        <is>
          <t>계단식</t>
        </is>
      </c>
      <c r="W1280" s="0" t="inlineStr">
        <is>
          <t>111A</t>
        </is>
      </c>
      <c r="X1280" s="0" t="n">
        <v>15</v>
      </c>
      <c r="Y1280" s="0" t="n">
        <v>15</v>
      </c>
      <c r="Z1280" s="0" t="inlineStr">
        <is>
          <t>https://new.land.naver.com/complexes/26487?tab=detail&amp;rf=Y</t>
        </is>
      </c>
      <c r="AA1280" s="0" t="inlineStr">
        <is>
          <t>인천시 서구 왕길동 696-1</t>
        </is>
      </c>
      <c r="AB1280" s="0" t="inlineStr">
        <is>
          <t>인천시</t>
        </is>
      </c>
      <c r="AC1280" s="0" t="inlineStr">
        <is>
          <t>서구</t>
        </is>
      </c>
      <c r="AD1280" s="0" t="inlineStr">
        <is>
          <t>왕길동</t>
        </is>
      </c>
      <c r="AG1280" s="0" t="inlineStr">
        <is>
          <t>인천시 서구 오동로 32</t>
        </is>
      </c>
      <c r="AH1280" s="0" t="n">
        <v>0</v>
      </c>
      <c r="AI1280" s="0" t="n">
        <v>199</v>
      </c>
      <c r="AJ1280" s="0" t="n">
        <v>24</v>
      </c>
      <c r="AK1280" s="0" t="n">
        <v>545</v>
      </c>
      <c r="AL1280" s="0" t="n">
        <v>1.32</v>
      </c>
    </row>
    <row r="1281">
      <c r="A1281" s="0" t="inlineStr">
        <is>
          <t>[왕길동]</t>
        </is>
      </c>
      <c r="B1281" s="0" t="n">
        <v>26487</v>
      </c>
      <c r="C1281" s="0" t="n">
        <v>2</v>
      </c>
      <c r="D1281" s="0" t="inlineStr">
        <is>
          <t>검단자이2단지</t>
        </is>
      </c>
      <c r="E1281" s="0" t="inlineStr">
        <is>
          <t>2010.12.</t>
        </is>
      </c>
      <c r="F1281" s="0" t="n">
        <v>413</v>
      </c>
      <c r="G1281" s="0" t="n">
        <v>33.78</v>
      </c>
      <c r="H1281" s="0" t="n">
        <v>111.7</v>
      </c>
      <c r="I1281" s="0" t="n">
        <v>25.51</v>
      </c>
      <c r="J1281" s="0" t="n">
        <v>84.34</v>
      </c>
      <c r="K1281" s="0" t="n">
        <v>26</v>
      </c>
      <c r="T1281" s="0" t="n">
        <v>3</v>
      </c>
      <c r="U1281" s="0" t="n">
        <v>2</v>
      </c>
      <c r="V1281" s="0" t="inlineStr">
        <is>
          <t>계단식</t>
        </is>
      </c>
      <c r="W1281" s="0" t="inlineStr">
        <is>
          <t>111B</t>
        </is>
      </c>
      <c r="X1281" s="0" t="n">
        <v>15</v>
      </c>
      <c r="Y1281" s="0" t="n">
        <v>15</v>
      </c>
      <c r="Z1281" s="0" t="inlineStr">
        <is>
          <t>https://new.land.naver.com/complexes/26487?tab=detail&amp;rf=Y</t>
        </is>
      </c>
      <c r="AA1281" s="0" t="inlineStr">
        <is>
          <t>인천시 서구 왕길동 696-1</t>
        </is>
      </c>
      <c r="AB1281" s="0" t="inlineStr">
        <is>
          <t>인천시</t>
        </is>
      </c>
      <c r="AC1281" s="0" t="inlineStr">
        <is>
          <t>서구</t>
        </is>
      </c>
      <c r="AD1281" s="0" t="inlineStr">
        <is>
          <t>왕길동</t>
        </is>
      </c>
      <c r="AG1281" s="0" t="inlineStr">
        <is>
          <t>인천시 서구 오동로 32</t>
        </is>
      </c>
      <c r="AH1281" s="0" t="n">
        <v>0</v>
      </c>
      <c r="AI1281" s="0" t="n">
        <v>199</v>
      </c>
      <c r="AJ1281" s="0" t="n">
        <v>24</v>
      </c>
      <c r="AK1281" s="0" t="n">
        <v>545</v>
      </c>
      <c r="AL1281" s="0" t="n">
        <v>1.32</v>
      </c>
    </row>
    <row r="1282">
      <c r="A1282" s="0" t="inlineStr">
        <is>
          <t>[왕길동]</t>
        </is>
      </c>
      <c r="B1282" s="0" t="n">
        <v>26487</v>
      </c>
      <c r="C1282" s="0" t="n">
        <v>3</v>
      </c>
      <c r="D1282" s="0" t="inlineStr">
        <is>
          <t>검단자이2단지</t>
        </is>
      </c>
      <c r="E1282" s="0" t="inlineStr">
        <is>
          <t>2010.12.</t>
        </is>
      </c>
      <c r="F1282" s="0" t="n">
        <v>413</v>
      </c>
      <c r="G1282" s="0" t="n">
        <v>34.29</v>
      </c>
      <c r="H1282" s="0" t="n">
        <v>113.36</v>
      </c>
      <c r="I1282" s="0" t="n">
        <v>25.65</v>
      </c>
      <c r="J1282" s="0" t="n">
        <v>84.8</v>
      </c>
      <c r="K1282" s="0" t="n">
        <v>125</v>
      </c>
      <c r="T1282" s="0" t="n">
        <v>3</v>
      </c>
      <c r="U1282" s="0" t="n">
        <v>2</v>
      </c>
      <c r="V1282" s="0" t="inlineStr">
        <is>
          <t>계단식</t>
        </is>
      </c>
      <c r="W1282" s="0" t="inlineStr">
        <is>
          <t>113C</t>
        </is>
      </c>
      <c r="X1282" s="0" t="n">
        <v>15</v>
      </c>
      <c r="Y1282" s="0" t="n">
        <v>15</v>
      </c>
      <c r="Z1282" s="0" t="inlineStr">
        <is>
          <t>https://new.land.naver.com/complexes/26487?tab=detail&amp;rf=Y</t>
        </is>
      </c>
      <c r="AA1282" s="0" t="inlineStr">
        <is>
          <t>인천시 서구 왕길동 696-1</t>
        </is>
      </c>
      <c r="AB1282" s="0" t="inlineStr">
        <is>
          <t>인천시</t>
        </is>
      </c>
      <c r="AC1282" s="0" t="inlineStr">
        <is>
          <t>서구</t>
        </is>
      </c>
      <c r="AD1282" s="0" t="inlineStr">
        <is>
          <t>왕길동</t>
        </is>
      </c>
      <c r="AG1282" s="0" t="inlineStr">
        <is>
          <t>인천시 서구 오동로 32</t>
        </is>
      </c>
      <c r="AH1282" s="0" t="n">
        <v>0</v>
      </c>
      <c r="AI1282" s="0" t="n">
        <v>199</v>
      </c>
      <c r="AJ1282" s="0" t="n">
        <v>24</v>
      </c>
      <c r="AK1282" s="0" t="n">
        <v>545</v>
      </c>
      <c r="AL1282" s="0" t="n">
        <v>1.32</v>
      </c>
    </row>
    <row r="1283">
      <c r="A1283" s="0" t="inlineStr">
        <is>
          <t>[왕길동]</t>
        </is>
      </c>
      <c r="B1283" s="0" t="n">
        <v>26487</v>
      </c>
      <c r="C1283" s="0" t="n">
        <v>4</v>
      </c>
      <c r="D1283" s="0" t="inlineStr">
        <is>
          <t>검단자이2단지</t>
        </is>
      </c>
      <c r="E1283" s="0" t="inlineStr">
        <is>
          <t>2010.12.</t>
        </is>
      </c>
      <c r="F1283" s="0" t="n">
        <v>413</v>
      </c>
      <c r="G1283" s="0" t="n">
        <v>48.88</v>
      </c>
      <c r="H1283" s="0" t="n">
        <v>161.61</v>
      </c>
      <c r="I1283" s="0" t="n">
        <v>37.26</v>
      </c>
      <c r="J1283" s="0" t="n">
        <v>123.19</v>
      </c>
      <c r="K1283" s="0" t="n">
        <v>56</v>
      </c>
      <c r="T1283" s="0" t="n">
        <v>4</v>
      </c>
      <c r="U1283" s="0" t="n">
        <v>2</v>
      </c>
      <c r="V1283" s="0" t="inlineStr">
        <is>
          <t>계단식</t>
        </is>
      </c>
      <c r="W1283" s="0" t="inlineStr">
        <is>
          <t>161A</t>
        </is>
      </c>
      <c r="X1283" s="0" t="n">
        <v>15</v>
      </c>
      <c r="Y1283" s="0" t="n">
        <v>15</v>
      </c>
      <c r="Z1283" s="0" t="inlineStr">
        <is>
          <t>https://new.land.naver.com/complexes/26487?tab=detail&amp;rf=Y</t>
        </is>
      </c>
      <c r="AA1283" s="0" t="inlineStr">
        <is>
          <t>인천시 서구 왕길동 696-1</t>
        </is>
      </c>
      <c r="AB1283" s="0" t="inlineStr">
        <is>
          <t>인천시</t>
        </is>
      </c>
      <c r="AC1283" s="0" t="inlineStr">
        <is>
          <t>서구</t>
        </is>
      </c>
      <c r="AD1283" s="0" t="inlineStr">
        <is>
          <t>왕길동</t>
        </is>
      </c>
      <c r="AG1283" s="0" t="inlineStr">
        <is>
          <t>인천시 서구 오동로 32</t>
        </is>
      </c>
      <c r="AH1283" s="0" t="n">
        <v>0</v>
      </c>
      <c r="AI1283" s="0" t="n">
        <v>199</v>
      </c>
      <c r="AJ1283" s="0" t="n">
        <v>24</v>
      </c>
      <c r="AK1283" s="0" t="n">
        <v>545</v>
      </c>
      <c r="AL1283" s="0" t="n">
        <v>1.32</v>
      </c>
    </row>
    <row r="1284">
      <c r="A1284" s="0" t="inlineStr">
        <is>
          <t>[왕길동]</t>
        </is>
      </c>
      <c r="B1284" s="0" t="n">
        <v>26487</v>
      </c>
      <c r="C1284" s="0" t="n">
        <v>5</v>
      </c>
      <c r="D1284" s="0" t="inlineStr">
        <is>
          <t>검단자이2단지</t>
        </is>
      </c>
      <c r="E1284" s="0" t="inlineStr">
        <is>
          <t>2010.12.</t>
        </is>
      </c>
      <c r="F1284" s="0" t="n">
        <v>413</v>
      </c>
      <c r="G1284" s="0" t="n">
        <v>48.75</v>
      </c>
      <c r="H1284" s="0" t="n">
        <v>161.17</v>
      </c>
      <c r="I1284" s="0" t="n">
        <v>37.37</v>
      </c>
      <c r="J1284" s="0" t="n">
        <v>123.54</v>
      </c>
      <c r="K1284" s="0" t="n">
        <v>56</v>
      </c>
      <c r="T1284" s="0" t="n">
        <v>4</v>
      </c>
      <c r="U1284" s="0" t="n">
        <v>2</v>
      </c>
      <c r="V1284" s="0" t="inlineStr">
        <is>
          <t>계단식</t>
        </is>
      </c>
      <c r="W1284" s="0" t="inlineStr">
        <is>
          <t>161B</t>
        </is>
      </c>
      <c r="X1284" s="0" t="n">
        <v>15</v>
      </c>
      <c r="Y1284" s="0" t="n">
        <v>15</v>
      </c>
      <c r="Z1284" s="0" t="inlineStr">
        <is>
          <t>https://new.land.naver.com/complexes/26487?tab=detail&amp;rf=Y</t>
        </is>
      </c>
      <c r="AA1284" s="0" t="inlineStr">
        <is>
          <t>인천시 서구 왕길동 696-1</t>
        </is>
      </c>
      <c r="AB1284" s="0" t="inlineStr">
        <is>
          <t>인천시</t>
        </is>
      </c>
      <c r="AC1284" s="0" t="inlineStr">
        <is>
          <t>서구</t>
        </is>
      </c>
      <c r="AD1284" s="0" t="inlineStr">
        <is>
          <t>왕길동</t>
        </is>
      </c>
      <c r="AG1284" s="0" t="inlineStr">
        <is>
          <t>인천시 서구 오동로 32</t>
        </is>
      </c>
      <c r="AH1284" s="0" t="n">
        <v>0</v>
      </c>
      <c r="AI1284" s="0" t="n">
        <v>199</v>
      </c>
      <c r="AJ1284" s="0" t="n">
        <v>24</v>
      </c>
      <c r="AK1284" s="0" t="n">
        <v>545</v>
      </c>
      <c r="AL1284" s="0" t="n">
        <v>1.32</v>
      </c>
    </row>
    <row r="1285">
      <c r="A1285" s="0" t="inlineStr">
        <is>
          <t>[왕길동]</t>
        </is>
      </c>
      <c r="B1285" s="0" t="n">
        <v>126305</v>
      </c>
      <c r="C1285" s="0" t="n">
        <v>1</v>
      </c>
      <c r="D1285" s="0" t="inlineStr">
        <is>
          <t>타워팰리스6차</t>
        </is>
      </c>
      <c r="E1285" s="0" t="inlineStr">
        <is>
          <t>2017.05.</t>
        </is>
      </c>
      <c r="F1285" s="0" t="n">
        <v>44</v>
      </c>
      <c r="G1285" s="0" t="n">
        <v>21.01</v>
      </c>
      <c r="H1285" s="0" t="n">
        <v>69.45999999999999</v>
      </c>
      <c r="I1285" s="0" t="n">
        <v>18.02</v>
      </c>
      <c r="J1285" s="0" t="n">
        <v>59.6</v>
      </c>
      <c r="K1285" s="0" t="n">
        <v>6</v>
      </c>
      <c r="T1285" s="0" t="n">
        <v>3</v>
      </c>
      <c r="U1285" s="0" t="n">
        <v>1</v>
      </c>
      <c r="V1285" s="0" t="inlineStr">
        <is>
          <t>계단식</t>
        </is>
      </c>
      <c r="W1285" s="0" t="inlineStr">
        <is>
          <t>69A</t>
        </is>
      </c>
      <c r="X1285" s="0" t="n">
        <v>6</v>
      </c>
      <c r="Y1285" s="0" t="n">
        <v>6</v>
      </c>
      <c r="Z1285" s="0" t="inlineStr">
        <is>
          <t>https://new.land.naver.com/complexes/126305?tab=detail&amp;rf=Y</t>
        </is>
      </c>
      <c r="AA1285" s="0" t="inlineStr">
        <is>
          <t>인천시 서구 왕길동 669-1</t>
        </is>
      </c>
      <c r="AB1285" s="0" t="inlineStr">
        <is>
          <t>인천시</t>
        </is>
      </c>
      <c r="AC1285" s="0" t="inlineStr">
        <is>
          <t>서구</t>
        </is>
      </c>
      <c r="AD1285" s="0" t="inlineStr">
        <is>
          <t>왕길동</t>
        </is>
      </c>
      <c r="AG1285" s="0" t="inlineStr">
        <is>
          <t>인천시 서구 완정로133번길 10</t>
        </is>
      </c>
      <c r="AH1285" s="0" t="n">
        <v>0</v>
      </c>
      <c r="AI1285" s="0" t="n">
        <v>310</v>
      </c>
      <c r="AJ1285" s="0" t="n">
        <v>58</v>
      </c>
      <c r="AK1285" s="0" t="n">
        <v>41</v>
      </c>
      <c r="AL1285" s="0" t="n">
        <v>0.93</v>
      </c>
    </row>
    <row r="1286">
      <c r="A1286" s="0" t="inlineStr">
        <is>
          <t>[왕길동]</t>
        </is>
      </c>
      <c r="B1286" s="0" t="n">
        <v>126305</v>
      </c>
      <c r="C1286" s="0" t="n">
        <v>2</v>
      </c>
      <c r="D1286" s="0" t="inlineStr">
        <is>
          <t>타워팰리스6차</t>
        </is>
      </c>
      <c r="E1286" s="0" t="inlineStr">
        <is>
          <t>2017.05.</t>
        </is>
      </c>
      <c r="F1286" s="0" t="n">
        <v>44</v>
      </c>
      <c r="G1286" s="0" t="n">
        <v>21.08</v>
      </c>
      <c r="H1286" s="0" t="n">
        <v>69.7</v>
      </c>
      <c r="I1286" s="0" t="n">
        <v>18.08</v>
      </c>
      <c r="J1286" s="0" t="n">
        <v>59.8</v>
      </c>
      <c r="K1286" s="0" t="n">
        <v>6</v>
      </c>
      <c r="T1286" s="0" t="n">
        <v>3</v>
      </c>
      <c r="U1286" s="0" t="n">
        <v>1</v>
      </c>
      <c r="V1286" s="0" t="inlineStr">
        <is>
          <t>계단식</t>
        </is>
      </c>
      <c r="W1286" s="0" t="inlineStr">
        <is>
          <t>69B</t>
        </is>
      </c>
      <c r="X1286" s="0" t="n">
        <v>6</v>
      </c>
      <c r="Y1286" s="0" t="n">
        <v>6</v>
      </c>
      <c r="Z1286" s="0" t="inlineStr">
        <is>
          <t>https://new.land.naver.com/complexes/126305?tab=detail&amp;rf=Y</t>
        </is>
      </c>
      <c r="AA1286" s="0" t="inlineStr">
        <is>
          <t>인천시 서구 왕길동 669-1</t>
        </is>
      </c>
      <c r="AB1286" s="0" t="inlineStr">
        <is>
          <t>인천시</t>
        </is>
      </c>
      <c r="AC1286" s="0" t="inlineStr">
        <is>
          <t>서구</t>
        </is>
      </c>
      <c r="AD1286" s="0" t="inlineStr">
        <is>
          <t>왕길동</t>
        </is>
      </c>
      <c r="AG1286" s="0" t="inlineStr">
        <is>
          <t>인천시 서구 완정로133번길 10</t>
        </is>
      </c>
      <c r="AH1286" s="0" t="n">
        <v>0</v>
      </c>
      <c r="AI1286" s="0" t="n">
        <v>310</v>
      </c>
      <c r="AJ1286" s="0" t="n">
        <v>58</v>
      </c>
      <c r="AK1286" s="0" t="n">
        <v>41</v>
      </c>
      <c r="AL1286" s="0" t="n">
        <v>0.93</v>
      </c>
    </row>
    <row r="1287">
      <c r="A1287" s="0" t="inlineStr">
        <is>
          <t>[왕길동]</t>
        </is>
      </c>
      <c r="B1287" s="0" t="n">
        <v>126305</v>
      </c>
      <c r="C1287" s="0" t="n">
        <v>3</v>
      </c>
      <c r="D1287" s="0" t="inlineStr">
        <is>
          <t>타워팰리스6차</t>
        </is>
      </c>
      <c r="E1287" s="0" t="inlineStr">
        <is>
          <t>2017.05.</t>
        </is>
      </c>
      <c r="F1287" s="0" t="n">
        <v>44</v>
      </c>
      <c r="G1287" s="0" t="n">
        <v>21.1</v>
      </c>
      <c r="H1287" s="0" t="n">
        <v>69.78</v>
      </c>
      <c r="I1287" s="0" t="n">
        <v>18.11</v>
      </c>
      <c r="J1287" s="0" t="n">
        <v>59.88</v>
      </c>
      <c r="K1287" s="0" t="n">
        <v>6</v>
      </c>
      <c r="T1287" s="0" t="n">
        <v>3</v>
      </c>
      <c r="U1287" s="0" t="n">
        <v>1</v>
      </c>
      <c r="V1287" s="0" t="inlineStr">
        <is>
          <t>계단식</t>
        </is>
      </c>
      <c r="W1287" s="0" t="inlineStr">
        <is>
          <t>69C</t>
        </is>
      </c>
      <c r="X1287" s="0" t="n">
        <v>6</v>
      </c>
      <c r="Y1287" s="0" t="n">
        <v>6</v>
      </c>
      <c r="Z1287" s="0" t="inlineStr">
        <is>
          <t>https://new.land.naver.com/complexes/126305?tab=detail&amp;rf=Y</t>
        </is>
      </c>
      <c r="AA1287" s="0" t="inlineStr">
        <is>
          <t>인천시 서구 왕길동 669-1</t>
        </is>
      </c>
      <c r="AB1287" s="0" t="inlineStr">
        <is>
          <t>인천시</t>
        </is>
      </c>
      <c r="AC1287" s="0" t="inlineStr">
        <is>
          <t>서구</t>
        </is>
      </c>
      <c r="AD1287" s="0" t="inlineStr">
        <is>
          <t>왕길동</t>
        </is>
      </c>
      <c r="AG1287" s="0" t="inlineStr">
        <is>
          <t>인천시 서구 완정로133번길 10</t>
        </is>
      </c>
      <c r="AH1287" s="0" t="n">
        <v>0</v>
      </c>
      <c r="AI1287" s="0" t="n">
        <v>310</v>
      </c>
      <c r="AJ1287" s="0" t="n">
        <v>58</v>
      </c>
      <c r="AK1287" s="0" t="n">
        <v>41</v>
      </c>
      <c r="AL1287" s="0" t="n">
        <v>0.93</v>
      </c>
    </row>
    <row r="1288">
      <c r="A1288" s="0" t="inlineStr">
        <is>
          <t>[왕길동]</t>
        </is>
      </c>
      <c r="B1288" s="0" t="n">
        <v>126305</v>
      </c>
      <c r="C1288" s="0" t="n">
        <v>4</v>
      </c>
      <c r="D1288" s="0" t="inlineStr">
        <is>
          <t>타워팰리스6차</t>
        </is>
      </c>
      <c r="E1288" s="0" t="inlineStr">
        <is>
          <t>2017.05.</t>
        </is>
      </c>
      <c r="F1288" s="0" t="n">
        <v>44</v>
      </c>
      <c r="G1288" s="0" t="n">
        <v>21.73</v>
      </c>
      <c r="H1288" s="0" t="n">
        <v>71.84</v>
      </c>
      <c r="I1288" s="0" t="n">
        <v>19.01</v>
      </c>
      <c r="J1288" s="0" t="n">
        <v>62.87</v>
      </c>
      <c r="K1288" s="0" t="n">
        <v>2</v>
      </c>
      <c r="T1288" s="0" t="n">
        <v>3</v>
      </c>
      <c r="U1288" s="0" t="n">
        <v>1</v>
      </c>
      <c r="V1288" s="0" t="inlineStr">
        <is>
          <t>계단식</t>
        </is>
      </c>
      <c r="W1288" s="0" t="inlineStr">
        <is>
          <t>71A</t>
        </is>
      </c>
      <c r="X1288" s="0" t="n">
        <v>6</v>
      </c>
      <c r="Y1288" s="0" t="n">
        <v>6</v>
      </c>
      <c r="Z1288" s="0" t="inlineStr">
        <is>
          <t>https://new.land.naver.com/complexes/126305?tab=detail&amp;rf=Y</t>
        </is>
      </c>
      <c r="AA1288" s="0" t="inlineStr">
        <is>
          <t>인천시 서구 왕길동 669-1</t>
        </is>
      </c>
      <c r="AB1288" s="0" t="inlineStr">
        <is>
          <t>인천시</t>
        </is>
      </c>
      <c r="AC1288" s="0" t="inlineStr">
        <is>
          <t>서구</t>
        </is>
      </c>
      <c r="AD1288" s="0" t="inlineStr">
        <is>
          <t>왕길동</t>
        </is>
      </c>
      <c r="AG1288" s="0" t="inlineStr">
        <is>
          <t>인천시 서구 완정로133번길 10</t>
        </is>
      </c>
      <c r="AH1288" s="0" t="n">
        <v>0</v>
      </c>
      <c r="AI1288" s="0" t="n">
        <v>310</v>
      </c>
      <c r="AJ1288" s="0" t="n">
        <v>58</v>
      </c>
      <c r="AK1288" s="0" t="n">
        <v>41</v>
      </c>
      <c r="AL1288" s="0" t="n">
        <v>0.93</v>
      </c>
    </row>
    <row r="1289">
      <c r="A1289" s="0" t="inlineStr">
        <is>
          <t>[왕길동]</t>
        </is>
      </c>
      <c r="B1289" s="0" t="n">
        <v>126305</v>
      </c>
      <c r="C1289" s="0" t="n">
        <v>5</v>
      </c>
      <c r="D1289" s="0" t="inlineStr">
        <is>
          <t>타워팰리스6차</t>
        </is>
      </c>
      <c r="E1289" s="0" t="inlineStr">
        <is>
          <t>2017.05.</t>
        </is>
      </c>
      <c r="F1289" s="0" t="n">
        <v>44</v>
      </c>
      <c r="G1289" s="0" t="n">
        <v>22.17</v>
      </c>
      <c r="H1289" s="0" t="n">
        <v>73.31</v>
      </c>
      <c r="I1289" s="0" t="n">
        <v>19.4</v>
      </c>
      <c r="J1289" s="0" t="n">
        <v>64.16</v>
      </c>
      <c r="K1289" s="0" t="n">
        <v>2</v>
      </c>
      <c r="T1289" s="0" t="n">
        <v>3</v>
      </c>
      <c r="U1289" s="0" t="n">
        <v>1</v>
      </c>
      <c r="V1289" s="0" t="inlineStr">
        <is>
          <t>계단식</t>
        </is>
      </c>
      <c r="W1289" s="0" t="inlineStr">
        <is>
          <t>73B</t>
        </is>
      </c>
      <c r="X1289" s="0" t="n">
        <v>6</v>
      </c>
      <c r="Y1289" s="0" t="n">
        <v>6</v>
      </c>
      <c r="Z1289" s="0" t="inlineStr">
        <is>
          <t>https://new.land.naver.com/complexes/126305?tab=detail&amp;rf=Y</t>
        </is>
      </c>
      <c r="AA1289" s="0" t="inlineStr">
        <is>
          <t>인천시 서구 왕길동 669-1</t>
        </is>
      </c>
      <c r="AB1289" s="0" t="inlineStr">
        <is>
          <t>인천시</t>
        </is>
      </c>
      <c r="AC1289" s="0" t="inlineStr">
        <is>
          <t>서구</t>
        </is>
      </c>
      <c r="AD1289" s="0" t="inlineStr">
        <is>
          <t>왕길동</t>
        </is>
      </c>
      <c r="AG1289" s="0" t="inlineStr">
        <is>
          <t>인천시 서구 완정로133번길 10</t>
        </is>
      </c>
      <c r="AH1289" s="0" t="n">
        <v>0</v>
      </c>
      <c r="AI1289" s="0" t="n">
        <v>310</v>
      </c>
      <c r="AJ1289" s="0" t="n">
        <v>58</v>
      </c>
      <c r="AK1289" s="0" t="n">
        <v>41</v>
      </c>
      <c r="AL1289" s="0" t="n">
        <v>0.93</v>
      </c>
    </row>
    <row r="1290">
      <c r="A1290" s="0" t="inlineStr">
        <is>
          <t>[왕길동]</t>
        </is>
      </c>
      <c r="B1290" s="0" t="n">
        <v>126305</v>
      </c>
      <c r="C1290" s="0" t="n">
        <v>6</v>
      </c>
      <c r="D1290" s="0" t="inlineStr">
        <is>
          <t>타워팰리스6차</t>
        </is>
      </c>
      <c r="E1290" s="0" t="inlineStr">
        <is>
          <t>2017.05.</t>
        </is>
      </c>
      <c r="F1290" s="0" t="n">
        <v>44</v>
      </c>
      <c r="G1290" s="0" t="n">
        <v>23.48</v>
      </c>
      <c r="H1290" s="0" t="n">
        <v>77.65000000000001</v>
      </c>
      <c r="I1290" s="0" t="n">
        <v>20.55</v>
      </c>
      <c r="J1290" s="0" t="n">
        <v>67.95</v>
      </c>
      <c r="K1290" s="0" t="n">
        <v>2</v>
      </c>
      <c r="T1290" s="0" t="n">
        <v>3</v>
      </c>
      <c r="U1290" s="0" t="n">
        <v>1</v>
      </c>
      <c r="V1290" s="0" t="inlineStr">
        <is>
          <t>계단식</t>
        </is>
      </c>
      <c r="W1290" s="0" t="n">
        <v>77</v>
      </c>
      <c r="X1290" s="0" t="n">
        <v>6</v>
      </c>
      <c r="Y1290" s="0" t="n">
        <v>6</v>
      </c>
      <c r="Z1290" s="0" t="inlineStr">
        <is>
          <t>https://new.land.naver.com/complexes/126305?tab=detail&amp;rf=Y</t>
        </is>
      </c>
      <c r="AA1290" s="0" t="inlineStr">
        <is>
          <t>인천시 서구 왕길동 669-1</t>
        </is>
      </c>
      <c r="AB1290" s="0" t="inlineStr">
        <is>
          <t>인천시</t>
        </is>
      </c>
      <c r="AC1290" s="0" t="inlineStr">
        <is>
          <t>서구</t>
        </is>
      </c>
      <c r="AD1290" s="0" t="inlineStr">
        <is>
          <t>왕길동</t>
        </is>
      </c>
      <c r="AG1290" s="0" t="inlineStr">
        <is>
          <t>인천시 서구 완정로133번길 10</t>
        </is>
      </c>
      <c r="AH1290" s="0" t="n">
        <v>0</v>
      </c>
      <c r="AI1290" s="0" t="n">
        <v>310</v>
      </c>
      <c r="AJ1290" s="0" t="n">
        <v>58</v>
      </c>
      <c r="AK1290" s="0" t="n">
        <v>41</v>
      </c>
      <c r="AL1290" s="0" t="n">
        <v>0.93</v>
      </c>
    </row>
    <row r="1291">
      <c r="A1291" s="0" t="inlineStr">
        <is>
          <t>[왕길동]</t>
        </is>
      </c>
      <c r="B1291" s="0" t="n">
        <v>126305</v>
      </c>
      <c r="C1291" s="0" t="n">
        <v>7</v>
      </c>
      <c r="D1291" s="0" t="inlineStr">
        <is>
          <t>타워팰리스6차</t>
        </is>
      </c>
      <c r="E1291" s="0" t="inlineStr">
        <is>
          <t>2017.05.</t>
        </is>
      </c>
      <c r="F1291" s="0" t="n">
        <v>44</v>
      </c>
      <c r="G1291" s="0" t="n">
        <v>25.7</v>
      </c>
      <c r="H1291" s="0" t="n">
        <v>84.97</v>
      </c>
      <c r="I1291" s="0" t="n">
        <v>22.04</v>
      </c>
      <c r="J1291" s="0" t="n">
        <v>72.89</v>
      </c>
      <c r="K1291" s="0" t="n">
        <v>6</v>
      </c>
      <c r="T1291" s="0" t="n">
        <v>3</v>
      </c>
      <c r="U1291" s="0" t="n">
        <v>2</v>
      </c>
      <c r="V1291" s="0" t="inlineStr">
        <is>
          <t>계단식</t>
        </is>
      </c>
      <c r="W1291" s="0" t="inlineStr">
        <is>
          <t>84A</t>
        </is>
      </c>
      <c r="X1291" s="0" t="n">
        <v>6</v>
      </c>
      <c r="Y1291" s="0" t="n">
        <v>6</v>
      </c>
      <c r="Z1291" s="0" t="inlineStr">
        <is>
          <t>https://new.land.naver.com/complexes/126305?tab=detail&amp;rf=Y</t>
        </is>
      </c>
      <c r="AA1291" s="0" t="inlineStr">
        <is>
          <t>인천시 서구 왕길동 669-1</t>
        </is>
      </c>
      <c r="AB1291" s="0" t="inlineStr">
        <is>
          <t>인천시</t>
        </is>
      </c>
      <c r="AC1291" s="0" t="inlineStr">
        <is>
          <t>서구</t>
        </is>
      </c>
      <c r="AD1291" s="0" t="inlineStr">
        <is>
          <t>왕길동</t>
        </is>
      </c>
      <c r="AG1291" s="0" t="inlineStr">
        <is>
          <t>인천시 서구 완정로133번길 10</t>
        </is>
      </c>
      <c r="AH1291" s="0" t="n">
        <v>0</v>
      </c>
      <c r="AI1291" s="0" t="n">
        <v>310</v>
      </c>
      <c r="AJ1291" s="0" t="n">
        <v>58</v>
      </c>
      <c r="AK1291" s="0" t="n">
        <v>41</v>
      </c>
      <c r="AL1291" s="0" t="n">
        <v>0.93</v>
      </c>
    </row>
    <row r="1292">
      <c r="A1292" s="0" t="inlineStr">
        <is>
          <t>[왕길동]</t>
        </is>
      </c>
      <c r="B1292" s="0" t="n">
        <v>126305</v>
      </c>
      <c r="C1292" s="0" t="n">
        <v>8</v>
      </c>
      <c r="D1292" s="0" t="inlineStr">
        <is>
          <t>타워팰리스6차</t>
        </is>
      </c>
      <c r="E1292" s="0" t="inlineStr">
        <is>
          <t>2017.05.</t>
        </is>
      </c>
      <c r="F1292" s="0" t="n">
        <v>44</v>
      </c>
      <c r="G1292" s="0" t="n">
        <v>25.72</v>
      </c>
      <c r="H1292" s="0" t="n">
        <v>85.04000000000001</v>
      </c>
      <c r="I1292" s="0" t="n">
        <v>22.07</v>
      </c>
      <c r="J1292" s="0" t="n">
        <v>72.95999999999999</v>
      </c>
      <c r="K1292" s="0" t="n">
        <v>6</v>
      </c>
      <c r="T1292" s="0" t="n">
        <v>3</v>
      </c>
      <c r="U1292" s="0" t="n">
        <v>2</v>
      </c>
      <c r="V1292" s="0" t="inlineStr">
        <is>
          <t>계단식</t>
        </is>
      </c>
      <c r="W1292" s="0" t="inlineStr">
        <is>
          <t>85B</t>
        </is>
      </c>
      <c r="X1292" s="0" t="n">
        <v>6</v>
      </c>
      <c r="Y1292" s="0" t="n">
        <v>6</v>
      </c>
      <c r="Z1292" s="0" t="inlineStr">
        <is>
          <t>https://new.land.naver.com/complexes/126305?tab=detail&amp;rf=Y</t>
        </is>
      </c>
      <c r="AA1292" s="0" t="inlineStr">
        <is>
          <t>인천시 서구 왕길동 669-1</t>
        </is>
      </c>
      <c r="AB1292" s="0" t="inlineStr">
        <is>
          <t>인천시</t>
        </is>
      </c>
      <c r="AC1292" s="0" t="inlineStr">
        <is>
          <t>서구</t>
        </is>
      </c>
      <c r="AD1292" s="0" t="inlineStr">
        <is>
          <t>왕길동</t>
        </is>
      </c>
      <c r="AG1292" s="0" t="inlineStr">
        <is>
          <t>인천시 서구 완정로133번길 10</t>
        </is>
      </c>
      <c r="AH1292" s="0" t="n">
        <v>0</v>
      </c>
      <c r="AI1292" s="0" t="n">
        <v>310</v>
      </c>
      <c r="AJ1292" s="0" t="n">
        <v>58</v>
      </c>
      <c r="AK1292" s="0" t="n">
        <v>41</v>
      </c>
      <c r="AL1292" s="0" t="n">
        <v>0.93</v>
      </c>
    </row>
    <row r="1293">
      <c r="A1293" s="0" t="inlineStr">
        <is>
          <t>[왕길동]</t>
        </is>
      </c>
      <c r="B1293" s="0" t="n">
        <v>126305</v>
      </c>
      <c r="C1293" s="0" t="n">
        <v>9</v>
      </c>
      <c r="D1293" s="0" t="inlineStr">
        <is>
          <t>타워팰리스6차</t>
        </is>
      </c>
      <c r="E1293" s="0" t="inlineStr">
        <is>
          <t>2017.05.</t>
        </is>
      </c>
      <c r="F1293" s="0" t="n">
        <v>44</v>
      </c>
      <c r="G1293" s="0" t="n">
        <v>25.73</v>
      </c>
      <c r="H1293" s="0" t="n">
        <v>85.06999999999999</v>
      </c>
      <c r="I1293" s="0" t="n">
        <v>22.07</v>
      </c>
      <c r="J1293" s="0" t="n">
        <v>72.98999999999999</v>
      </c>
      <c r="K1293" s="0" t="n">
        <v>6</v>
      </c>
      <c r="T1293" s="0" t="n">
        <v>3</v>
      </c>
      <c r="U1293" s="0" t="n">
        <v>2</v>
      </c>
      <c r="V1293" s="0" t="inlineStr">
        <is>
          <t>계단식</t>
        </is>
      </c>
      <c r="W1293" s="0" t="inlineStr">
        <is>
          <t>85C</t>
        </is>
      </c>
      <c r="X1293" s="0" t="n">
        <v>6</v>
      </c>
      <c r="Y1293" s="0" t="n">
        <v>6</v>
      </c>
      <c r="Z1293" s="0" t="inlineStr">
        <is>
          <t>https://new.land.naver.com/complexes/126305?tab=detail&amp;rf=Y</t>
        </is>
      </c>
      <c r="AA1293" s="0" t="inlineStr">
        <is>
          <t>인천시 서구 왕길동 669-1</t>
        </is>
      </c>
      <c r="AB1293" s="0" t="inlineStr">
        <is>
          <t>인천시</t>
        </is>
      </c>
      <c r="AC1293" s="0" t="inlineStr">
        <is>
          <t>서구</t>
        </is>
      </c>
      <c r="AD1293" s="0" t="inlineStr">
        <is>
          <t>왕길동</t>
        </is>
      </c>
      <c r="AG1293" s="0" t="inlineStr">
        <is>
          <t>인천시 서구 완정로133번길 10</t>
        </is>
      </c>
      <c r="AH1293" s="0" t="n">
        <v>0</v>
      </c>
      <c r="AI1293" s="0" t="n">
        <v>310</v>
      </c>
      <c r="AJ1293" s="0" t="n">
        <v>58</v>
      </c>
      <c r="AK1293" s="0" t="n">
        <v>41</v>
      </c>
      <c r="AL1293" s="0" t="n">
        <v>0.93</v>
      </c>
    </row>
    <row r="1294">
      <c r="A1294" s="0" t="inlineStr">
        <is>
          <t>[왕길동]</t>
        </is>
      </c>
      <c r="B1294" s="0" t="n">
        <v>126305</v>
      </c>
      <c r="C1294" s="0" t="n">
        <v>10</v>
      </c>
      <c r="D1294" s="0" t="inlineStr">
        <is>
          <t>타워팰리스6차</t>
        </is>
      </c>
      <c r="E1294" s="0" t="inlineStr">
        <is>
          <t>2017.05.</t>
        </is>
      </c>
      <c r="F1294" s="0" t="n">
        <v>44</v>
      </c>
      <c r="G1294" s="0" t="n">
        <v>25.9</v>
      </c>
      <c r="H1294" s="0" t="n">
        <v>85.64</v>
      </c>
      <c r="I1294" s="0" t="n">
        <v>22.66</v>
      </c>
      <c r="J1294" s="0" t="n">
        <v>74.93000000000001</v>
      </c>
      <c r="K1294" s="0" t="n">
        <v>2</v>
      </c>
      <c r="T1294" s="0" t="n">
        <v>3</v>
      </c>
      <c r="U1294" s="0" t="n">
        <v>2</v>
      </c>
      <c r="V1294" s="0" t="inlineStr">
        <is>
          <t>계단식</t>
        </is>
      </c>
      <c r="W1294" s="0" t="inlineStr">
        <is>
          <t>85D</t>
        </is>
      </c>
      <c r="X1294" s="0" t="n">
        <v>6</v>
      </c>
      <c r="Y1294" s="0" t="n">
        <v>6</v>
      </c>
      <c r="Z1294" s="0" t="inlineStr">
        <is>
          <t>https://new.land.naver.com/complexes/126305?tab=detail&amp;rf=Y</t>
        </is>
      </c>
      <c r="AA1294" s="0" t="inlineStr">
        <is>
          <t>인천시 서구 왕길동 669-1</t>
        </is>
      </c>
      <c r="AB1294" s="0" t="inlineStr">
        <is>
          <t>인천시</t>
        </is>
      </c>
      <c r="AC1294" s="0" t="inlineStr">
        <is>
          <t>서구</t>
        </is>
      </c>
      <c r="AD1294" s="0" t="inlineStr">
        <is>
          <t>왕길동</t>
        </is>
      </c>
      <c r="AG1294" s="0" t="inlineStr">
        <is>
          <t>인천시 서구 완정로133번길 10</t>
        </is>
      </c>
      <c r="AH1294" s="0" t="n">
        <v>0</v>
      </c>
      <c r="AI1294" s="0" t="n">
        <v>310</v>
      </c>
      <c r="AJ1294" s="0" t="n">
        <v>58</v>
      </c>
      <c r="AK1294" s="0" t="n">
        <v>41</v>
      </c>
      <c r="AL1294" s="0" t="n">
        <v>0.93</v>
      </c>
    </row>
    <row r="1295">
      <c r="A1295" s="0" t="inlineStr">
        <is>
          <t>[왕길동]</t>
        </is>
      </c>
      <c r="B1295" s="0" t="n">
        <v>11767</v>
      </c>
      <c r="C1295" s="0" t="n">
        <v>1</v>
      </c>
      <c r="D1295" s="0" t="inlineStr">
        <is>
          <t>검단풍림아이원</t>
        </is>
      </c>
      <c r="E1295" s="0" t="inlineStr">
        <is>
          <t>2004.10.</t>
        </is>
      </c>
      <c r="F1295" s="0" t="n">
        <v>318</v>
      </c>
      <c r="G1295" s="0" t="n">
        <v>24.67</v>
      </c>
      <c r="H1295" s="0" t="n">
        <v>81.56</v>
      </c>
      <c r="I1295" s="0" t="n">
        <v>18.05</v>
      </c>
      <c r="J1295" s="0" t="n">
        <v>59.7</v>
      </c>
      <c r="K1295" s="0" t="n">
        <v>48</v>
      </c>
      <c r="T1295" s="0" t="n">
        <v>3</v>
      </c>
      <c r="U1295" s="0" t="n">
        <v>2</v>
      </c>
      <c r="V1295" s="0" t="inlineStr">
        <is>
          <t>계단식</t>
        </is>
      </c>
      <c r="W1295" s="0" t="n">
        <v>81</v>
      </c>
      <c r="X1295" s="0" t="n">
        <v>15</v>
      </c>
      <c r="Y1295" s="0" t="n">
        <v>12</v>
      </c>
      <c r="Z1295" s="0" t="inlineStr">
        <is>
          <t>https://new.land.naver.com/complexes/11767?tab=detail&amp;rf=Y</t>
        </is>
      </c>
      <c r="AA1295" s="0" t="inlineStr">
        <is>
          <t>인천시 서구 왕길동 649-1</t>
        </is>
      </c>
      <c r="AB1295" s="0" t="inlineStr">
        <is>
          <t>인천시</t>
        </is>
      </c>
      <c r="AC1295" s="0" t="inlineStr">
        <is>
          <t>서구</t>
        </is>
      </c>
      <c r="AD1295" s="0" t="inlineStr">
        <is>
          <t>왕길동</t>
        </is>
      </c>
      <c r="AG1295" s="0" t="inlineStr">
        <is>
          <t>인천시 서구 봉수대로1440번길 10</t>
        </is>
      </c>
      <c r="AH1295" s="0" t="n">
        <v>0</v>
      </c>
      <c r="AI1295" s="0" t="n">
        <v>219</v>
      </c>
      <c r="AJ1295" s="0" t="n">
        <v>19</v>
      </c>
      <c r="AK1295" s="0" t="n">
        <v>311</v>
      </c>
      <c r="AL1295" s="0" t="n">
        <v>0.98</v>
      </c>
    </row>
    <row r="1296">
      <c r="A1296" s="0" t="inlineStr">
        <is>
          <t>[왕길동]</t>
        </is>
      </c>
      <c r="B1296" s="0" t="n">
        <v>11767</v>
      </c>
      <c r="C1296" s="0" t="n">
        <v>2</v>
      </c>
      <c r="D1296" s="0" t="inlineStr">
        <is>
          <t>검단풍림아이원</t>
        </is>
      </c>
      <c r="E1296" s="0" t="inlineStr">
        <is>
          <t>2004.10.</t>
        </is>
      </c>
      <c r="F1296" s="0" t="n">
        <v>318</v>
      </c>
      <c r="G1296" s="0" t="n">
        <v>32.99</v>
      </c>
      <c r="H1296" s="0" t="n">
        <v>109.09</v>
      </c>
      <c r="I1296" s="0" t="n">
        <v>25.69</v>
      </c>
      <c r="J1296" s="0" t="n">
        <v>84.93000000000001</v>
      </c>
      <c r="K1296" s="0" t="n">
        <v>270</v>
      </c>
      <c r="T1296" s="0" t="n">
        <v>3</v>
      </c>
      <c r="U1296" s="0" t="n">
        <v>2</v>
      </c>
      <c r="V1296" s="0" t="inlineStr">
        <is>
          <t>계단식</t>
        </is>
      </c>
      <c r="W1296" s="0" t="n">
        <v>109</v>
      </c>
      <c r="X1296" s="0" t="n">
        <v>15</v>
      </c>
      <c r="Y1296" s="0" t="n">
        <v>12</v>
      </c>
      <c r="Z1296" s="0" t="inlineStr">
        <is>
          <t>https://new.land.naver.com/complexes/11767?tab=detail&amp;rf=Y</t>
        </is>
      </c>
      <c r="AA1296" s="0" t="inlineStr">
        <is>
          <t>인천시 서구 왕길동 649-1</t>
        </is>
      </c>
      <c r="AB1296" s="0" t="inlineStr">
        <is>
          <t>인천시</t>
        </is>
      </c>
      <c r="AC1296" s="0" t="inlineStr">
        <is>
          <t>서구</t>
        </is>
      </c>
      <c r="AD1296" s="0" t="inlineStr">
        <is>
          <t>왕길동</t>
        </is>
      </c>
      <c r="AG1296" s="0" t="inlineStr">
        <is>
          <t>인천시 서구 봉수대로1440번길 10</t>
        </is>
      </c>
      <c r="AH1296" s="0" t="n">
        <v>0</v>
      </c>
      <c r="AI1296" s="0" t="n">
        <v>219</v>
      </c>
      <c r="AJ1296" s="0" t="n">
        <v>19</v>
      </c>
      <c r="AK1296" s="0" t="n">
        <v>311</v>
      </c>
      <c r="AL1296" s="0" t="n">
        <v>0.98</v>
      </c>
    </row>
    <row r="1297">
      <c r="A1297" s="0" t="inlineStr">
        <is>
          <t>[왕길동]</t>
        </is>
      </c>
      <c r="B1297" s="0" t="n">
        <v>27515</v>
      </c>
      <c r="C1297" s="0" t="n">
        <v>1</v>
      </c>
      <c r="D1297" s="0" t="inlineStr">
        <is>
          <t>드림파크어울림1단지</t>
        </is>
      </c>
      <c r="E1297" s="0" t="inlineStr">
        <is>
          <t>2010.12.</t>
        </is>
      </c>
      <c r="F1297" s="0" t="n">
        <v>731</v>
      </c>
      <c r="G1297" s="0" t="n">
        <v>33.6</v>
      </c>
      <c r="H1297" s="0" t="n">
        <v>111.09</v>
      </c>
      <c r="I1297" s="0" t="n">
        <v>25.68</v>
      </c>
      <c r="J1297" s="0" t="n">
        <v>84.90000000000001</v>
      </c>
      <c r="K1297" s="0" t="n">
        <v>237</v>
      </c>
      <c r="T1297" s="0" t="n">
        <v>3</v>
      </c>
      <c r="U1297" s="0" t="n">
        <v>2</v>
      </c>
      <c r="V1297" s="0" t="inlineStr">
        <is>
          <t>복합식</t>
        </is>
      </c>
      <c r="W1297" s="0" t="inlineStr">
        <is>
          <t>111A</t>
        </is>
      </c>
      <c r="X1297" s="0" t="n">
        <v>15</v>
      </c>
      <c r="Y1297" s="0" t="n">
        <v>15</v>
      </c>
      <c r="Z1297" s="0" t="inlineStr">
        <is>
          <t>https://new.land.naver.com/complexes/27515?tab=detail&amp;rf=Y</t>
        </is>
      </c>
      <c r="AA1297" s="0" t="inlineStr">
        <is>
          <t>인천시 서구 왕길동 697-1</t>
        </is>
      </c>
      <c r="AB1297" s="0" t="inlineStr">
        <is>
          <t>인천시</t>
        </is>
      </c>
      <c r="AC1297" s="0" t="inlineStr">
        <is>
          <t>서구</t>
        </is>
      </c>
      <c r="AD1297" s="0" t="inlineStr">
        <is>
          <t>왕길동</t>
        </is>
      </c>
      <c r="AG1297" s="0" t="inlineStr">
        <is>
          <t>인천시 서구 봉화로 18</t>
        </is>
      </c>
      <c r="AH1297" s="0" t="n">
        <v>0</v>
      </c>
      <c r="AI1297" s="0" t="n">
        <v>199</v>
      </c>
      <c r="AJ1297" s="0" t="n">
        <v>20</v>
      </c>
      <c r="AK1297" s="0" t="n">
        <v>1005</v>
      </c>
      <c r="AL1297" s="0" t="n">
        <v>1.37</v>
      </c>
    </row>
    <row r="1298">
      <c r="A1298" s="0" t="inlineStr">
        <is>
          <t>[왕길동]</t>
        </is>
      </c>
      <c r="B1298" s="0" t="n">
        <v>27515</v>
      </c>
      <c r="C1298" s="0" t="n">
        <v>2</v>
      </c>
      <c r="D1298" s="0" t="inlineStr">
        <is>
          <t>드림파크어울림1단지</t>
        </is>
      </c>
      <c r="E1298" s="0" t="inlineStr">
        <is>
          <t>2010.12.</t>
        </is>
      </c>
      <c r="F1298" s="0" t="n">
        <v>731</v>
      </c>
      <c r="G1298" s="0" t="n">
        <v>33.96</v>
      </c>
      <c r="H1298" s="0" t="n">
        <v>112.28</v>
      </c>
      <c r="I1298" s="0" t="n">
        <v>25.69</v>
      </c>
      <c r="J1298" s="0" t="n">
        <v>84.94</v>
      </c>
      <c r="K1298" s="0" t="n">
        <v>74</v>
      </c>
      <c r="T1298" s="0" t="n">
        <v>3</v>
      </c>
      <c r="U1298" s="0" t="n">
        <v>2</v>
      </c>
      <c r="V1298" s="0" t="inlineStr">
        <is>
          <t>복합식</t>
        </is>
      </c>
      <c r="W1298" s="0" t="inlineStr">
        <is>
          <t>112B</t>
        </is>
      </c>
      <c r="X1298" s="0" t="n">
        <v>15</v>
      </c>
      <c r="Y1298" s="0" t="n">
        <v>15</v>
      </c>
      <c r="Z1298" s="0" t="inlineStr">
        <is>
          <t>https://new.land.naver.com/complexes/27515?tab=detail&amp;rf=Y</t>
        </is>
      </c>
      <c r="AA1298" s="0" t="inlineStr">
        <is>
          <t>인천시 서구 왕길동 697-1</t>
        </is>
      </c>
      <c r="AB1298" s="0" t="inlineStr">
        <is>
          <t>인천시</t>
        </is>
      </c>
      <c r="AC1298" s="0" t="inlineStr">
        <is>
          <t>서구</t>
        </is>
      </c>
      <c r="AD1298" s="0" t="inlineStr">
        <is>
          <t>왕길동</t>
        </is>
      </c>
      <c r="AG1298" s="0" t="inlineStr">
        <is>
          <t>인천시 서구 봉화로 18</t>
        </is>
      </c>
      <c r="AH1298" s="0" t="n">
        <v>0</v>
      </c>
      <c r="AI1298" s="0" t="n">
        <v>199</v>
      </c>
      <c r="AJ1298" s="0" t="n">
        <v>20</v>
      </c>
      <c r="AK1298" s="0" t="n">
        <v>1005</v>
      </c>
      <c r="AL1298" s="0" t="n">
        <v>1.37</v>
      </c>
    </row>
    <row r="1299">
      <c r="A1299" s="0" t="inlineStr">
        <is>
          <t>[왕길동]</t>
        </is>
      </c>
      <c r="B1299" s="0" t="n">
        <v>27515</v>
      </c>
      <c r="C1299" s="0" t="n">
        <v>3</v>
      </c>
      <c r="D1299" s="0" t="inlineStr">
        <is>
          <t>드림파크어울림1단지</t>
        </is>
      </c>
      <c r="E1299" s="0" t="inlineStr">
        <is>
          <t>2010.12.</t>
        </is>
      </c>
      <c r="F1299" s="0" t="n">
        <v>731</v>
      </c>
      <c r="G1299" s="0" t="n">
        <v>40.07</v>
      </c>
      <c r="H1299" s="0" t="n">
        <v>132.47</v>
      </c>
      <c r="I1299" s="0" t="n">
        <v>30.85</v>
      </c>
      <c r="J1299" s="0" t="n">
        <v>101.99</v>
      </c>
      <c r="K1299" s="0" t="n">
        <v>195</v>
      </c>
      <c r="T1299" s="0" t="n">
        <v>4</v>
      </c>
      <c r="U1299" s="0" t="n">
        <v>2</v>
      </c>
      <c r="V1299" s="0" t="inlineStr">
        <is>
          <t>복합식</t>
        </is>
      </c>
      <c r="W1299" s="0" t="inlineStr">
        <is>
          <t>132A</t>
        </is>
      </c>
      <c r="X1299" s="0" t="n">
        <v>15</v>
      </c>
      <c r="Y1299" s="0" t="n">
        <v>15</v>
      </c>
      <c r="Z1299" s="0" t="inlineStr">
        <is>
          <t>https://new.land.naver.com/complexes/27515?tab=detail&amp;rf=Y</t>
        </is>
      </c>
      <c r="AA1299" s="0" t="inlineStr">
        <is>
          <t>인천시 서구 왕길동 697-1</t>
        </is>
      </c>
      <c r="AB1299" s="0" t="inlineStr">
        <is>
          <t>인천시</t>
        </is>
      </c>
      <c r="AC1299" s="0" t="inlineStr">
        <is>
          <t>서구</t>
        </is>
      </c>
      <c r="AD1299" s="0" t="inlineStr">
        <is>
          <t>왕길동</t>
        </is>
      </c>
      <c r="AG1299" s="0" t="inlineStr">
        <is>
          <t>인천시 서구 봉화로 18</t>
        </is>
      </c>
      <c r="AH1299" s="0" t="n">
        <v>0</v>
      </c>
      <c r="AI1299" s="0" t="n">
        <v>199</v>
      </c>
      <c r="AJ1299" s="0" t="n">
        <v>20</v>
      </c>
      <c r="AK1299" s="0" t="n">
        <v>1005</v>
      </c>
      <c r="AL1299" s="0" t="n">
        <v>1.37</v>
      </c>
    </row>
    <row r="1300">
      <c r="A1300" s="0" t="inlineStr">
        <is>
          <t>[왕길동]</t>
        </is>
      </c>
      <c r="B1300" s="0" t="n">
        <v>27515</v>
      </c>
      <c r="C1300" s="0" t="n">
        <v>4</v>
      </c>
      <c r="D1300" s="0" t="inlineStr">
        <is>
          <t>드림파크어울림1단지</t>
        </is>
      </c>
      <c r="E1300" s="0" t="inlineStr">
        <is>
          <t>2010.12.</t>
        </is>
      </c>
      <c r="F1300" s="0" t="n">
        <v>731</v>
      </c>
      <c r="G1300" s="0" t="n">
        <v>40.38</v>
      </c>
      <c r="H1300" s="0" t="n">
        <v>133.5</v>
      </c>
      <c r="I1300" s="0" t="n">
        <v>30.84</v>
      </c>
      <c r="J1300" s="0" t="n">
        <v>101.98</v>
      </c>
      <c r="K1300" s="0" t="n">
        <v>45</v>
      </c>
      <c r="T1300" s="0" t="n">
        <v>4</v>
      </c>
      <c r="U1300" s="0" t="n">
        <v>2</v>
      </c>
      <c r="V1300" s="0" t="inlineStr">
        <is>
          <t>복합식</t>
        </is>
      </c>
      <c r="W1300" s="0" t="inlineStr">
        <is>
          <t>133B</t>
        </is>
      </c>
      <c r="X1300" s="0" t="n">
        <v>15</v>
      </c>
      <c r="Y1300" s="0" t="n">
        <v>15</v>
      </c>
      <c r="Z1300" s="0" t="inlineStr">
        <is>
          <t>https://new.land.naver.com/complexes/27515?tab=detail&amp;rf=Y</t>
        </is>
      </c>
      <c r="AA1300" s="0" t="inlineStr">
        <is>
          <t>인천시 서구 왕길동 697-1</t>
        </is>
      </c>
      <c r="AB1300" s="0" t="inlineStr">
        <is>
          <t>인천시</t>
        </is>
      </c>
      <c r="AC1300" s="0" t="inlineStr">
        <is>
          <t>서구</t>
        </is>
      </c>
      <c r="AD1300" s="0" t="inlineStr">
        <is>
          <t>왕길동</t>
        </is>
      </c>
      <c r="AG1300" s="0" t="inlineStr">
        <is>
          <t>인천시 서구 봉화로 18</t>
        </is>
      </c>
      <c r="AH1300" s="0" t="n">
        <v>0</v>
      </c>
      <c r="AI1300" s="0" t="n">
        <v>199</v>
      </c>
      <c r="AJ1300" s="0" t="n">
        <v>20</v>
      </c>
      <c r="AK1300" s="0" t="n">
        <v>1005</v>
      </c>
      <c r="AL1300" s="0" t="n">
        <v>1.37</v>
      </c>
    </row>
    <row r="1301">
      <c r="A1301" s="0" t="inlineStr">
        <is>
          <t>[왕길동]</t>
        </is>
      </c>
      <c r="B1301" s="0" t="n">
        <v>27515</v>
      </c>
      <c r="C1301" s="0" t="n">
        <v>5</v>
      </c>
      <c r="D1301" s="0" t="inlineStr">
        <is>
          <t>드림파크어울림1단지</t>
        </is>
      </c>
      <c r="E1301" s="0" t="inlineStr">
        <is>
          <t>2010.12.</t>
        </is>
      </c>
      <c r="F1301" s="0" t="n">
        <v>731</v>
      </c>
      <c r="G1301" s="0" t="n">
        <v>49.66</v>
      </c>
      <c r="H1301" s="0" t="n">
        <v>164.17</v>
      </c>
      <c r="I1301" s="0" t="n">
        <v>39.7</v>
      </c>
      <c r="J1301" s="0" t="n">
        <v>131.26</v>
      </c>
      <c r="K1301" s="0" t="n">
        <v>165</v>
      </c>
      <c r="T1301" s="0" t="n">
        <v>4</v>
      </c>
      <c r="U1301" s="0" t="n">
        <v>2</v>
      </c>
      <c r="V1301" s="0" t="inlineStr">
        <is>
          <t>복합식</t>
        </is>
      </c>
      <c r="W1301" s="0" t="inlineStr">
        <is>
          <t>164A</t>
        </is>
      </c>
      <c r="X1301" s="0" t="n">
        <v>15</v>
      </c>
      <c r="Y1301" s="0" t="n">
        <v>15</v>
      </c>
      <c r="Z1301" s="0" t="inlineStr">
        <is>
          <t>https://new.land.naver.com/complexes/27515?tab=detail&amp;rf=Y</t>
        </is>
      </c>
      <c r="AA1301" s="0" t="inlineStr">
        <is>
          <t>인천시 서구 왕길동 697-1</t>
        </is>
      </c>
      <c r="AB1301" s="0" t="inlineStr">
        <is>
          <t>인천시</t>
        </is>
      </c>
      <c r="AC1301" s="0" t="inlineStr">
        <is>
          <t>서구</t>
        </is>
      </c>
      <c r="AD1301" s="0" t="inlineStr">
        <is>
          <t>왕길동</t>
        </is>
      </c>
      <c r="AG1301" s="0" t="inlineStr">
        <is>
          <t>인천시 서구 봉화로 18</t>
        </is>
      </c>
      <c r="AH1301" s="0" t="n">
        <v>0</v>
      </c>
      <c r="AI1301" s="0" t="n">
        <v>199</v>
      </c>
      <c r="AJ1301" s="0" t="n">
        <v>20</v>
      </c>
      <c r="AK1301" s="0" t="n">
        <v>1005</v>
      </c>
      <c r="AL1301" s="0" t="n">
        <v>1.37</v>
      </c>
    </row>
    <row r="1302">
      <c r="A1302" s="0" t="inlineStr">
        <is>
          <t>[왕길동]</t>
        </is>
      </c>
      <c r="B1302" s="0" t="n">
        <v>27515</v>
      </c>
      <c r="C1302" s="0" t="n">
        <v>6</v>
      </c>
      <c r="D1302" s="0" t="inlineStr">
        <is>
          <t>드림파크어울림1단지</t>
        </is>
      </c>
      <c r="E1302" s="0" t="inlineStr">
        <is>
          <t>2010.12.</t>
        </is>
      </c>
      <c r="F1302" s="0" t="n">
        <v>731</v>
      </c>
      <c r="G1302" s="0" t="n">
        <v>49.78</v>
      </c>
      <c r="H1302" s="0" t="n">
        <v>164.59</v>
      </c>
      <c r="I1302" s="0" t="n">
        <v>39.67</v>
      </c>
      <c r="J1302" s="0" t="n">
        <v>131.15</v>
      </c>
      <c r="K1302" s="0" t="n">
        <v>15</v>
      </c>
      <c r="T1302" s="0" t="n">
        <v>4</v>
      </c>
      <c r="U1302" s="0" t="n">
        <v>2</v>
      </c>
      <c r="V1302" s="0" t="inlineStr">
        <is>
          <t>복합식</t>
        </is>
      </c>
      <c r="W1302" s="0" t="inlineStr">
        <is>
          <t>164B</t>
        </is>
      </c>
      <c r="X1302" s="0" t="n">
        <v>15</v>
      </c>
      <c r="Y1302" s="0" t="n">
        <v>15</v>
      </c>
      <c r="Z1302" s="0" t="inlineStr">
        <is>
          <t>https://new.land.naver.com/complexes/27515?tab=detail&amp;rf=Y</t>
        </is>
      </c>
      <c r="AA1302" s="0" t="inlineStr">
        <is>
          <t>인천시 서구 왕길동 697-1</t>
        </is>
      </c>
      <c r="AB1302" s="0" t="inlineStr">
        <is>
          <t>인천시</t>
        </is>
      </c>
      <c r="AC1302" s="0" t="inlineStr">
        <is>
          <t>서구</t>
        </is>
      </c>
      <c r="AD1302" s="0" t="inlineStr">
        <is>
          <t>왕길동</t>
        </is>
      </c>
      <c r="AG1302" s="0" t="inlineStr">
        <is>
          <t>인천시 서구 봉화로 18</t>
        </is>
      </c>
      <c r="AH1302" s="0" t="n">
        <v>0</v>
      </c>
      <c r="AI1302" s="0" t="n">
        <v>199</v>
      </c>
      <c r="AJ1302" s="0" t="n">
        <v>20</v>
      </c>
      <c r="AK1302" s="0" t="n">
        <v>1005</v>
      </c>
      <c r="AL1302" s="0" t="n">
        <v>1.37</v>
      </c>
    </row>
    <row r="1303">
      <c r="A1303" s="0" t="inlineStr">
        <is>
          <t>[왕길동]</t>
        </is>
      </c>
      <c r="B1303" s="0" t="n">
        <v>2409</v>
      </c>
      <c r="C1303" s="0" t="n">
        <v>1</v>
      </c>
      <c r="D1303" s="0" t="inlineStr">
        <is>
          <t>원흥</t>
        </is>
      </c>
      <c r="E1303" s="0" t="inlineStr">
        <is>
          <t>1993.07.</t>
        </is>
      </c>
      <c r="F1303" s="0" t="n">
        <v>354</v>
      </c>
      <c r="G1303" s="0" t="n">
        <v>23.06</v>
      </c>
      <c r="H1303" s="0" t="n">
        <v>76.23999999999999</v>
      </c>
      <c r="I1303" s="0" t="n">
        <v>18.08</v>
      </c>
      <c r="J1303" s="0" t="n">
        <v>59.79</v>
      </c>
      <c r="K1303" s="0" t="n">
        <v>168</v>
      </c>
      <c r="T1303" s="0" t="n">
        <v>3</v>
      </c>
      <c r="U1303" s="0" t="n">
        <v>1</v>
      </c>
      <c r="V1303" s="0" t="inlineStr">
        <is>
          <t>복도식</t>
        </is>
      </c>
      <c r="W1303" s="0" t="n">
        <v>76</v>
      </c>
      <c r="X1303" s="0" t="n">
        <v>6</v>
      </c>
      <c r="Y1303" s="0" t="n">
        <v>5</v>
      </c>
      <c r="Z1303" s="0" t="inlineStr">
        <is>
          <t>https://new.land.naver.com/complexes/2409?tab=detail&amp;rf=Y</t>
        </is>
      </c>
      <c r="AA1303" s="0" t="inlineStr">
        <is>
          <t>인천시 서구 왕길동 273-5</t>
        </is>
      </c>
      <c r="AB1303" s="0" t="inlineStr">
        <is>
          <t>인천시</t>
        </is>
      </c>
      <c r="AC1303" s="0" t="inlineStr">
        <is>
          <t>서구</t>
        </is>
      </c>
      <c r="AD1303" s="0" t="inlineStr">
        <is>
          <t>왕길동</t>
        </is>
      </c>
      <c r="AG1303" s="0" t="inlineStr">
        <is>
          <t>인천시 서구 검단로 419</t>
        </is>
      </c>
      <c r="AH1303" s="0" t="n">
        <v>0</v>
      </c>
      <c r="AI1303" s="0" t="n">
        <v>168</v>
      </c>
      <c r="AJ1303" s="0" t="n">
        <v>0</v>
      </c>
      <c r="AK1303" s="0" t="n">
        <v>354</v>
      </c>
      <c r="AL1303" s="0" t="n">
        <v>1</v>
      </c>
    </row>
    <row r="1304">
      <c r="A1304" s="0" t="inlineStr">
        <is>
          <t>[왕길동]</t>
        </is>
      </c>
      <c r="B1304" s="0" t="n">
        <v>2409</v>
      </c>
      <c r="C1304" s="0" t="n">
        <v>2</v>
      </c>
      <c r="D1304" s="0" t="inlineStr">
        <is>
          <t>원흥</t>
        </is>
      </c>
      <c r="E1304" s="0" t="inlineStr">
        <is>
          <t>1993.07.</t>
        </is>
      </c>
      <c r="F1304" s="0" t="n">
        <v>354</v>
      </c>
      <c r="G1304" s="0" t="n">
        <v>26.63</v>
      </c>
      <c r="H1304" s="0" t="n">
        <v>88.04000000000001</v>
      </c>
      <c r="I1304" s="0" t="n">
        <v>21.13</v>
      </c>
      <c r="J1304" s="0" t="n">
        <v>69.87</v>
      </c>
      <c r="K1304" s="0" t="n">
        <v>60</v>
      </c>
      <c r="T1304" s="0" t="n">
        <v>3</v>
      </c>
      <c r="U1304" s="0" t="n">
        <v>1</v>
      </c>
      <c r="V1304" s="0" t="inlineStr">
        <is>
          <t>계단식</t>
        </is>
      </c>
      <c r="W1304" s="0" t="n">
        <v>88</v>
      </c>
      <c r="X1304" s="0" t="n">
        <v>6</v>
      </c>
      <c r="Y1304" s="0" t="n">
        <v>5</v>
      </c>
      <c r="Z1304" s="0" t="inlineStr">
        <is>
          <t>https://new.land.naver.com/complexes/2409?tab=detail&amp;rf=Y</t>
        </is>
      </c>
      <c r="AA1304" s="0" t="inlineStr">
        <is>
          <t>인천시 서구 왕길동 273-5</t>
        </is>
      </c>
      <c r="AB1304" s="0" t="inlineStr">
        <is>
          <t>인천시</t>
        </is>
      </c>
      <c r="AC1304" s="0" t="inlineStr">
        <is>
          <t>서구</t>
        </is>
      </c>
      <c r="AD1304" s="0" t="inlineStr">
        <is>
          <t>왕길동</t>
        </is>
      </c>
      <c r="AG1304" s="0" t="inlineStr">
        <is>
          <t>인천시 서구 검단로 419</t>
        </is>
      </c>
      <c r="AH1304" s="0" t="n">
        <v>0</v>
      </c>
      <c r="AI1304" s="0" t="n">
        <v>168</v>
      </c>
      <c r="AJ1304" s="0" t="n">
        <v>0</v>
      </c>
      <c r="AK1304" s="0" t="n">
        <v>354</v>
      </c>
      <c r="AL1304" s="0" t="n">
        <v>1</v>
      </c>
    </row>
    <row r="1305">
      <c r="A1305" s="0" t="inlineStr">
        <is>
          <t>[왕길동]</t>
        </is>
      </c>
      <c r="B1305" s="0" t="n">
        <v>2409</v>
      </c>
      <c r="C1305" s="0" t="n">
        <v>3</v>
      </c>
      <c r="D1305" s="0" t="inlineStr">
        <is>
          <t>원흥</t>
        </is>
      </c>
      <c r="E1305" s="0" t="inlineStr">
        <is>
          <t>1993.07.</t>
        </is>
      </c>
      <c r="F1305" s="0" t="n">
        <v>354</v>
      </c>
      <c r="G1305" s="0" t="n">
        <v>31.97</v>
      </c>
      <c r="H1305" s="0" t="n">
        <v>105.71</v>
      </c>
      <c r="I1305" s="0" t="n">
        <v>25.7</v>
      </c>
      <c r="J1305" s="0" t="n">
        <v>84.95999999999999</v>
      </c>
      <c r="K1305" s="0" t="n">
        <v>114</v>
      </c>
      <c r="T1305" s="0" t="n">
        <v>3</v>
      </c>
      <c r="U1305" s="0" t="n">
        <v>2</v>
      </c>
      <c r="V1305" s="0" t="inlineStr">
        <is>
          <t>계단식</t>
        </is>
      </c>
      <c r="W1305" s="0" t="n">
        <v>105</v>
      </c>
      <c r="X1305" s="0" t="n">
        <v>6</v>
      </c>
      <c r="Y1305" s="0" t="n">
        <v>5</v>
      </c>
      <c r="Z1305" s="0" t="inlineStr">
        <is>
          <t>https://new.land.naver.com/complexes/2409?tab=detail&amp;rf=Y</t>
        </is>
      </c>
      <c r="AA1305" s="0" t="inlineStr">
        <is>
          <t>인천시 서구 왕길동 273-5</t>
        </is>
      </c>
      <c r="AB1305" s="0" t="inlineStr">
        <is>
          <t>인천시</t>
        </is>
      </c>
      <c r="AC1305" s="0" t="inlineStr">
        <is>
          <t>서구</t>
        </is>
      </c>
      <c r="AD1305" s="0" t="inlineStr">
        <is>
          <t>왕길동</t>
        </is>
      </c>
      <c r="AG1305" s="0" t="inlineStr">
        <is>
          <t>인천시 서구 검단로 419</t>
        </is>
      </c>
      <c r="AH1305" s="0" t="n">
        <v>0</v>
      </c>
      <c r="AI1305" s="0" t="n">
        <v>168</v>
      </c>
      <c r="AJ1305" s="0" t="n">
        <v>0</v>
      </c>
      <c r="AK1305" s="0" t="n">
        <v>354</v>
      </c>
      <c r="AL1305" s="0" t="n">
        <v>1</v>
      </c>
    </row>
    <row r="1306">
      <c r="A1306" s="0" t="inlineStr">
        <is>
          <t>[왕길동]</t>
        </is>
      </c>
      <c r="B1306" s="0" t="n">
        <v>2409</v>
      </c>
      <c r="C1306" s="0" t="n">
        <v>4</v>
      </c>
      <c r="D1306" s="0" t="inlineStr">
        <is>
          <t>원흥</t>
        </is>
      </c>
      <c r="E1306" s="0" t="inlineStr">
        <is>
          <t>1993.07.</t>
        </is>
      </c>
      <c r="F1306" s="0" t="n">
        <v>354</v>
      </c>
      <c r="G1306" s="0" t="n">
        <v>49.61</v>
      </c>
      <c r="H1306" s="0" t="n">
        <v>164.02</v>
      </c>
      <c r="I1306" s="0" t="n">
        <v>40.76</v>
      </c>
      <c r="J1306" s="0" t="n">
        <v>134.76</v>
      </c>
      <c r="K1306" s="0" t="n">
        <v>12</v>
      </c>
      <c r="T1306" s="0" t="n">
        <v>4</v>
      </c>
      <c r="U1306" s="0" t="n">
        <v>2</v>
      </c>
      <c r="V1306" s="0" t="inlineStr">
        <is>
          <t>계단식</t>
        </is>
      </c>
      <c r="W1306" s="0" t="n">
        <v>164</v>
      </c>
      <c r="X1306" s="0" t="n">
        <v>6</v>
      </c>
      <c r="Y1306" s="0" t="n">
        <v>5</v>
      </c>
      <c r="Z1306" s="0" t="inlineStr">
        <is>
          <t>https://new.land.naver.com/complexes/2409?tab=detail&amp;rf=Y</t>
        </is>
      </c>
      <c r="AA1306" s="0" t="inlineStr">
        <is>
          <t>인천시 서구 왕길동 273-5</t>
        </is>
      </c>
      <c r="AB1306" s="0" t="inlineStr">
        <is>
          <t>인천시</t>
        </is>
      </c>
      <c r="AC1306" s="0" t="inlineStr">
        <is>
          <t>서구</t>
        </is>
      </c>
      <c r="AD1306" s="0" t="inlineStr">
        <is>
          <t>왕길동</t>
        </is>
      </c>
      <c r="AG1306" s="0" t="inlineStr">
        <is>
          <t>인천시 서구 검단로 419</t>
        </is>
      </c>
      <c r="AH1306" s="0" t="n">
        <v>0</v>
      </c>
      <c r="AI1306" s="0" t="n">
        <v>168</v>
      </c>
      <c r="AJ1306" s="0" t="n">
        <v>0</v>
      </c>
      <c r="AK1306" s="0" t="n">
        <v>354</v>
      </c>
      <c r="AL1306" s="0" t="n">
        <v>1</v>
      </c>
    </row>
    <row r="1307">
      <c r="A1307" s="0" t="inlineStr">
        <is>
          <t>[왕길동]</t>
        </is>
      </c>
      <c r="B1307" s="0" t="n">
        <v>12118</v>
      </c>
      <c r="C1307" s="0" t="n">
        <v>1</v>
      </c>
      <c r="D1307" s="0" t="inlineStr">
        <is>
          <t>신명스카이뷰드림</t>
        </is>
      </c>
      <c r="E1307" s="0" t="inlineStr">
        <is>
          <t>2004.12.</t>
        </is>
      </c>
      <c r="F1307" s="0" t="n">
        <v>390</v>
      </c>
      <c r="G1307" s="0" t="n">
        <v>38.42</v>
      </c>
      <c r="H1307" s="0" t="n">
        <v>127.04</v>
      </c>
      <c r="I1307" s="0" t="n">
        <v>25.69</v>
      </c>
      <c r="J1307" s="0" t="n">
        <v>84.93000000000001</v>
      </c>
      <c r="K1307" s="0" t="n">
        <v>390</v>
      </c>
      <c r="T1307" s="0" t="n">
        <v>3</v>
      </c>
      <c r="U1307" s="0" t="n">
        <v>2</v>
      </c>
      <c r="V1307" s="0" t="inlineStr">
        <is>
          <t>계단식</t>
        </is>
      </c>
      <c r="W1307" s="0" t="n">
        <v>127</v>
      </c>
      <c r="X1307" s="0" t="n">
        <v>15</v>
      </c>
      <c r="Y1307" s="0" t="n">
        <v>15</v>
      </c>
      <c r="Z1307" s="0" t="inlineStr">
        <is>
          <t>https://new.land.naver.com/complexes/12118?tab=detail&amp;rf=Y</t>
        </is>
      </c>
      <c r="AA1307" s="0" t="inlineStr">
        <is>
          <t>인천시 서구 왕길동 634-1</t>
        </is>
      </c>
      <c r="AB1307" s="0" t="inlineStr">
        <is>
          <t>인천시</t>
        </is>
      </c>
      <c r="AC1307" s="0" t="inlineStr">
        <is>
          <t>서구</t>
        </is>
      </c>
      <c r="AD1307" s="0" t="inlineStr">
        <is>
          <t>왕길동</t>
        </is>
      </c>
      <c r="AG1307" s="0" t="inlineStr">
        <is>
          <t>인천시 서구 봉수대로1440번길 29</t>
        </is>
      </c>
      <c r="AH1307" s="0" t="n">
        <v>0</v>
      </c>
      <c r="AI1307" s="0" t="n">
        <v>219</v>
      </c>
      <c r="AJ1307" s="0" t="n">
        <v>19</v>
      </c>
      <c r="AK1307" s="0" t="n">
        <v>614</v>
      </c>
      <c r="AL1307" s="0" t="n">
        <v>1.57</v>
      </c>
    </row>
    <row r="1308">
      <c r="A1308" s="0" t="inlineStr">
        <is>
          <t>[원당동]</t>
        </is>
      </c>
      <c r="B1308" s="0" t="n">
        <v>125933</v>
      </c>
      <c r="C1308" s="0" t="n">
        <v>1</v>
      </c>
      <c r="D1308" s="0" t="inlineStr">
        <is>
          <t>검단파라곤보타닉파크</t>
        </is>
      </c>
      <c r="E1308" s="0" t="inlineStr">
        <is>
          <t>2022.05.</t>
        </is>
      </c>
      <c r="F1308" s="0" t="n">
        <v>887</v>
      </c>
      <c r="G1308" s="0" t="n">
        <v>33.91</v>
      </c>
      <c r="H1308" s="0" t="n">
        <v>112.11</v>
      </c>
      <c r="I1308" s="0" t="n">
        <v>25.7</v>
      </c>
      <c r="J1308" s="0" t="n">
        <v>84.98999999999999</v>
      </c>
      <c r="K1308" s="0" t="n">
        <v>553</v>
      </c>
      <c r="T1308" s="0" t="n">
        <v>3</v>
      </c>
      <c r="U1308" s="0" t="n">
        <v>2</v>
      </c>
      <c r="V1308" s="0" t="inlineStr">
        <is>
          <t>계단식</t>
        </is>
      </c>
      <c r="W1308" s="0" t="inlineStr">
        <is>
          <t>112A</t>
        </is>
      </c>
      <c r="X1308" s="0" t="n">
        <v>25</v>
      </c>
      <c r="Y1308" s="0" t="n">
        <v>17</v>
      </c>
      <c r="Z1308" s="0" t="inlineStr">
        <is>
          <t>https://new.land.naver.com/complexes/125933?tab=detail&amp;rf=Y</t>
        </is>
      </c>
      <c r="AA1308" s="0" t="inlineStr">
        <is>
          <t>인천시 서구 원당동 검단신도시 AA14블록</t>
        </is>
      </c>
      <c r="AB1308" s="0" t="inlineStr">
        <is>
          <t>인천시</t>
        </is>
      </c>
      <c r="AC1308" s="0" t="inlineStr">
        <is>
          <t>서구</t>
        </is>
      </c>
      <c r="AD1308" s="0" t="inlineStr">
        <is>
          <t>원당동</t>
        </is>
      </c>
      <c r="AG1308" s="0" t="inlineStr">
        <is>
          <t>인천시 서구</t>
        </is>
      </c>
      <c r="AH1308" s="0" t="n">
        <v>0</v>
      </c>
      <c r="AI1308" s="0" t="n">
        <v>183</v>
      </c>
      <c r="AJ1308" s="0" t="n">
        <v>14</v>
      </c>
      <c r="AK1308" s="0" t="n">
        <v>0</v>
      </c>
      <c r="AL1308" s="0" t="n">
        <v>0</v>
      </c>
    </row>
    <row r="1309">
      <c r="A1309" s="0" t="inlineStr">
        <is>
          <t>[원당동]</t>
        </is>
      </c>
      <c r="B1309" s="0" t="n">
        <v>125933</v>
      </c>
      <c r="C1309" s="0" t="n">
        <v>2</v>
      </c>
      <c r="D1309" s="0" t="inlineStr">
        <is>
          <t>검단파라곤보타닉파크</t>
        </is>
      </c>
      <c r="E1309" s="0" t="inlineStr">
        <is>
          <t>2022.05.</t>
        </is>
      </c>
      <c r="F1309" s="0" t="n">
        <v>887</v>
      </c>
      <c r="G1309" s="0" t="n">
        <v>33.92</v>
      </c>
      <c r="H1309" s="0" t="n">
        <v>112.14</v>
      </c>
      <c r="I1309" s="0" t="n">
        <v>25.5</v>
      </c>
      <c r="J1309" s="0" t="n">
        <v>84.31999999999999</v>
      </c>
      <c r="K1309" s="0" t="n">
        <v>334</v>
      </c>
      <c r="T1309" s="0" t="n">
        <v>3</v>
      </c>
      <c r="U1309" s="0" t="n">
        <v>2</v>
      </c>
      <c r="V1309" s="0" t="inlineStr">
        <is>
          <t>계단식</t>
        </is>
      </c>
      <c r="W1309" s="0" t="inlineStr">
        <is>
          <t>112B</t>
        </is>
      </c>
      <c r="X1309" s="0" t="n">
        <v>25</v>
      </c>
      <c r="Y1309" s="0" t="n">
        <v>17</v>
      </c>
      <c r="Z1309" s="0" t="inlineStr">
        <is>
          <t>https://new.land.naver.com/complexes/125933?tab=detail&amp;rf=Y</t>
        </is>
      </c>
      <c r="AA1309" s="0" t="inlineStr">
        <is>
          <t>인천시 서구 원당동 검단신도시 AA14블록</t>
        </is>
      </c>
      <c r="AB1309" s="0" t="inlineStr">
        <is>
          <t>인천시</t>
        </is>
      </c>
      <c r="AC1309" s="0" t="inlineStr">
        <is>
          <t>서구</t>
        </is>
      </c>
      <c r="AD1309" s="0" t="inlineStr">
        <is>
          <t>원당동</t>
        </is>
      </c>
      <c r="AG1309" s="0" t="inlineStr">
        <is>
          <t>인천시 서구</t>
        </is>
      </c>
      <c r="AH1309" s="0" t="n">
        <v>0</v>
      </c>
      <c r="AI1309" s="0" t="n">
        <v>183</v>
      </c>
      <c r="AJ1309" s="0" t="n">
        <v>14</v>
      </c>
      <c r="AK1309" s="0" t="n">
        <v>0</v>
      </c>
      <c r="AL1309" s="0" t="n">
        <v>0</v>
      </c>
    </row>
    <row r="1310">
      <c r="A1310" s="0" t="inlineStr">
        <is>
          <t>[원당동]</t>
        </is>
      </c>
      <c r="B1310" s="0" t="n">
        <v>128035</v>
      </c>
      <c r="C1310" s="0" t="n">
        <v>1</v>
      </c>
      <c r="D1310" s="0" t="inlineStr">
        <is>
          <t>검단신도시 예미지 트리플에듀</t>
        </is>
      </c>
      <c r="E1310" s="0" t="inlineStr">
        <is>
          <t>2022.06.</t>
        </is>
      </c>
      <c r="F1310" s="0" t="n">
        <v>1249</v>
      </c>
      <c r="G1310" s="0" t="n">
        <v>31.01</v>
      </c>
      <c r="H1310" s="0" t="n">
        <v>102.53</v>
      </c>
      <c r="I1310" s="0" t="n">
        <v>23.17</v>
      </c>
      <c r="J1310" s="0" t="n">
        <v>76.59999999999999</v>
      </c>
      <c r="K1310" s="0" t="n">
        <v>137</v>
      </c>
      <c r="T1310" s="0" t="n">
        <v>3</v>
      </c>
      <c r="U1310" s="0" t="n">
        <v>2</v>
      </c>
      <c r="V1310" s="0" t="inlineStr">
        <is>
          <t>계단식</t>
        </is>
      </c>
      <c r="W1310" s="0" t="inlineStr">
        <is>
          <t>102A</t>
        </is>
      </c>
      <c r="X1310" s="0" t="n">
        <v>25</v>
      </c>
      <c r="Y1310" s="0" t="n">
        <v>20</v>
      </c>
      <c r="Z1310" s="0" t="inlineStr">
        <is>
          <t>https://new.land.naver.com/complexes/128035?tab=detail&amp;rf=Y</t>
        </is>
      </c>
      <c r="AA1310" s="0" t="inlineStr">
        <is>
          <t>인천시 서구 원당동 검단신도시 AA11블록</t>
        </is>
      </c>
      <c r="AB1310" s="0" t="inlineStr">
        <is>
          <t>인천시</t>
        </is>
      </c>
      <c r="AC1310" s="0" t="inlineStr">
        <is>
          <t>서구</t>
        </is>
      </c>
      <c r="AD1310" s="0" t="inlineStr">
        <is>
          <t>원당동</t>
        </is>
      </c>
      <c r="AG1310" s="0" t="inlineStr">
        <is>
          <t>인천시 서구</t>
        </is>
      </c>
      <c r="AH1310" s="0" t="n">
        <v>0</v>
      </c>
      <c r="AI1310" s="0" t="n">
        <v>186</v>
      </c>
      <c r="AJ1310" s="0" t="n">
        <v>13</v>
      </c>
      <c r="AK1310" s="0" t="n">
        <v>1805</v>
      </c>
      <c r="AL1310" s="0" t="n">
        <v>1.45</v>
      </c>
    </row>
    <row r="1311">
      <c r="A1311" s="0" t="inlineStr">
        <is>
          <t>[원당동]</t>
        </is>
      </c>
      <c r="B1311" s="0" t="n">
        <v>128035</v>
      </c>
      <c r="C1311" s="0" t="n">
        <v>2</v>
      </c>
      <c r="D1311" s="0" t="inlineStr">
        <is>
          <t>검단신도시 예미지 트리플에듀</t>
        </is>
      </c>
      <c r="E1311" s="0" t="inlineStr">
        <is>
          <t>2022.06.</t>
        </is>
      </c>
      <c r="F1311" s="0" t="n">
        <v>1249</v>
      </c>
      <c r="G1311" s="0" t="n">
        <v>31.01</v>
      </c>
      <c r="H1311" s="0" t="n">
        <v>102.53</v>
      </c>
      <c r="I1311" s="0" t="n">
        <v>23.09</v>
      </c>
      <c r="J1311" s="0" t="n">
        <v>76.34999999999999</v>
      </c>
      <c r="K1311" s="0" t="n">
        <v>99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102B</t>
        </is>
      </c>
      <c r="X1311" s="0" t="n">
        <v>25</v>
      </c>
      <c r="Y1311" s="0" t="n">
        <v>20</v>
      </c>
      <c r="Z1311" s="0" t="inlineStr">
        <is>
          <t>https://new.land.naver.com/complexes/128035?tab=detail&amp;rf=Y</t>
        </is>
      </c>
      <c r="AA1311" s="0" t="inlineStr">
        <is>
          <t>인천시 서구 원당동 검단신도시 AA11블록</t>
        </is>
      </c>
      <c r="AB1311" s="0" t="inlineStr">
        <is>
          <t>인천시</t>
        </is>
      </c>
      <c r="AC1311" s="0" t="inlineStr">
        <is>
          <t>서구</t>
        </is>
      </c>
      <c r="AD1311" s="0" t="inlineStr">
        <is>
          <t>원당동</t>
        </is>
      </c>
      <c r="AG1311" s="0" t="inlineStr">
        <is>
          <t>인천시 서구</t>
        </is>
      </c>
      <c r="AH1311" s="0" t="n">
        <v>0</v>
      </c>
      <c r="AI1311" s="0" t="n">
        <v>186</v>
      </c>
      <c r="AJ1311" s="0" t="n">
        <v>13</v>
      </c>
      <c r="AK1311" s="0" t="n">
        <v>1805</v>
      </c>
      <c r="AL1311" s="0" t="n">
        <v>1.45</v>
      </c>
    </row>
    <row r="1312">
      <c r="A1312" s="0" t="inlineStr">
        <is>
          <t>[원당동]</t>
        </is>
      </c>
      <c r="B1312" s="0" t="n">
        <v>128035</v>
      </c>
      <c r="C1312" s="0" t="n">
        <v>3</v>
      </c>
      <c r="D1312" s="0" t="inlineStr">
        <is>
          <t>검단신도시 예미지 트리플에듀</t>
        </is>
      </c>
      <c r="E1312" s="0" t="inlineStr">
        <is>
          <t>2022.06.</t>
        </is>
      </c>
      <c r="F1312" s="0" t="n">
        <v>1249</v>
      </c>
      <c r="G1312" s="0" t="n">
        <v>33.24</v>
      </c>
      <c r="H1312" s="0" t="n">
        <v>109.91</v>
      </c>
      <c r="I1312" s="0" t="n">
        <v>25.68</v>
      </c>
      <c r="J1312" s="0" t="n">
        <v>84.92</v>
      </c>
      <c r="K1312" s="0" t="n">
        <v>285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109A</t>
        </is>
      </c>
      <c r="X1312" s="0" t="n">
        <v>25</v>
      </c>
      <c r="Y1312" s="0" t="n">
        <v>20</v>
      </c>
      <c r="Z1312" s="0" t="inlineStr">
        <is>
          <t>https://new.land.naver.com/complexes/128035?tab=detail&amp;rf=Y</t>
        </is>
      </c>
      <c r="AA1312" s="0" t="inlineStr">
        <is>
          <t>인천시 서구 원당동 검단신도시 AA11블록</t>
        </is>
      </c>
      <c r="AB1312" s="0" t="inlineStr">
        <is>
          <t>인천시</t>
        </is>
      </c>
      <c r="AC1312" s="0" t="inlineStr">
        <is>
          <t>서구</t>
        </is>
      </c>
      <c r="AD1312" s="0" t="inlineStr">
        <is>
          <t>원당동</t>
        </is>
      </c>
      <c r="AG1312" s="0" t="inlineStr">
        <is>
          <t>인천시 서구</t>
        </is>
      </c>
      <c r="AH1312" s="0" t="n">
        <v>0</v>
      </c>
      <c r="AI1312" s="0" t="n">
        <v>186</v>
      </c>
      <c r="AJ1312" s="0" t="n">
        <v>13</v>
      </c>
      <c r="AK1312" s="0" t="n">
        <v>1805</v>
      </c>
      <c r="AL1312" s="0" t="n">
        <v>1.45</v>
      </c>
    </row>
    <row r="1313">
      <c r="A1313" s="0" t="inlineStr">
        <is>
          <t>[원당동]</t>
        </is>
      </c>
      <c r="B1313" s="0" t="n">
        <v>128035</v>
      </c>
      <c r="C1313" s="0" t="n">
        <v>4</v>
      </c>
      <c r="D1313" s="0" t="inlineStr">
        <is>
          <t>검단신도시 예미지 트리플에듀</t>
        </is>
      </c>
      <c r="E1313" s="0" t="inlineStr">
        <is>
          <t>2022.06.</t>
        </is>
      </c>
      <c r="F1313" s="0" t="n">
        <v>1249</v>
      </c>
      <c r="G1313" s="0" t="n">
        <v>33.42</v>
      </c>
      <c r="H1313" s="0" t="n">
        <v>110.48</v>
      </c>
      <c r="I1313" s="0" t="n">
        <v>25.56</v>
      </c>
      <c r="J1313" s="0" t="n">
        <v>84.5</v>
      </c>
      <c r="K1313" s="0" t="n">
        <v>297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110B</t>
        </is>
      </c>
      <c r="X1313" s="0" t="n">
        <v>25</v>
      </c>
      <c r="Y1313" s="0" t="n">
        <v>20</v>
      </c>
      <c r="Z1313" s="0" t="inlineStr">
        <is>
          <t>https://new.land.naver.com/complexes/128035?tab=detail&amp;rf=Y</t>
        </is>
      </c>
      <c r="AA1313" s="0" t="inlineStr">
        <is>
          <t>인천시 서구 원당동 검단신도시 AA11블록</t>
        </is>
      </c>
      <c r="AB1313" s="0" t="inlineStr">
        <is>
          <t>인천시</t>
        </is>
      </c>
      <c r="AC1313" s="0" t="inlineStr">
        <is>
          <t>서구</t>
        </is>
      </c>
      <c r="AD1313" s="0" t="inlineStr">
        <is>
          <t>원당동</t>
        </is>
      </c>
      <c r="AG1313" s="0" t="inlineStr">
        <is>
          <t>인천시 서구</t>
        </is>
      </c>
      <c r="AH1313" s="0" t="n">
        <v>0</v>
      </c>
      <c r="AI1313" s="0" t="n">
        <v>186</v>
      </c>
      <c r="AJ1313" s="0" t="n">
        <v>13</v>
      </c>
      <c r="AK1313" s="0" t="n">
        <v>1805</v>
      </c>
      <c r="AL1313" s="0" t="n">
        <v>1.45</v>
      </c>
    </row>
    <row r="1314">
      <c r="A1314" s="0" t="inlineStr">
        <is>
          <t>[원당동]</t>
        </is>
      </c>
      <c r="B1314" s="0" t="n">
        <v>128035</v>
      </c>
      <c r="C1314" s="0" t="n">
        <v>5</v>
      </c>
      <c r="D1314" s="0" t="inlineStr">
        <is>
          <t>검단신도시 예미지 트리플에듀</t>
        </is>
      </c>
      <c r="E1314" s="0" t="inlineStr">
        <is>
          <t>2022.06.</t>
        </is>
      </c>
      <c r="F1314" s="0" t="n">
        <v>1249</v>
      </c>
      <c r="G1314" s="0" t="n">
        <v>33.35</v>
      </c>
      <c r="H1314" s="0" t="n">
        <v>110.28</v>
      </c>
      <c r="I1314" s="0" t="n">
        <v>25.67</v>
      </c>
      <c r="J1314" s="0" t="n">
        <v>84.87</v>
      </c>
      <c r="K1314" s="0" t="n">
        <v>50</v>
      </c>
      <c r="T1314" s="0" t="n">
        <v>3</v>
      </c>
      <c r="U1314" s="0" t="n">
        <v>2</v>
      </c>
      <c r="V1314" s="0" t="inlineStr">
        <is>
          <t>계단식</t>
        </is>
      </c>
      <c r="W1314" s="0" t="inlineStr">
        <is>
          <t>110C</t>
        </is>
      </c>
      <c r="X1314" s="0" t="n">
        <v>25</v>
      </c>
      <c r="Y1314" s="0" t="n">
        <v>20</v>
      </c>
      <c r="Z1314" s="0" t="inlineStr">
        <is>
          <t>https://new.land.naver.com/complexes/128035?tab=detail&amp;rf=Y</t>
        </is>
      </c>
      <c r="AA1314" s="0" t="inlineStr">
        <is>
          <t>인천시 서구 원당동 검단신도시 AA11블록</t>
        </is>
      </c>
      <c r="AB1314" s="0" t="inlineStr">
        <is>
          <t>인천시</t>
        </is>
      </c>
      <c r="AC1314" s="0" t="inlineStr">
        <is>
          <t>서구</t>
        </is>
      </c>
      <c r="AD1314" s="0" t="inlineStr">
        <is>
          <t>원당동</t>
        </is>
      </c>
      <c r="AG1314" s="0" t="inlineStr">
        <is>
          <t>인천시 서구</t>
        </is>
      </c>
      <c r="AH1314" s="0" t="n">
        <v>0</v>
      </c>
      <c r="AI1314" s="0" t="n">
        <v>186</v>
      </c>
      <c r="AJ1314" s="0" t="n">
        <v>13</v>
      </c>
      <c r="AK1314" s="0" t="n">
        <v>1805</v>
      </c>
      <c r="AL1314" s="0" t="n">
        <v>1.45</v>
      </c>
    </row>
    <row r="1315">
      <c r="A1315" s="0" t="inlineStr">
        <is>
          <t>[원당동]</t>
        </is>
      </c>
      <c r="B1315" s="0" t="n">
        <v>128035</v>
      </c>
      <c r="C1315" s="0" t="n">
        <v>6</v>
      </c>
      <c r="D1315" s="0" t="inlineStr">
        <is>
          <t>검단신도시 예미지 트리플에듀</t>
        </is>
      </c>
      <c r="E1315" s="0" t="inlineStr">
        <is>
          <t>2022.06.</t>
        </is>
      </c>
      <c r="F1315" s="0" t="n">
        <v>1249</v>
      </c>
      <c r="G1315" s="0" t="n">
        <v>37.73</v>
      </c>
      <c r="H1315" s="0" t="n">
        <v>124.76</v>
      </c>
      <c r="I1315" s="0" t="n">
        <v>29.79</v>
      </c>
      <c r="J1315" s="0" t="n">
        <v>98.48</v>
      </c>
      <c r="K1315" s="0" t="n">
        <v>183</v>
      </c>
      <c r="T1315" s="0" t="n">
        <v>3</v>
      </c>
      <c r="U1315" s="0" t="n">
        <v>2</v>
      </c>
      <c r="V1315" s="0" t="inlineStr">
        <is>
          <t>계단식</t>
        </is>
      </c>
      <c r="W1315" s="0" t="n">
        <v>124</v>
      </c>
      <c r="X1315" s="0" t="n">
        <v>25</v>
      </c>
      <c r="Y1315" s="0" t="n">
        <v>20</v>
      </c>
      <c r="Z1315" s="0" t="inlineStr">
        <is>
          <t>https://new.land.naver.com/complexes/128035?tab=detail&amp;rf=Y</t>
        </is>
      </c>
      <c r="AA1315" s="0" t="inlineStr">
        <is>
          <t>인천시 서구 원당동 검단신도시 AA11블록</t>
        </is>
      </c>
      <c r="AB1315" s="0" t="inlineStr">
        <is>
          <t>인천시</t>
        </is>
      </c>
      <c r="AC1315" s="0" t="inlineStr">
        <is>
          <t>서구</t>
        </is>
      </c>
      <c r="AD1315" s="0" t="inlineStr">
        <is>
          <t>원당동</t>
        </is>
      </c>
      <c r="AG1315" s="0" t="inlineStr">
        <is>
          <t>인천시 서구</t>
        </is>
      </c>
      <c r="AH1315" s="0" t="n">
        <v>0</v>
      </c>
      <c r="AI1315" s="0" t="n">
        <v>186</v>
      </c>
      <c r="AJ1315" s="0" t="n">
        <v>13</v>
      </c>
      <c r="AK1315" s="0" t="n">
        <v>1805</v>
      </c>
      <c r="AL1315" s="0" t="n">
        <v>1.45</v>
      </c>
    </row>
    <row r="1316">
      <c r="A1316" s="0" t="inlineStr">
        <is>
          <t>[원당동]</t>
        </is>
      </c>
      <c r="B1316" s="0" t="n">
        <v>128035</v>
      </c>
      <c r="C1316" s="0" t="n">
        <v>7</v>
      </c>
      <c r="D1316" s="0" t="inlineStr">
        <is>
          <t>검단신도시 예미지 트리플에듀</t>
        </is>
      </c>
      <c r="E1316" s="0" t="inlineStr">
        <is>
          <t>2022.06.</t>
        </is>
      </c>
      <c r="F1316" s="0" t="n">
        <v>1249</v>
      </c>
      <c r="G1316" s="0" t="n">
        <v>39.52</v>
      </c>
      <c r="H1316" s="0" t="n">
        <v>130.65</v>
      </c>
      <c r="I1316" s="0" t="n">
        <v>31.11</v>
      </c>
      <c r="J1316" s="0" t="n">
        <v>102.85</v>
      </c>
      <c r="K1316" s="0" t="n">
        <v>198</v>
      </c>
      <c r="T1316" s="0" t="n">
        <v>3</v>
      </c>
      <c r="U1316" s="0" t="n">
        <v>2</v>
      </c>
      <c r="V1316" s="0" t="inlineStr">
        <is>
          <t>계단식</t>
        </is>
      </c>
      <c r="W1316" s="0" t="n">
        <v>130</v>
      </c>
      <c r="X1316" s="0" t="n">
        <v>25</v>
      </c>
      <c r="Y1316" s="0" t="n">
        <v>20</v>
      </c>
      <c r="Z1316" s="0" t="inlineStr">
        <is>
          <t>https://new.land.naver.com/complexes/128035?tab=detail&amp;rf=Y</t>
        </is>
      </c>
      <c r="AA1316" s="0" t="inlineStr">
        <is>
          <t>인천시 서구 원당동 검단신도시 AA11블록</t>
        </is>
      </c>
      <c r="AB1316" s="0" t="inlineStr">
        <is>
          <t>인천시</t>
        </is>
      </c>
      <c r="AC1316" s="0" t="inlineStr">
        <is>
          <t>서구</t>
        </is>
      </c>
      <c r="AD1316" s="0" t="inlineStr">
        <is>
          <t>원당동</t>
        </is>
      </c>
      <c r="AG1316" s="0" t="inlineStr">
        <is>
          <t>인천시 서구</t>
        </is>
      </c>
      <c r="AH1316" s="0" t="n">
        <v>0</v>
      </c>
      <c r="AI1316" s="0" t="n">
        <v>186</v>
      </c>
      <c r="AJ1316" s="0" t="n">
        <v>13</v>
      </c>
      <c r="AK1316" s="0" t="n">
        <v>1805</v>
      </c>
      <c r="AL1316" s="0" t="n">
        <v>1.45</v>
      </c>
    </row>
    <row r="1317">
      <c r="A1317" s="0" t="inlineStr">
        <is>
          <t>[원당동]</t>
        </is>
      </c>
      <c r="B1317" s="0" t="n">
        <v>124980</v>
      </c>
      <c r="C1317" s="0" t="n">
        <v>1</v>
      </c>
      <c r="D1317" s="0" t="inlineStr">
        <is>
          <t>검단신도시푸르지오더베뉴</t>
        </is>
      </c>
      <c r="E1317" s="0" t="inlineStr">
        <is>
          <t>2021.08.</t>
        </is>
      </c>
      <c r="F1317" s="0" t="n">
        <v>1540</v>
      </c>
      <c r="G1317" s="0" t="n">
        <v>29.96</v>
      </c>
      <c r="H1317" s="0" t="n">
        <v>99.06999999999999</v>
      </c>
      <c r="I1317" s="0" t="n">
        <v>22.94</v>
      </c>
      <c r="J1317" s="0" t="n">
        <v>75.84</v>
      </c>
      <c r="K1317" s="0" t="n">
        <v>172</v>
      </c>
      <c r="T1317" s="0" t="n">
        <v>3</v>
      </c>
      <c r="U1317" s="0" t="n">
        <v>2</v>
      </c>
      <c r="V1317" s="0" t="inlineStr">
        <is>
          <t>계단식</t>
        </is>
      </c>
      <c r="W1317" s="0" t="n">
        <v>99</v>
      </c>
      <c r="X1317" s="0" t="n">
        <v>29</v>
      </c>
      <c r="Y1317" s="0" t="n">
        <v>18</v>
      </c>
      <c r="Z1317" s="0" t="inlineStr">
        <is>
          <t>https://new.land.naver.com/complexes/124980?tab=detail&amp;rf=Y</t>
        </is>
      </c>
      <c r="AA1317" s="0" t="inlineStr">
        <is>
          <t>인천시 서구 원당동 1018</t>
        </is>
      </c>
      <c r="AB1317" s="0" t="inlineStr">
        <is>
          <t>인천시</t>
        </is>
      </c>
      <c r="AC1317" s="0" t="inlineStr">
        <is>
          <t>서구</t>
        </is>
      </c>
      <c r="AD1317" s="0" t="inlineStr">
        <is>
          <t>원당동</t>
        </is>
      </c>
      <c r="AG1317" s="0" t="inlineStr">
        <is>
          <t>인천시 서구 이음6로 33</t>
        </is>
      </c>
      <c r="AH1317" s="0" t="n">
        <v>0</v>
      </c>
      <c r="AI1317" s="0" t="n">
        <v>0</v>
      </c>
      <c r="AJ1317" s="0" t="n">
        <v>0</v>
      </c>
      <c r="AK1317" s="0" t="n">
        <v>2151</v>
      </c>
      <c r="AL1317" s="0" t="n">
        <v>1.4</v>
      </c>
    </row>
    <row r="1318">
      <c r="A1318" s="0" t="inlineStr">
        <is>
          <t>[원당동]</t>
        </is>
      </c>
      <c r="B1318" s="0" t="n">
        <v>124980</v>
      </c>
      <c r="C1318" s="0" t="n">
        <v>2</v>
      </c>
      <c r="D1318" s="0" t="inlineStr">
        <is>
          <t>검단신도시푸르지오더베뉴</t>
        </is>
      </c>
      <c r="E1318" s="0" t="inlineStr">
        <is>
          <t>2021.08.</t>
        </is>
      </c>
      <c r="F1318" s="0" t="n">
        <v>1540</v>
      </c>
      <c r="G1318" s="0" t="n">
        <v>33.18</v>
      </c>
      <c r="H1318" s="0" t="n">
        <v>109.71</v>
      </c>
      <c r="I1318" s="0" t="n">
        <v>25.69</v>
      </c>
      <c r="J1318" s="0" t="n">
        <v>84.93000000000001</v>
      </c>
      <c r="K1318" s="0" t="n">
        <v>642</v>
      </c>
      <c r="T1318" s="0" t="n">
        <v>4</v>
      </c>
      <c r="U1318" s="0" t="n">
        <v>2</v>
      </c>
      <c r="V1318" s="0" t="inlineStr">
        <is>
          <t>계단식</t>
        </is>
      </c>
      <c r="W1318" s="0" t="inlineStr">
        <is>
          <t>109A</t>
        </is>
      </c>
      <c r="X1318" s="0" t="n">
        <v>29</v>
      </c>
      <c r="Y1318" s="0" t="n">
        <v>18</v>
      </c>
      <c r="Z1318" s="0" t="inlineStr">
        <is>
          <t>https://new.land.naver.com/complexes/124980?tab=detail&amp;rf=Y</t>
        </is>
      </c>
      <c r="AA1318" s="0" t="inlineStr">
        <is>
          <t>인천시 서구 원당동 1018</t>
        </is>
      </c>
      <c r="AB1318" s="0" t="inlineStr">
        <is>
          <t>인천시</t>
        </is>
      </c>
      <c r="AC1318" s="0" t="inlineStr">
        <is>
          <t>서구</t>
        </is>
      </c>
      <c r="AD1318" s="0" t="inlineStr">
        <is>
          <t>원당동</t>
        </is>
      </c>
      <c r="AG1318" s="0" t="inlineStr">
        <is>
          <t>인천시 서구 이음6로 33</t>
        </is>
      </c>
      <c r="AH1318" s="0" t="n">
        <v>0</v>
      </c>
      <c r="AI1318" s="0" t="n">
        <v>0</v>
      </c>
      <c r="AJ1318" s="0" t="n">
        <v>0</v>
      </c>
      <c r="AK1318" s="0" t="n">
        <v>2151</v>
      </c>
      <c r="AL1318" s="0" t="n">
        <v>1.4</v>
      </c>
    </row>
    <row r="1319">
      <c r="A1319" s="0" t="inlineStr">
        <is>
          <t>[원당동]</t>
        </is>
      </c>
      <c r="B1319" s="0" t="n">
        <v>124980</v>
      </c>
      <c r="C1319" s="0" t="n">
        <v>3</v>
      </c>
      <c r="D1319" s="0" t="inlineStr">
        <is>
          <t>검단신도시푸르지오더베뉴</t>
        </is>
      </c>
      <c r="E1319" s="0" t="inlineStr">
        <is>
          <t>2021.08.</t>
        </is>
      </c>
      <c r="F1319" s="0" t="n">
        <v>1540</v>
      </c>
      <c r="G1319" s="0" t="n">
        <v>33.45</v>
      </c>
      <c r="H1319" s="0" t="n">
        <v>110.61</v>
      </c>
      <c r="I1319" s="0" t="n">
        <v>25.7</v>
      </c>
      <c r="J1319" s="0" t="n">
        <v>84.98</v>
      </c>
      <c r="K1319" s="0" t="n">
        <v>234</v>
      </c>
      <c r="T1319" s="0" t="n">
        <v>3</v>
      </c>
      <c r="U1319" s="0" t="n">
        <v>2</v>
      </c>
      <c r="V1319" s="0" t="inlineStr">
        <is>
          <t>계단식</t>
        </is>
      </c>
      <c r="W1319" s="0" t="inlineStr">
        <is>
          <t>110B</t>
        </is>
      </c>
      <c r="X1319" s="0" t="n">
        <v>29</v>
      </c>
      <c r="Y1319" s="0" t="n">
        <v>18</v>
      </c>
      <c r="Z1319" s="0" t="inlineStr">
        <is>
          <t>https://new.land.naver.com/complexes/124980?tab=detail&amp;rf=Y</t>
        </is>
      </c>
      <c r="AA1319" s="0" t="inlineStr">
        <is>
          <t>인천시 서구 원당동 1018</t>
        </is>
      </c>
      <c r="AB1319" s="0" t="inlineStr">
        <is>
          <t>인천시</t>
        </is>
      </c>
      <c r="AC1319" s="0" t="inlineStr">
        <is>
          <t>서구</t>
        </is>
      </c>
      <c r="AD1319" s="0" t="inlineStr">
        <is>
          <t>원당동</t>
        </is>
      </c>
      <c r="AG1319" s="0" t="inlineStr">
        <is>
          <t>인천시 서구 이음6로 33</t>
        </is>
      </c>
      <c r="AH1319" s="0" t="n">
        <v>0</v>
      </c>
      <c r="AI1319" s="0" t="n">
        <v>0</v>
      </c>
      <c r="AJ1319" s="0" t="n">
        <v>0</v>
      </c>
      <c r="AK1319" s="0" t="n">
        <v>2151</v>
      </c>
      <c r="AL1319" s="0" t="n">
        <v>1.4</v>
      </c>
    </row>
    <row r="1320">
      <c r="A1320" s="0" t="inlineStr">
        <is>
          <t>[원당동]</t>
        </is>
      </c>
      <c r="B1320" s="0" t="n">
        <v>124980</v>
      </c>
      <c r="C1320" s="0" t="n">
        <v>4</v>
      </c>
      <c r="D1320" s="0" t="inlineStr">
        <is>
          <t>검단신도시푸르지오더베뉴</t>
        </is>
      </c>
      <c r="E1320" s="0" t="inlineStr">
        <is>
          <t>2021.08.</t>
        </is>
      </c>
      <c r="F1320" s="0" t="n">
        <v>1540</v>
      </c>
      <c r="G1320" s="0" t="n">
        <v>33.33</v>
      </c>
      <c r="H1320" s="0" t="n">
        <v>110.19</v>
      </c>
      <c r="I1320" s="0" t="n">
        <v>25.68</v>
      </c>
      <c r="J1320" s="0" t="n">
        <v>84.92</v>
      </c>
      <c r="K1320" s="0" t="n">
        <v>166</v>
      </c>
      <c r="T1320" s="0" t="n">
        <v>3</v>
      </c>
      <c r="U1320" s="0" t="n">
        <v>2</v>
      </c>
      <c r="V1320" s="0" t="inlineStr">
        <is>
          <t>계단식</t>
        </is>
      </c>
      <c r="W1320" s="0" t="inlineStr">
        <is>
          <t>110C</t>
        </is>
      </c>
      <c r="X1320" s="0" t="n">
        <v>29</v>
      </c>
      <c r="Y1320" s="0" t="n">
        <v>18</v>
      </c>
      <c r="Z1320" s="0" t="inlineStr">
        <is>
          <t>https://new.land.naver.com/complexes/124980?tab=detail&amp;rf=Y</t>
        </is>
      </c>
      <c r="AA1320" s="0" t="inlineStr">
        <is>
          <t>인천시 서구 원당동 1018</t>
        </is>
      </c>
      <c r="AB1320" s="0" t="inlineStr">
        <is>
          <t>인천시</t>
        </is>
      </c>
      <c r="AC1320" s="0" t="inlineStr">
        <is>
          <t>서구</t>
        </is>
      </c>
      <c r="AD1320" s="0" t="inlineStr">
        <is>
          <t>원당동</t>
        </is>
      </c>
      <c r="AG1320" s="0" t="inlineStr">
        <is>
          <t>인천시 서구 이음6로 33</t>
        </is>
      </c>
      <c r="AH1320" s="0" t="n">
        <v>0</v>
      </c>
      <c r="AI1320" s="0" t="n">
        <v>0</v>
      </c>
      <c r="AJ1320" s="0" t="n">
        <v>0</v>
      </c>
      <c r="AK1320" s="0" t="n">
        <v>2151</v>
      </c>
      <c r="AL1320" s="0" t="n">
        <v>1.4</v>
      </c>
    </row>
    <row r="1321">
      <c r="A1321" s="0" t="inlineStr">
        <is>
          <t>[원당동]</t>
        </is>
      </c>
      <c r="B1321" s="0" t="n">
        <v>124980</v>
      </c>
      <c r="C1321" s="0" t="n">
        <v>5</v>
      </c>
      <c r="D1321" s="0" t="inlineStr">
        <is>
          <t>검단신도시푸르지오더베뉴</t>
        </is>
      </c>
      <c r="E1321" s="0" t="inlineStr">
        <is>
          <t>2021.08.</t>
        </is>
      </c>
      <c r="F1321" s="0" t="n">
        <v>1540</v>
      </c>
      <c r="G1321" s="0" t="n">
        <v>41.15</v>
      </c>
      <c r="H1321" s="0" t="n">
        <v>136.06</v>
      </c>
      <c r="I1321" s="0" t="n">
        <v>31.91</v>
      </c>
      <c r="J1321" s="0" t="n">
        <v>105.52</v>
      </c>
      <c r="K1321" s="0" t="n">
        <v>326</v>
      </c>
      <c r="T1321" s="0" t="n">
        <v>4</v>
      </c>
      <c r="U1321" s="0" t="n">
        <v>2</v>
      </c>
      <c r="V1321" s="0" t="inlineStr">
        <is>
          <t>계단식</t>
        </is>
      </c>
      <c r="W1321" s="0" t="n">
        <v>136</v>
      </c>
      <c r="X1321" s="0" t="n">
        <v>29</v>
      </c>
      <c r="Y1321" s="0" t="n">
        <v>18</v>
      </c>
      <c r="Z1321" s="0" t="inlineStr">
        <is>
          <t>https://new.land.naver.com/complexes/124980?tab=detail&amp;rf=Y</t>
        </is>
      </c>
      <c r="AA1321" s="0" t="inlineStr">
        <is>
          <t>인천시 서구 원당동 1018</t>
        </is>
      </c>
      <c r="AB1321" s="0" t="inlineStr">
        <is>
          <t>인천시</t>
        </is>
      </c>
      <c r="AC1321" s="0" t="inlineStr">
        <is>
          <t>서구</t>
        </is>
      </c>
      <c r="AD1321" s="0" t="inlineStr">
        <is>
          <t>원당동</t>
        </is>
      </c>
      <c r="AG1321" s="0" t="inlineStr">
        <is>
          <t>인천시 서구 이음6로 33</t>
        </is>
      </c>
      <c r="AH1321" s="0" t="n">
        <v>0</v>
      </c>
      <c r="AI1321" s="0" t="n">
        <v>0</v>
      </c>
      <c r="AJ1321" s="0" t="n">
        <v>0</v>
      </c>
      <c r="AK1321" s="0" t="n">
        <v>2151</v>
      </c>
      <c r="AL1321" s="0" t="n">
        <v>1.4</v>
      </c>
    </row>
    <row r="1322">
      <c r="A1322" s="0" t="inlineStr">
        <is>
          <t>[원당동]</t>
        </is>
      </c>
      <c r="B1322" s="0" t="n">
        <v>128034</v>
      </c>
      <c r="C1322" s="0" t="n">
        <v>1</v>
      </c>
      <c r="D1322" s="0" t="inlineStr">
        <is>
          <t>검단신도시대광로제비앙</t>
        </is>
      </c>
      <c r="E1322" s="0" t="inlineStr">
        <is>
          <t>2022.07.</t>
        </is>
      </c>
      <c r="F1322" s="0" t="n">
        <v>735</v>
      </c>
      <c r="G1322" s="0" t="n">
        <v>30.04</v>
      </c>
      <c r="H1322" s="0" t="n">
        <v>99.33</v>
      </c>
      <c r="I1322" s="0" t="n">
        <v>23.9</v>
      </c>
      <c r="J1322" s="0" t="n">
        <v>79.01000000000001</v>
      </c>
      <c r="K1322" s="0" t="n">
        <v>139</v>
      </c>
      <c r="T1322" s="0" t="n">
        <v>3</v>
      </c>
      <c r="U1322" s="0" t="n">
        <v>2</v>
      </c>
      <c r="V1322" s="0" t="inlineStr">
        <is>
          <t>계단식</t>
        </is>
      </c>
      <c r="W1322" s="0" t="inlineStr">
        <is>
          <t>99A</t>
        </is>
      </c>
      <c r="X1322" s="0" t="n">
        <v>20</v>
      </c>
      <c r="Y1322" s="0" t="n">
        <v>20</v>
      </c>
      <c r="Z1322" s="0" t="inlineStr">
        <is>
          <t>https://new.land.naver.com/complexes/128034?tab=detail&amp;rf=Y</t>
        </is>
      </c>
      <c r="AA1322" s="0" t="inlineStr">
        <is>
          <t>인천시 서구 원당동 검단신도시 AA12-1블록</t>
        </is>
      </c>
      <c r="AB1322" s="0" t="inlineStr">
        <is>
          <t>인천시</t>
        </is>
      </c>
      <c r="AC1322" s="0" t="inlineStr">
        <is>
          <t>서구</t>
        </is>
      </c>
      <c r="AD1322" s="0" t="inlineStr">
        <is>
          <t>원당동</t>
        </is>
      </c>
      <c r="AG1322" s="0" t="inlineStr">
        <is>
          <t>인천시 서구</t>
        </is>
      </c>
      <c r="AH1322" s="0" t="n">
        <v>0</v>
      </c>
      <c r="AI1322" s="0" t="n">
        <v>179</v>
      </c>
      <c r="AJ1322" s="0" t="n">
        <v>14</v>
      </c>
      <c r="AK1322" s="0" t="n">
        <v>994</v>
      </c>
      <c r="AL1322" s="0" t="n">
        <v>1.35</v>
      </c>
    </row>
    <row r="1323">
      <c r="A1323" s="0" t="inlineStr">
        <is>
          <t>[원당동]</t>
        </is>
      </c>
      <c r="B1323" s="0" t="n">
        <v>128034</v>
      </c>
      <c r="C1323" s="0" t="n">
        <v>2</v>
      </c>
      <c r="D1323" s="0" t="inlineStr">
        <is>
          <t>검단신도시대광로제비앙</t>
        </is>
      </c>
      <c r="E1323" s="0" t="inlineStr">
        <is>
          <t>2022.07.</t>
        </is>
      </c>
      <c r="F1323" s="0" t="n">
        <v>735</v>
      </c>
      <c r="G1323" s="0" t="n">
        <v>30.03</v>
      </c>
      <c r="H1323" s="0" t="n">
        <v>99.29000000000001</v>
      </c>
      <c r="I1323" s="0" t="n">
        <v>24</v>
      </c>
      <c r="J1323" s="0" t="n">
        <v>79.34999999999999</v>
      </c>
      <c r="K1323" s="0" t="n">
        <v>100</v>
      </c>
      <c r="T1323" s="0" t="n">
        <v>3</v>
      </c>
      <c r="U1323" s="0" t="n">
        <v>2</v>
      </c>
      <c r="V1323" s="0" t="inlineStr">
        <is>
          <t>계단식</t>
        </is>
      </c>
      <c r="W1323" s="0" t="inlineStr">
        <is>
          <t>99B</t>
        </is>
      </c>
      <c r="X1323" s="0" t="n">
        <v>20</v>
      </c>
      <c r="Y1323" s="0" t="n">
        <v>20</v>
      </c>
      <c r="Z1323" s="0" t="inlineStr">
        <is>
          <t>https://new.land.naver.com/complexes/128034?tab=detail&amp;rf=Y</t>
        </is>
      </c>
      <c r="AA1323" s="0" t="inlineStr">
        <is>
          <t>인천시 서구 원당동 검단신도시 AA12-1블록</t>
        </is>
      </c>
      <c r="AB1323" s="0" t="inlineStr">
        <is>
          <t>인천시</t>
        </is>
      </c>
      <c r="AC1323" s="0" t="inlineStr">
        <is>
          <t>서구</t>
        </is>
      </c>
      <c r="AD1323" s="0" t="inlineStr">
        <is>
          <t>원당동</t>
        </is>
      </c>
      <c r="AG1323" s="0" t="inlineStr">
        <is>
          <t>인천시 서구</t>
        </is>
      </c>
      <c r="AH1323" s="0" t="n">
        <v>0</v>
      </c>
      <c r="AI1323" s="0" t="n">
        <v>179</v>
      </c>
      <c r="AJ1323" s="0" t="n">
        <v>14</v>
      </c>
      <c r="AK1323" s="0" t="n">
        <v>994</v>
      </c>
      <c r="AL1323" s="0" t="n">
        <v>1.35</v>
      </c>
    </row>
    <row r="1324">
      <c r="A1324" s="0" t="inlineStr">
        <is>
          <t>[원당동]</t>
        </is>
      </c>
      <c r="B1324" s="0" t="n">
        <v>128034</v>
      </c>
      <c r="C1324" s="0" t="n">
        <v>3</v>
      </c>
      <c r="D1324" s="0" t="inlineStr">
        <is>
          <t>검단신도시대광로제비앙</t>
        </is>
      </c>
      <c r="E1324" s="0" t="inlineStr">
        <is>
          <t>2022.07.</t>
        </is>
      </c>
      <c r="F1324" s="0" t="n">
        <v>735</v>
      </c>
      <c r="G1324" s="0" t="n">
        <v>32.05</v>
      </c>
      <c r="H1324" s="0" t="n">
        <v>105.97</v>
      </c>
      <c r="I1324" s="0" t="n">
        <v>25.53</v>
      </c>
      <c r="J1324" s="0" t="n">
        <v>84.41</v>
      </c>
      <c r="K1324" s="0" t="n">
        <v>316</v>
      </c>
      <c r="T1324" s="0" t="n">
        <v>4</v>
      </c>
      <c r="U1324" s="0" t="n">
        <v>2</v>
      </c>
      <c r="V1324" s="0" t="inlineStr">
        <is>
          <t>계단식</t>
        </is>
      </c>
      <c r="W1324" s="0" t="inlineStr">
        <is>
          <t>105A</t>
        </is>
      </c>
      <c r="X1324" s="0" t="n">
        <v>20</v>
      </c>
      <c r="Y1324" s="0" t="n">
        <v>20</v>
      </c>
      <c r="Z1324" s="0" t="inlineStr">
        <is>
          <t>https://new.land.naver.com/complexes/128034?tab=detail&amp;rf=Y</t>
        </is>
      </c>
      <c r="AA1324" s="0" t="inlineStr">
        <is>
          <t>인천시 서구 원당동 검단신도시 AA12-1블록</t>
        </is>
      </c>
      <c r="AB1324" s="0" t="inlineStr">
        <is>
          <t>인천시</t>
        </is>
      </c>
      <c r="AC1324" s="0" t="inlineStr">
        <is>
          <t>서구</t>
        </is>
      </c>
      <c r="AD1324" s="0" t="inlineStr">
        <is>
          <t>원당동</t>
        </is>
      </c>
      <c r="AG1324" s="0" t="inlineStr">
        <is>
          <t>인천시 서구</t>
        </is>
      </c>
      <c r="AH1324" s="0" t="n">
        <v>0</v>
      </c>
      <c r="AI1324" s="0" t="n">
        <v>179</v>
      </c>
      <c r="AJ1324" s="0" t="n">
        <v>14</v>
      </c>
      <c r="AK1324" s="0" t="n">
        <v>994</v>
      </c>
      <c r="AL1324" s="0" t="n">
        <v>1.35</v>
      </c>
    </row>
    <row r="1325">
      <c r="A1325" s="0" t="inlineStr">
        <is>
          <t>[원당동]</t>
        </is>
      </c>
      <c r="B1325" s="0" t="n">
        <v>128034</v>
      </c>
      <c r="C1325" s="0" t="n">
        <v>4</v>
      </c>
      <c r="D1325" s="0" t="inlineStr">
        <is>
          <t>검단신도시대광로제비앙</t>
        </is>
      </c>
      <c r="E1325" s="0" t="inlineStr">
        <is>
          <t>2022.07.</t>
        </is>
      </c>
      <c r="F1325" s="0" t="n">
        <v>735</v>
      </c>
      <c r="G1325" s="0" t="n">
        <v>32.73</v>
      </c>
      <c r="H1325" s="0" t="n">
        <v>108.21</v>
      </c>
      <c r="I1325" s="0" t="n">
        <v>25.65</v>
      </c>
      <c r="J1325" s="0" t="n">
        <v>84.8</v>
      </c>
      <c r="K1325" s="0" t="n">
        <v>180</v>
      </c>
      <c r="T1325" s="0" t="n">
        <v>4</v>
      </c>
      <c r="U1325" s="0" t="n">
        <v>2</v>
      </c>
      <c r="V1325" s="0" t="inlineStr">
        <is>
          <t>계단식</t>
        </is>
      </c>
      <c r="W1325" s="0" t="inlineStr">
        <is>
          <t>108B</t>
        </is>
      </c>
      <c r="X1325" s="0" t="n">
        <v>20</v>
      </c>
      <c r="Y1325" s="0" t="n">
        <v>20</v>
      </c>
      <c r="Z1325" s="0" t="inlineStr">
        <is>
          <t>https://new.land.naver.com/complexes/128034?tab=detail&amp;rf=Y</t>
        </is>
      </c>
      <c r="AA1325" s="0" t="inlineStr">
        <is>
          <t>인천시 서구 원당동 검단신도시 AA12-1블록</t>
        </is>
      </c>
      <c r="AB1325" s="0" t="inlineStr">
        <is>
          <t>인천시</t>
        </is>
      </c>
      <c r="AC1325" s="0" t="inlineStr">
        <is>
          <t>서구</t>
        </is>
      </c>
      <c r="AD1325" s="0" t="inlineStr">
        <is>
          <t>원당동</t>
        </is>
      </c>
      <c r="AG1325" s="0" t="inlineStr">
        <is>
          <t>인천시 서구</t>
        </is>
      </c>
      <c r="AH1325" s="0" t="n">
        <v>0</v>
      </c>
      <c r="AI1325" s="0" t="n">
        <v>179</v>
      </c>
      <c r="AJ1325" s="0" t="n">
        <v>14</v>
      </c>
      <c r="AK1325" s="0" t="n">
        <v>994</v>
      </c>
      <c r="AL1325" s="0" t="n">
        <v>1.35</v>
      </c>
    </row>
    <row r="1326">
      <c r="A1326" s="0" t="inlineStr">
        <is>
          <t>[원당동]</t>
        </is>
      </c>
      <c r="B1326" s="0" t="n">
        <v>145337</v>
      </c>
      <c r="C1326" s="0" t="n">
        <v>1</v>
      </c>
      <c r="D1326" s="0" t="inlineStr">
        <is>
          <t>인천검단AA13-1블록</t>
        </is>
      </c>
      <c r="E1326" s="0" t="inlineStr">
        <is>
          <t>2023.12.</t>
        </is>
      </c>
      <c r="F1326" s="0" t="n">
        <v>702</v>
      </c>
      <c r="G1326" s="0" t="n">
        <v>28.88</v>
      </c>
      <c r="H1326" s="0" t="n">
        <v>95.5</v>
      </c>
      <c r="I1326" s="0" t="n">
        <v>22.61</v>
      </c>
      <c r="J1326" s="0" t="n">
        <v>74.75</v>
      </c>
      <c r="K1326" s="0" t="n">
        <v>265</v>
      </c>
      <c r="T1326" s="0" t="n">
        <v>3</v>
      </c>
      <c r="U1326" s="0" t="n">
        <v>2</v>
      </c>
      <c r="V1326" s="0" t="inlineStr">
        <is>
          <t>계단식</t>
        </is>
      </c>
      <c r="W1326" s="0" t="inlineStr">
        <is>
          <t>95A</t>
        </is>
      </c>
      <c r="X1326" s="0" t="n">
        <v>25</v>
      </c>
      <c r="Y1326" s="0" t="n">
        <v>22</v>
      </c>
      <c r="Z1326" s="0" t="inlineStr">
        <is>
          <t>https://new.land.naver.com/complexes/145337?tab=detail&amp;rf=Y</t>
        </is>
      </c>
      <c r="AA1326" s="0" t="inlineStr">
        <is>
          <t>인천시 서구 원당동 인천검단지구 AA13-1블록</t>
        </is>
      </c>
      <c r="AB1326" s="0" t="inlineStr">
        <is>
          <t>인천시</t>
        </is>
      </c>
      <c r="AC1326" s="0" t="inlineStr">
        <is>
          <t>서구</t>
        </is>
      </c>
      <c r="AD1326" s="0" t="inlineStr">
        <is>
          <t>원당동</t>
        </is>
      </c>
      <c r="AG1326" s="0" t="inlineStr">
        <is>
          <t>인천시 서구</t>
        </is>
      </c>
      <c r="AH1326" s="0" t="n">
        <v>0</v>
      </c>
      <c r="AI1326" s="0" t="n">
        <v>0</v>
      </c>
      <c r="AJ1326" s="0" t="n">
        <v>0</v>
      </c>
      <c r="AK1326" s="0" t="n">
        <v>905</v>
      </c>
      <c r="AL1326" s="0" t="n">
        <v>1.29</v>
      </c>
    </row>
    <row r="1327">
      <c r="A1327" s="0" t="inlineStr">
        <is>
          <t>[원당동]</t>
        </is>
      </c>
      <c r="B1327" s="0" t="n">
        <v>145337</v>
      </c>
      <c r="C1327" s="0" t="n">
        <v>2</v>
      </c>
      <c r="D1327" s="0" t="inlineStr">
        <is>
          <t>인천검단AA13-1블록</t>
        </is>
      </c>
      <c r="E1327" s="0" t="inlineStr">
        <is>
          <t>2023.12.</t>
        </is>
      </c>
      <c r="F1327" s="0" t="n">
        <v>702</v>
      </c>
      <c r="G1327" s="0" t="n">
        <v>32.8</v>
      </c>
      <c r="H1327" s="0" t="n">
        <v>108.45</v>
      </c>
      <c r="I1327" s="0" t="n">
        <v>25.67</v>
      </c>
      <c r="J1327" s="0" t="n">
        <v>84.89</v>
      </c>
      <c r="K1327" s="0" t="n">
        <v>170</v>
      </c>
      <c r="T1327" s="0" t="n">
        <v>3</v>
      </c>
      <c r="U1327" s="0" t="n">
        <v>2</v>
      </c>
      <c r="V1327" s="0" t="inlineStr">
        <is>
          <t>계단식</t>
        </is>
      </c>
      <c r="W1327" s="0" t="inlineStr">
        <is>
          <t>108B</t>
        </is>
      </c>
      <c r="X1327" s="0" t="n">
        <v>25</v>
      </c>
      <c r="Y1327" s="0" t="n">
        <v>22</v>
      </c>
      <c r="Z1327" s="0" t="inlineStr">
        <is>
          <t>https://new.land.naver.com/complexes/145337?tab=detail&amp;rf=Y</t>
        </is>
      </c>
      <c r="AA1327" s="0" t="inlineStr">
        <is>
          <t>인천시 서구 원당동 인천검단지구 AA13-1블록</t>
        </is>
      </c>
      <c r="AB1327" s="0" t="inlineStr">
        <is>
          <t>인천시</t>
        </is>
      </c>
      <c r="AC1327" s="0" t="inlineStr">
        <is>
          <t>서구</t>
        </is>
      </c>
      <c r="AD1327" s="0" t="inlineStr">
        <is>
          <t>원당동</t>
        </is>
      </c>
      <c r="AG1327" s="0" t="inlineStr">
        <is>
          <t>인천시 서구</t>
        </is>
      </c>
      <c r="AH1327" s="0" t="n">
        <v>0</v>
      </c>
      <c r="AI1327" s="0" t="n">
        <v>0</v>
      </c>
      <c r="AJ1327" s="0" t="n">
        <v>0</v>
      </c>
      <c r="AK1327" s="0" t="n">
        <v>905</v>
      </c>
      <c r="AL1327" s="0" t="n">
        <v>1.29</v>
      </c>
    </row>
    <row r="1328">
      <c r="A1328" s="0" t="inlineStr">
        <is>
          <t>[원당동]</t>
        </is>
      </c>
      <c r="B1328" s="0" t="n">
        <v>145337</v>
      </c>
      <c r="C1328" s="0" t="n">
        <v>3</v>
      </c>
      <c r="D1328" s="0" t="inlineStr">
        <is>
          <t>인천검단AA13-1블록</t>
        </is>
      </c>
      <c r="E1328" s="0" t="inlineStr">
        <is>
          <t>2023.12.</t>
        </is>
      </c>
      <c r="F1328" s="0" t="n">
        <v>702</v>
      </c>
      <c r="G1328" s="0" t="n">
        <v>32.76</v>
      </c>
      <c r="H1328" s="0" t="n">
        <v>108.32</v>
      </c>
      <c r="I1328" s="0" t="n">
        <v>25.64</v>
      </c>
      <c r="J1328" s="0" t="n">
        <v>84.79000000000001</v>
      </c>
      <c r="K1328" s="0" t="n">
        <v>143</v>
      </c>
      <c r="T1328" s="0" t="n">
        <v>3</v>
      </c>
      <c r="U1328" s="0" t="n">
        <v>2</v>
      </c>
      <c r="V1328" s="0" t="inlineStr">
        <is>
          <t>계단식</t>
        </is>
      </c>
      <c r="W1328" s="0" t="inlineStr">
        <is>
          <t>108C</t>
        </is>
      </c>
      <c r="X1328" s="0" t="n">
        <v>25</v>
      </c>
      <c r="Y1328" s="0" t="n">
        <v>22</v>
      </c>
      <c r="Z1328" s="0" t="inlineStr">
        <is>
          <t>https://new.land.naver.com/complexes/145337?tab=detail&amp;rf=Y</t>
        </is>
      </c>
      <c r="AA1328" s="0" t="inlineStr">
        <is>
          <t>인천시 서구 원당동 인천검단지구 AA13-1블록</t>
        </is>
      </c>
      <c r="AB1328" s="0" t="inlineStr">
        <is>
          <t>인천시</t>
        </is>
      </c>
      <c r="AC1328" s="0" t="inlineStr">
        <is>
          <t>서구</t>
        </is>
      </c>
      <c r="AD1328" s="0" t="inlineStr">
        <is>
          <t>원당동</t>
        </is>
      </c>
      <c r="AG1328" s="0" t="inlineStr">
        <is>
          <t>인천시 서구</t>
        </is>
      </c>
      <c r="AH1328" s="0" t="n">
        <v>0</v>
      </c>
      <c r="AI1328" s="0" t="n">
        <v>0</v>
      </c>
      <c r="AJ1328" s="0" t="n">
        <v>0</v>
      </c>
      <c r="AK1328" s="0" t="n">
        <v>905</v>
      </c>
      <c r="AL1328" s="0" t="n">
        <v>1.29</v>
      </c>
    </row>
    <row r="1329">
      <c r="A1329" s="0" t="inlineStr">
        <is>
          <t>[원당동]</t>
        </is>
      </c>
      <c r="B1329" s="0" t="n">
        <v>145337</v>
      </c>
      <c r="C1329" s="0" t="n">
        <v>4</v>
      </c>
      <c r="D1329" s="0" t="inlineStr">
        <is>
          <t>인천검단AA13-1블록</t>
        </is>
      </c>
      <c r="E1329" s="0" t="inlineStr">
        <is>
          <t>2023.12.</t>
        </is>
      </c>
      <c r="F1329" s="0" t="n">
        <v>702</v>
      </c>
      <c r="G1329" s="0" t="n">
        <v>32.73</v>
      </c>
      <c r="H1329" s="0" t="n">
        <v>108.22</v>
      </c>
      <c r="I1329" s="0" t="n">
        <v>25.62</v>
      </c>
      <c r="J1329" s="0" t="n">
        <v>84.70999999999999</v>
      </c>
      <c r="K1329" s="0" t="n">
        <v>124</v>
      </c>
      <c r="T1329" s="0" t="n">
        <v>3</v>
      </c>
      <c r="U1329" s="0" t="n">
        <v>2</v>
      </c>
      <c r="V1329" s="0" t="inlineStr">
        <is>
          <t>계단식</t>
        </is>
      </c>
      <c r="W1329" s="0" t="inlineStr">
        <is>
          <t>108A</t>
        </is>
      </c>
      <c r="X1329" s="0" t="n">
        <v>25</v>
      </c>
      <c r="Y1329" s="0" t="n">
        <v>22</v>
      </c>
      <c r="Z1329" s="0" t="inlineStr">
        <is>
          <t>https://new.land.naver.com/complexes/145337?tab=detail&amp;rf=Y</t>
        </is>
      </c>
      <c r="AA1329" s="0" t="inlineStr">
        <is>
          <t>인천시 서구 원당동 인천검단지구 AA13-1블록</t>
        </is>
      </c>
      <c r="AB1329" s="0" t="inlineStr">
        <is>
          <t>인천시</t>
        </is>
      </c>
      <c r="AC1329" s="0" t="inlineStr">
        <is>
          <t>서구</t>
        </is>
      </c>
      <c r="AD1329" s="0" t="inlineStr">
        <is>
          <t>원당동</t>
        </is>
      </c>
      <c r="AG1329" s="0" t="inlineStr">
        <is>
          <t>인천시 서구</t>
        </is>
      </c>
      <c r="AH1329" s="0" t="n">
        <v>0</v>
      </c>
      <c r="AI1329" s="0" t="n">
        <v>0</v>
      </c>
      <c r="AJ1329" s="0" t="n">
        <v>0</v>
      </c>
      <c r="AK1329" s="0" t="n">
        <v>905</v>
      </c>
      <c r="AL1329" s="0" t="n">
        <v>1.29</v>
      </c>
    </row>
    <row r="1330">
      <c r="A1330" s="0" t="inlineStr">
        <is>
          <t>[원당동]</t>
        </is>
      </c>
      <c r="B1330" s="0" t="n">
        <v>124847</v>
      </c>
      <c r="C1330" s="0" t="n">
        <v>1</v>
      </c>
      <c r="D1330" s="0" t="inlineStr">
        <is>
          <t>호반써밋1차</t>
        </is>
      </c>
      <c r="E1330" s="0" t="inlineStr">
        <is>
          <t>2021.06.</t>
        </is>
      </c>
      <c r="F1330" s="0" t="n">
        <v>1168</v>
      </c>
      <c r="G1330" s="0" t="n">
        <v>29.15</v>
      </c>
      <c r="H1330" s="0" t="n">
        <v>96.38</v>
      </c>
      <c r="I1330" s="0" t="n">
        <v>21.94</v>
      </c>
      <c r="J1330" s="0" t="n">
        <v>72.54000000000001</v>
      </c>
      <c r="K1330" s="0" t="n">
        <v>205</v>
      </c>
      <c r="T1330" s="0" t="n">
        <v>3</v>
      </c>
      <c r="U1330" s="0" t="n">
        <v>2</v>
      </c>
      <c r="V1330" s="0" t="inlineStr">
        <is>
          <t>계단식</t>
        </is>
      </c>
      <c r="W1330" s="0" t="inlineStr">
        <is>
          <t>96A</t>
        </is>
      </c>
      <c r="X1330" s="0" t="n">
        <v>27</v>
      </c>
      <c r="Y1330" s="0" t="n">
        <v>20</v>
      </c>
      <c r="Z1330" s="0" t="inlineStr">
        <is>
          <t>https://new.land.naver.com/complexes/124847?tab=detail&amp;rf=Y</t>
        </is>
      </c>
      <c r="AA1330" s="0" t="inlineStr">
        <is>
          <t>인천시 서구 원당동 1022</t>
        </is>
      </c>
      <c r="AB1330" s="0" t="inlineStr">
        <is>
          <t>인천시</t>
        </is>
      </c>
      <c r="AC1330" s="0" t="inlineStr">
        <is>
          <t>서구</t>
        </is>
      </c>
      <c r="AD1330" s="0" t="inlineStr">
        <is>
          <t>원당동</t>
        </is>
      </c>
      <c r="AG1330" s="0" t="inlineStr">
        <is>
          <t>인천시 서구 이음5로 15</t>
        </is>
      </c>
      <c r="AH1330" s="0" t="n">
        <v>0</v>
      </c>
      <c r="AI1330" s="0" t="n">
        <v>208</v>
      </c>
      <c r="AJ1330" s="0" t="n">
        <v>15</v>
      </c>
      <c r="AK1330" s="0" t="n">
        <v>1483</v>
      </c>
      <c r="AL1330" s="0" t="n">
        <v>1.27</v>
      </c>
    </row>
    <row r="1331">
      <c r="A1331" s="0" t="inlineStr">
        <is>
          <t>[원당동]</t>
        </is>
      </c>
      <c r="B1331" s="0" t="n">
        <v>124847</v>
      </c>
      <c r="C1331" s="0" t="n">
        <v>2</v>
      </c>
      <c r="D1331" s="0" t="inlineStr">
        <is>
          <t>호반써밋1차</t>
        </is>
      </c>
      <c r="E1331" s="0" t="inlineStr">
        <is>
          <t>2021.06.</t>
        </is>
      </c>
      <c r="F1331" s="0" t="n">
        <v>1168</v>
      </c>
      <c r="G1331" s="0" t="n">
        <v>29.29</v>
      </c>
      <c r="H1331" s="0" t="n">
        <v>96.84</v>
      </c>
      <c r="I1331" s="0" t="n">
        <v>21.84</v>
      </c>
      <c r="J1331" s="0" t="n">
        <v>72.20999999999999</v>
      </c>
      <c r="K1331" s="0" t="n">
        <v>205</v>
      </c>
      <c r="T1331" s="0" t="n">
        <v>3</v>
      </c>
      <c r="U1331" s="0" t="n">
        <v>2</v>
      </c>
      <c r="V1331" s="0" t="inlineStr">
        <is>
          <t>계단식</t>
        </is>
      </c>
      <c r="W1331" s="0" t="inlineStr">
        <is>
          <t>96B</t>
        </is>
      </c>
      <c r="X1331" s="0" t="n">
        <v>27</v>
      </c>
      <c r="Y1331" s="0" t="n">
        <v>20</v>
      </c>
      <c r="Z1331" s="0" t="inlineStr">
        <is>
          <t>https://new.land.naver.com/complexes/124847?tab=detail&amp;rf=Y</t>
        </is>
      </c>
      <c r="AA1331" s="0" t="inlineStr">
        <is>
          <t>인천시 서구 원당동 1022</t>
        </is>
      </c>
      <c r="AB1331" s="0" t="inlineStr">
        <is>
          <t>인천시</t>
        </is>
      </c>
      <c r="AC1331" s="0" t="inlineStr">
        <is>
          <t>서구</t>
        </is>
      </c>
      <c r="AD1331" s="0" t="inlineStr">
        <is>
          <t>원당동</t>
        </is>
      </c>
      <c r="AG1331" s="0" t="inlineStr">
        <is>
          <t>인천시 서구 이음5로 15</t>
        </is>
      </c>
      <c r="AH1331" s="0" t="n">
        <v>0</v>
      </c>
      <c r="AI1331" s="0" t="n">
        <v>208</v>
      </c>
      <c r="AJ1331" s="0" t="n">
        <v>15</v>
      </c>
      <c r="AK1331" s="0" t="n">
        <v>1483</v>
      </c>
      <c r="AL1331" s="0" t="n">
        <v>1.27</v>
      </c>
    </row>
    <row r="1332">
      <c r="A1332" s="0" t="inlineStr">
        <is>
          <t>[원당동]</t>
        </is>
      </c>
      <c r="B1332" s="0" t="n">
        <v>124847</v>
      </c>
      <c r="C1332" s="0" t="n">
        <v>3</v>
      </c>
      <c r="D1332" s="0" t="inlineStr">
        <is>
          <t>호반써밋1차</t>
        </is>
      </c>
      <c r="E1332" s="0" t="inlineStr">
        <is>
          <t>2021.06.</t>
        </is>
      </c>
      <c r="F1332" s="0" t="n">
        <v>1168</v>
      </c>
      <c r="G1332" s="0" t="n">
        <v>33.51</v>
      </c>
      <c r="H1332" s="0" t="n">
        <v>110.78</v>
      </c>
      <c r="I1332" s="0" t="n">
        <v>25.67</v>
      </c>
      <c r="J1332" s="0" t="n">
        <v>84.89</v>
      </c>
      <c r="K1332" s="0" t="n">
        <v>559</v>
      </c>
      <c r="T1332" s="0" t="n">
        <v>4</v>
      </c>
      <c r="U1332" s="0" t="n">
        <v>2</v>
      </c>
      <c r="V1332" s="0" t="inlineStr">
        <is>
          <t>계단식</t>
        </is>
      </c>
      <c r="W1332" s="0" t="inlineStr">
        <is>
          <t>110A</t>
        </is>
      </c>
      <c r="X1332" s="0" t="n">
        <v>27</v>
      </c>
      <c r="Y1332" s="0" t="n">
        <v>20</v>
      </c>
      <c r="Z1332" s="0" t="inlineStr">
        <is>
          <t>https://new.land.naver.com/complexes/124847?tab=detail&amp;rf=Y</t>
        </is>
      </c>
      <c r="AA1332" s="0" t="inlineStr">
        <is>
          <t>인천시 서구 원당동 1022</t>
        </is>
      </c>
      <c r="AB1332" s="0" t="inlineStr">
        <is>
          <t>인천시</t>
        </is>
      </c>
      <c r="AC1332" s="0" t="inlineStr">
        <is>
          <t>서구</t>
        </is>
      </c>
      <c r="AD1332" s="0" t="inlineStr">
        <is>
          <t>원당동</t>
        </is>
      </c>
      <c r="AG1332" s="0" t="inlineStr">
        <is>
          <t>인천시 서구 이음5로 15</t>
        </is>
      </c>
      <c r="AH1332" s="0" t="n">
        <v>0</v>
      </c>
      <c r="AI1332" s="0" t="n">
        <v>208</v>
      </c>
      <c r="AJ1332" s="0" t="n">
        <v>15</v>
      </c>
      <c r="AK1332" s="0" t="n">
        <v>1483</v>
      </c>
      <c r="AL1332" s="0" t="n">
        <v>1.27</v>
      </c>
    </row>
    <row r="1333">
      <c r="A1333" s="0" t="inlineStr">
        <is>
          <t>[원당동]</t>
        </is>
      </c>
      <c r="B1333" s="0" t="n">
        <v>124847</v>
      </c>
      <c r="C1333" s="0" t="n">
        <v>4</v>
      </c>
      <c r="D1333" s="0" t="inlineStr">
        <is>
          <t>호반써밋1차</t>
        </is>
      </c>
      <c r="E1333" s="0" t="inlineStr">
        <is>
          <t>2021.06.</t>
        </is>
      </c>
      <c r="F1333" s="0" t="n">
        <v>1168</v>
      </c>
      <c r="G1333" s="0" t="n">
        <v>33.56</v>
      </c>
      <c r="H1333" s="0" t="n">
        <v>110.95</v>
      </c>
      <c r="I1333" s="0" t="n">
        <v>25.67</v>
      </c>
      <c r="J1333" s="0" t="n">
        <v>84.89</v>
      </c>
      <c r="K1333" s="0" t="n">
        <v>199</v>
      </c>
      <c r="T1333" s="0" t="n">
        <v>4</v>
      </c>
      <c r="U1333" s="0" t="n">
        <v>2</v>
      </c>
      <c r="V1333" s="0" t="inlineStr">
        <is>
          <t>계단식</t>
        </is>
      </c>
      <c r="W1333" s="0" t="inlineStr">
        <is>
          <t>110B</t>
        </is>
      </c>
      <c r="X1333" s="0" t="n">
        <v>27</v>
      </c>
      <c r="Y1333" s="0" t="n">
        <v>20</v>
      </c>
      <c r="Z1333" s="0" t="inlineStr">
        <is>
          <t>https://new.land.naver.com/complexes/124847?tab=detail&amp;rf=Y</t>
        </is>
      </c>
      <c r="AA1333" s="0" t="inlineStr">
        <is>
          <t>인천시 서구 원당동 1022</t>
        </is>
      </c>
      <c r="AB1333" s="0" t="inlineStr">
        <is>
          <t>인천시</t>
        </is>
      </c>
      <c r="AC1333" s="0" t="inlineStr">
        <is>
          <t>서구</t>
        </is>
      </c>
      <c r="AD1333" s="0" t="inlineStr">
        <is>
          <t>원당동</t>
        </is>
      </c>
      <c r="AG1333" s="0" t="inlineStr">
        <is>
          <t>인천시 서구 이음5로 15</t>
        </is>
      </c>
      <c r="AH1333" s="0" t="n">
        <v>0</v>
      </c>
      <c r="AI1333" s="0" t="n">
        <v>208</v>
      </c>
      <c r="AJ1333" s="0" t="n">
        <v>15</v>
      </c>
      <c r="AK1333" s="0" t="n">
        <v>1483</v>
      </c>
      <c r="AL1333" s="0" t="n">
        <v>1.27</v>
      </c>
    </row>
    <row r="1334">
      <c r="A1334" s="0" t="inlineStr">
        <is>
          <t>[원당동]</t>
        </is>
      </c>
      <c r="B1334" s="0" t="n">
        <v>141228</v>
      </c>
      <c r="C1334" s="0" t="n">
        <v>1</v>
      </c>
      <c r="D1334" s="0" t="inlineStr">
        <is>
          <t>검단역금강펜테리움더시글로(주)</t>
        </is>
      </c>
      <c r="E1334" s="0" t="inlineStr">
        <is>
          <t>2024.01.</t>
        </is>
      </c>
      <c r="F1334" s="0" t="n">
        <v>447</v>
      </c>
      <c r="G1334" s="0" t="n">
        <v>34.83</v>
      </c>
      <c r="H1334" s="0" t="n">
        <v>115.15</v>
      </c>
      <c r="I1334" s="0" t="n">
        <v>25.7</v>
      </c>
      <c r="J1334" s="0" t="n">
        <v>84.98</v>
      </c>
      <c r="K1334" s="0" t="n">
        <v>195</v>
      </c>
      <c r="T1334" s="0" t="n">
        <v>3</v>
      </c>
      <c r="U1334" s="0" t="n">
        <v>2</v>
      </c>
      <c r="V1334" s="0" t="inlineStr">
        <is>
          <t>계단식</t>
        </is>
      </c>
      <c r="W1334" s="0" t="inlineStr">
        <is>
          <t>115C</t>
        </is>
      </c>
      <c r="X1334" s="0" t="n">
        <v>35</v>
      </c>
      <c r="Y1334" s="0" t="n">
        <v>29</v>
      </c>
      <c r="Z1334" s="0" t="inlineStr">
        <is>
          <t>https://new.land.naver.com/complexes/141228?tab=detail&amp;rf=Y</t>
        </is>
      </c>
      <c r="AA1334" s="0" t="inlineStr">
        <is>
          <t>인천시 서구 원당동 검단신도시 RC3BL</t>
        </is>
      </c>
      <c r="AB1334" s="0" t="inlineStr">
        <is>
          <t>인천시</t>
        </is>
      </c>
      <c r="AC1334" s="0" t="inlineStr">
        <is>
          <t>서구</t>
        </is>
      </c>
      <c r="AD1334" s="0" t="inlineStr">
        <is>
          <t>원당동</t>
        </is>
      </c>
      <c r="AG1334" s="0" t="inlineStr">
        <is>
          <t>인천시 서구</t>
        </is>
      </c>
      <c r="AH1334" s="0" t="n">
        <v>0</v>
      </c>
      <c r="AI1334" s="0" t="n">
        <v>329</v>
      </c>
      <c r="AJ1334" s="0" t="n">
        <v>0</v>
      </c>
      <c r="AK1334" s="0" t="n">
        <v>660</v>
      </c>
      <c r="AL1334" s="0" t="n">
        <v>1.48</v>
      </c>
    </row>
    <row r="1335">
      <c r="A1335" s="0" t="inlineStr">
        <is>
          <t>[원당동]</t>
        </is>
      </c>
      <c r="B1335" s="0" t="n">
        <v>141228</v>
      </c>
      <c r="C1335" s="0" t="n">
        <v>2</v>
      </c>
      <c r="D1335" s="0" t="inlineStr">
        <is>
          <t>검단역금강펜테리움더시글로(주)</t>
        </is>
      </c>
      <c r="E1335" s="0" t="inlineStr">
        <is>
          <t>2024.01.</t>
        </is>
      </c>
      <c r="F1335" s="0" t="n">
        <v>447</v>
      </c>
      <c r="G1335" s="0" t="n">
        <v>34.93</v>
      </c>
      <c r="H1335" s="0" t="n">
        <v>115.48</v>
      </c>
      <c r="I1335" s="0" t="n">
        <v>25.68</v>
      </c>
      <c r="J1335" s="0" t="n">
        <v>84.90000000000001</v>
      </c>
      <c r="K1335" s="0" t="n">
        <v>129</v>
      </c>
      <c r="T1335" s="0" t="n">
        <v>3</v>
      </c>
      <c r="U1335" s="0" t="n">
        <v>2</v>
      </c>
      <c r="V1335" s="0" t="inlineStr">
        <is>
          <t>계단식</t>
        </is>
      </c>
      <c r="W1335" s="0" t="inlineStr">
        <is>
          <t>115B</t>
        </is>
      </c>
      <c r="X1335" s="0" t="n">
        <v>35</v>
      </c>
      <c r="Y1335" s="0" t="n">
        <v>29</v>
      </c>
      <c r="Z1335" s="0" t="inlineStr">
        <is>
          <t>https://new.land.naver.com/complexes/141228?tab=detail&amp;rf=Y</t>
        </is>
      </c>
      <c r="AA1335" s="0" t="inlineStr">
        <is>
          <t>인천시 서구 원당동 검단신도시 RC3BL</t>
        </is>
      </c>
      <c r="AB1335" s="0" t="inlineStr">
        <is>
          <t>인천시</t>
        </is>
      </c>
      <c r="AC1335" s="0" t="inlineStr">
        <is>
          <t>서구</t>
        </is>
      </c>
      <c r="AD1335" s="0" t="inlineStr">
        <is>
          <t>원당동</t>
        </is>
      </c>
      <c r="AG1335" s="0" t="inlineStr">
        <is>
          <t>인천시 서구</t>
        </is>
      </c>
      <c r="AH1335" s="0" t="n">
        <v>0</v>
      </c>
      <c r="AI1335" s="0" t="n">
        <v>329</v>
      </c>
      <c r="AJ1335" s="0" t="n">
        <v>0</v>
      </c>
      <c r="AK1335" s="0" t="n">
        <v>660</v>
      </c>
      <c r="AL1335" s="0" t="n">
        <v>1.48</v>
      </c>
    </row>
    <row r="1336">
      <c r="A1336" s="0" t="inlineStr">
        <is>
          <t>[원당동]</t>
        </is>
      </c>
      <c r="B1336" s="0" t="n">
        <v>141228</v>
      </c>
      <c r="C1336" s="0" t="n">
        <v>3</v>
      </c>
      <c r="D1336" s="0" t="inlineStr">
        <is>
          <t>검단역금강펜테리움더시글로(주)</t>
        </is>
      </c>
      <c r="E1336" s="0" t="inlineStr">
        <is>
          <t>2024.01.</t>
        </is>
      </c>
      <c r="F1336" s="0" t="n">
        <v>447</v>
      </c>
      <c r="G1336" s="0" t="n">
        <v>34.93</v>
      </c>
      <c r="H1336" s="0" t="n">
        <v>115.5</v>
      </c>
      <c r="I1336" s="0" t="n">
        <v>25.7</v>
      </c>
      <c r="J1336" s="0" t="n">
        <v>84.98</v>
      </c>
      <c r="K1336" s="0" t="n">
        <v>67</v>
      </c>
      <c r="T1336" s="0" t="n">
        <v>3</v>
      </c>
      <c r="U1336" s="0" t="n">
        <v>2</v>
      </c>
      <c r="V1336" s="0" t="inlineStr">
        <is>
          <t>계단식</t>
        </is>
      </c>
      <c r="W1336" s="0" t="inlineStr">
        <is>
          <t>115A</t>
        </is>
      </c>
      <c r="X1336" s="0" t="n">
        <v>35</v>
      </c>
      <c r="Y1336" s="0" t="n">
        <v>29</v>
      </c>
      <c r="Z1336" s="0" t="inlineStr">
        <is>
          <t>https://new.land.naver.com/complexes/141228?tab=detail&amp;rf=Y</t>
        </is>
      </c>
      <c r="AA1336" s="0" t="inlineStr">
        <is>
          <t>인천시 서구 원당동 검단신도시 RC3BL</t>
        </is>
      </c>
      <c r="AB1336" s="0" t="inlineStr">
        <is>
          <t>인천시</t>
        </is>
      </c>
      <c r="AC1336" s="0" t="inlineStr">
        <is>
          <t>서구</t>
        </is>
      </c>
      <c r="AD1336" s="0" t="inlineStr">
        <is>
          <t>원당동</t>
        </is>
      </c>
      <c r="AG1336" s="0" t="inlineStr">
        <is>
          <t>인천시 서구</t>
        </is>
      </c>
      <c r="AH1336" s="0" t="n">
        <v>0</v>
      </c>
      <c r="AI1336" s="0" t="n">
        <v>329</v>
      </c>
      <c r="AJ1336" s="0" t="n">
        <v>0</v>
      </c>
      <c r="AK1336" s="0" t="n">
        <v>660</v>
      </c>
      <c r="AL1336" s="0" t="n">
        <v>1.48</v>
      </c>
    </row>
    <row r="1337">
      <c r="A1337" s="0" t="inlineStr">
        <is>
          <t>[원당동]</t>
        </is>
      </c>
      <c r="B1337" s="0" t="n">
        <v>141228</v>
      </c>
      <c r="C1337" s="0" t="n">
        <v>4</v>
      </c>
      <c r="D1337" s="0" t="inlineStr">
        <is>
          <t>검단역금강펜테리움더시글로(주)</t>
        </is>
      </c>
      <c r="E1337" s="0" t="inlineStr">
        <is>
          <t>2024.01.</t>
        </is>
      </c>
      <c r="F1337" s="0" t="n">
        <v>447</v>
      </c>
      <c r="G1337" s="0" t="n">
        <v>34.95</v>
      </c>
      <c r="H1337" s="0" t="n">
        <v>115.55</v>
      </c>
      <c r="I1337" s="0" t="n">
        <v>25.7</v>
      </c>
      <c r="J1337" s="0" t="n">
        <v>84.95999999999999</v>
      </c>
      <c r="K1337" s="0" t="n">
        <v>28</v>
      </c>
      <c r="T1337" s="0" t="n">
        <v>3</v>
      </c>
      <c r="U1337" s="0" t="n">
        <v>2</v>
      </c>
      <c r="V1337" s="0" t="inlineStr">
        <is>
          <t>계단식</t>
        </is>
      </c>
      <c r="W1337" s="0" t="inlineStr">
        <is>
          <t>115D</t>
        </is>
      </c>
      <c r="X1337" s="0" t="n">
        <v>35</v>
      </c>
      <c r="Y1337" s="0" t="n">
        <v>29</v>
      </c>
      <c r="Z1337" s="0" t="inlineStr">
        <is>
          <t>https://new.land.naver.com/complexes/141228?tab=detail&amp;rf=Y</t>
        </is>
      </c>
      <c r="AA1337" s="0" t="inlineStr">
        <is>
          <t>인천시 서구 원당동 검단신도시 RC3BL</t>
        </is>
      </c>
      <c r="AB1337" s="0" t="inlineStr">
        <is>
          <t>인천시</t>
        </is>
      </c>
      <c r="AC1337" s="0" t="inlineStr">
        <is>
          <t>서구</t>
        </is>
      </c>
      <c r="AD1337" s="0" t="inlineStr">
        <is>
          <t>원당동</t>
        </is>
      </c>
      <c r="AG1337" s="0" t="inlineStr">
        <is>
          <t>인천시 서구</t>
        </is>
      </c>
      <c r="AH1337" s="0" t="n">
        <v>0</v>
      </c>
      <c r="AI1337" s="0" t="n">
        <v>329</v>
      </c>
      <c r="AJ1337" s="0" t="n">
        <v>0</v>
      </c>
      <c r="AK1337" s="0" t="n">
        <v>660</v>
      </c>
      <c r="AL1337" s="0" t="n">
        <v>1.48</v>
      </c>
    </row>
    <row r="1338">
      <c r="A1338" s="0" t="inlineStr">
        <is>
          <t>[원당동]</t>
        </is>
      </c>
      <c r="B1338" s="0" t="n">
        <v>141228</v>
      </c>
      <c r="C1338" s="0" t="n">
        <v>5</v>
      </c>
      <c r="D1338" s="0" t="inlineStr">
        <is>
          <t>검단역금강펜테리움더시글로(주)</t>
        </is>
      </c>
      <c r="E1338" s="0" t="inlineStr">
        <is>
          <t>2024.01.</t>
        </is>
      </c>
      <c r="F1338" s="0" t="n">
        <v>447</v>
      </c>
      <c r="G1338" s="0" t="n">
        <v>35.01</v>
      </c>
      <c r="H1338" s="0" t="n">
        <v>115.75</v>
      </c>
      <c r="I1338" s="0" t="n">
        <v>25.7</v>
      </c>
      <c r="J1338" s="0" t="n">
        <v>84.98999999999999</v>
      </c>
      <c r="K1338" s="0" t="n">
        <v>28</v>
      </c>
      <c r="T1338" s="0" t="n">
        <v>3</v>
      </c>
      <c r="U1338" s="0" t="n">
        <v>2</v>
      </c>
      <c r="V1338" s="0" t="inlineStr">
        <is>
          <t>계단식</t>
        </is>
      </c>
      <c r="W1338" s="0" t="inlineStr">
        <is>
          <t>115E</t>
        </is>
      </c>
      <c r="X1338" s="0" t="n">
        <v>35</v>
      </c>
      <c r="Y1338" s="0" t="n">
        <v>29</v>
      </c>
      <c r="Z1338" s="0" t="inlineStr">
        <is>
          <t>https://new.land.naver.com/complexes/141228?tab=detail&amp;rf=Y</t>
        </is>
      </c>
      <c r="AA1338" s="0" t="inlineStr">
        <is>
          <t>인천시 서구 원당동 검단신도시 RC3BL</t>
        </is>
      </c>
      <c r="AB1338" s="0" t="inlineStr">
        <is>
          <t>인천시</t>
        </is>
      </c>
      <c r="AC1338" s="0" t="inlineStr">
        <is>
          <t>서구</t>
        </is>
      </c>
      <c r="AD1338" s="0" t="inlineStr">
        <is>
          <t>원당동</t>
        </is>
      </c>
      <c r="AG1338" s="0" t="inlineStr">
        <is>
          <t>인천시 서구</t>
        </is>
      </c>
      <c r="AH1338" s="0" t="n">
        <v>0</v>
      </c>
      <c r="AI1338" s="0" t="n">
        <v>329</v>
      </c>
      <c r="AJ1338" s="0" t="n">
        <v>0</v>
      </c>
      <c r="AK1338" s="0" t="n">
        <v>660</v>
      </c>
      <c r="AL1338" s="0" t="n">
        <v>1.48</v>
      </c>
    </row>
    <row r="1339">
      <c r="A1339" s="0" t="inlineStr">
        <is>
          <t>[원당동]</t>
        </is>
      </c>
      <c r="B1339" s="0" t="n">
        <v>124978</v>
      </c>
      <c r="C1339" s="0" t="n">
        <v>1</v>
      </c>
      <c r="D1339" s="0" t="inlineStr">
        <is>
          <t>우미린더시그니처</t>
        </is>
      </c>
      <c r="E1339" s="0" t="inlineStr">
        <is>
          <t>2022.01.</t>
        </is>
      </c>
      <c r="F1339" s="0" t="n">
        <v>1268</v>
      </c>
      <c r="G1339" s="0" t="n">
        <v>29.91</v>
      </c>
      <c r="H1339" s="0" t="n">
        <v>98.89</v>
      </c>
      <c r="I1339" s="0" t="n">
        <v>22.47</v>
      </c>
      <c r="J1339" s="0" t="n">
        <v>74.31</v>
      </c>
      <c r="K1339" s="0" t="n">
        <v>288</v>
      </c>
      <c r="T1339" s="0" t="n">
        <v>3</v>
      </c>
      <c r="U1339" s="0" t="n">
        <v>2</v>
      </c>
      <c r="V1339" s="0" t="inlineStr">
        <is>
          <t>계단식</t>
        </is>
      </c>
      <c r="W1339" s="0" t="inlineStr">
        <is>
          <t>98A</t>
        </is>
      </c>
      <c r="X1339" s="0" t="n">
        <v>29</v>
      </c>
      <c r="Y1339" s="0" t="n">
        <v>22</v>
      </c>
      <c r="Z1339" s="0" t="inlineStr">
        <is>
          <t>https://new.land.naver.com/complexes/124978?tab=detail&amp;rf=Y</t>
        </is>
      </c>
      <c r="AA1339" s="0" t="inlineStr">
        <is>
          <t>인천시 서구 원당동 검단신도시 AB15-1BL</t>
        </is>
      </c>
      <c r="AB1339" s="0" t="inlineStr">
        <is>
          <t>인천시</t>
        </is>
      </c>
      <c r="AC1339" s="0" t="inlineStr">
        <is>
          <t>서구</t>
        </is>
      </c>
      <c r="AD1339" s="0" t="inlineStr">
        <is>
          <t>원당동</t>
        </is>
      </c>
      <c r="AG1339" s="0" t="inlineStr">
        <is>
          <t>인천시 서구</t>
        </is>
      </c>
      <c r="AH1339" s="0" t="n">
        <v>0</v>
      </c>
      <c r="AI1339" s="0" t="n">
        <v>0</v>
      </c>
      <c r="AJ1339" s="0" t="n">
        <v>0</v>
      </c>
      <c r="AK1339" s="0" t="n">
        <v>1598</v>
      </c>
      <c r="AL1339" s="0" t="n">
        <v>1.26</v>
      </c>
    </row>
    <row r="1340">
      <c r="A1340" s="0" t="inlineStr">
        <is>
          <t>[원당동]</t>
        </is>
      </c>
      <c r="B1340" s="0" t="n">
        <v>124978</v>
      </c>
      <c r="C1340" s="0" t="n">
        <v>2</v>
      </c>
      <c r="D1340" s="0" t="inlineStr">
        <is>
          <t>우미린더시그니처</t>
        </is>
      </c>
      <c r="E1340" s="0" t="inlineStr">
        <is>
          <t>2022.01.</t>
        </is>
      </c>
      <c r="F1340" s="0" t="n">
        <v>1268</v>
      </c>
      <c r="G1340" s="0" t="n">
        <v>29.99</v>
      </c>
      <c r="H1340" s="0" t="n">
        <v>99.16</v>
      </c>
      <c r="I1340" s="0" t="n">
        <v>22.41</v>
      </c>
      <c r="J1340" s="0" t="n">
        <v>74.09</v>
      </c>
      <c r="K1340" s="0" t="n">
        <v>308</v>
      </c>
      <c r="T1340" s="0" t="n">
        <v>3</v>
      </c>
      <c r="U1340" s="0" t="n">
        <v>2</v>
      </c>
      <c r="V1340" s="0" t="inlineStr">
        <is>
          <t>계단식</t>
        </is>
      </c>
      <c r="W1340" s="0" t="inlineStr">
        <is>
          <t>99B</t>
        </is>
      </c>
      <c r="X1340" s="0" t="n">
        <v>29</v>
      </c>
      <c r="Y1340" s="0" t="n">
        <v>22</v>
      </c>
      <c r="Z1340" s="0" t="inlineStr">
        <is>
          <t>https://new.land.naver.com/complexes/124978?tab=detail&amp;rf=Y</t>
        </is>
      </c>
      <c r="AA1340" s="0" t="inlineStr">
        <is>
          <t>인천시 서구 원당동 검단신도시 AB15-1BL</t>
        </is>
      </c>
      <c r="AB1340" s="0" t="inlineStr">
        <is>
          <t>인천시</t>
        </is>
      </c>
      <c r="AC1340" s="0" t="inlineStr">
        <is>
          <t>서구</t>
        </is>
      </c>
      <c r="AD1340" s="0" t="inlineStr">
        <is>
          <t>원당동</t>
        </is>
      </c>
      <c r="AG1340" s="0" t="inlineStr">
        <is>
          <t>인천시 서구</t>
        </is>
      </c>
      <c r="AH1340" s="0" t="n">
        <v>0</v>
      </c>
      <c r="AI1340" s="0" t="n">
        <v>0</v>
      </c>
      <c r="AJ1340" s="0" t="n">
        <v>0</v>
      </c>
      <c r="AK1340" s="0" t="n">
        <v>1598</v>
      </c>
      <c r="AL1340" s="0" t="n">
        <v>1.26</v>
      </c>
    </row>
    <row r="1341">
      <c r="A1341" s="0" t="inlineStr">
        <is>
          <t>[원당동]</t>
        </is>
      </c>
      <c r="B1341" s="0" t="n">
        <v>124978</v>
      </c>
      <c r="C1341" s="0" t="n">
        <v>3</v>
      </c>
      <c r="D1341" s="0" t="inlineStr">
        <is>
          <t>우미린더시그니처</t>
        </is>
      </c>
      <c r="E1341" s="0" t="inlineStr">
        <is>
          <t>2022.01.</t>
        </is>
      </c>
      <c r="F1341" s="0" t="n">
        <v>1268</v>
      </c>
      <c r="G1341" s="0" t="n">
        <v>34.06</v>
      </c>
      <c r="H1341" s="0" t="n">
        <v>112.61</v>
      </c>
      <c r="I1341" s="0" t="n">
        <v>25.7</v>
      </c>
      <c r="J1341" s="0" t="n">
        <v>84.97</v>
      </c>
      <c r="K1341" s="0" t="n">
        <v>584</v>
      </c>
      <c r="T1341" s="0" t="n">
        <v>3</v>
      </c>
      <c r="U1341" s="0" t="n">
        <v>2</v>
      </c>
      <c r="V1341" s="0" t="inlineStr">
        <is>
          <t>계단식</t>
        </is>
      </c>
      <c r="W1341" s="0" t="inlineStr">
        <is>
          <t>112A</t>
        </is>
      </c>
      <c r="X1341" s="0" t="n">
        <v>29</v>
      </c>
      <c r="Y1341" s="0" t="n">
        <v>22</v>
      </c>
      <c r="Z1341" s="0" t="inlineStr">
        <is>
          <t>https://new.land.naver.com/complexes/124978?tab=detail&amp;rf=Y</t>
        </is>
      </c>
      <c r="AA1341" s="0" t="inlineStr">
        <is>
          <t>인천시 서구 원당동 검단신도시 AB15-1BL</t>
        </is>
      </c>
      <c r="AB1341" s="0" t="inlineStr">
        <is>
          <t>인천시</t>
        </is>
      </c>
      <c r="AC1341" s="0" t="inlineStr">
        <is>
          <t>서구</t>
        </is>
      </c>
      <c r="AD1341" s="0" t="inlineStr">
        <is>
          <t>원당동</t>
        </is>
      </c>
      <c r="AG1341" s="0" t="inlineStr">
        <is>
          <t>인천시 서구</t>
        </is>
      </c>
      <c r="AH1341" s="0" t="n">
        <v>0</v>
      </c>
      <c r="AI1341" s="0" t="n">
        <v>0</v>
      </c>
      <c r="AJ1341" s="0" t="n">
        <v>0</v>
      </c>
      <c r="AK1341" s="0" t="n">
        <v>1598</v>
      </c>
      <c r="AL1341" s="0" t="n">
        <v>1.26</v>
      </c>
    </row>
    <row r="1342">
      <c r="A1342" s="0" t="inlineStr">
        <is>
          <t>[원당동]</t>
        </is>
      </c>
      <c r="B1342" s="0" t="n">
        <v>124978</v>
      </c>
      <c r="C1342" s="0" t="n">
        <v>4</v>
      </c>
      <c r="D1342" s="0" t="inlineStr">
        <is>
          <t>우미린더시그니처</t>
        </is>
      </c>
      <c r="E1342" s="0" t="inlineStr">
        <is>
          <t>2022.01.</t>
        </is>
      </c>
      <c r="F1342" s="0" t="n">
        <v>1268</v>
      </c>
      <c r="G1342" s="0" t="n">
        <v>34.07</v>
      </c>
      <c r="H1342" s="0" t="n">
        <v>112.64</v>
      </c>
      <c r="I1342" s="0" t="n">
        <v>25.67</v>
      </c>
      <c r="J1342" s="0" t="n">
        <v>84.87</v>
      </c>
      <c r="K1342" s="0" t="n">
        <v>88</v>
      </c>
      <c r="T1342" s="0" t="n">
        <v>3</v>
      </c>
      <c r="U1342" s="0" t="n">
        <v>2</v>
      </c>
      <c r="V1342" s="0" t="inlineStr">
        <is>
          <t>계단식</t>
        </is>
      </c>
      <c r="W1342" s="0" t="inlineStr">
        <is>
          <t>112B</t>
        </is>
      </c>
      <c r="X1342" s="0" t="n">
        <v>29</v>
      </c>
      <c r="Y1342" s="0" t="n">
        <v>22</v>
      </c>
      <c r="Z1342" s="0" t="inlineStr">
        <is>
          <t>https://new.land.naver.com/complexes/124978?tab=detail&amp;rf=Y</t>
        </is>
      </c>
      <c r="AA1342" s="0" t="inlineStr">
        <is>
          <t>인천시 서구 원당동 검단신도시 AB15-1BL</t>
        </is>
      </c>
      <c r="AB1342" s="0" t="inlineStr">
        <is>
          <t>인천시</t>
        </is>
      </c>
      <c r="AC1342" s="0" t="inlineStr">
        <is>
          <t>서구</t>
        </is>
      </c>
      <c r="AD1342" s="0" t="inlineStr">
        <is>
          <t>원당동</t>
        </is>
      </c>
      <c r="AG1342" s="0" t="inlineStr">
        <is>
          <t>인천시 서구</t>
        </is>
      </c>
      <c r="AH1342" s="0" t="n">
        <v>0</v>
      </c>
      <c r="AI1342" s="0" t="n">
        <v>0</v>
      </c>
      <c r="AJ1342" s="0" t="n">
        <v>0</v>
      </c>
      <c r="AK1342" s="0" t="n">
        <v>1598</v>
      </c>
      <c r="AL1342" s="0" t="n">
        <v>1.26</v>
      </c>
    </row>
    <row r="1343">
      <c r="A1343" s="0" t="inlineStr">
        <is>
          <t>[원당동]</t>
        </is>
      </c>
      <c r="B1343" s="0" t="n">
        <v>145338</v>
      </c>
      <c r="C1343" s="0" t="n">
        <v>1</v>
      </c>
      <c r="D1343" s="0" t="inlineStr">
        <is>
          <t>인천검단AA13-2블록</t>
        </is>
      </c>
      <c r="E1343" s="0" t="inlineStr">
        <is>
          <t>2023.12.</t>
        </is>
      </c>
      <c r="F1343" s="0" t="n">
        <v>964</v>
      </c>
      <c r="G1343" s="0" t="n">
        <v>29.07</v>
      </c>
      <c r="H1343" s="0" t="n">
        <v>96.12</v>
      </c>
      <c r="I1343" s="0" t="n">
        <v>22.61</v>
      </c>
      <c r="J1343" s="0" t="n">
        <v>74.75</v>
      </c>
      <c r="K1343" s="0" t="n">
        <v>364</v>
      </c>
      <c r="T1343" s="0" t="n">
        <v>3</v>
      </c>
      <c r="U1343" s="0" t="n">
        <v>2</v>
      </c>
      <c r="V1343" s="0" t="inlineStr">
        <is>
          <t>계단식</t>
        </is>
      </c>
      <c r="W1343" s="0" t="inlineStr">
        <is>
          <t>96A</t>
        </is>
      </c>
      <c r="X1343" s="0" t="n">
        <v>25</v>
      </c>
      <c r="Y1343" s="0" t="n">
        <v>14</v>
      </c>
      <c r="Z1343" s="0" t="inlineStr">
        <is>
          <t>https://new.land.naver.com/complexes/145338?tab=detail&amp;rf=Y</t>
        </is>
      </c>
      <c r="AA1343" s="0" t="inlineStr">
        <is>
          <t>인천시 서구 원당동 인천검단지구 AA13-2블록</t>
        </is>
      </c>
      <c r="AB1343" s="0" t="inlineStr">
        <is>
          <t>인천시</t>
        </is>
      </c>
      <c r="AC1343" s="0" t="inlineStr">
        <is>
          <t>서구</t>
        </is>
      </c>
      <c r="AD1343" s="0" t="inlineStr">
        <is>
          <t>원당동</t>
        </is>
      </c>
      <c r="AG1343" s="0" t="inlineStr">
        <is>
          <t>인천시 서구</t>
        </is>
      </c>
      <c r="AH1343" s="0" t="n">
        <v>0</v>
      </c>
      <c r="AI1343" s="0" t="n">
        <v>0</v>
      </c>
      <c r="AJ1343" s="0" t="n">
        <v>0</v>
      </c>
      <c r="AK1343" s="0" t="n">
        <v>1219</v>
      </c>
      <c r="AL1343" s="0" t="n">
        <v>1.26</v>
      </c>
    </row>
    <row r="1344">
      <c r="A1344" s="0" t="inlineStr">
        <is>
          <t>[원당동]</t>
        </is>
      </c>
      <c r="B1344" s="0" t="n">
        <v>145338</v>
      </c>
      <c r="C1344" s="0" t="n">
        <v>2</v>
      </c>
      <c r="D1344" s="0" t="inlineStr">
        <is>
          <t>인천검단AA13-2블록</t>
        </is>
      </c>
      <c r="E1344" s="0" t="inlineStr">
        <is>
          <t>2023.12.</t>
        </is>
      </c>
      <c r="F1344" s="0" t="n">
        <v>964</v>
      </c>
      <c r="G1344" s="0" t="n">
        <v>32.8</v>
      </c>
      <c r="H1344" s="0" t="n">
        <v>108.44</v>
      </c>
      <c r="I1344" s="0" t="n">
        <v>25.62</v>
      </c>
      <c r="J1344" s="0" t="n">
        <v>84.70999999999999</v>
      </c>
      <c r="K1344" s="0" t="n">
        <v>353</v>
      </c>
      <c r="T1344" s="0" t="n">
        <v>3</v>
      </c>
      <c r="U1344" s="0" t="n">
        <v>2</v>
      </c>
      <c r="V1344" s="0" t="inlineStr">
        <is>
          <t>계단식</t>
        </is>
      </c>
      <c r="W1344" s="0" t="inlineStr">
        <is>
          <t>108A</t>
        </is>
      </c>
      <c r="X1344" s="0" t="n">
        <v>25</v>
      </c>
      <c r="Y1344" s="0" t="n">
        <v>14</v>
      </c>
      <c r="Z1344" s="0" t="inlineStr">
        <is>
          <t>https://new.land.naver.com/complexes/145338?tab=detail&amp;rf=Y</t>
        </is>
      </c>
      <c r="AA1344" s="0" t="inlineStr">
        <is>
          <t>인천시 서구 원당동 인천검단지구 AA13-2블록</t>
        </is>
      </c>
      <c r="AB1344" s="0" t="inlineStr">
        <is>
          <t>인천시</t>
        </is>
      </c>
      <c r="AC1344" s="0" t="inlineStr">
        <is>
          <t>서구</t>
        </is>
      </c>
      <c r="AD1344" s="0" t="inlineStr">
        <is>
          <t>원당동</t>
        </is>
      </c>
      <c r="AG1344" s="0" t="inlineStr">
        <is>
          <t>인천시 서구</t>
        </is>
      </c>
      <c r="AH1344" s="0" t="n">
        <v>0</v>
      </c>
      <c r="AI1344" s="0" t="n">
        <v>0</v>
      </c>
      <c r="AJ1344" s="0" t="n">
        <v>0</v>
      </c>
      <c r="AK1344" s="0" t="n">
        <v>1219</v>
      </c>
      <c r="AL1344" s="0" t="n">
        <v>1.26</v>
      </c>
    </row>
    <row r="1345">
      <c r="A1345" s="0" t="inlineStr">
        <is>
          <t>[원당동]</t>
        </is>
      </c>
      <c r="B1345" s="0" t="n">
        <v>145338</v>
      </c>
      <c r="C1345" s="0" t="n">
        <v>3</v>
      </c>
      <c r="D1345" s="0" t="inlineStr">
        <is>
          <t>인천검단AA13-2블록</t>
        </is>
      </c>
      <c r="E1345" s="0" t="inlineStr">
        <is>
          <t>2023.12.</t>
        </is>
      </c>
      <c r="F1345" s="0" t="n">
        <v>964</v>
      </c>
      <c r="G1345" s="0" t="n">
        <v>32.7</v>
      </c>
      <c r="H1345" s="0" t="n">
        <v>108.13</v>
      </c>
      <c r="I1345" s="0" t="n">
        <v>25.69</v>
      </c>
      <c r="J1345" s="0" t="n">
        <v>84.94</v>
      </c>
      <c r="K1345" s="0" t="n">
        <v>12</v>
      </c>
      <c r="T1345" s="0" t="n">
        <v>3</v>
      </c>
      <c r="U1345" s="0" t="n">
        <v>2</v>
      </c>
      <c r="V1345" s="0" t="inlineStr">
        <is>
          <t>계단식</t>
        </is>
      </c>
      <c r="W1345" s="0" t="inlineStr">
        <is>
          <t>108T</t>
        </is>
      </c>
      <c r="X1345" s="0" t="n">
        <v>25</v>
      </c>
      <c r="Y1345" s="0" t="n">
        <v>14</v>
      </c>
      <c r="Z1345" s="0" t="inlineStr">
        <is>
          <t>https://new.land.naver.com/complexes/145338?tab=detail&amp;rf=Y</t>
        </is>
      </c>
      <c r="AA1345" s="0" t="inlineStr">
        <is>
          <t>인천시 서구 원당동 인천검단지구 AA13-2블록</t>
        </is>
      </c>
      <c r="AB1345" s="0" t="inlineStr">
        <is>
          <t>인천시</t>
        </is>
      </c>
      <c r="AC1345" s="0" t="inlineStr">
        <is>
          <t>서구</t>
        </is>
      </c>
      <c r="AD1345" s="0" t="inlineStr">
        <is>
          <t>원당동</t>
        </is>
      </c>
      <c r="AG1345" s="0" t="inlineStr">
        <is>
          <t>인천시 서구</t>
        </is>
      </c>
      <c r="AH1345" s="0" t="n">
        <v>0</v>
      </c>
      <c r="AI1345" s="0" t="n">
        <v>0</v>
      </c>
      <c r="AJ1345" s="0" t="n">
        <v>0</v>
      </c>
      <c r="AK1345" s="0" t="n">
        <v>1219</v>
      </c>
      <c r="AL1345" s="0" t="n">
        <v>1.26</v>
      </c>
    </row>
    <row r="1346">
      <c r="A1346" s="0" t="inlineStr">
        <is>
          <t>[원당동]</t>
        </is>
      </c>
      <c r="B1346" s="0" t="n">
        <v>145338</v>
      </c>
      <c r="C1346" s="0" t="n">
        <v>4</v>
      </c>
      <c r="D1346" s="0" t="inlineStr">
        <is>
          <t>인천검단AA13-2블록</t>
        </is>
      </c>
      <c r="E1346" s="0" t="inlineStr">
        <is>
          <t>2023.12.</t>
        </is>
      </c>
      <c r="F1346" s="0" t="n">
        <v>964</v>
      </c>
      <c r="G1346" s="0" t="n">
        <v>33.35</v>
      </c>
      <c r="H1346" s="0" t="n">
        <v>110.26</v>
      </c>
      <c r="I1346" s="0" t="n">
        <v>25.67</v>
      </c>
      <c r="J1346" s="0" t="n">
        <v>84.89</v>
      </c>
      <c r="K1346" s="0" t="n">
        <v>235</v>
      </c>
      <c r="T1346" s="0" t="n">
        <v>3</v>
      </c>
      <c r="U1346" s="0" t="n">
        <v>2</v>
      </c>
      <c r="V1346" s="0" t="inlineStr">
        <is>
          <t>계단식</t>
        </is>
      </c>
      <c r="W1346" s="0" t="inlineStr">
        <is>
          <t>110B</t>
        </is>
      </c>
      <c r="X1346" s="0" t="n">
        <v>25</v>
      </c>
      <c r="Y1346" s="0" t="n">
        <v>14</v>
      </c>
      <c r="Z1346" s="0" t="inlineStr">
        <is>
          <t>https://new.land.naver.com/complexes/145338?tab=detail&amp;rf=Y</t>
        </is>
      </c>
      <c r="AA1346" s="0" t="inlineStr">
        <is>
          <t>인천시 서구 원당동 인천검단지구 AA13-2블록</t>
        </is>
      </c>
      <c r="AB1346" s="0" t="inlineStr">
        <is>
          <t>인천시</t>
        </is>
      </c>
      <c r="AC1346" s="0" t="inlineStr">
        <is>
          <t>서구</t>
        </is>
      </c>
      <c r="AD1346" s="0" t="inlineStr">
        <is>
          <t>원당동</t>
        </is>
      </c>
      <c r="AG1346" s="0" t="inlineStr">
        <is>
          <t>인천시 서구</t>
        </is>
      </c>
      <c r="AH1346" s="0" t="n">
        <v>0</v>
      </c>
      <c r="AI1346" s="0" t="n">
        <v>0</v>
      </c>
      <c r="AJ1346" s="0" t="n">
        <v>0</v>
      </c>
      <c r="AK1346" s="0" t="n">
        <v>1219</v>
      </c>
      <c r="AL1346" s="0" t="n">
        <v>1.26</v>
      </c>
    </row>
    <row r="1347">
      <c r="A1347" s="0" t="inlineStr">
        <is>
          <t>[원당동]</t>
        </is>
      </c>
      <c r="B1347" s="0" t="n">
        <v>130792</v>
      </c>
      <c r="C1347" s="0" t="n">
        <v>1</v>
      </c>
      <c r="D1347" s="0" t="inlineStr">
        <is>
          <t>검단신도시3차노블랜드리버파크</t>
        </is>
      </c>
      <c r="E1347" s="0" t="inlineStr">
        <is>
          <t>2022.10.</t>
        </is>
      </c>
      <c r="F1347" s="0" t="n">
        <v>722</v>
      </c>
      <c r="G1347" s="0" t="n">
        <v>25</v>
      </c>
      <c r="H1347" s="0" t="n">
        <v>82.65000000000001</v>
      </c>
      <c r="I1347" s="0" t="n">
        <v>18.14</v>
      </c>
      <c r="J1347" s="0" t="n">
        <v>59.99</v>
      </c>
      <c r="K1347" s="0" t="n">
        <v>248</v>
      </c>
      <c r="T1347" s="0" t="n">
        <v>3</v>
      </c>
      <c r="U1347" s="0" t="n">
        <v>2</v>
      </c>
      <c r="V1347" s="0" t="inlineStr">
        <is>
          <t>계단식</t>
        </is>
      </c>
      <c r="W1347" s="0" t="inlineStr">
        <is>
          <t>82C</t>
        </is>
      </c>
      <c r="X1347" s="0" t="n">
        <v>29</v>
      </c>
      <c r="Y1347" s="0" t="n">
        <v>17</v>
      </c>
      <c r="Z1347" s="0" t="inlineStr">
        <is>
          <t>https://new.land.naver.com/complexes/130792?tab=detail&amp;rf=Y</t>
        </is>
      </c>
      <c r="AA1347" s="0" t="inlineStr">
        <is>
          <t>인천시 서구 원당동 검단신도시 AB10블록</t>
        </is>
      </c>
      <c r="AB1347" s="0" t="inlineStr">
        <is>
          <t>인천시</t>
        </is>
      </c>
      <c r="AC1347" s="0" t="inlineStr">
        <is>
          <t>서구</t>
        </is>
      </c>
      <c r="AD1347" s="0" t="inlineStr">
        <is>
          <t>원당동</t>
        </is>
      </c>
      <c r="AG1347" s="0" t="inlineStr">
        <is>
          <t>인천시 서구</t>
        </is>
      </c>
      <c r="AH1347" s="0" t="n">
        <v>0</v>
      </c>
      <c r="AI1347" s="0" t="n">
        <v>0</v>
      </c>
      <c r="AJ1347" s="0" t="n">
        <v>0</v>
      </c>
      <c r="AK1347" s="0" t="n">
        <v>913</v>
      </c>
      <c r="AL1347" s="0" t="n">
        <v>1.26</v>
      </c>
    </row>
    <row r="1348">
      <c r="A1348" s="0" t="inlineStr">
        <is>
          <t>[원당동]</t>
        </is>
      </c>
      <c r="B1348" s="0" t="n">
        <v>130792</v>
      </c>
      <c r="C1348" s="0" t="n">
        <v>2</v>
      </c>
      <c r="D1348" s="0" t="inlineStr">
        <is>
          <t>검단신도시3차노블랜드리버파크</t>
        </is>
      </c>
      <c r="E1348" s="0" t="inlineStr">
        <is>
          <t>2022.10.</t>
        </is>
      </c>
      <c r="F1348" s="0" t="n">
        <v>722</v>
      </c>
      <c r="G1348" s="0" t="n">
        <v>25.02</v>
      </c>
      <c r="H1348" s="0" t="n">
        <v>82.73999999999999</v>
      </c>
      <c r="I1348" s="0" t="n">
        <v>18.14</v>
      </c>
      <c r="J1348" s="0" t="n">
        <v>59.98</v>
      </c>
      <c r="K1348" s="0" t="n">
        <v>132</v>
      </c>
      <c r="T1348" s="0" t="n">
        <v>3</v>
      </c>
      <c r="U1348" s="0" t="n">
        <v>2</v>
      </c>
      <c r="V1348" s="0" t="inlineStr">
        <is>
          <t>계단식</t>
        </is>
      </c>
      <c r="W1348" s="0" t="inlineStr">
        <is>
          <t>82B</t>
        </is>
      </c>
      <c r="X1348" s="0" t="n">
        <v>29</v>
      </c>
      <c r="Y1348" s="0" t="n">
        <v>17</v>
      </c>
      <c r="Z1348" s="0" t="inlineStr">
        <is>
          <t>https://new.land.naver.com/complexes/130792?tab=detail&amp;rf=Y</t>
        </is>
      </c>
      <c r="AA1348" s="0" t="inlineStr">
        <is>
          <t>인천시 서구 원당동 검단신도시 AB10블록</t>
        </is>
      </c>
      <c r="AB1348" s="0" t="inlineStr">
        <is>
          <t>인천시</t>
        </is>
      </c>
      <c r="AC1348" s="0" t="inlineStr">
        <is>
          <t>서구</t>
        </is>
      </c>
      <c r="AD1348" s="0" t="inlineStr">
        <is>
          <t>원당동</t>
        </is>
      </c>
      <c r="AG1348" s="0" t="inlineStr">
        <is>
          <t>인천시 서구</t>
        </is>
      </c>
      <c r="AH1348" s="0" t="n">
        <v>0</v>
      </c>
      <c r="AI1348" s="0" t="n">
        <v>0</v>
      </c>
      <c r="AJ1348" s="0" t="n">
        <v>0</v>
      </c>
      <c r="AK1348" s="0" t="n">
        <v>913</v>
      </c>
      <c r="AL1348" s="0" t="n">
        <v>1.26</v>
      </c>
    </row>
    <row r="1349">
      <c r="A1349" s="0" t="inlineStr">
        <is>
          <t>[원당동]</t>
        </is>
      </c>
      <c r="B1349" s="0" t="n">
        <v>130792</v>
      </c>
      <c r="C1349" s="0" t="n">
        <v>3</v>
      </c>
      <c r="D1349" s="0" t="inlineStr">
        <is>
          <t>검단신도시3차노블랜드리버파크</t>
        </is>
      </c>
      <c r="E1349" s="0" t="inlineStr">
        <is>
          <t>2022.10.</t>
        </is>
      </c>
      <c r="F1349" s="0" t="n">
        <v>722</v>
      </c>
      <c r="G1349" s="0" t="n">
        <v>25.13</v>
      </c>
      <c r="H1349" s="0" t="n">
        <v>83.09999999999999</v>
      </c>
      <c r="I1349" s="0" t="n">
        <v>18.12</v>
      </c>
      <c r="J1349" s="0" t="n">
        <v>59.93</v>
      </c>
      <c r="K1349" s="0" t="n">
        <v>112</v>
      </c>
      <c r="T1349" s="0" t="n">
        <v>3</v>
      </c>
      <c r="U1349" s="0" t="n">
        <v>2</v>
      </c>
      <c r="V1349" s="0" t="inlineStr">
        <is>
          <t>계단식</t>
        </is>
      </c>
      <c r="W1349" s="0" t="inlineStr">
        <is>
          <t>83A</t>
        </is>
      </c>
      <c r="X1349" s="0" t="n">
        <v>29</v>
      </c>
      <c r="Y1349" s="0" t="n">
        <v>17</v>
      </c>
      <c r="Z1349" s="0" t="inlineStr">
        <is>
          <t>https://new.land.naver.com/complexes/130792?tab=detail&amp;rf=Y</t>
        </is>
      </c>
      <c r="AA1349" s="0" t="inlineStr">
        <is>
          <t>인천시 서구 원당동 검단신도시 AB10블록</t>
        </is>
      </c>
      <c r="AB1349" s="0" t="inlineStr">
        <is>
          <t>인천시</t>
        </is>
      </c>
      <c r="AC1349" s="0" t="inlineStr">
        <is>
          <t>서구</t>
        </is>
      </c>
      <c r="AD1349" s="0" t="inlineStr">
        <is>
          <t>원당동</t>
        </is>
      </c>
      <c r="AG1349" s="0" t="inlineStr">
        <is>
          <t>인천시 서구</t>
        </is>
      </c>
      <c r="AH1349" s="0" t="n">
        <v>0</v>
      </c>
      <c r="AI1349" s="0" t="n">
        <v>0</v>
      </c>
      <c r="AJ1349" s="0" t="n">
        <v>0</v>
      </c>
      <c r="AK1349" s="0" t="n">
        <v>913</v>
      </c>
      <c r="AL1349" s="0" t="n">
        <v>1.26</v>
      </c>
    </row>
    <row r="1350">
      <c r="A1350" s="0" t="inlineStr">
        <is>
          <t>[원당동]</t>
        </is>
      </c>
      <c r="B1350" s="0" t="n">
        <v>130792</v>
      </c>
      <c r="C1350" s="0" t="n">
        <v>4</v>
      </c>
      <c r="D1350" s="0" t="inlineStr">
        <is>
          <t>검단신도시3차노블랜드리버파크</t>
        </is>
      </c>
      <c r="E1350" s="0" t="inlineStr">
        <is>
          <t>2022.10.</t>
        </is>
      </c>
      <c r="F1350" s="0" t="n">
        <v>722</v>
      </c>
      <c r="G1350" s="0" t="n">
        <v>33.43</v>
      </c>
      <c r="H1350" s="0" t="n">
        <v>110.53</v>
      </c>
      <c r="I1350" s="0" t="n">
        <v>25.7</v>
      </c>
      <c r="J1350" s="0" t="n">
        <v>84.98999999999999</v>
      </c>
      <c r="K1350" s="0" t="n">
        <v>56</v>
      </c>
      <c r="T1350" s="0" t="n">
        <v>3</v>
      </c>
      <c r="U1350" s="0" t="n">
        <v>2</v>
      </c>
      <c r="V1350" s="0" t="inlineStr">
        <is>
          <t>계단식</t>
        </is>
      </c>
      <c r="W1350" s="0" t="inlineStr">
        <is>
          <t>110B</t>
        </is>
      </c>
      <c r="X1350" s="0" t="n">
        <v>29</v>
      </c>
      <c r="Y1350" s="0" t="n">
        <v>17</v>
      </c>
      <c r="Z1350" s="0" t="inlineStr">
        <is>
          <t>https://new.land.naver.com/complexes/130792?tab=detail&amp;rf=Y</t>
        </is>
      </c>
      <c r="AA1350" s="0" t="inlineStr">
        <is>
          <t>인천시 서구 원당동 검단신도시 AB10블록</t>
        </is>
      </c>
      <c r="AB1350" s="0" t="inlineStr">
        <is>
          <t>인천시</t>
        </is>
      </c>
      <c r="AC1350" s="0" t="inlineStr">
        <is>
          <t>서구</t>
        </is>
      </c>
      <c r="AD1350" s="0" t="inlineStr">
        <is>
          <t>원당동</t>
        </is>
      </c>
      <c r="AG1350" s="0" t="inlineStr">
        <is>
          <t>인천시 서구</t>
        </is>
      </c>
      <c r="AH1350" s="0" t="n">
        <v>0</v>
      </c>
      <c r="AI1350" s="0" t="n">
        <v>0</v>
      </c>
      <c r="AJ1350" s="0" t="n">
        <v>0</v>
      </c>
      <c r="AK1350" s="0" t="n">
        <v>913</v>
      </c>
      <c r="AL1350" s="0" t="n">
        <v>1.26</v>
      </c>
    </row>
    <row r="1351">
      <c r="A1351" s="0" t="inlineStr">
        <is>
          <t>[원당동]</t>
        </is>
      </c>
      <c r="B1351" s="0" t="n">
        <v>130792</v>
      </c>
      <c r="C1351" s="0" t="n">
        <v>5</v>
      </c>
      <c r="D1351" s="0" t="inlineStr">
        <is>
          <t>검단신도시3차노블랜드리버파크</t>
        </is>
      </c>
      <c r="E1351" s="0" t="inlineStr">
        <is>
          <t>2022.10.</t>
        </is>
      </c>
      <c r="F1351" s="0" t="n">
        <v>722</v>
      </c>
      <c r="G1351" s="0" t="n">
        <v>33.58</v>
      </c>
      <c r="H1351" s="0" t="n">
        <v>111.04</v>
      </c>
      <c r="I1351" s="0" t="n">
        <v>25.7</v>
      </c>
      <c r="J1351" s="0" t="n">
        <v>84.98999999999999</v>
      </c>
      <c r="K1351" s="0" t="n">
        <v>116</v>
      </c>
      <c r="T1351" s="0" t="n">
        <v>3</v>
      </c>
      <c r="U1351" s="0" t="n">
        <v>2</v>
      </c>
      <c r="V1351" s="0" t="inlineStr">
        <is>
          <t>계단식</t>
        </is>
      </c>
      <c r="W1351" s="0" t="inlineStr">
        <is>
          <t>111C</t>
        </is>
      </c>
      <c r="X1351" s="0" t="n">
        <v>29</v>
      </c>
      <c r="Y1351" s="0" t="n">
        <v>17</v>
      </c>
      <c r="Z1351" s="0" t="inlineStr">
        <is>
          <t>https://new.land.naver.com/complexes/130792?tab=detail&amp;rf=Y</t>
        </is>
      </c>
      <c r="AA1351" s="0" t="inlineStr">
        <is>
          <t>인천시 서구 원당동 검단신도시 AB10블록</t>
        </is>
      </c>
      <c r="AB1351" s="0" t="inlineStr">
        <is>
          <t>인천시</t>
        </is>
      </c>
      <c r="AC1351" s="0" t="inlineStr">
        <is>
          <t>서구</t>
        </is>
      </c>
      <c r="AD1351" s="0" t="inlineStr">
        <is>
          <t>원당동</t>
        </is>
      </c>
      <c r="AG1351" s="0" t="inlineStr">
        <is>
          <t>인천시 서구</t>
        </is>
      </c>
      <c r="AH1351" s="0" t="n">
        <v>0</v>
      </c>
      <c r="AI1351" s="0" t="n">
        <v>0</v>
      </c>
      <c r="AJ1351" s="0" t="n">
        <v>0</v>
      </c>
      <c r="AK1351" s="0" t="n">
        <v>913</v>
      </c>
      <c r="AL1351" s="0" t="n">
        <v>1.26</v>
      </c>
    </row>
    <row r="1352">
      <c r="A1352" s="0" t="inlineStr">
        <is>
          <t>[원당동]</t>
        </is>
      </c>
      <c r="B1352" s="0" t="n">
        <v>130792</v>
      </c>
      <c r="C1352" s="0" t="n">
        <v>6</v>
      </c>
      <c r="D1352" s="0" t="inlineStr">
        <is>
          <t>검단신도시3차노블랜드리버파크</t>
        </is>
      </c>
      <c r="E1352" s="0" t="inlineStr">
        <is>
          <t>2022.10.</t>
        </is>
      </c>
      <c r="F1352" s="0" t="n">
        <v>722</v>
      </c>
      <c r="G1352" s="0" t="n">
        <v>33.57</v>
      </c>
      <c r="H1352" s="0" t="n">
        <v>111</v>
      </c>
      <c r="I1352" s="0" t="n">
        <v>25.7</v>
      </c>
      <c r="J1352" s="0" t="n">
        <v>84.98</v>
      </c>
      <c r="K1352" s="0" t="n">
        <v>58</v>
      </c>
      <c r="T1352" s="0" t="n">
        <v>3</v>
      </c>
      <c r="U1352" s="0" t="n">
        <v>2</v>
      </c>
      <c r="V1352" s="0" t="inlineStr">
        <is>
          <t>계단식</t>
        </is>
      </c>
      <c r="W1352" s="0" t="inlineStr">
        <is>
          <t>111A</t>
        </is>
      </c>
      <c r="X1352" s="0" t="n">
        <v>29</v>
      </c>
      <c r="Y1352" s="0" t="n">
        <v>17</v>
      </c>
      <c r="Z1352" s="0" t="inlineStr">
        <is>
          <t>https://new.land.naver.com/complexes/130792?tab=detail&amp;rf=Y</t>
        </is>
      </c>
      <c r="AA1352" s="0" t="inlineStr">
        <is>
          <t>인천시 서구 원당동 검단신도시 AB10블록</t>
        </is>
      </c>
      <c r="AB1352" s="0" t="inlineStr">
        <is>
          <t>인천시</t>
        </is>
      </c>
      <c r="AC1352" s="0" t="inlineStr">
        <is>
          <t>서구</t>
        </is>
      </c>
      <c r="AD1352" s="0" t="inlineStr">
        <is>
          <t>원당동</t>
        </is>
      </c>
      <c r="AG1352" s="0" t="inlineStr">
        <is>
          <t>인천시 서구</t>
        </is>
      </c>
      <c r="AH1352" s="0" t="n">
        <v>0</v>
      </c>
      <c r="AI1352" s="0" t="n">
        <v>0</v>
      </c>
      <c r="AJ1352" s="0" t="n">
        <v>0</v>
      </c>
      <c r="AK1352" s="0" t="n">
        <v>913</v>
      </c>
      <c r="AL1352" s="0" t="n">
        <v>1.26</v>
      </c>
    </row>
    <row r="1353">
      <c r="A1353" s="0" t="inlineStr">
        <is>
          <t>[원당동]</t>
        </is>
      </c>
      <c r="B1353" s="0" t="n">
        <v>124846</v>
      </c>
      <c r="C1353" s="0" t="n">
        <v>1</v>
      </c>
      <c r="D1353" s="0" t="inlineStr">
        <is>
          <t>검단금호어울림센트럴(AB14BL)</t>
        </is>
      </c>
      <c r="E1353" s="0" t="inlineStr">
        <is>
          <t>2021.07.</t>
        </is>
      </c>
      <c r="F1353" s="0" t="n">
        <v>1452</v>
      </c>
      <c r="G1353" s="0" t="n">
        <v>30.04</v>
      </c>
      <c r="H1353" s="0" t="n">
        <v>99.31</v>
      </c>
      <c r="I1353" s="0" t="n">
        <v>22.66</v>
      </c>
      <c r="J1353" s="0" t="n">
        <v>74.94</v>
      </c>
      <c r="K1353" s="0" t="n">
        <v>318</v>
      </c>
      <c r="T1353" s="0" t="n">
        <v>4</v>
      </c>
      <c r="U1353" s="0" t="n">
        <v>2</v>
      </c>
      <c r="V1353" s="0" t="inlineStr">
        <is>
          <t>계단식</t>
        </is>
      </c>
      <c r="W1353" s="0" t="inlineStr">
        <is>
          <t>99A</t>
        </is>
      </c>
      <c r="X1353" s="0" t="n">
        <v>29</v>
      </c>
      <c r="Y1353" s="0" t="n">
        <v>20</v>
      </c>
      <c r="Z1353" s="0" t="inlineStr">
        <is>
          <t>https://new.land.naver.com/complexes/124846?tab=detail&amp;rf=Y</t>
        </is>
      </c>
      <c r="AA1353" s="0" t="inlineStr">
        <is>
          <t>인천시 서구 원당동 검단신도시 AB-14BL</t>
        </is>
      </c>
      <c r="AB1353" s="0" t="inlineStr">
        <is>
          <t>인천시</t>
        </is>
      </c>
      <c r="AC1353" s="0" t="inlineStr">
        <is>
          <t>서구</t>
        </is>
      </c>
      <c r="AD1353" s="0" t="inlineStr">
        <is>
          <t>원당동</t>
        </is>
      </c>
      <c r="AG1353" s="0" t="inlineStr">
        <is>
          <t>인천시 서구 이음5로 65</t>
        </is>
      </c>
      <c r="AH1353" s="0" t="n">
        <v>0</v>
      </c>
      <c r="AI1353" s="0" t="n">
        <v>207</v>
      </c>
      <c r="AJ1353" s="0" t="n">
        <v>11</v>
      </c>
      <c r="AK1353" s="0" t="n">
        <v>1835</v>
      </c>
      <c r="AL1353" s="0" t="n">
        <v>1.26</v>
      </c>
    </row>
    <row r="1354">
      <c r="A1354" s="0" t="inlineStr">
        <is>
          <t>[원당동]</t>
        </is>
      </c>
      <c r="B1354" s="0" t="n">
        <v>124846</v>
      </c>
      <c r="C1354" s="0" t="n">
        <v>2</v>
      </c>
      <c r="D1354" s="0" t="inlineStr">
        <is>
          <t>검단금호어울림센트럴(AB14BL)</t>
        </is>
      </c>
      <c r="E1354" s="0" t="inlineStr">
        <is>
          <t>2021.07.</t>
        </is>
      </c>
      <c r="F1354" s="0" t="n">
        <v>1452</v>
      </c>
      <c r="G1354" s="0" t="n">
        <v>30.3</v>
      </c>
      <c r="H1354" s="0" t="n">
        <v>100.17</v>
      </c>
      <c r="I1354" s="0" t="n">
        <v>22.63</v>
      </c>
      <c r="J1354" s="0" t="n">
        <v>74.84</v>
      </c>
      <c r="K1354" s="0" t="n">
        <v>362</v>
      </c>
      <c r="T1354" s="0" t="n">
        <v>3</v>
      </c>
      <c r="U1354" s="0" t="n">
        <v>2</v>
      </c>
      <c r="V1354" s="0" t="inlineStr">
        <is>
          <t>계단식</t>
        </is>
      </c>
      <c r="W1354" s="0" t="inlineStr">
        <is>
          <t>100B</t>
        </is>
      </c>
      <c r="X1354" s="0" t="n">
        <v>29</v>
      </c>
      <c r="Y1354" s="0" t="n">
        <v>20</v>
      </c>
      <c r="Z1354" s="0" t="inlineStr">
        <is>
          <t>https://new.land.naver.com/complexes/124846?tab=detail&amp;rf=Y</t>
        </is>
      </c>
      <c r="AA1354" s="0" t="inlineStr">
        <is>
          <t>인천시 서구 원당동 검단신도시 AB-14BL</t>
        </is>
      </c>
      <c r="AB1354" s="0" t="inlineStr">
        <is>
          <t>인천시</t>
        </is>
      </c>
      <c r="AC1354" s="0" t="inlineStr">
        <is>
          <t>서구</t>
        </is>
      </c>
      <c r="AD1354" s="0" t="inlineStr">
        <is>
          <t>원당동</t>
        </is>
      </c>
      <c r="AG1354" s="0" t="inlineStr">
        <is>
          <t>인천시 서구 이음5로 65</t>
        </is>
      </c>
      <c r="AH1354" s="0" t="n">
        <v>0</v>
      </c>
      <c r="AI1354" s="0" t="n">
        <v>207</v>
      </c>
      <c r="AJ1354" s="0" t="n">
        <v>11</v>
      </c>
      <c r="AK1354" s="0" t="n">
        <v>1835</v>
      </c>
      <c r="AL1354" s="0" t="n">
        <v>1.26</v>
      </c>
    </row>
    <row r="1355">
      <c r="A1355" s="0" t="inlineStr">
        <is>
          <t>[원당동]</t>
        </is>
      </c>
      <c r="B1355" s="0" t="n">
        <v>124846</v>
      </c>
      <c r="C1355" s="0" t="n">
        <v>3</v>
      </c>
      <c r="D1355" s="0" t="inlineStr">
        <is>
          <t>검단금호어울림센트럴(AB14BL)</t>
        </is>
      </c>
      <c r="E1355" s="0" t="inlineStr">
        <is>
          <t>2021.07.</t>
        </is>
      </c>
      <c r="F1355" s="0" t="n">
        <v>1452</v>
      </c>
      <c r="G1355" s="0" t="n">
        <v>33.79</v>
      </c>
      <c r="H1355" s="0" t="n">
        <v>111.71</v>
      </c>
      <c r="I1355" s="0" t="n">
        <v>25.56</v>
      </c>
      <c r="J1355" s="0" t="n">
        <v>84.52</v>
      </c>
      <c r="K1355" s="0" t="n">
        <v>772</v>
      </c>
      <c r="T1355" s="0" t="n">
        <v>4</v>
      </c>
      <c r="U1355" s="0" t="n">
        <v>2</v>
      </c>
      <c r="V1355" s="0" t="inlineStr">
        <is>
          <t>계단식</t>
        </is>
      </c>
      <c r="W1355" s="0" t="inlineStr">
        <is>
          <t>111A</t>
        </is>
      </c>
      <c r="X1355" s="0" t="n">
        <v>29</v>
      </c>
      <c r="Y1355" s="0" t="n">
        <v>20</v>
      </c>
      <c r="Z1355" s="0" t="inlineStr">
        <is>
          <t>https://new.land.naver.com/complexes/124846?tab=detail&amp;rf=Y</t>
        </is>
      </c>
      <c r="AA1355" s="0" t="inlineStr">
        <is>
          <t>인천시 서구 원당동 검단신도시 AB-14BL</t>
        </is>
      </c>
      <c r="AB1355" s="0" t="inlineStr">
        <is>
          <t>인천시</t>
        </is>
      </c>
      <c r="AC1355" s="0" t="inlineStr">
        <is>
          <t>서구</t>
        </is>
      </c>
      <c r="AD1355" s="0" t="inlineStr">
        <is>
          <t>원당동</t>
        </is>
      </c>
      <c r="AG1355" s="0" t="inlineStr">
        <is>
          <t>인천시 서구 이음5로 65</t>
        </is>
      </c>
      <c r="AH1355" s="0" t="n">
        <v>0</v>
      </c>
      <c r="AI1355" s="0" t="n">
        <v>207</v>
      </c>
      <c r="AJ1355" s="0" t="n">
        <v>11</v>
      </c>
      <c r="AK1355" s="0" t="n">
        <v>1835</v>
      </c>
      <c r="AL1355" s="0" t="n">
        <v>1.26</v>
      </c>
    </row>
    <row r="1356">
      <c r="A1356" s="0" t="inlineStr">
        <is>
          <t>[원당동]</t>
        </is>
      </c>
      <c r="B1356" s="0" t="n">
        <v>128333</v>
      </c>
      <c r="C1356" s="0" t="n">
        <v>1</v>
      </c>
      <c r="D1356" s="0" t="inlineStr">
        <is>
          <t>검단신도시모아엘가그랑데</t>
        </is>
      </c>
      <c r="E1356" s="0" t="inlineStr">
        <is>
          <t>2023.01.</t>
        </is>
      </c>
      <c r="F1356" s="0" t="n">
        <v>510</v>
      </c>
      <c r="G1356" s="0" t="n">
        <v>23.97</v>
      </c>
      <c r="H1356" s="0" t="n">
        <v>79.27</v>
      </c>
      <c r="I1356" s="0" t="n">
        <v>18</v>
      </c>
      <c r="J1356" s="0" t="n">
        <v>59.52</v>
      </c>
      <c r="K1356" s="0" t="n">
        <v>286</v>
      </c>
      <c r="T1356" s="0" t="n">
        <v>3</v>
      </c>
      <c r="U1356" s="0" t="n">
        <v>2</v>
      </c>
      <c r="V1356" s="0" t="inlineStr">
        <is>
          <t>계단식</t>
        </is>
      </c>
      <c r="W1356" s="0" t="inlineStr">
        <is>
          <t>79A</t>
        </is>
      </c>
      <c r="X1356" s="0" t="n">
        <v>29</v>
      </c>
      <c r="Y1356" s="0" t="n">
        <v>21</v>
      </c>
      <c r="Z1356" s="0" t="inlineStr">
        <is>
          <t>https://new.land.naver.com/complexes/128333?tab=detail&amp;rf=Y</t>
        </is>
      </c>
      <c r="AA1356" s="0" t="inlineStr">
        <is>
          <t>인천시 서구 원당동 검단신도시 AB11블록</t>
        </is>
      </c>
      <c r="AB1356" s="0" t="inlineStr">
        <is>
          <t>인천시</t>
        </is>
      </c>
      <c r="AC1356" s="0" t="inlineStr">
        <is>
          <t>서구</t>
        </is>
      </c>
      <c r="AD1356" s="0" t="inlineStr">
        <is>
          <t>원당동</t>
        </is>
      </c>
      <c r="AG1356" s="0" t="inlineStr">
        <is>
          <t>인천시 서구</t>
        </is>
      </c>
      <c r="AH1356" s="0" t="n">
        <v>0</v>
      </c>
      <c r="AI1356" s="0" t="n">
        <v>214</v>
      </c>
      <c r="AJ1356" s="0" t="n">
        <v>18</v>
      </c>
      <c r="AK1356" s="0" t="n">
        <v>667</v>
      </c>
      <c r="AL1356" s="0" t="n">
        <v>1.31</v>
      </c>
    </row>
    <row r="1357">
      <c r="A1357" s="0" t="inlineStr">
        <is>
          <t>[원당동]</t>
        </is>
      </c>
      <c r="B1357" s="0" t="n">
        <v>128333</v>
      </c>
      <c r="C1357" s="0" t="n">
        <v>2</v>
      </c>
      <c r="D1357" s="0" t="inlineStr">
        <is>
          <t>검단신도시모아엘가그랑데</t>
        </is>
      </c>
      <c r="E1357" s="0" t="inlineStr">
        <is>
          <t>2023.01.</t>
        </is>
      </c>
      <c r="F1357" s="0" t="n">
        <v>510</v>
      </c>
      <c r="G1357" s="0" t="n">
        <v>24.22</v>
      </c>
      <c r="H1357" s="0" t="n">
        <v>80.09</v>
      </c>
      <c r="I1357" s="0" t="n">
        <v>18.02</v>
      </c>
      <c r="J1357" s="0" t="n">
        <v>59.6</v>
      </c>
      <c r="K1357" s="0" t="n">
        <v>56</v>
      </c>
      <c r="T1357" s="0" t="n">
        <v>3</v>
      </c>
      <c r="U1357" s="0" t="n">
        <v>2</v>
      </c>
      <c r="V1357" s="0" t="inlineStr">
        <is>
          <t>계단식</t>
        </is>
      </c>
      <c r="W1357" s="0" t="inlineStr">
        <is>
          <t>80B</t>
        </is>
      </c>
      <c r="X1357" s="0" t="n">
        <v>29</v>
      </c>
      <c r="Y1357" s="0" t="n">
        <v>21</v>
      </c>
      <c r="Z1357" s="0" t="inlineStr">
        <is>
          <t>https://new.land.naver.com/complexes/128333?tab=detail&amp;rf=Y</t>
        </is>
      </c>
      <c r="AA1357" s="0" t="inlineStr">
        <is>
          <t>인천시 서구 원당동 검단신도시 AB11블록</t>
        </is>
      </c>
      <c r="AB1357" s="0" t="inlineStr">
        <is>
          <t>인천시</t>
        </is>
      </c>
      <c r="AC1357" s="0" t="inlineStr">
        <is>
          <t>서구</t>
        </is>
      </c>
      <c r="AD1357" s="0" t="inlineStr">
        <is>
          <t>원당동</t>
        </is>
      </c>
      <c r="AG1357" s="0" t="inlineStr">
        <is>
          <t>인천시 서구</t>
        </is>
      </c>
      <c r="AH1357" s="0" t="n">
        <v>0</v>
      </c>
      <c r="AI1357" s="0" t="n">
        <v>214</v>
      </c>
      <c r="AJ1357" s="0" t="n">
        <v>18</v>
      </c>
      <c r="AK1357" s="0" t="n">
        <v>667</v>
      </c>
      <c r="AL1357" s="0" t="n">
        <v>1.31</v>
      </c>
    </row>
    <row r="1358">
      <c r="A1358" s="0" t="inlineStr">
        <is>
          <t>[원당동]</t>
        </is>
      </c>
      <c r="B1358" s="0" t="n">
        <v>128333</v>
      </c>
      <c r="C1358" s="0" t="n">
        <v>3</v>
      </c>
      <c r="D1358" s="0" t="inlineStr">
        <is>
          <t>검단신도시모아엘가그랑데</t>
        </is>
      </c>
      <c r="E1358" s="0" t="inlineStr">
        <is>
          <t>2023.01.</t>
        </is>
      </c>
      <c r="F1358" s="0" t="n">
        <v>510</v>
      </c>
      <c r="G1358" s="0" t="n">
        <v>28.2</v>
      </c>
      <c r="H1358" s="0" t="n">
        <v>93.25</v>
      </c>
      <c r="I1358" s="0" t="n">
        <v>21.16</v>
      </c>
      <c r="J1358" s="0" t="n">
        <v>69.95999999999999</v>
      </c>
      <c r="K1358" s="0" t="n">
        <v>8</v>
      </c>
      <c r="T1358" s="0" t="n">
        <v>3</v>
      </c>
      <c r="U1358" s="0" t="n">
        <v>2</v>
      </c>
      <c r="V1358" s="0" t="inlineStr">
        <is>
          <t>계단식</t>
        </is>
      </c>
      <c r="W1358" s="0" t="inlineStr">
        <is>
          <t>93T</t>
        </is>
      </c>
      <c r="X1358" s="0" t="n">
        <v>29</v>
      </c>
      <c r="Y1358" s="0" t="n">
        <v>21</v>
      </c>
      <c r="Z1358" s="0" t="inlineStr">
        <is>
          <t>https://new.land.naver.com/complexes/128333?tab=detail&amp;rf=Y</t>
        </is>
      </c>
      <c r="AA1358" s="0" t="inlineStr">
        <is>
          <t>인천시 서구 원당동 검단신도시 AB11블록</t>
        </is>
      </c>
      <c r="AB1358" s="0" t="inlineStr">
        <is>
          <t>인천시</t>
        </is>
      </c>
      <c r="AC1358" s="0" t="inlineStr">
        <is>
          <t>서구</t>
        </is>
      </c>
      <c r="AD1358" s="0" t="inlineStr">
        <is>
          <t>원당동</t>
        </is>
      </c>
      <c r="AG1358" s="0" t="inlineStr">
        <is>
          <t>인천시 서구</t>
        </is>
      </c>
      <c r="AH1358" s="0" t="n">
        <v>0</v>
      </c>
      <c r="AI1358" s="0" t="n">
        <v>214</v>
      </c>
      <c r="AJ1358" s="0" t="n">
        <v>18</v>
      </c>
      <c r="AK1358" s="0" t="n">
        <v>667</v>
      </c>
      <c r="AL1358" s="0" t="n">
        <v>1.31</v>
      </c>
    </row>
    <row r="1359">
      <c r="A1359" s="0" t="inlineStr">
        <is>
          <t>[원당동]</t>
        </is>
      </c>
      <c r="B1359" s="0" t="n">
        <v>128333</v>
      </c>
      <c r="C1359" s="0" t="n">
        <v>4</v>
      </c>
      <c r="D1359" s="0" t="inlineStr">
        <is>
          <t>검단신도시모아엘가그랑데</t>
        </is>
      </c>
      <c r="E1359" s="0" t="inlineStr">
        <is>
          <t>2023.01.</t>
        </is>
      </c>
      <c r="F1359" s="0" t="n">
        <v>510</v>
      </c>
      <c r="G1359" s="0" t="n">
        <v>32.93</v>
      </c>
      <c r="H1359" s="0" t="n">
        <v>108.86</v>
      </c>
      <c r="I1359" s="0" t="n">
        <v>25.08</v>
      </c>
      <c r="J1359" s="0" t="n">
        <v>82.92</v>
      </c>
      <c r="K1359" s="0" t="n">
        <v>8</v>
      </c>
      <c r="T1359" s="0" t="n">
        <v>3</v>
      </c>
      <c r="U1359" s="0" t="n">
        <v>2</v>
      </c>
      <c r="V1359" s="0" t="inlineStr">
        <is>
          <t>계단식</t>
        </is>
      </c>
      <c r="W1359" s="0" t="inlineStr">
        <is>
          <t>108T</t>
        </is>
      </c>
      <c r="X1359" s="0" t="n">
        <v>29</v>
      </c>
      <c r="Y1359" s="0" t="n">
        <v>21</v>
      </c>
      <c r="Z1359" s="0" t="inlineStr">
        <is>
          <t>https://new.land.naver.com/complexes/128333?tab=detail&amp;rf=Y</t>
        </is>
      </c>
      <c r="AA1359" s="0" t="inlineStr">
        <is>
          <t>인천시 서구 원당동 검단신도시 AB11블록</t>
        </is>
      </c>
      <c r="AB1359" s="0" t="inlineStr">
        <is>
          <t>인천시</t>
        </is>
      </c>
      <c r="AC1359" s="0" t="inlineStr">
        <is>
          <t>서구</t>
        </is>
      </c>
      <c r="AD1359" s="0" t="inlineStr">
        <is>
          <t>원당동</t>
        </is>
      </c>
      <c r="AG1359" s="0" t="inlineStr">
        <is>
          <t>인천시 서구</t>
        </is>
      </c>
      <c r="AH1359" s="0" t="n">
        <v>0</v>
      </c>
      <c r="AI1359" s="0" t="n">
        <v>214</v>
      </c>
      <c r="AJ1359" s="0" t="n">
        <v>18</v>
      </c>
      <c r="AK1359" s="0" t="n">
        <v>667</v>
      </c>
      <c r="AL1359" s="0" t="n">
        <v>1.31</v>
      </c>
    </row>
    <row r="1360">
      <c r="A1360" s="0" t="inlineStr">
        <is>
          <t>[원당동]</t>
        </is>
      </c>
      <c r="B1360" s="0" t="n">
        <v>128333</v>
      </c>
      <c r="C1360" s="0" t="n">
        <v>5</v>
      </c>
      <c r="D1360" s="0" t="inlineStr">
        <is>
          <t>검단신도시모아엘가그랑데</t>
        </is>
      </c>
      <c r="E1360" s="0" t="inlineStr">
        <is>
          <t>2023.01.</t>
        </is>
      </c>
      <c r="F1360" s="0" t="n">
        <v>510</v>
      </c>
      <c r="G1360" s="0" t="n">
        <v>34.14</v>
      </c>
      <c r="H1360" s="0" t="n">
        <v>112.88</v>
      </c>
      <c r="I1360" s="0" t="n">
        <v>25.58</v>
      </c>
      <c r="J1360" s="0" t="n">
        <v>84.59</v>
      </c>
      <c r="K1360" s="0" t="n">
        <v>56</v>
      </c>
      <c r="T1360" s="0" t="n">
        <v>3</v>
      </c>
      <c r="U1360" s="0" t="n">
        <v>2</v>
      </c>
      <c r="V1360" s="0" t="inlineStr">
        <is>
          <t>계단식</t>
        </is>
      </c>
      <c r="W1360" s="0" t="inlineStr">
        <is>
          <t>112B</t>
        </is>
      </c>
      <c r="X1360" s="0" t="n">
        <v>29</v>
      </c>
      <c r="Y1360" s="0" t="n">
        <v>21</v>
      </c>
      <c r="Z1360" s="0" t="inlineStr">
        <is>
          <t>https://new.land.naver.com/complexes/128333?tab=detail&amp;rf=Y</t>
        </is>
      </c>
      <c r="AA1360" s="0" t="inlineStr">
        <is>
          <t>인천시 서구 원당동 검단신도시 AB11블록</t>
        </is>
      </c>
      <c r="AB1360" s="0" t="inlineStr">
        <is>
          <t>인천시</t>
        </is>
      </c>
      <c r="AC1360" s="0" t="inlineStr">
        <is>
          <t>서구</t>
        </is>
      </c>
      <c r="AD1360" s="0" t="inlineStr">
        <is>
          <t>원당동</t>
        </is>
      </c>
      <c r="AG1360" s="0" t="inlineStr">
        <is>
          <t>인천시 서구</t>
        </is>
      </c>
      <c r="AH1360" s="0" t="n">
        <v>0</v>
      </c>
      <c r="AI1360" s="0" t="n">
        <v>214</v>
      </c>
      <c r="AJ1360" s="0" t="n">
        <v>18</v>
      </c>
      <c r="AK1360" s="0" t="n">
        <v>667</v>
      </c>
      <c r="AL1360" s="0" t="n">
        <v>1.31</v>
      </c>
    </row>
    <row r="1361">
      <c r="A1361" s="0" t="inlineStr">
        <is>
          <t>[원당동]</t>
        </is>
      </c>
      <c r="B1361" s="0" t="n">
        <v>128333</v>
      </c>
      <c r="C1361" s="0" t="n">
        <v>6</v>
      </c>
      <c r="D1361" s="0" t="inlineStr">
        <is>
          <t>검단신도시모아엘가그랑데</t>
        </is>
      </c>
      <c r="E1361" s="0" t="inlineStr">
        <is>
          <t>2023.01.</t>
        </is>
      </c>
      <c r="F1361" s="0" t="n">
        <v>510</v>
      </c>
      <c r="G1361" s="0" t="n">
        <v>34.21</v>
      </c>
      <c r="H1361" s="0" t="n">
        <v>113.12</v>
      </c>
      <c r="I1361" s="0" t="n">
        <v>25.62</v>
      </c>
      <c r="J1361" s="0" t="n">
        <v>84.7</v>
      </c>
      <c r="K1361" s="0" t="n">
        <v>96</v>
      </c>
      <c r="T1361" s="0" t="n">
        <v>3</v>
      </c>
      <c r="U1361" s="0" t="n">
        <v>2</v>
      </c>
      <c r="V1361" s="0" t="inlineStr">
        <is>
          <t>계단식</t>
        </is>
      </c>
      <c r="W1361" s="0" t="inlineStr">
        <is>
          <t>113A</t>
        </is>
      </c>
      <c r="X1361" s="0" t="n">
        <v>29</v>
      </c>
      <c r="Y1361" s="0" t="n">
        <v>21</v>
      </c>
      <c r="Z1361" s="0" t="inlineStr">
        <is>
          <t>https://new.land.naver.com/complexes/128333?tab=detail&amp;rf=Y</t>
        </is>
      </c>
      <c r="AA1361" s="0" t="inlineStr">
        <is>
          <t>인천시 서구 원당동 검단신도시 AB11블록</t>
        </is>
      </c>
      <c r="AB1361" s="0" t="inlineStr">
        <is>
          <t>인천시</t>
        </is>
      </c>
      <c r="AC1361" s="0" t="inlineStr">
        <is>
          <t>서구</t>
        </is>
      </c>
      <c r="AD1361" s="0" t="inlineStr">
        <is>
          <t>원당동</t>
        </is>
      </c>
      <c r="AG1361" s="0" t="inlineStr">
        <is>
          <t>인천시 서구</t>
        </is>
      </c>
      <c r="AH1361" s="0" t="n">
        <v>0</v>
      </c>
      <c r="AI1361" s="0" t="n">
        <v>214</v>
      </c>
      <c r="AJ1361" s="0" t="n">
        <v>18</v>
      </c>
      <c r="AK1361" s="0" t="n">
        <v>667</v>
      </c>
      <c r="AL1361" s="0" t="n">
        <v>1.31</v>
      </c>
    </row>
    <row r="1362">
      <c r="A1362" s="0" t="inlineStr">
        <is>
          <t>[원당동]</t>
        </is>
      </c>
      <c r="B1362" s="0" t="n">
        <v>128423</v>
      </c>
      <c r="C1362" s="0" t="n">
        <v>1</v>
      </c>
      <c r="D1362" s="0" t="inlineStr">
        <is>
          <t>검단신도시2차노블랜드에듀포레힐</t>
        </is>
      </c>
      <c r="E1362" s="0" t="inlineStr">
        <is>
          <t>2022.09.</t>
        </is>
      </c>
      <c r="F1362" s="0" t="n">
        <v>1417</v>
      </c>
      <c r="G1362" s="0" t="n">
        <v>30.03</v>
      </c>
      <c r="H1362" s="0" t="n">
        <v>99.28</v>
      </c>
      <c r="I1362" s="0" t="n">
        <v>23.02</v>
      </c>
      <c r="J1362" s="0" t="n">
        <v>76.11</v>
      </c>
      <c r="K1362" s="0" t="n">
        <v>314</v>
      </c>
      <c r="T1362" s="0" t="n">
        <v>3</v>
      </c>
      <c r="U1362" s="0" t="n">
        <v>2</v>
      </c>
      <c r="V1362" s="0" t="inlineStr">
        <is>
          <t>계단식</t>
        </is>
      </c>
      <c r="W1362" s="0" t="inlineStr">
        <is>
          <t>99A</t>
        </is>
      </c>
      <c r="X1362" s="0" t="n">
        <v>20</v>
      </c>
      <c r="Y1362" s="0" t="n">
        <v>20</v>
      </c>
      <c r="Z1362" s="0" t="inlineStr">
        <is>
          <t>https://new.land.naver.com/complexes/128423?tab=detail&amp;rf=Y</t>
        </is>
      </c>
      <c r="AA1362" s="0" t="inlineStr">
        <is>
          <t>인천시 서구 원당동 검단지구 AA12-2BLOCK 공동주택용지</t>
        </is>
      </c>
      <c r="AB1362" s="0" t="inlineStr">
        <is>
          <t>인천시</t>
        </is>
      </c>
      <c r="AC1362" s="0" t="inlineStr">
        <is>
          <t>서구</t>
        </is>
      </c>
      <c r="AD1362" s="0" t="inlineStr">
        <is>
          <t>원당동</t>
        </is>
      </c>
      <c r="AG1362" s="0" t="inlineStr">
        <is>
          <t>인천시 서구</t>
        </is>
      </c>
      <c r="AH1362" s="0" t="n">
        <v>0</v>
      </c>
      <c r="AI1362" s="0" t="n">
        <v>0</v>
      </c>
      <c r="AJ1362" s="0" t="n">
        <v>0</v>
      </c>
      <c r="AK1362" s="0" t="n">
        <v>2051</v>
      </c>
      <c r="AL1362" s="0" t="n">
        <v>1.45</v>
      </c>
    </row>
    <row r="1363">
      <c r="A1363" s="0" t="inlineStr">
        <is>
          <t>[원당동]</t>
        </is>
      </c>
      <c r="B1363" s="0" t="n">
        <v>128423</v>
      </c>
      <c r="C1363" s="0" t="n">
        <v>2</v>
      </c>
      <c r="D1363" s="0" t="inlineStr">
        <is>
          <t>검단신도시2차노블랜드에듀포레힐</t>
        </is>
      </c>
      <c r="E1363" s="0" t="inlineStr">
        <is>
          <t>2022.09.</t>
        </is>
      </c>
      <c r="F1363" s="0" t="n">
        <v>1417</v>
      </c>
      <c r="G1363" s="0" t="n">
        <v>30.01</v>
      </c>
      <c r="H1363" s="0" t="n">
        <v>99.20999999999999</v>
      </c>
      <c r="I1363" s="0" t="n">
        <v>22.94</v>
      </c>
      <c r="J1363" s="0" t="n">
        <v>75.84</v>
      </c>
      <c r="K1363" s="0" t="n">
        <v>160</v>
      </c>
      <c r="T1363" s="0" t="n">
        <v>3</v>
      </c>
      <c r="U1363" s="0" t="n">
        <v>2</v>
      </c>
      <c r="V1363" s="0" t="inlineStr">
        <is>
          <t>계단식</t>
        </is>
      </c>
      <c r="W1363" s="0" t="inlineStr">
        <is>
          <t>99B</t>
        </is>
      </c>
      <c r="X1363" s="0" t="n">
        <v>20</v>
      </c>
      <c r="Y1363" s="0" t="n">
        <v>20</v>
      </c>
      <c r="Z1363" s="0" t="inlineStr">
        <is>
          <t>https://new.land.naver.com/complexes/128423?tab=detail&amp;rf=Y</t>
        </is>
      </c>
      <c r="AA1363" s="0" t="inlineStr">
        <is>
          <t>인천시 서구 원당동 검단지구 AA12-2BLOCK 공동주택용지</t>
        </is>
      </c>
      <c r="AB1363" s="0" t="inlineStr">
        <is>
          <t>인천시</t>
        </is>
      </c>
      <c r="AC1363" s="0" t="inlineStr">
        <is>
          <t>서구</t>
        </is>
      </c>
      <c r="AD1363" s="0" t="inlineStr">
        <is>
          <t>원당동</t>
        </is>
      </c>
      <c r="AG1363" s="0" t="inlineStr">
        <is>
          <t>인천시 서구</t>
        </is>
      </c>
      <c r="AH1363" s="0" t="n">
        <v>0</v>
      </c>
      <c r="AI1363" s="0" t="n">
        <v>0</v>
      </c>
      <c r="AJ1363" s="0" t="n">
        <v>0</v>
      </c>
      <c r="AK1363" s="0" t="n">
        <v>2051</v>
      </c>
      <c r="AL1363" s="0" t="n">
        <v>1.45</v>
      </c>
    </row>
    <row r="1364">
      <c r="A1364" s="0" t="inlineStr">
        <is>
          <t>[원당동]</t>
        </is>
      </c>
      <c r="B1364" s="0" t="n">
        <v>128423</v>
      </c>
      <c r="C1364" s="0" t="n">
        <v>3</v>
      </c>
      <c r="D1364" s="0" t="inlineStr">
        <is>
          <t>검단신도시2차노블랜드에듀포레힐</t>
        </is>
      </c>
      <c r="E1364" s="0" t="inlineStr">
        <is>
          <t>2022.09.</t>
        </is>
      </c>
      <c r="F1364" s="0" t="n">
        <v>1417</v>
      </c>
      <c r="G1364" s="0" t="n">
        <v>33.15</v>
      </c>
      <c r="H1364" s="0" t="n">
        <v>109.6</v>
      </c>
      <c r="I1364" s="0" t="n">
        <v>25.61</v>
      </c>
      <c r="J1364" s="0" t="n">
        <v>84.67</v>
      </c>
      <c r="K1364" s="0" t="n">
        <v>320</v>
      </c>
      <c r="T1364" s="0" t="n">
        <v>3</v>
      </c>
      <c r="U1364" s="0" t="n">
        <v>2</v>
      </c>
      <c r="V1364" s="0" t="inlineStr">
        <is>
          <t>계단식</t>
        </is>
      </c>
      <c r="W1364" s="0" t="inlineStr">
        <is>
          <t>109C</t>
        </is>
      </c>
      <c r="X1364" s="0" t="n">
        <v>20</v>
      </c>
      <c r="Y1364" s="0" t="n">
        <v>20</v>
      </c>
      <c r="Z1364" s="0" t="inlineStr">
        <is>
          <t>https://new.land.naver.com/complexes/128423?tab=detail&amp;rf=Y</t>
        </is>
      </c>
      <c r="AA1364" s="0" t="inlineStr">
        <is>
          <t>인천시 서구 원당동 검단지구 AA12-2BLOCK 공동주택용지</t>
        </is>
      </c>
      <c r="AB1364" s="0" t="inlineStr">
        <is>
          <t>인천시</t>
        </is>
      </c>
      <c r="AC1364" s="0" t="inlineStr">
        <is>
          <t>서구</t>
        </is>
      </c>
      <c r="AD1364" s="0" t="inlineStr">
        <is>
          <t>원당동</t>
        </is>
      </c>
      <c r="AG1364" s="0" t="inlineStr">
        <is>
          <t>인천시 서구</t>
        </is>
      </c>
      <c r="AH1364" s="0" t="n">
        <v>0</v>
      </c>
      <c r="AI1364" s="0" t="n">
        <v>0</v>
      </c>
      <c r="AJ1364" s="0" t="n">
        <v>0</v>
      </c>
      <c r="AK1364" s="0" t="n">
        <v>2051</v>
      </c>
      <c r="AL1364" s="0" t="n">
        <v>1.45</v>
      </c>
    </row>
    <row r="1365">
      <c r="A1365" s="0" t="inlineStr">
        <is>
          <t>[원당동]</t>
        </is>
      </c>
      <c r="B1365" s="0" t="n">
        <v>128423</v>
      </c>
      <c r="C1365" s="0" t="n">
        <v>4</v>
      </c>
      <c r="D1365" s="0" t="inlineStr">
        <is>
          <t>검단신도시2차노블랜드에듀포레힐</t>
        </is>
      </c>
      <c r="E1365" s="0" t="inlineStr">
        <is>
          <t>2022.09.</t>
        </is>
      </c>
      <c r="F1365" s="0" t="n">
        <v>1417</v>
      </c>
      <c r="G1365" s="0" t="n">
        <v>33.06</v>
      </c>
      <c r="H1365" s="0" t="n">
        <v>109.32</v>
      </c>
      <c r="I1365" s="0" t="n">
        <v>25.7</v>
      </c>
      <c r="J1365" s="0" t="n">
        <v>84.98</v>
      </c>
      <c r="K1365" s="0" t="n">
        <v>193</v>
      </c>
      <c r="T1365" s="0" t="n">
        <v>3</v>
      </c>
      <c r="U1365" s="0" t="n">
        <v>2</v>
      </c>
      <c r="V1365" s="0" t="inlineStr">
        <is>
          <t>계단식</t>
        </is>
      </c>
      <c r="W1365" s="0" t="inlineStr">
        <is>
          <t>109B</t>
        </is>
      </c>
      <c r="X1365" s="0" t="n">
        <v>20</v>
      </c>
      <c r="Y1365" s="0" t="n">
        <v>20</v>
      </c>
      <c r="Z1365" s="0" t="inlineStr">
        <is>
          <t>https://new.land.naver.com/complexes/128423?tab=detail&amp;rf=Y</t>
        </is>
      </c>
      <c r="AA1365" s="0" t="inlineStr">
        <is>
          <t>인천시 서구 원당동 검단지구 AA12-2BLOCK 공동주택용지</t>
        </is>
      </c>
      <c r="AB1365" s="0" t="inlineStr">
        <is>
          <t>인천시</t>
        </is>
      </c>
      <c r="AC1365" s="0" t="inlineStr">
        <is>
          <t>서구</t>
        </is>
      </c>
      <c r="AD1365" s="0" t="inlineStr">
        <is>
          <t>원당동</t>
        </is>
      </c>
      <c r="AG1365" s="0" t="inlineStr">
        <is>
          <t>인천시 서구</t>
        </is>
      </c>
      <c r="AH1365" s="0" t="n">
        <v>0</v>
      </c>
      <c r="AI1365" s="0" t="n">
        <v>0</v>
      </c>
      <c r="AJ1365" s="0" t="n">
        <v>0</v>
      </c>
      <c r="AK1365" s="0" t="n">
        <v>2051</v>
      </c>
      <c r="AL1365" s="0" t="n">
        <v>1.45</v>
      </c>
    </row>
    <row r="1366">
      <c r="A1366" s="0" t="inlineStr">
        <is>
          <t>[원당동]</t>
        </is>
      </c>
      <c r="B1366" s="0" t="n">
        <v>128423</v>
      </c>
      <c r="C1366" s="0" t="n">
        <v>5</v>
      </c>
      <c r="D1366" s="0" t="inlineStr">
        <is>
          <t>검단신도시2차노블랜드에듀포레힐</t>
        </is>
      </c>
      <c r="E1366" s="0" t="inlineStr">
        <is>
          <t>2022.09.</t>
        </is>
      </c>
      <c r="F1366" s="0" t="n">
        <v>1417</v>
      </c>
      <c r="G1366" s="0" t="n">
        <v>33.19</v>
      </c>
      <c r="H1366" s="0" t="n">
        <v>109.74</v>
      </c>
      <c r="I1366" s="0" t="n">
        <v>25.68</v>
      </c>
      <c r="J1366" s="0" t="n">
        <v>84.91</v>
      </c>
      <c r="K1366" s="0" t="n">
        <v>60</v>
      </c>
      <c r="T1366" s="0" t="n">
        <v>3</v>
      </c>
      <c r="U1366" s="0" t="n">
        <v>2</v>
      </c>
      <c r="V1366" s="0" t="inlineStr">
        <is>
          <t>계단식</t>
        </is>
      </c>
      <c r="W1366" s="0" t="inlineStr">
        <is>
          <t>109A</t>
        </is>
      </c>
      <c r="X1366" s="0" t="n">
        <v>20</v>
      </c>
      <c r="Y1366" s="0" t="n">
        <v>20</v>
      </c>
      <c r="Z1366" s="0" t="inlineStr">
        <is>
          <t>https://new.land.naver.com/complexes/128423?tab=detail&amp;rf=Y</t>
        </is>
      </c>
      <c r="AA1366" s="0" t="inlineStr">
        <is>
          <t>인천시 서구 원당동 검단지구 AA12-2BLOCK 공동주택용지</t>
        </is>
      </c>
      <c r="AB1366" s="0" t="inlineStr">
        <is>
          <t>인천시</t>
        </is>
      </c>
      <c r="AC1366" s="0" t="inlineStr">
        <is>
          <t>서구</t>
        </is>
      </c>
      <c r="AD1366" s="0" t="inlineStr">
        <is>
          <t>원당동</t>
        </is>
      </c>
      <c r="AG1366" s="0" t="inlineStr">
        <is>
          <t>인천시 서구</t>
        </is>
      </c>
      <c r="AH1366" s="0" t="n">
        <v>0</v>
      </c>
      <c r="AI1366" s="0" t="n">
        <v>0</v>
      </c>
      <c r="AJ1366" s="0" t="n">
        <v>0</v>
      </c>
      <c r="AK1366" s="0" t="n">
        <v>2051</v>
      </c>
      <c r="AL1366" s="0" t="n">
        <v>1.45</v>
      </c>
    </row>
    <row r="1367">
      <c r="A1367" s="0" t="inlineStr">
        <is>
          <t>[원당동]</t>
        </is>
      </c>
      <c r="B1367" s="0" t="n">
        <v>128423</v>
      </c>
      <c r="C1367" s="0" t="n">
        <v>6</v>
      </c>
      <c r="D1367" s="0" t="inlineStr">
        <is>
          <t>검단신도시2차노블랜드에듀포레힐</t>
        </is>
      </c>
      <c r="E1367" s="0" t="inlineStr">
        <is>
          <t>2022.09.</t>
        </is>
      </c>
      <c r="F1367" s="0" t="n">
        <v>1417</v>
      </c>
      <c r="G1367" s="0" t="n">
        <v>40.04</v>
      </c>
      <c r="H1367" s="0" t="n">
        <v>132.37</v>
      </c>
      <c r="I1367" s="0" t="n">
        <v>33.09</v>
      </c>
      <c r="J1367" s="0" t="n">
        <v>109.42</v>
      </c>
      <c r="K1367" s="0" t="n">
        <v>196</v>
      </c>
      <c r="T1367" s="0" t="n">
        <v>4</v>
      </c>
      <c r="U1367" s="0" t="n">
        <v>2</v>
      </c>
      <c r="V1367" s="0" t="inlineStr">
        <is>
          <t>계단식</t>
        </is>
      </c>
      <c r="W1367" s="0" t="inlineStr">
        <is>
          <t>132B</t>
        </is>
      </c>
      <c r="X1367" s="0" t="n">
        <v>20</v>
      </c>
      <c r="Y1367" s="0" t="n">
        <v>20</v>
      </c>
      <c r="Z1367" s="0" t="inlineStr">
        <is>
          <t>https://new.land.naver.com/complexes/128423?tab=detail&amp;rf=Y</t>
        </is>
      </c>
      <c r="AA1367" s="0" t="inlineStr">
        <is>
          <t>인천시 서구 원당동 검단지구 AA12-2BLOCK 공동주택용지</t>
        </is>
      </c>
      <c r="AB1367" s="0" t="inlineStr">
        <is>
          <t>인천시</t>
        </is>
      </c>
      <c r="AC1367" s="0" t="inlineStr">
        <is>
          <t>서구</t>
        </is>
      </c>
      <c r="AD1367" s="0" t="inlineStr">
        <is>
          <t>원당동</t>
        </is>
      </c>
      <c r="AG1367" s="0" t="inlineStr">
        <is>
          <t>인천시 서구</t>
        </is>
      </c>
      <c r="AH1367" s="0" t="n">
        <v>0</v>
      </c>
      <c r="AI1367" s="0" t="n">
        <v>0</v>
      </c>
      <c r="AJ1367" s="0" t="n">
        <v>0</v>
      </c>
      <c r="AK1367" s="0" t="n">
        <v>2051</v>
      </c>
      <c r="AL1367" s="0" t="n">
        <v>1.45</v>
      </c>
    </row>
    <row r="1368">
      <c r="A1368" s="0" t="inlineStr">
        <is>
          <t>[원당동]</t>
        </is>
      </c>
      <c r="B1368" s="0" t="n">
        <v>128423</v>
      </c>
      <c r="C1368" s="0" t="n">
        <v>7</v>
      </c>
      <c r="D1368" s="0" t="inlineStr">
        <is>
          <t>검단신도시2차노블랜드에듀포레힐</t>
        </is>
      </c>
      <c r="E1368" s="0" t="inlineStr">
        <is>
          <t>2022.09.</t>
        </is>
      </c>
      <c r="F1368" s="0" t="n">
        <v>1417</v>
      </c>
      <c r="G1368" s="0" t="n">
        <v>40</v>
      </c>
      <c r="H1368" s="0" t="n">
        <v>132.25</v>
      </c>
      <c r="I1368" s="0" t="n">
        <v>32.82</v>
      </c>
      <c r="J1368" s="0" t="n">
        <v>108.5</v>
      </c>
      <c r="K1368" s="0" t="n">
        <v>174</v>
      </c>
      <c r="T1368" s="0" t="n">
        <v>4</v>
      </c>
      <c r="U1368" s="0" t="n">
        <v>2</v>
      </c>
      <c r="V1368" s="0" t="inlineStr">
        <is>
          <t>계단식</t>
        </is>
      </c>
      <c r="W1368" s="0" t="inlineStr">
        <is>
          <t>132A</t>
        </is>
      </c>
      <c r="X1368" s="0" t="n">
        <v>20</v>
      </c>
      <c r="Y1368" s="0" t="n">
        <v>20</v>
      </c>
      <c r="Z1368" s="0" t="inlineStr">
        <is>
          <t>https://new.land.naver.com/complexes/128423?tab=detail&amp;rf=Y</t>
        </is>
      </c>
      <c r="AA1368" s="0" t="inlineStr">
        <is>
          <t>인천시 서구 원당동 검단지구 AA12-2BLOCK 공동주택용지</t>
        </is>
      </c>
      <c r="AB1368" s="0" t="inlineStr">
        <is>
          <t>인천시</t>
        </is>
      </c>
      <c r="AC1368" s="0" t="inlineStr">
        <is>
          <t>서구</t>
        </is>
      </c>
      <c r="AD1368" s="0" t="inlineStr">
        <is>
          <t>원당동</t>
        </is>
      </c>
      <c r="AG1368" s="0" t="inlineStr">
        <is>
          <t>인천시 서구</t>
        </is>
      </c>
      <c r="AH1368" s="0" t="n">
        <v>0</v>
      </c>
      <c r="AI1368" s="0" t="n">
        <v>0</v>
      </c>
      <c r="AJ1368" s="0" t="n">
        <v>0</v>
      </c>
      <c r="AK1368" s="0" t="n">
        <v>2051</v>
      </c>
      <c r="AL1368" s="0" t="n">
        <v>1.45</v>
      </c>
    </row>
    <row r="1369">
      <c r="A1369" s="0" t="inlineStr">
        <is>
          <t>[원당동]</t>
        </is>
      </c>
      <c r="B1369" s="0" t="n">
        <v>12087</v>
      </c>
      <c r="C1369" s="0" t="n">
        <v>1</v>
      </c>
      <c r="D1369" s="0" t="inlineStr">
        <is>
          <t>원당금호어울림</t>
        </is>
      </c>
      <c r="E1369" s="0" t="inlineStr">
        <is>
          <t>2005.01.</t>
        </is>
      </c>
      <c r="F1369" s="0" t="n">
        <v>269</v>
      </c>
      <c r="G1369" s="0" t="n">
        <v>32.17</v>
      </c>
      <c r="H1369" s="0" t="n">
        <v>106.36</v>
      </c>
      <c r="I1369" s="0" t="n">
        <v>25.7</v>
      </c>
      <c r="J1369" s="0" t="n">
        <v>84.98999999999999</v>
      </c>
      <c r="K1369" s="0" t="n">
        <v>209</v>
      </c>
      <c r="T1369" s="0" t="n">
        <v>3</v>
      </c>
      <c r="U1369" s="0" t="n">
        <v>2</v>
      </c>
      <c r="V1369" s="0" t="inlineStr">
        <is>
          <t>계단식</t>
        </is>
      </c>
      <c r="W1369" s="0" t="n">
        <v>106</v>
      </c>
      <c r="X1369" s="0" t="n">
        <v>15</v>
      </c>
      <c r="Y1369" s="0" t="n">
        <v>14</v>
      </c>
      <c r="Z1369" s="0" t="inlineStr">
        <is>
          <t>https://new.land.naver.com/complexes/12087?tab=detail&amp;rf=Y</t>
        </is>
      </c>
      <c r="AA1369" s="0" t="inlineStr">
        <is>
          <t>인천시 서구 원당동 854-3</t>
        </is>
      </c>
      <c r="AB1369" s="0" t="inlineStr">
        <is>
          <t>인천시</t>
        </is>
      </c>
      <c r="AC1369" s="0" t="inlineStr">
        <is>
          <t>서구</t>
        </is>
      </c>
      <c r="AD1369" s="0" t="inlineStr">
        <is>
          <t>원당동</t>
        </is>
      </c>
      <c r="AG1369" s="0" t="inlineStr">
        <is>
          <t>인천시 서구 고산로 13</t>
        </is>
      </c>
      <c r="AH1369" s="0" t="n">
        <v>0</v>
      </c>
      <c r="AI1369" s="0" t="n">
        <v>0</v>
      </c>
      <c r="AJ1369" s="0" t="n">
        <v>0</v>
      </c>
      <c r="AK1369" s="0" t="n">
        <v>0</v>
      </c>
      <c r="AL1369" s="0" t="n">
        <v>0</v>
      </c>
    </row>
    <row r="1370">
      <c r="A1370" s="0" t="inlineStr">
        <is>
          <t>[원당동]</t>
        </is>
      </c>
      <c r="B1370" s="0" t="n">
        <v>12087</v>
      </c>
      <c r="C1370" s="0" t="n">
        <v>2</v>
      </c>
      <c r="D1370" s="0" t="inlineStr">
        <is>
          <t>원당금호어울림</t>
        </is>
      </c>
      <c r="E1370" s="0" t="inlineStr">
        <is>
          <t>2005.01.</t>
        </is>
      </c>
      <c r="F1370" s="0" t="n">
        <v>269</v>
      </c>
      <c r="G1370" s="0" t="n">
        <v>39.62</v>
      </c>
      <c r="H1370" s="0" t="n">
        <v>130.98</v>
      </c>
      <c r="I1370" s="0" t="n">
        <v>32.53</v>
      </c>
      <c r="J1370" s="0" t="n">
        <v>107.57</v>
      </c>
      <c r="K1370" s="0" t="n">
        <v>60</v>
      </c>
      <c r="T1370" s="0" t="n">
        <v>3</v>
      </c>
      <c r="U1370" s="0" t="n">
        <v>2</v>
      </c>
      <c r="V1370" s="0" t="inlineStr">
        <is>
          <t>계단식</t>
        </is>
      </c>
      <c r="W1370" s="0" t="n">
        <v>130</v>
      </c>
      <c r="X1370" s="0" t="n">
        <v>15</v>
      </c>
      <c r="Y1370" s="0" t="n">
        <v>14</v>
      </c>
      <c r="Z1370" s="0" t="inlineStr">
        <is>
          <t>https://new.land.naver.com/complexes/12087?tab=detail&amp;rf=Y</t>
        </is>
      </c>
      <c r="AA1370" s="0" t="inlineStr">
        <is>
          <t>인천시 서구 원당동 854-3</t>
        </is>
      </c>
      <c r="AB1370" s="0" t="inlineStr">
        <is>
          <t>인천시</t>
        </is>
      </c>
      <c r="AC1370" s="0" t="inlineStr">
        <is>
          <t>서구</t>
        </is>
      </c>
      <c r="AD1370" s="0" t="inlineStr">
        <is>
          <t>원당동</t>
        </is>
      </c>
      <c r="AG1370" s="0" t="inlineStr">
        <is>
          <t>인천시 서구 고산로 13</t>
        </is>
      </c>
      <c r="AH1370" s="0" t="n">
        <v>0</v>
      </c>
      <c r="AI1370" s="0" t="n">
        <v>0</v>
      </c>
      <c r="AJ1370" s="0" t="n">
        <v>0</v>
      </c>
      <c r="AK1370" s="0" t="n">
        <v>0</v>
      </c>
      <c r="AL1370" s="0" t="n">
        <v>0</v>
      </c>
    </row>
    <row r="1371">
      <c r="A1371" s="0" t="inlineStr">
        <is>
          <t>[원당동]</t>
        </is>
      </c>
      <c r="B1371" s="0" t="n">
        <v>10207</v>
      </c>
      <c r="C1371" s="0" t="n">
        <v>1</v>
      </c>
      <c r="D1371" s="0" t="inlineStr">
        <is>
          <t>원당e-편한세상</t>
        </is>
      </c>
      <c r="E1371" s="0" t="inlineStr">
        <is>
          <t>2004.08.</t>
        </is>
      </c>
      <c r="F1371" s="0" t="n">
        <v>449</v>
      </c>
      <c r="G1371" s="0" t="n">
        <v>26.04</v>
      </c>
      <c r="H1371" s="0" t="n">
        <v>86.11</v>
      </c>
      <c r="I1371" s="0" t="n">
        <v>18.14</v>
      </c>
      <c r="J1371" s="0" t="n">
        <v>59.97</v>
      </c>
      <c r="K1371" s="0" t="n">
        <v>119</v>
      </c>
      <c r="T1371" s="0" t="n">
        <v>3</v>
      </c>
      <c r="U1371" s="0" t="n">
        <v>2</v>
      </c>
      <c r="V1371" s="0" t="inlineStr">
        <is>
          <t>계단식</t>
        </is>
      </c>
      <c r="W1371" s="0" t="n">
        <v>86</v>
      </c>
      <c r="X1371" s="0" t="n">
        <v>15</v>
      </c>
      <c r="Y1371" s="0" t="n">
        <v>15</v>
      </c>
      <c r="Z1371" s="0" t="inlineStr">
        <is>
          <t>https://new.land.naver.com/complexes/10207?tab=detail&amp;rf=Y</t>
        </is>
      </c>
      <c r="AA1371" s="0" t="inlineStr">
        <is>
          <t>인천시 서구 원당동 852-1</t>
        </is>
      </c>
      <c r="AB1371" s="0" t="inlineStr">
        <is>
          <t>인천시</t>
        </is>
      </c>
      <c r="AC1371" s="0" t="inlineStr">
        <is>
          <t>서구</t>
        </is>
      </c>
      <c r="AD1371" s="0" t="inlineStr">
        <is>
          <t>원당동</t>
        </is>
      </c>
      <c r="AG1371" s="0" t="inlineStr">
        <is>
          <t>인천시 서구 고산로40번길 12</t>
        </is>
      </c>
      <c r="AH1371" s="0" t="n">
        <v>0</v>
      </c>
      <c r="AI1371" s="0" t="n">
        <v>230</v>
      </c>
      <c r="AJ1371" s="0" t="n">
        <v>20</v>
      </c>
      <c r="AK1371" s="0" t="n">
        <v>456</v>
      </c>
      <c r="AL1371" s="0" t="n">
        <v>1.02</v>
      </c>
    </row>
    <row r="1372">
      <c r="A1372" s="0" t="inlineStr">
        <is>
          <t>[원당동]</t>
        </is>
      </c>
      <c r="B1372" s="0" t="n">
        <v>10207</v>
      </c>
      <c r="C1372" s="0" t="n">
        <v>2</v>
      </c>
      <c r="D1372" s="0" t="inlineStr">
        <is>
          <t>원당e-편한세상</t>
        </is>
      </c>
      <c r="E1372" s="0" t="inlineStr">
        <is>
          <t>2004.08.</t>
        </is>
      </c>
      <c r="F1372" s="0" t="n">
        <v>449</v>
      </c>
      <c r="G1372" s="0" t="n">
        <v>34.29</v>
      </c>
      <c r="H1372" s="0" t="n">
        <v>113.38</v>
      </c>
      <c r="I1372" s="0" t="n">
        <v>25.7</v>
      </c>
      <c r="J1372" s="0" t="n">
        <v>84.98</v>
      </c>
      <c r="K1372" s="0" t="n">
        <v>330</v>
      </c>
      <c r="T1372" s="0" t="n">
        <v>3</v>
      </c>
      <c r="U1372" s="0" t="n">
        <v>2</v>
      </c>
      <c r="V1372" s="0" t="inlineStr">
        <is>
          <t>계단식</t>
        </is>
      </c>
      <c r="W1372" s="0" t="n">
        <v>113</v>
      </c>
      <c r="X1372" s="0" t="n">
        <v>15</v>
      </c>
      <c r="Y1372" s="0" t="n">
        <v>15</v>
      </c>
      <c r="Z1372" s="0" t="inlineStr">
        <is>
          <t>https://new.land.naver.com/complexes/10207?tab=detail&amp;rf=Y</t>
        </is>
      </c>
      <c r="AA1372" s="0" t="inlineStr">
        <is>
          <t>인천시 서구 원당동 852-1</t>
        </is>
      </c>
      <c r="AB1372" s="0" t="inlineStr">
        <is>
          <t>인천시</t>
        </is>
      </c>
      <c r="AC1372" s="0" t="inlineStr">
        <is>
          <t>서구</t>
        </is>
      </c>
      <c r="AD1372" s="0" t="inlineStr">
        <is>
          <t>원당동</t>
        </is>
      </c>
      <c r="AG1372" s="0" t="inlineStr">
        <is>
          <t>인천시 서구 고산로40번길 12</t>
        </is>
      </c>
      <c r="AH1372" s="0" t="n">
        <v>0</v>
      </c>
      <c r="AI1372" s="0" t="n">
        <v>230</v>
      </c>
      <c r="AJ1372" s="0" t="n">
        <v>20</v>
      </c>
      <c r="AK1372" s="0" t="n">
        <v>456</v>
      </c>
      <c r="AL1372" s="0" t="n">
        <v>1.02</v>
      </c>
    </row>
    <row r="1373">
      <c r="A1373" s="0" t="inlineStr">
        <is>
          <t>[원당동]</t>
        </is>
      </c>
      <c r="B1373" s="0" t="n">
        <v>130335</v>
      </c>
      <c r="C1373" s="0" t="n">
        <v>1</v>
      </c>
      <c r="D1373" s="0" t="inlineStr">
        <is>
          <t>검단신도시우미린에코뷰</t>
        </is>
      </c>
      <c r="E1373" s="0" t="inlineStr">
        <is>
          <t>2022.10.</t>
        </is>
      </c>
      <c r="F1373" s="0" t="n">
        <v>437</v>
      </c>
      <c r="G1373" s="0" t="n">
        <v>24.77</v>
      </c>
      <c r="H1373" s="0" t="n">
        <v>81.90000000000001</v>
      </c>
      <c r="I1373" s="0" t="n">
        <v>18.09</v>
      </c>
      <c r="J1373" s="0" t="n">
        <v>59.82</v>
      </c>
      <c r="K1373" s="0" t="n">
        <v>186</v>
      </c>
      <c r="T1373" s="0" t="n">
        <v>3</v>
      </c>
      <c r="U1373" s="0" t="n">
        <v>2</v>
      </c>
      <c r="V1373" s="0" t="inlineStr">
        <is>
          <t>계단식</t>
        </is>
      </c>
      <c r="W1373" s="0" t="inlineStr">
        <is>
          <t>81A</t>
        </is>
      </c>
      <c r="X1373" s="0" t="n">
        <v>29</v>
      </c>
      <c r="Y1373" s="0" t="n">
        <v>27</v>
      </c>
      <c r="Z1373" s="0" t="inlineStr">
        <is>
          <t>https://new.land.naver.com/complexes/130335?tab=detail&amp;rf=Y</t>
        </is>
      </c>
      <c r="AA1373" s="0" t="inlineStr">
        <is>
          <t>인천시 서구 원당동 검단신도시 AB12블록</t>
        </is>
      </c>
      <c r="AB1373" s="0" t="inlineStr">
        <is>
          <t>인천시</t>
        </is>
      </c>
      <c r="AC1373" s="0" t="inlineStr">
        <is>
          <t>서구</t>
        </is>
      </c>
      <c r="AD1373" s="0" t="inlineStr">
        <is>
          <t>원당동</t>
        </is>
      </c>
      <c r="AG1373" s="0" t="inlineStr">
        <is>
          <t>인천시 서구</t>
        </is>
      </c>
      <c r="AH1373" s="0" t="n">
        <v>0</v>
      </c>
      <c r="AI1373" s="0" t="n">
        <v>0</v>
      </c>
      <c r="AJ1373" s="0" t="n">
        <v>0</v>
      </c>
      <c r="AK1373" s="0" t="n">
        <v>541</v>
      </c>
      <c r="AL1373" s="0" t="n">
        <v>1.24</v>
      </c>
    </row>
    <row r="1374">
      <c r="A1374" s="0" t="inlineStr">
        <is>
          <t>[원당동]</t>
        </is>
      </c>
      <c r="B1374" s="0" t="n">
        <v>130335</v>
      </c>
      <c r="C1374" s="0" t="n">
        <v>2</v>
      </c>
      <c r="D1374" s="0" t="inlineStr">
        <is>
          <t>검단신도시우미린에코뷰</t>
        </is>
      </c>
      <c r="E1374" s="0" t="inlineStr">
        <is>
          <t>2022.10.</t>
        </is>
      </c>
      <c r="F1374" s="0" t="n">
        <v>437</v>
      </c>
      <c r="G1374" s="0" t="n">
        <v>24.83</v>
      </c>
      <c r="H1374" s="0" t="n">
        <v>82.09999999999999</v>
      </c>
      <c r="I1374" s="0" t="n">
        <v>18.11</v>
      </c>
      <c r="J1374" s="0" t="n">
        <v>59.9</v>
      </c>
      <c r="K1374" s="0" t="n">
        <v>81</v>
      </c>
      <c r="T1374" s="0" t="n">
        <v>3</v>
      </c>
      <c r="U1374" s="0" t="n">
        <v>2</v>
      </c>
      <c r="V1374" s="0" t="inlineStr">
        <is>
          <t>계단식</t>
        </is>
      </c>
      <c r="W1374" s="0" t="inlineStr">
        <is>
          <t>82B</t>
        </is>
      </c>
      <c r="X1374" s="0" t="n">
        <v>29</v>
      </c>
      <c r="Y1374" s="0" t="n">
        <v>27</v>
      </c>
      <c r="Z1374" s="0" t="inlineStr">
        <is>
          <t>https://new.land.naver.com/complexes/130335?tab=detail&amp;rf=Y</t>
        </is>
      </c>
      <c r="AA1374" s="0" t="inlineStr">
        <is>
          <t>인천시 서구 원당동 검단신도시 AB12블록</t>
        </is>
      </c>
      <c r="AB1374" s="0" t="inlineStr">
        <is>
          <t>인천시</t>
        </is>
      </c>
      <c r="AC1374" s="0" t="inlineStr">
        <is>
          <t>서구</t>
        </is>
      </c>
      <c r="AD1374" s="0" t="inlineStr">
        <is>
          <t>원당동</t>
        </is>
      </c>
      <c r="AG1374" s="0" t="inlineStr">
        <is>
          <t>인천시 서구</t>
        </is>
      </c>
      <c r="AH1374" s="0" t="n">
        <v>0</v>
      </c>
      <c r="AI1374" s="0" t="n">
        <v>0</v>
      </c>
      <c r="AJ1374" s="0" t="n">
        <v>0</v>
      </c>
      <c r="AK1374" s="0" t="n">
        <v>541</v>
      </c>
      <c r="AL1374" s="0" t="n">
        <v>1.24</v>
      </c>
    </row>
    <row r="1375">
      <c r="A1375" s="0" t="inlineStr">
        <is>
          <t>[원당동]</t>
        </is>
      </c>
      <c r="B1375" s="0" t="n">
        <v>130335</v>
      </c>
      <c r="C1375" s="0" t="n">
        <v>3</v>
      </c>
      <c r="D1375" s="0" t="inlineStr">
        <is>
          <t>검단신도시우미린에코뷰</t>
        </is>
      </c>
      <c r="E1375" s="0" t="inlineStr">
        <is>
          <t>2022.10.</t>
        </is>
      </c>
      <c r="F1375" s="0" t="n">
        <v>437</v>
      </c>
      <c r="G1375" s="0" t="n">
        <v>24.89</v>
      </c>
      <c r="H1375" s="0" t="n">
        <v>82.29000000000001</v>
      </c>
      <c r="I1375" s="0" t="n">
        <v>18.09</v>
      </c>
      <c r="J1375" s="0" t="n">
        <v>59.82</v>
      </c>
      <c r="K1375" s="0" t="n">
        <v>26</v>
      </c>
      <c r="T1375" s="0" t="n">
        <v>3</v>
      </c>
      <c r="U1375" s="0" t="n">
        <v>2</v>
      </c>
      <c r="V1375" s="0" t="inlineStr">
        <is>
          <t>계단식</t>
        </is>
      </c>
      <c r="W1375" s="0" t="inlineStr">
        <is>
          <t>82C</t>
        </is>
      </c>
      <c r="X1375" s="0" t="n">
        <v>29</v>
      </c>
      <c r="Y1375" s="0" t="n">
        <v>27</v>
      </c>
      <c r="Z1375" s="0" t="inlineStr">
        <is>
          <t>https://new.land.naver.com/complexes/130335?tab=detail&amp;rf=Y</t>
        </is>
      </c>
      <c r="AA1375" s="0" t="inlineStr">
        <is>
          <t>인천시 서구 원당동 검단신도시 AB12블록</t>
        </is>
      </c>
      <c r="AB1375" s="0" t="inlineStr">
        <is>
          <t>인천시</t>
        </is>
      </c>
      <c r="AC1375" s="0" t="inlineStr">
        <is>
          <t>서구</t>
        </is>
      </c>
      <c r="AD1375" s="0" t="inlineStr">
        <is>
          <t>원당동</t>
        </is>
      </c>
      <c r="AG1375" s="0" t="inlineStr">
        <is>
          <t>인천시 서구</t>
        </is>
      </c>
      <c r="AH1375" s="0" t="n">
        <v>0</v>
      </c>
      <c r="AI1375" s="0" t="n">
        <v>0</v>
      </c>
      <c r="AJ1375" s="0" t="n">
        <v>0</v>
      </c>
      <c r="AK1375" s="0" t="n">
        <v>541</v>
      </c>
      <c r="AL1375" s="0" t="n">
        <v>1.24</v>
      </c>
    </row>
    <row r="1376">
      <c r="A1376" s="0" t="inlineStr">
        <is>
          <t>[원당동]</t>
        </is>
      </c>
      <c r="B1376" s="0" t="n">
        <v>130335</v>
      </c>
      <c r="C1376" s="0" t="n">
        <v>4</v>
      </c>
      <c r="D1376" s="0" t="inlineStr">
        <is>
          <t>검단신도시우미린에코뷰</t>
        </is>
      </c>
      <c r="E1376" s="0" t="inlineStr">
        <is>
          <t>2022.10.</t>
        </is>
      </c>
      <c r="F1376" s="0" t="n">
        <v>437</v>
      </c>
      <c r="G1376" s="0" t="n">
        <v>34.59</v>
      </c>
      <c r="H1376" s="0" t="n">
        <v>114.38</v>
      </c>
      <c r="I1376" s="0" t="n">
        <v>25.67</v>
      </c>
      <c r="J1376" s="0" t="n">
        <v>84.87</v>
      </c>
      <c r="K1376" s="0" t="n">
        <v>115</v>
      </c>
      <c r="T1376" s="0" t="n">
        <v>3</v>
      </c>
      <c r="U1376" s="0" t="n">
        <v>2</v>
      </c>
      <c r="V1376" s="0" t="inlineStr">
        <is>
          <t>계단식</t>
        </is>
      </c>
      <c r="W1376" s="0" t="inlineStr">
        <is>
          <t>114A</t>
        </is>
      </c>
      <c r="X1376" s="0" t="n">
        <v>29</v>
      </c>
      <c r="Y1376" s="0" t="n">
        <v>27</v>
      </c>
      <c r="Z1376" s="0" t="inlineStr">
        <is>
          <t>https://new.land.naver.com/complexes/130335?tab=detail&amp;rf=Y</t>
        </is>
      </c>
      <c r="AA1376" s="0" t="inlineStr">
        <is>
          <t>인천시 서구 원당동 검단신도시 AB12블록</t>
        </is>
      </c>
      <c r="AB1376" s="0" t="inlineStr">
        <is>
          <t>인천시</t>
        </is>
      </c>
      <c r="AC1376" s="0" t="inlineStr">
        <is>
          <t>서구</t>
        </is>
      </c>
      <c r="AD1376" s="0" t="inlineStr">
        <is>
          <t>원당동</t>
        </is>
      </c>
      <c r="AG1376" s="0" t="inlineStr">
        <is>
          <t>인천시 서구</t>
        </is>
      </c>
      <c r="AH1376" s="0" t="n">
        <v>0</v>
      </c>
      <c r="AI1376" s="0" t="n">
        <v>0</v>
      </c>
      <c r="AJ1376" s="0" t="n">
        <v>0</v>
      </c>
      <c r="AK1376" s="0" t="n">
        <v>541</v>
      </c>
      <c r="AL1376" s="0" t="n">
        <v>1.24</v>
      </c>
    </row>
    <row r="1377">
      <c r="A1377" s="0" t="inlineStr">
        <is>
          <t>[원당동]</t>
        </is>
      </c>
      <c r="B1377" s="0" t="n">
        <v>130335</v>
      </c>
      <c r="C1377" s="0" t="n">
        <v>5</v>
      </c>
      <c r="D1377" s="0" t="inlineStr">
        <is>
          <t>검단신도시우미린에코뷰</t>
        </is>
      </c>
      <c r="E1377" s="0" t="inlineStr">
        <is>
          <t>2022.10.</t>
        </is>
      </c>
      <c r="F1377" s="0" t="n">
        <v>437</v>
      </c>
      <c r="G1377" s="0" t="n">
        <v>34.67</v>
      </c>
      <c r="H1377" s="0" t="n">
        <v>114.62</v>
      </c>
      <c r="I1377" s="0" t="n">
        <v>25.59</v>
      </c>
      <c r="J1377" s="0" t="n">
        <v>84.62</v>
      </c>
      <c r="K1377" s="0" t="n">
        <v>29</v>
      </c>
      <c r="T1377" s="0" t="n">
        <v>3</v>
      </c>
      <c r="U1377" s="0" t="n">
        <v>2</v>
      </c>
      <c r="V1377" s="0" t="inlineStr">
        <is>
          <t>계단식</t>
        </is>
      </c>
      <c r="W1377" s="0" t="inlineStr">
        <is>
          <t>114B</t>
        </is>
      </c>
      <c r="X1377" s="0" t="n">
        <v>29</v>
      </c>
      <c r="Y1377" s="0" t="n">
        <v>27</v>
      </c>
      <c r="Z1377" s="0" t="inlineStr">
        <is>
          <t>https://new.land.naver.com/complexes/130335?tab=detail&amp;rf=Y</t>
        </is>
      </c>
      <c r="AA1377" s="0" t="inlineStr">
        <is>
          <t>인천시 서구 원당동 검단신도시 AB12블록</t>
        </is>
      </c>
      <c r="AB1377" s="0" t="inlineStr">
        <is>
          <t>인천시</t>
        </is>
      </c>
      <c r="AC1377" s="0" t="inlineStr">
        <is>
          <t>서구</t>
        </is>
      </c>
      <c r="AD1377" s="0" t="inlineStr">
        <is>
          <t>원당동</t>
        </is>
      </c>
      <c r="AG1377" s="0" t="inlineStr">
        <is>
          <t>인천시 서구</t>
        </is>
      </c>
      <c r="AH1377" s="0" t="n">
        <v>0</v>
      </c>
      <c r="AI1377" s="0" t="n">
        <v>0</v>
      </c>
      <c r="AJ1377" s="0" t="n">
        <v>0</v>
      </c>
      <c r="AK1377" s="0" t="n">
        <v>541</v>
      </c>
      <c r="AL1377" s="0" t="n">
        <v>1.24</v>
      </c>
    </row>
    <row r="1378">
      <c r="A1378" s="0" t="inlineStr">
        <is>
          <t>[원당동]</t>
        </is>
      </c>
      <c r="B1378" s="0" t="n">
        <v>10208</v>
      </c>
      <c r="C1378" s="0" t="n">
        <v>1</v>
      </c>
      <c r="D1378" s="0" t="inlineStr">
        <is>
          <t>원당LG자이</t>
        </is>
      </c>
      <c r="E1378" s="0" t="inlineStr">
        <is>
          <t>2004.06.</t>
        </is>
      </c>
      <c r="F1378" s="0" t="n">
        <v>938</v>
      </c>
      <c r="G1378" s="0" t="n">
        <v>25.85</v>
      </c>
      <c r="H1378" s="0" t="n">
        <v>85.48</v>
      </c>
      <c r="I1378" s="0" t="n">
        <v>18.13</v>
      </c>
      <c r="J1378" s="0" t="n">
        <v>59.94</v>
      </c>
      <c r="K1378" s="0" t="n">
        <v>125</v>
      </c>
      <c r="T1378" s="0" t="n">
        <v>3</v>
      </c>
      <c r="U1378" s="0" t="n">
        <v>2</v>
      </c>
      <c r="V1378" s="0" t="inlineStr">
        <is>
          <t>계단식</t>
        </is>
      </c>
      <c r="W1378" s="0" t="n">
        <v>85</v>
      </c>
      <c r="X1378" s="0" t="n">
        <v>19</v>
      </c>
      <c r="Y1378" s="0" t="n">
        <v>14</v>
      </c>
      <c r="Z1378" s="0" t="inlineStr">
        <is>
          <t>https://new.land.naver.com/complexes/10208?tab=detail&amp;rf=Y</t>
        </is>
      </c>
      <c r="AA1378" s="0" t="inlineStr">
        <is>
          <t>인천시 서구 원당동 823-1</t>
        </is>
      </c>
      <c r="AB1378" s="0" t="inlineStr">
        <is>
          <t>인천시</t>
        </is>
      </c>
      <c r="AC1378" s="0" t="inlineStr">
        <is>
          <t>서구</t>
        </is>
      </c>
      <c r="AD1378" s="0" t="inlineStr">
        <is>
          <t>원당동</t>
        </is>
      </c>
      <c r="AG1378" s="0" t="inlineStr">
        <is>
          <t>인천시 서구 원당대로839번길 34</t>
        </is>
      </c>
      <c r="AH1378" s="0" t="n">
        <v>0</v>
      </c>
      <c r="AI1378" s="0" t="n">
        <v>215</v>
      </c>
      <c r="AJ1378" s="0" t="n">
        <v>17</v>
      </c>
      <c r="AK1378" s="0" t="n">
        <v>948</v>
      </c>
      <c r="AL1378" s="0" t="n">
        <v>1.01</v>
      </c>
    </row>
    <row r="1379">
      <c r="A1379" s="0" t="inlineStr">
        <is>
          <t>[원당동]</t>
        </is>
      </c>
      <c r="B1379" s="0" t="n">
        <v>10208</v>
      </c>
      <c r="C1379" s="0" t="n">
        <v>2</v>
      </c>
      <c r="D1379" s="0" t="inlineStr">
        <is>
          <t>원당LG자이</t>
        </is>
      </c>
      <c r="E1379" s="0" t="inlineStr">
        <is>
          <t>2004.06.</t>
        </is>
      </c>
      <c r="F1379" s="0" t="n">
        <v>938</v>
      </c>
      <c r="G1379" s="0" t="n">
        <v>33.96</v>
      </c>
      <c r="H1379" s="0" t="n">
        <v>112.27</v>
      </c>
      <c r="I1379" s="0" t="n">
        <v>25.69</v>
      </c>
      <c r="J1379" s="0" t="n">
        <v>84.95</v>
      </c>
      <c r="K1379" s="0" t="n">
        <v>719</v>
      </c>
      <c r="T1379" s="0" t="n">
        <v>3</v>
      </c>
      <c r="U1379" s="0" t="n">
        <v>2</v>
      </c>
      <c r="V1379" s="0" t="inlineStr">
        <is>
          <t>계단식</t>
        </is>
      </c>
      <c r="W1379" s="0" t="n">
        <v>112</v>
      </c>
      <c r="X1379" s="0" t="n">
        <v>19</v>
      </c>
      <c r="Y1379" s="0" t="n">
        <v>14</v>
      </c>
      <c r="Z1379" s="0" t="inlineStr">
        <is>
          <t>https://new.land.naver.com/complexes/10208?tab=detail&amp;rf=Y</t>
        </is>
      </c>
      <c r="AA1379" s="0" t="inlineStr">
        <is>
          <t>인천시 서구 원당동 823-1</t>
        </is>
      </c>
      <c r="AB1379" s="0" t="inlineStr">
        <is>
          <t>인천시</t>
        </is>
      </c>
      <c r="AC1379" s="0" t="inlineStr">
        <is>
          <t>서구</t>
        </is>
      </c>
      <c r="AD1379" s="0" t="inlineStr">
        <is>
          <t>원당동</t>
        </is>
      </c>
      <c r="AG1379" s="0" t="inlineStr">
        <is>
          <t>인천시 서구 원당대로839번길 34</t>
        </is>
      </c>
      <c r="AH1379" s="0" t="n">
        <v>0</v>
      </c>
      <c r="AI1379" s="0" t="n">
        <v>215</v>
      </c>
      <c r="AJ1379" s="0" t="n">
        <v>17</v>
      </c>
      <c r="AK1379" s="0" t="n">
        <v>948</v>
      </c>
      <c r="AL1379" s="0" t="n">
        <v>1.01</v>
      </c>
    </row>
    <row r="1380">
      <c r="A1380" s="0" t="inlineStr">
        <is>
          <t>[원당동]</t>
        </is>
      </c>
      <c r="B1380" s="0" t="n">
        <v>10208</v>
      </c>
      <c r="C1380" s="0" t="n">
        <v>3</v>
      </c>
      <c r="D1380" s="0" t="inlineStr">
        <is>
          <t>원당LG자이</t>
        </is>
      </c>
      <c r="E1380" s="0" t="inlineStr">
        <is>
          <t>2004.06.</t>
        </is>
      </c>
      <c r="F1380" s="0" t="n">
        <v>938</v>
      </c>
      <c r="G1380" s="0" t="n">
        <v>41.54</v>
      </c>
      <c r="H1380" s="0" t="n">
        <v>137.33</v>
      </c>
      <c r="I1380" s="0" t="n">
        <v>32.71</v>
      </c>
      <c r="J1380" s="0" t="n">
        <v>108.14</v>
      </c>
      <c r="K1380" s="0" t="n">
        <v>94</v>
      </c>
      <c r="T1380" s="0" t="n">
        <v>3</v>
      </c>
      <c r="U1380" s="0" t="n">
        <v>2</v>
      </c>
      <c r="V1380" s="0" t="inlineStr">
        <is>
          <t>계단식</t>
        </is>
      </c>
      <c r="W1380" s="0" t="n">
        <v>137</v>
      </c>
      <c r="X1380" s="0" t="n">
        <v>19</v>
      </c>
      <c r="Y1380" s="0" t="n">
        <v>14</v>
      </c>
      <c r="Z1380" s="0" t="inlineStr">
        <is>
          <t>https://new.land.naver.com/complexes/10208?tab=detail&amp;rf=Y</t>
        </is>
      </c>
      <c r="AA1380" s="0" t="inlineStr">
        <is>
          <t>인천시 서구 원당동 823-1</t>
        </is>
      </c>
      <c r="AB1380" s="0" t="inlineStr">
        <is>
          <t>인천시</t>
        </is>
      </c>
      <c r="AC1380" s="0" t="inlineStr">
        <is>
          <t>서구</t>
        </is>
      </c>
      <c r="AD1380" s="0" t="inlineStr">
        <is>
          <t>원당동</t>
        </is>
      </c>
      <c r="AG1380" s="0" t="inlineStr">
        <is>
          <t>인천시 서구 원당대로839번길 34</t>
        </is>
      </c>
      <c r="AH1380" s="0" t="n">
        <v>0</v>
      </c>
      <c r="AI1380" s="0" t="n">
        <v>215</v>
      </c>
      <c r="AJ1380" s="0" t="n">
        <v>17</v>
      </c>
      <c r="AK1380" s="0" t="n">
        <v>948</v>
      </c>
      <c r="AL1380" s="0" t="n">
        <v>1.01</v>
      </c>
    </row>
    <row r="1381">
      <c r="A1381" s="0" t="inlineStr">
        <is>
          <t>[원당동]</t>
        </is>
      </c>
      <c r="B1381" s="0" t="n">
        <v>140959</v>
      </c>
      <c r="C1381" s="0" t="n">
        <v>1</v>
      </c>
      <c r="D1381" s="0" t="inlineStr">
        <is>
          <t>검단신도시AB3-2블록예미지퍼스트포레</t>
        </is>
      </c>
      <c r="E1381" s="0" t="inlineStr">
        <is>
          <t>2023.10.</t>
        </is>
      </c>
      <c r="F1381" s="0" t="n">
        <v>1172</v>
      </c>
      <c r="G1381" s="0" t="n">
        <v>30.63</v>
      </c>
      <c r="H1381" s="0" t="n">
        <v>101.28</v>
      </c>
      <c r="I1381" s="0" t="n">
        <v>23.25</v>
      </c>
      <c r="J1381" s="0" t="n">
        <v>76.87</v>
      </c>
      <c r="K1381" s="0" t="n">
        <v>214</v>
      </c>
      <c r="T1381" s="0" t="n">
        <v>3</v>
      </c>
      <c r="U1381" s="0" t="n">
        <v>2</v>
      </c>
      <c r="V1381" s="0" t="inlineStr">
        <is>
          <t>계단식</t>
        </is>
      </c>
      <c r="W1381" s="0" t="n">
        <v>101</v>
      </c>
      <c r="X1381" s="0" t="n">
        <v>25</v>
      </c>
      <c r="Y1381" s="0" t="n">
        <v>21</v>
      </c>
      <c r="Z1381" s="0" t="inlineStr">
        <is>
          <t>https://new.land.naver.com/complexes/140959?tab=detail&amp;rf=Y</t>
        </is>
      </c>
      <c r="AA1381" s="0" t="inlineStr">
        <is>
          <t>인천시 서구 원당동 검단신도시 AB3-2블록</t>
        </is>
      </c>
      <c r="AB1381" s="0" t="inlineStr">
        <is>
          <t>인천시</t>
        </is>
      </c>
      <c r="AC1381" s="0" t="inlineStr">
        <is>
          <t>서구</t>
        </is>
      </c>
      <c r="AD1381" s="0" t="inlineStr">
        <is>
          <t>원당동</t>
        </is>
      </c>
      <c r="AG1381" s="0" t="inlineStr">
        <is>
          <t>인천시 서구</t>
        </is>
      </c>
      <c r="AH1381" s="0" t="n">
        <v>0</v>
      </c>
      <c r="AI1381" s="0" t="n">
        <v>209</v>
      </c>
      <c r="AJ1381" s="0" t="n">
        <v>15</v>
      </c>
      <c r="AK1381" s="0" t="n">
        <v>1699</v>
      </c>
      <c r="AL1381" s="0" t="n">
        <v>1.45</v>
      </c>
    </row>
    <row r="1382">
      <c r="A1382" s="0" t="inlineStr">
        <is>
          <t>[원당동]</t>
        </is>
      </c>
      <c r="B1382" s="0" t="n">
        <v>140959</v>
      </c>
      <c r="C1382" s="0" t="n">
        <v>2</v>
      </c>
      <c r="D1382" s="0" t="inlineStr">
        <is>
          <t>검단신도시AB3-2블록예미지퍼스트포레</t>
        </is>
      </c>
      <c r="E1382" s="0" t="inlineStr">
        <is>
          <t>2023.10.</t>
        </is>
      </c>
      <c r="F1382" s="0" t="n">
        <v>1172</v>
      </c>
      <c r="G1382" s="0" t="n">
        <v>33.61</v>
      </c>
      <c r="H1382" s="0" t="n">
        <v>111.14</v>
      </c>
      <c r="I1382" s="0" t="n">
        <v>25.69</v>
      </c>
      <c r="J1382" s="0" t="n">
        <v>84.95</v>
      </c>
      <c r="K1382" s="0" t="n">
        <v>510</v>
      </c>
      <c r="T1382" s="0" t="n">
        <v>3</v>
      </c>
      <c r="U1382" s="0" t="n">
        <v>2</v>
      </c>
      <c r="V1382" s="0" t="inlineStr">
        <is>
          <t>계단식</t>
        </is>
      </c>
      <c r="W1382" s="0" t="inlineStr">
        <is>
          <t>111A</t>
        </is>
      </c>
      <c r="X1382" s="0" t="n">
        <v>25</v>
      </c>
      <c r="Y1382" s="0" t="n">
        <v>21</v>
      </c>
      <c r="Z1382" s="0" t="inlineStr">
        <is>
          <t>https://new.land.naver.com/complexes/140959?tab=detail&amp;rf=Y</t>
        </is>
      </c>
      <c r="AA1382" s="0" t="inlineStr">
        <is>
          <t>인천시 서구 원당동 검단신도시 AB3-2블록</t>
        </is>
      </c>
      <c r="AB1382" s="0" t="inlineStr">
        <is>
          <t>인천시</t>
        </is>
      </c>
      <c r="AC1382" s="0" t="inlineStr">
        <is>
          <t>서구</t>
        </is>
      </c>
      <c r="AD1382" s="0" t="inlineStr">
        <is>
          <t>원당동</t>
        </is>
      </c>
      <c r="AG1382" s="0" t="inlineStr">
        <is>
          <t>인천시 서구</t>
        </is>
      </c>
      <c r="AH1382" s="0" t="n">
        <v>0</v>
      </c>
      <c r="AI1382" s="0" t="n">
        <v>209</v>
      </c>
      <c r="AJ1382" s="0" t="n">
        <v>15</v>
      </c>
      <c r="AK1382" s="0" t="n">
        <v>1699</v>
      </c>
      <c r="AL1382" s="0" t="n">
        <v>1.45</v>
      </c>
    </row>
    <row r="1383">
      <c r="A1383" s="0" t="inlineStr">
        <is>
          <t>[원당동]</t>
        </is>
      </c>
      <c r="B1383" s="0" t="n">
        <v>140959</v>
      </c>
      <c r="C1383" s="0" t="n">
        <v>3</v>
      </c>
      <c r="D1383" s="0" t="inlineStr">
        <is>
          <t>검단신도시AB3-2블록예미지퍼스트포레</t>
        </is>
      </c>
      <c r="E1383" s="0" t="inlineStr">
        <is>
          <t>2023.10.</t>
        </is>
      </c>
      <c r="F1383" s="0" t="n">
        <v>1172</v>
      </c>
      <c r="G1383" s="0" t="n">
        <v>33.67</v>
      </c>
      <c r="H1383" s="0" t="n">
        <v>111.31</v>
      </c>
      <c r="I1383" s="0" t="n">
        <v>25.7</v>
      </c>
      <c r="J1383" s="0" t="n">
        <v>84.98</v>
      </c>
      <c r="K1383" s="0" t="n">
        <v>75</v>
      </c>
      <c r="T1383" s="0" t="n">
        <v>3</v>
      </c>
      <c r="U1383" s="0" t="n">
        <v>2</v>
      </c>
      <c r="V1383" s="0" t="inlineStr">
        <is>
          <t>계단식</t>
        </is>
      </c>
      <c r="W1383" s="0" t="inlineStr">
        <is>
          <t>111B</t>
        </is>
      </c>
      <c r="X1383" s="0" t="n">
        <v>25</v>
      </c>
      <c r="Y1383" s="0" t="n">
        <v>21</v>
      </c>
      <c r="Z1383" s="0" t="inlineStr">
        <is>
          <t>https://new.land.naver.com/complexes/140959?tab=detail&amp;rf=Y</t>
        </is>
      </c>
      <c r="AA1383" s="0" t="inlineStr">
        <is>
          <t>인천시 서구 원당동 검단신도시 AB3-2블록</t>
        </is>
      </c>
      <c r="AB1383" s="0" t="inlineStr">
        <is>
          <t>인천시</t>
        </is>
      </c>
      <c r="AC1383" s="0" t="inlineStr">
        <is>
          <t>서구</t>
        </is>
      </c>
      <c r="AD1383" s="0" t="inlineStr">
        <is>
          <t>원당동</t>
        </is>
      </c>
      <c r="AG1383" s="0" t="inlineStr">
        <is>
          <t>인천시 서구</t>
        </is>
      </c>
      <c r="AH1383" s="0" t="n">
        <v>0</v>
      </c>
      <c r="AI1383" s="0" t="n">
        <v>209</v>
      </c>
      <c r="AJ1383" s="0" t="n">
        <v>15</v>
      </c>
      <c r="AK1383" s="0" t="n">
        <v>1699</v>
      </c>
      <c r="AL1383" s="0" t="n">
        <v>1.45</v>
      </c>
    </row>
    <row r="1384">
      <c r="A1384" s="0" t="inlineStr">
        <is>
          <t>[원당동]</t>
        </is>
      </c>
      <c r="B1384" s="0" t="n">
        <v>140959</v>
      </c>
      <c r="C1384" s="0" t="n">
        <v>4</v>
      </c>
      <c r="D1384" s="0" t="inlineStr">
        <is>
          <t>검단신도시AB3-2블록예미지퍼스트포레</t>
        </is>
      </c>
      <c r="E1384" s="0" t="inlineStr">
        <is>
          <t>2023.10.</t>
        </is>
      </c>
      <c r="F1384" s="0" t="n">
        <v>1172</v>
      </c>
      <c r="G1384" s="0" t="n">
        <v>40.31</v>
      </c>
      <c r="H1384" s="0" t="n">
        <v>133.27</v>
      </c>
      <c r="I1384" s="0" t="n">
        <v>31.09</v>
      </c>
      <c r="J1384" s="0" t="n">
        <v>102.78</v>
      </c>
      <c r="K1384" s="0" t="n">
        <v>224</v>
      </c>
      <c r="T1384" s="0" t="n">
        <v>3</v>
      </c>
      <c r="U1384" s="0" t="n">
        <v>2</v>
      </c>
      <c r="V1384" s="0" t="inlineStr">
        <is>
          <t>계단식</t>
        </is>
      </c>
      <c r="W1384" s="0" t="inlineStr">
        <is>
          <t>133A</t>
        </is>
      </c>
      <c r="X1384" s="0" t="n">
        <v>25</v>
      </c>
      <c r="Y1384" s="0" t="n">
        <v>21</v>
      </c>
      <c r="Z1384" s="0" t="inlineStr">
        <is>
          <t>https://new.land.naver.com/complexes/140959?tab=detail&amp;rf=Y</t>
        </is>
      </c>
      <c r="AA1384" s="0" t="inlineStr">
        <is>
          <t>인천시 서구 원당동 검단신도시 AB3-2블록</t>
        </is>
      </c>
      <c r="AB1384" s="0" t="inlineStr">
        <is>
          <t>인천시</t>
        </is>
      </c>
      <c r="AC1384" s="0" t="inlineStr">
        <is>
          <t>서구</t>
        </is>
      </c>
      <c r="AD1384" s="0" t="inlineStr">
        <is>
          <t>원당동</t>
        </is>
      </c>
      <c r="AG1384" s="0" t="inlineStr">
        <is>
          <t>인천시 서구</t>
        </is>
      </c>
      <c r="AH1384" s="0" t="n">
        <v>0</v>
      </c>
      <c r="AI1384" s="0" t="n">
        <v>209</v>
      </c>
      <c r="AJ1384" s="0" t="n">
        <v>15</v>
      </c>
      <c r="AK1384" s="0" t="n">
        <v>1699</v>
      </c>
      <c r="AL1384" s="0" t="n">
        <v>1.45</v>
      </c>
    </row>
    <row r="1385">
      <c r="A1385" s="0" t="inlineStr">
        <is>
          <t>[원당동]</t>
        </is>
      </c>
      <c r="B1385" s="0" t="n">
        <v>140959</v>
      </c>
      <c r="C1385" s="0" t="n">
        <v>5</v>
      </c>
      <c r="D1385" s="0" t="inlineStr">
        <is>
          <t>검단신도시AB3-2블록예미지퍼스트포레</t>
        </is>
      </c>
      <c r="E1385" s="0" t="inlineStr">
        <is>
          <t>2023.10.</t>
        </is>
      </c>
      <c r="F1385" s="0" t="n">
        <v>1172</v>
      </c>
      <c r="G1385" s="0" t="n">
        <v>40.82</v>
      </c>
      <c r="H1385" s="0" t="n">
        <v>134.97</v>
      </c>
      <c r="I1385" s="0" t="n">
        <v>31.06</v>
      </c>
      <c r="J1385" s="0" t="n">
        <v>102.7</v>
      </c>
      <c r="K1385" s="0" t="n">
        <v>149</v>
      </c>
      <c r="T1385" s="0" t="n">
        <v>3</v>
      </c>
      <c r="U1385" s="0" t="n">
        <v>2</v>
      </c>
      <c r="V1385" s="0" t="inlineStr">
        <is>
          <t>계단식</t>
        </is>
      </c>
      <c r="W1385" s="0" t="inlineStr">
        <is>
          <t>134B</t>
        </is>
      </c>
      <c r="X1385" s="0" t="n">
        <v>25</v>
      </c>
      <c r="Y1385" s="0" t="n">
        <v>21</v>
      </c>
      <c r="Z1385" s="0" t="inlineStr">
        <is>
          <t>https://new.land.naver.com/complexes/140959?tab=detail&amp;rf=Y</t>
        </is>
      </c>
      <c r="AA1385" s="0" t="inlineStr">
        <is>
          <t>인천시 서구 원당동 검단신도시 AB3-2블록</t>
        </is>
      </c>
      <c r="AB1385" s="0" t="inlineStr">
        <is>
          <t>인천시</t>
        </is>
      </c>
      <c r="AC1385" s="0" t="inlineStr">
        <is>
          <t>서구</t>
        </is>
      </c>
      <c r="AD1385" s="0" t="inlineStr">
        <is>
          <t>원당동</t>
        </is>
      </c>
      <c r="AG1385" s="0" t="inlineStr">
        <is>
          <t>인천시 서구</t>
        </is>
      </c>
      <c r="AH1385" s="0" t="n">
        <v>0</v>
      </c>
      <c r="AI1385" s="0" t="n">
        <v>209</v>
      </c>
      <c r="AJ1385" s="0" t="n">
        <v>15</v>
      </c>
      <c r="AK1385" s="0" t="n">
        <v>1699</v>
      </c>
      <c r="AL1385" s="0" t="n">
        <v>1.45</v>
      </c>
    </row>
    <row r="1386">
      <c r="A1386" s="0" t="inlineStr">
        <is>
          <t>[청라동]</t>
        </is>
      </c>
      <c r="B1386" s="0" t="n">
        <v>101306</v>
      </c>
      <c r="C1386" s="0" t="n">
        <v>1</v>
      </c>
      <c r="D1386" s="0" t="inlineStr">
        <is>
          <t>청라더샵레이크파크</t>
        </is>
      </c>
      <c r="E1386" s="0" t="inlineStr">
        <is>
          <t>2013.04.</t>
        </is>
      </c>
      <c r="F1386" s="0" t="n">
        <v>766</v>
      </c>
      <c r="G1386" s="0" t="n">
        <v>40.44</v>
      </c>
      <c r="H1386" s="0" t="n">
        <v>133.7</v>
      </c>
      <c r="I1386" s="0" t="n">
        <v>30.42</v>
      </c>
      <c r="J1386" s="0" t="n">
        <v>100.59</v>
      </c>
      <c r="K1386" s="0" t="n">
        <v>266</v>
      </c>
      <c r="T1386" s="0" t="n">
        <v>3</v>
      </c>
      <c r="U1386" s="0" t="n">
        <v>2</v>
      </c>
      <c r="V1386" s="0" t="inlineStr">
        <is>
          <t>계단식</t>
        </is>
      </c>
      <c r="W1386" s="0" t="n">
        <v>133</v>
      </c>
      <c r="X1386" s="0" t="n">
        <v>57</v>
      </c>
      <c r="Y1386" s="0" t="n">
        <v>45</v>
      </c>
      <c r="Z1386" s="0" t="inlineStr">
        <is>
          <t>https://new.land.naver.com/complexes/101306?tab=detail&amp;rf=Y</t>
        </is>
      </c>
      <c r="AA1386" s="0" t="inlineStr">
        <is>
          <t>인천시 서구 청라동 154-1</t>
        </is>
      </c>
      <c r="AB1386" s="0" t="inlineStr">
        <is>
          <t>인천시</t>
        </is>
      </c>
      <c r="AC1386" s="0" t="inlineStr">
        <is>
          <t>서구</t>
        </is>
      </c>
      <c r="AD1386" s="0" t="inlineStr">
        <is>
          <t>청라동</t>
        </is>
      </c>
      <c r="AG1386" s="0" t="inlineStr">
        <is>
          <t>인천시 서구 크리스탈로74번길 26</t>
        </is>
      </c>
      <c r="AH1386" s="0" t="n">
        <v>0</v>
      </c>
      <c r="AI1386" s="0" t="n">
        <v>221</v>
      </c>
      <c r="AJ1386" s="0" t="n">
        <v>8</v>
      </c>
      <c r="AK1386" s="0" t="n">
        <v>1321</v>
      </c>
      <c r="AL1386" s="0" t="n">
        <v>1.72</v>
      </c>
    </row>
    <row r="1387">
      <c r="A1387" s="0" t="inlineStr">
        <is>
          <t>[청라동]</t>
        </is>
      </c>
      <c r="B1387" s="0" t="n">
        <v>101306</v>
      </c>
      <c r="C1387" s="0" t="n">
        <v>2</v>
      </c>
      <c r="D1387" s="0" t="inlineStr">
        <is>
          <t>청라더샵레이크파크</t>
        </is>
      </c>
      <c r="E1387" s="0" t="inlineStr">
        <is>
          <t>2013.04.</t>
        </is>
      </c>
      <c r="F1387" s="0" t="n">
        <v>766</v>
      </c>
      <c r="G1387" s="0" t="n">
        <v>43.13</v>
      </c>
      <c r="H1387" s="0" t="n">
        <v>142.58</v>
      </c>
      <c r="I1387" s="0" t="n">
        <v>32.39</v>
      </c>
      <c r="J1387" s="0" t="n">
        <v>107.1</v>
      </c>
      <c r="K1387" s="0" t="n">
        <v>53</v>
      </c>
      <c r="T1387" s="0" t="n">
        <v>3</v>
      </c>
      <c r="U1387" s="0" t="n">
        <v>2</v>
      </c>
      <c r="V1387" s="0" t="inlineStr">
        <is>
          <t>계단식</t>
        </is>
      </c>
      <c r="W1387" s="0" t="n">
        <v>142</v>
      </c>
      <c r="X1387" s="0" t="n">
        <v>57</v>
      </c>
      <c r="Y1387" s="0" t="n">
        <v>45</v>
      </c>
      <c r="Z1387" s="0" t="inlineStr">
        <is>
          <t>https://new.land.naver.com/complexes/101306?tab=detail&amp;rf=Y</t>
        </is>
      </c>
      <c r="AA1387" s="0" t="inlineStr">
        <is>
          <t>인천시 서구 청라동 154-1</t>
        </is>
      </c>
      <c r="AB1387" s="0" t="inlineStr">
        <is>
          <t>인천시</t>
        </is>
      </c>
      <c r="AC1387" s="0" t="inlineStr">
        <is>
          <t>서구</t>
        </is>
      </c>
      <c r="AD1387" s="0" t="inlineStr">
        <is>
          <t>청라동</t>
        </is>
      </c>
      <c r="AG1387" s="0" t="inlineStr">
        <is>
          <t>인천시 서구 크리스탈로74번길 26</t>
        </is>
      </c>
      <c r="AH1387" s="0" t="n">
        <v>0</v>
      </c>
      <c r="AI1387" s="0" t="n">
        <v>221</v>
      </c>
      <c r="AJ1387" s="0" t="n">
        <v>8</v>
      </c>
      <c r="AK1387" s="0" t="n">
        <v>1321</v>
      </c>
      <c r="AL1387" s="0" t="n">
        <v>1.72</v>
      </c>
    </row>
    <row r="1388">
      <c r="A1388" s="0" t="inlineStr">
        <is>
          <t>[청라동]</t>
        </is>
      </c>
      <c r="B1388" s="0" t="n">
        <v>101306</v>
      </c>
      <c r="C1388" s="0" t="n">
        <v>3</v>
      </c>
      <c r="D1388" s="0" t="inlineStr">
        <is>
          <t>청라더샵레이크파크</t>
        </is>
      </c>
      <c r="E1388" s="0" t="inlineStr">
        <is>
          <t>2013.04.</t>
        </is>
      </c>
      <c r="F1388" s="0" t="n">
        <v>766</v>
      </c>
      <c r="G1388" s="0" t="n">
        <v>43.62</v>
      </c>
      <c r="H1388" s="0" t="n">
        <v>144.22</v>
      </c>
      <c r="I1388" s="0" t="n">
        <v>32.33</v>
      </c>
      <c r="J1388" s="0" t="n">
        <v>106.89</v>
      </c>
      <c r="K1388" s="0" t="n">
        <v>338</v>
      </c>
      <c r="T1388" s="0" t="n">
        <v>3</v>
      </c>
      <c r="U1388" s="0" t="n">
        <v>2</v>
      </c>
      <c r="V1388" s="0" t="inlineStr">
        <is>
          <t>계단식</t>
        </is>
      </c>
      <c r="W1388" s="0" t="n">
        <v>144</v>
      </c>
      <c r="X1388" s="0" t="n">
        <v>57</v>
      </c>
      <c r="Y1388" s="0" t="n">
        <v>45</v>
      </c>
      <c r="Z1388" s="0" t="inlineStr">
        <is>
          <t>https://new.land.naver.com/complexes/101306?tab=detail&amp;rf=Y</t>
        </is>
      </c>
      <c r="AA1388" s="0" t="inlineStr">
        <is>
          <t>인천시 서구 청라동 154-1</t>
        </is>
      </c>
      <c r="AB1388" s="0" t="inlineStr">
        <is>
          <t>인천시</t>
        </is>
      </c>
      <c r="AC1388" s="0" t="inlineStr">
        <is>
          <t>서구</t>
        </is>
      </c>
      <c r="AD1388" s="0" t="inlineStr">
        <is>
          <t>청라동</t>
        </is>
      </c>
      <c r="AG1388" s="0" t="inlineStr">
        <is>
          <t>인천시 서구 크리스탈로74번길 26</t>
        </is>
      </c>
      <c r="AH1388" s="0" t="n">
        <v>0</v>
      </c>
      <c r="AI1388" s="0" t="n">
        <v>221</v>
      </c>
      <c r="AJ1388" s="0" t="n">
        <v>8</v>
      </c>
      <c r="AK1388" s="0" t="n">
        <v>1321</v>
      </c>
      <c r="AL1388" s="0" t="n">
        <v>1.72</v>
      </c>
    </row>
    <row r="1389">
      <c r="A1389" s="0" t="inlineStr">
        <is>
          <t>[청라동]</t>
        </is>
      </c>
      <c r="B1389" s="0" t="n">
        <v>101306</v>
      </c>
      <c r="C1389" s="0" t="n">
        <v>4</v>
      </c>
      <c r="D1389" s="0" t="inlineStr">
        <is>
          <t>청라더샵레이크파크</t>
        </is>
      </c>
      <c r="E1389" s="0" t="inlineStr">
        <is>
          <t>2013.04.</t>
        </is>
      </c>
      <c r="F1389" s="0" t="n">
        <v>766</v>
      </c>
      <c r="G1389" s="0" t="n">
        <v>55.42</v>
      </c>
      <c r="H1389" s="0" t="n">
        <v>183.22</v>
      </c>
      <c r="I1389" s="0" t="n">
        <v>41.5</v>
      </c>
      <c r="J1389" s="0" t="n">
        <v>137.22</v>
      </c>
      <c r="K1389" s="0" t="n">
        <v>107</v>
      </c>
      <c r="T1389" s="0" t="n">
        <v>3</v>
      </c>
      <c r="U1389" s="0" t="n">
        <v>2</v>
      </c>
      <c r="V1389" s="0" t="inlineStr">
        <is>
          <t>계단식</t>
        </is>
      </c>
      <c r="W1389" s="0" t="n">
        <v>183</v>
      </c>
      <c r="X1389" s="0" t="n">
        <v>57</v>
      </c>
      <c r="Y1389" s="0" t="n">
        <v>45</v>
      </c>
      <c r="Z1389" s="0" t="inlineStr">
        <is>
          <t>https://new.land.naver.com/complexes/101306?tab=detail&amp;rf=Y</t>
        </is>
      </c>
      <c r="AA1389" s="0" t="inlineStr">
        <is>
          <t>인천시 서구 청라동 154-1</t>
        </is>
      </c>
      <c r="AB1389" s="0" t="inlineStr">
        <is>
          <t>인천시</t>
        </is>
      </c>
      <c r="AC1389" s="0" t="inlineStr">
        <is>
          <t>서구</t>
        </is>
      </c>
      <c r="AD1389" s="0" t="inlineStr">
        <is>
          <t>청라동</t>
        </is>
      </c>
      <c r="AG1389" s="0" t="inlineStr">
        <is>
          <t>인천시 서구 크리스탈로74번길 26</t>
        </is>
      </c>
      <c r="AH1389" s="0" t="n">
        <v>0</v>
      </c>
      <c r="AI1389" s="0" t="n">
        <v>221</v>
      </c>
      <c r="AJ1389" s="0" t="n">
        <v>8</v>
      </c>
      <c r="AK1389" s="0" t="n">
        <v>1321</v>
      </c>
      <c r="AL1389" s="0" t="n">
        <v>1.72</v>
      </c>
    </row>
    <row r="1390">
      <c r="A1390" s="0" t="inlineStr">
        <is>
          <t>[청라동]</t>
        </is>
      </c>
      <c r="B1390" s="0" t="n">
        <v>101306</v>
      </c>
      <c r="C1390" s="0" t="n">
        <v>5</v>
      </c>
      <c r="D1390" s="0" t="inlineStr">
        <is>
          <t>청라더샵레이크파크</t>
        </is>
      </c>
      <c r="E1390" s="0" t="inlineStr">
        <is>
          <t>2013.04.</t>
        </is>
      </c>
      <c r="F1390" s="0" t="n">
        <v>766</v>
      </c>
      <c r="G1390" s="0" t="n">
        <v>79.26000000000001</v>
      </c>
      <c r="H1390" s="0" t="n">
        <v>262.02</v>
      </c>
      <c r="I1390" s="0" t="n">
        <v>57.02</v>
      </c>
      <c r="J1390" s="0" t="n">
        <v>188.5</v>
      </c>
      <c r="K1390" s="0" t="n">
        <v>1</v>
      </c>
      <c r="T1390" s="0" t="n">
        <v>4</v>
      </c>
      <c r="U1390" s="0" t="n">
        <v>4</v>
      </c>
      <c r="V1390" s="0" t="inlineStr">
        <is>
          <t>계단식</t>
        </is>
      </c>
      <c r="W1390" s="0" t="n">
        <v>262</v>
      </c>
      <c r="X1390" s="0" t="n">
        <v>57</v>
      </c>
      <c r="Y1390" s="0" t="n">
        <v>45</v>
      </c>
      <c r="Z1390" s="0" t="inlineStr">
        <is>
          <t>https://new.land.naver.com/complexes/101306?tab=detail&amp;rf=Y</t>
        </is>
      </c>
      <c r="AA1390" s="0" t="inlineStr">
        <is>
          <t>인천시 서구 청라동 154-1</t>
        </is>
      </c>
      <c r="AB1390" s="0" t="inlineStr">
        <is>
          <t>인천시</t>
        </is>
      </c>
      <c r="AC1390" s="0" t="inlineStr">
        <is>
          <t>서구</t>
        </is>
      </c>
      <c r="AD1390" s="0" t="inlineStr">
        <is>
          <t>청라동</t>
        </is>
      </c>
      <c r="AG1390" s="0" t="inlineStr">
        <is>
          <t>인천시 서구 크리스탈로74번길 26</t>
        </is>
      </c>
      <c r="AH1390" s="0" t="n">
        <v>0</v>
      </c>
      <c r="AI1390" s="0" t="n">
        <v>221</v>
      </c>
      <c r="AJ1390" s="0" t="n">
        <v>8</v>
      </c>
      <c r="AK1390" s="0" t="n">
        <v>1321</v>
      </c>
      <c r="AL1390" s="0" t="n">
        <v>1.72</v>
      </c>
    </row>
    <row r="1391">
      <c r="A1391" s="0" t="inlineStr">
        <is>
          <t>[청라동]</t>
        </is>
      </c>
      <c r="B1391" s="0" t="n">
        <v>101306</v>
      </c>
      <c r="C1391" s="0" t="n">
        <v>6</v>
      </c>
      <c r="D1391" s="0" t="inlineStr">
        <is>
          <t>청라더샵레이크파크</t>
        </is>
      </c>
      <c r="E1391" s="0" t="inlineStr">
        <is>
          <t>2013.04.</t>
        </is>
      </c>
      <c r="F1391" s="0" t="n">
        <v>766</v>
      </c>
      <c r="G1391" s="0" t="n">
        <v>85.65000000000001</v>
      </c>
      <c r="H1391" s="0" t="n">
        <v>283.17</v>
      </c>
      <c r="I1391" s="0" t="n">
        <v>63.41</v>
      </c>
      <c r="J1391" s="0" t="n">
        <v>209.65</v>
      </c>
      <c r="K1391" s="0" t="n">
        <v>1</v>
      </c>
      <c r="T1391" s="0" t="n">
        <v>4</v>
      </c>
      <c r="U1391" s="0" t="n">
        <v>4</v>
      </c>
      <c r="V1391" s="0" t="inlineStr">
        <is>
          <t>계단식</t>
        </is>
      </c>
      <c r="W1391" s="0" t="n">
        <v>283</v>
      </c>
      <c r="X1391" s="0" t="n">
        <v>57</v>
      </c>
      <c r="Y1391" s="0" t="n">
        <v>45</v>
      </c>
      <c r="Z1391" s="0" t="inlineStr">
        <is>
          <t>https://new.land.naver.com/complexes/101306?tab=detail&amp;rf=Y</t>
        </is>
      </c>
      <c r="AA1391" s="0" t="inlineStr">
        <is>
          <t>인천시 서구 청라동 154-1</t>
        </is>
      </c>
      <c r="AB1391" s="0" t="inlineStr">
        <is>
          <t>인천시</t>
        </is>
      </c>
      <c r="AC1391" s="0" t="inlineStr">
        <is>
          <t>서구</t>
        </is>
      </c>
      <c r="AD1391" s="0" t="inlineStr">
        <is>
          <t>청라동</t>
        </is>
      </c>
      <c r="AG1391" s="0" t="inlineStr">
        <is>
          <t>인천시 서구 크리스탈로74번길 26</t>
        </is>
      </c>
      <c r="AH1391" s="0" t="n">
        <v>0</v>
      </c>
      <c r="AI1391" s="0" t="n">
        <v>221</v>
      </c>
      <c r="AJ1391" s="0" t="n">
        <v>8</v>
      </c>
      <c r="AK1391" s="0" t="n">
        <v>1321</v>
      </c>
      <c r="AL1391" s="0" t="n">
        <v>1.72</v>
      </c>
    </row>
    <row r="1392">
      <c r="A1392" s="0" t="inlineStr">
        <is>
          <t>[청라동]</t>
        </is>
      </c>
      <c r="B1392" s="0" t="n">
        <v>109881</v>
      </c>
      <c r="C1392" s="0" t="n">
        <v>1</v>
      </c>
      <c r="D1392" s="0" t="inlineStr">
        <is>
          <t>청라파크자이더테라스(1블럭)</t>
        </is>
      </c>
      <c r="E1392" s="0" t="inlineStr">
        <is>
          <t>2016.03.</t>
        </is>
      </c>
      <c r="F1392" s="0" t="n">
        <v>270</v>
      </c>
      <c r="G1392" s="0" t="n">
        <v>30.95</v>
      </c>
      <c r="H1392" s="0" t="n">
        <v>102.32</v>
      </c>
      <c r="I1392" s="0" t="n">
        <v>23.19</v>
      </c>
      <c r="J1392" s="0" t="n">
        <v>76.67</v>
      </c>
      <c r="K1392" s="0" t="n">
        <v>12</v>
      </c>
      <c r="T1392" s="0" t="n">
        <v>3</v>
      </c>
      <c r="U1392" s="0" t="n">
        <v>2</v>
      </c>
      <c r="V1392" s="0" t="inlineStr">
        <is>
          <t>계단식</t>
        </is>
      </c>
      <c r="W1392" s="0" t="n">
        <v>102</v>
      </c>
      <c r="X1392" s="0" t="n">
        <v>4</v>
      </c>
      <c r="Y1392" s="0" t="n">
        <v>4</v>
      </c>
      <c r="Z1392" s="0" t="inlineStr">
        <is>
          <t>https://new.land.naver.com/complexes/109881?tab=detail&amp;rf=Y</t>
        </is>
      </c>
      <c r="AA1392" s="0" t="inlineStr">
        <is>
          <t>인천시 서구 청라동 104-2</t>
        </is>
      </c>
      <c r="AB1392" s="0" t="inlineStr">
        <is>
          <t>인천시</t>
        </is>
      </c>
      <c r="AC1392" s="0" t="inlineStr">
        <is>
          <t>서구</t>
        </is>
      </c>
      <c r="AD1392" s="0" t="inlineStr">
        <is>
          <t>청라동</t>
        </is>
      </c>
      <c r="AG1392" s="0" t="inlineStr">
        <is>
          <t>인천시 서구 보석로 31</t>
        </is>
      </c>
      <c r="AH1392" s="0" t="n">
        <v>0</v>
      </c>
      <c r="AI1392" s="0" t="n">
        <v>104</v>
      </c>
      <c r="AJ1392" s="0" t="n">
        <v>36</v>
      </c>
      <c r="AK1392" s="0" t="n">
        <v>329</v>
      </c>
      <c r="AL1392" s="0" t="n">
        <v>1.22</v>
      </c>
    </row>
    <row r="1393">
      <c r="A1393" s="0" t="inlineStr">
        <is>
          <t>[청라동]</t>
        </is>
      </c>
      <c r="B1393" s="0" t="n">
        <v>109881</v>
      </c>
      <c r="C1393" s="0" t="n">
        <v>2</v>
      </c>
      <c r="D1393" s="0" t="inlineStr">
        <is>
          <t>청라파크자이더테라스(1블럭)</t>
        </is>
      </c>
      <c r="E1393" s="0" t="inlineStr">
        <is>
          <t>2016.03.</t>
        </is>
      </c>
      <c r="F1393" s="0" t="n">
        <v>270</v>
      </c>
      <c r="G1393" s="0" t="n">
        <v>30.95</v>
      </c>
      <c r="H1393" s="0" t="n">
        <v>102.32</v>
      </c>
      <c r="I1393" s="0" t="n">
        <v>23.19</v>
      </c>
      <c r="J1393" s="0" t="n">
        <v>76.67</v>
      </c>
      <c r="K1393" s="0" t="n">
        <v>6</v>
      </c>
      <c r="T1393" s="0" t="n">
        <v>3</v>
      </c>
      <c r="U1393" s="0" t="n">
        <v>2</v>
      </c>
      <c r="V1393" s="0" t="inlineStr">
        <is>
          <t>계단식</t>
        </is>
      </c>
      <c r="W1393" s="0" t="inlineStr">
        <is>
          <t>102P</t>
        </is>
      </c>
      <c r="X1393" s="0" t="n">
        <v>4</v>
      </c>
      <c r="Y1393" s="0" t="n">
        <v>4</v>
      </c>
      <c r="Z1393" s="0" t="inlineStr">
        <is>
          <t>https://new.land.naver.com/complexes/109881?tab=detail&amp;rf=Y</t>
        </is>
      </c>
      <c r="AA1393" s="0" t="inlineStr">
        <is>
          <t>인천시 서구 청라동 104-2</t>
        </is>
      </c>
      <c r="AB1393" s="0" t="inlineStr">
        <is>
          <t>인천시</t>
        </is>
      </c>
      <c r="AC1393" s="0" t="inlineStr">
        <is>
          <t>서구</t>
        </is>
      </c>
      <c r="AD1393" s="0" t="inlineStr">
        <is>
          <t>청라동</t>
        </is>
      </c>
      <c r="AG1393" s="0" t="inlineStr">
        <is>
          <t>인천시 서구 보석로 31</t>
        </is>
      </c>
      <c r="AH1393" s="0" t="n">
        <v>0</v>
      </c>
      <c r="AI1393" s="0" t="n">
        <v>104</v>
      </c>
      <c r="AJ1393" s="0" t="n">
        <v>36</v>
      </c>
      <c r="AK1393" s="0" t="n">
        <v>329</v>
      </c>
      <c r="AL1393" s="0" t="n">
        <v>1.22</v>
      </c>
    </row>
    <row r="1394">
      <c r="A1394" s="0" t="inlineStr">
        <is>
          <t>[청라동]</t>
        </is>
      </c>
      <c r="B1394" s="0" t="n">
        <v>109881</v>
      </c>
      <c r="C1394" s="0" t="n">
        <v>3</v>
      </c>
      <c r="D1394" s="0" t="inlineStr">
        <is>
          <t>청라파크자이더테라스(1블럭)</t>
        </is>
      </c>
      <c r="E1394" s="0" t="inlineStr">
        <is>
          <t>2016.03.</t>
        </is>
      </c>
      <c r="F1394" s="0" t="n">
        <v>270</v>
      </c>
      <c r="G1394" s="0" t="n">
        <v>30.95</v>
      </c>
      <c r="H1394" s="0" t="n">
        <v>102.32</v>
      </c>
      <c r="I1394" s="0" t="n">
        <v>23.19</v>
      </c>
      <c r="J1394" s="0" t="n">
        <v>76.67</v>
      </c>
      <c r="K1394" s="0" t="n">
        <v>6</v>
      </c>
      <c r="T1394" s="0" t="n">
        <v>3</v>
      </c>
      <c r="U1394" s="0" t="n">
        <v>2</v>
      </c>
      <c r="V1394" s="0" t="inlineStr">
        <is>
          <t>계단식</t>
        </is>
      </c>
      <c r="W1394" s="0" t="inlineStr">
        <is>
          <t>102T</t>
        </is>
      </c>
      <c r="X1394" s="0" t="n">
        <v>4</v>
      </c>
      <c r="Y1394" s="0" t="n">
        <v>4</v>
      </c>
      <c r="Z1394" s="0" t="inlineStr">
        <is>
          <t>https://new.land.naver.com/complexes/109881?tab=detail&amp;rf=Y</t>
        </is>
      </c>
      <c r="AA1394" s="0" t="inlineStr">
        <is>
          <t>인천시 서구 청라동 104-2</t>
        </is>
      </c>
      <c r="AB1394" s="0" t="inlineStr">
        <is>
          <t>인천시</t>
        </is>
      </c>
      <c r="AC1394" s="0" t="inlineStr">
        <is>
          <t>서구</t>
        </is>
      </c>
      <c r="AD1394" s="0" t="inlineStr">
        <is>
          <t>청라동</t>
        </is>
      </c>
      <c r="AG1394" s="0" t="inlineStr">
        <is>
          <t>인천시 서구 보석로 31</t>
        </is>
      </c>
      <c r="AH1394" s="0" t="n">
        <v>0</v>
      </c>
      <c r="AI1394" s="0" t="n">
        <v>104</v>
      </c>
      <c r="AJ1394" s="0" t="n">
        <v>36</v>
      </c>
      <c r="AK1394" s="0" t="n">
        <v>329</v>
      </c>
      <c r="AL1394" s="0" t="n">
        <v>1.22</v>
      </c>
    </row>
    <row r="1395">
      <c r="A1395" s="0" t="inlineStr">
        <is>
          <t>[청라동]</t>
        </is>
      </c>
      <c r="B1395" s="0" t="n">
        <v>109881</v>
      </c>
      <c r="C1395" s="0" t="n">
        <v>4</v>
      </c>
      <c r="D1395" s="0" t="inlineStr">
        <is>
          <t>청라파크자이더테라스(1블럭)</t>
        </is>
      </c>
      <c r="E1395" s="0" t="inlineStr">
        <is>
          <t>2016.03.</t>
        </is>
      </c>
      <c r="F1395" s="0" t="n">
        <v>270</v>
      </c>
      <c r="G1395" s="0" t="n">
        <v>33.57</v>
      </c>
      <c r="H1395" s="0" t="n">
        <v>110.99</v>
      </c>
      <c r="I1395" s="0" t="n">
        <v>25.7</v>
      </c>
      <c r="J1395" s="0" t="n">
        <v>84.98999999999999</v>
      </c>
      <c r="K1395" s="0" t="n">
        <v>12</v>
      </c>
      <c r="T1395" s="0" t="n">
        <v>3</v>
      </c>
      <c r="U1395" s="0" t="n">
        <v>2</v>
      </c>
      <c r="V1395" s="0" t="inlineStr">
        <is>
          <t>계단식</t>
        </is>
      </c>
      <c r="W1395" s="0" t="inlineStr">
        <is>
          <t>110B</t>
        </is>
      </c>
      <c r="X1395" s="0" t="n">
        <v>4</v>
      </c>
      <c r="Y1395" s="0" t="n">
        <v>4</v>
      </c>
      <c r="Z1395" s="0" t="inlineStr">
        <is>
          <t>https://new.land.naver.com/complexes/109881?tab=detail&amp;rf=Y</t>
        </is>
      </c>
      <c r="AA1395" s="0" t="inlineStr">
        <is>
          <t>인천시 서구 청라동 104-2</t>
        </is>
      </c>
      <c r="AB1395" s="0" t="inlineStr">
        <is>
          <t>인천시</t>
        </is>
      </c>
      <c r="AC1395" s="0" t="inlineStr">
        <is>
          <t>서구</t>
        </is>
      </c>
      <c r="AD1395" s="0" t="inlineStr">
        <is>
          <t>청라동</t>
        </is>
      </c>
      <c r="AG1395" s="0" t="inlineStr">
        <is>
          <t>인천시 서구 보석로 31</t>
        </is>
      </c>
      <c r="AH1395" s="0" t="n">
        <v>0</v>
      </c>
      <c r="AI1395" s="0" t="n">
        <v>104</v>
      </c>
      <c r="AJ1395" s="0" t="n">
        <v>36</v>
      </c>
      <c r="AK1395" s="0" t="n">
        <v>329</v>
      </c>
      <c r="AL1395" s="0" t="n">
        <v>1.22</v>
      </c>
    </row>
    <row r="1396">
      <c r="A1396" s="0" t="inlineStr">
        <is>
          <t>[청라동]</t>
        </is>
      </c>
      <c r="B1396" s="0" t="n">
        <v>109881</v>
      </c>
      <c r="C1396" s="0" t="n">
        <v>5</v>
      </c>
      <c r="D1396" s="0" t="inlineStr">
        <is>
          <t>청라파크자이더테라스(1블럭)</t>
        </is>
      </c>
      <c r="E1396" s="0" t="inlineStr">
        <is>
          <t>2016.03.</t>
        </is>
      </c>
      <c r="F1396" s="0" t="n">
        <v>270</v>
      </c>
      <c r="G1396" s="0" t="n">
        <v>33.57</v>
      </c>
      <c r="H1396" s="0" t="n">
        <v>110.99</v>
      </c>
      <c r="I1396" s="0" t="n">
        <v>25.7</v>
      </c>
      <c r="J1396" s="0" t="n">
        <v>84.98999999999999</v>
      </c>
      <c r="K1396" s="0" t="n">
        <v>6</v>
      </c>
      <c r="T1396" s="0" t="n">
        <v>3</v>
      </c>
      <c r="U1396" s="0" t="n">
        <v>2</v>
      </c>
      <c r="V1396" s="0" t="inlineStr">
        <is>
          <t>계단식</t>
        </is>
      </c>
      <c r="W1396" s="0" t="inlineStr">
        <is>
          <t>110Q</t>
        </is>
      </c>
      <c r="X1396" s="0" t="n">
        <v>4</v>
      </c>
      <c r="Y1396" s="0" t="n">
        <v>4</v>
      </c>
      <c r="Z1396" s="0" t="inlineStr">
        <is>
          <t>https://new.land.naver.com/complexes/109881?tab=detail&amp;rf=Y</t>
        </is>
      </c>
      <c r="AA1396" s="0" t="inlineStr">
        <is>
          <t>인천시 서구 청라동 104-2</t>
        </is>
      </c>
      <c r="AB1396" s="0" t="inlineStr">
        <is>
          <t>인천시</t>
        </is>
      </c>
      <c r="AC1396" s="0" t="inlineStr">
        <is>
          <t>서구</t>
        </is>
      </c>
      <c r="AD1396" s="0" t="inlineStr">
        <is>
          <t>청라동</t>
        </is>
      </c>
      <c r="AG1396" s="0" t="inlineStr">
        <is>
          <t>인천시 서구 보석로 31</t>
        </is>
      </c>
      <c r="AH1396" s="0" t="n">
        <v>0</v>
      </c>
      <c r="AI1396" s="0" t="n">
        <v>104</v>
      </c>
      <c r="AJ1396" s="0" t="n">
        <v>36</v>
      </c>
      <c r="AK1396" s="0" t="n">
        <v>329</v>
      </c>
      <c r="AL1396" s="0" t="n">
        <v>1.22</v>
      </c>
    </row>
    <row r="1397">
      <c r="A1397" s="0" t="inlineStr">
        <is>
          <t>[청라동]</t>
        </is>
      </c>
      <c r="B1397" s="0" t="n">
        <v>109881</v>
      </c>
      <c r="C1397" s="0" t="n">
        <v>6</v>
      </c>
      <c r="D1397" s="0" t="inlineStr">
        <is>
          <t>청라파크자이더테라스(1블럭)</t>
        </is>
      </c>
      <c r="E1397" s="0" t="inlineStr">
        <is>
          <t>2016.03.</t>
        </is>
      </c>
      <c r="F1397" s="0" t="n">
        <v>270</v>
      </c>
      <c r="G1397" s="0" t="n">
        <v>33.57</v>
      </c>
      <c r="H1397" s="0" t="n">
        <v>110.99</v>
      </c>
      <c r="I1397" s="0" t="n">
        <v>25.7</v>
      </c>
      <c r="J1397" s="0" t="n">
        <v>84.98999999999999</v>
      </c>
      <c r="K1397" s="0" t="n">
        <v>6</v>
      </c>
      <c r="T1397" s="0" t="n">
        <v>3</v>
      </c>
      <c r="U1397" s="0" t="n">
        <v>2</v>
      </c>
      <c r="V1397" s="0" t="inlineStr">
        <is>
          <t>계단식</t>
        </is>
      </c>
      <c r="W1397" s="0" t="inlineStr">
        <is>
          <t>110S</t>
        </is>
      </c>
      <c r="X1397" s="0" t="n">
        <v>4</v>
      </c>
      <c r="Y1397" s="0" t="n">
        <v>4</v>
      </c>
      <c r="Z1397" s="0" t="inlineStr">
        <is>
          <t>https://new.land.naver.com/complexes/109881?tab=detail&amp;rf=Y</t>
        </is>
      </c>
      <c r="AA1397" s="0" t="inlineStr">
        <is>
          <t>인천시 서구 청라동 104-2</t>
        </is>
      </c>
      <c r="AB1397" s="0" t="inlineStr">
        <is>
          <t>인천시</t>
        </is>
      </c>
      <c r="AC1397" s="0" t="inlineStr">
        <is>
          <t>서구</t>
        </is>
      </c>
      <c r="AD1397" s="0" t="inlineStr">
        <is>
          <t>청라동</t>
        </is>
      </c>
      <c r="AG1397" s="0" t="inlineStr">
        <is>
          <t>인천시 서구 보석로 31</t>
        </is>
      </c>
      <c r="AH1397" s="0" t="n">
        <v>0</v>
      </c>
      <c r="AI1397" s="0" t="n">
        <v>104</v>
      </c>
      <c r="AJ1397" s="0" t="n">
        <v>36</v>
      </c>
      <c r="AK1397" s="0" t="n">
        <v>329</v>
      </c>
      <c r="AL1397" s="0" t="n">
        <v>1.22</v>
      </c>
    </row>
    <row r="1398">
      <c r="A1398" s="0" t="inlineStr">
        <is>
          <t>[청라동]</t>
        </is>
      </c>
      <c r="B1398" s="0" t="n">
        <v>109881</v>
      </c>
      <c r="C1398" s="0" t="n">
        <v>7</v>
      </c>
      <c r="D1398" s="0" t="inlineStr">
        <is>
          <t>청라파크자이더테라스(1블럭)</t>
        </is>
      </c>
      <c r="E1398" s="0" t="inlineStr">
        <is>
          <t>2016.03.</t>
        </is>
      </c>
      <c r="F1398" s="0" t="n">
        <v>270</v>
      </c>
      <c r="G1398" s="0" t="n">
        <v>34.13</v>
      </c>
      <c r="H1398" s="0" t="n">
        <v>112.83</v>
      </c>
      <c r="I1398" s="0" t="n">
        <v>25.7</v>
      </c>
      <c r="J1398" s="0" t="n">
        <v>84.98999999999999</v>
      </c>
      <c r="K1398" s="0" t="n">
        <v>116</v>
      </c>
      <c r="T1398" s="0" t="n">
        <v>3</v>
      </c>
      <c r="U1398" s="0" t="n">
        <v>2</v>
      </c>
      <c r="V1398" s="0" t="inlineStr">
        <is>
          <t>계단식</t>
        </is>
      </c>
      <c r="W1398" s="0" t="inlineStr">
        <is>
          <t>112A</t>
        </is>
      </c>
      <c r="X1398" s="0" t="n">
        <v>4</v>
      </c>
      <c r="Y1398" s="0" t="n">
        <v>4</v>
      </c>
      <c r="Z1398" s="0" t="inlineStr">
        <is>
          <t>https://new.land.naver.com/complexes/109881?tab=detail&amp;rf=Y</t>
        </is>
      </c>
      <c r="AA1398" s="0" t="inlineStr">
        <is>
          <t>인천시 서구 청라동 104-2</t>
        </is>
      </c>
      <c r="AB1398" s="0" t="inlineStr">
        <is>
          <t>인천시</t>
        </is>
      </c>
      <c r="AC1398" s="0" t="inlineStr">
        <is>
          <t>서구</t>
        </is>
      </c>
      <c r="AD1398" s="0" t="inlineStr">
        <is>
          <t>청라동</t>
        </is>
      </c>
      <c r="AG1398" s="0" t="inlineStr">
        <is>
          <t>인천시 서구 보석로 31</t>
        </is>
      </c>
      <c r="AH1398" s="0" t="n">
        <v>0</v>
      </c>
      <c r="AI1398" s="0" t="n">
        <v>104</v>
      </c>
      <c r="AJ1398" s="0" t="n">
        <v>36</v>
      </c>
      <c r="AK1398" s="0" t="n">
        <v>329</v>
      </c>
      <c r="AL1398" s="0" t="n">
        <v>1.22</v>
      </c>
    </row>
    <row r="1399">
      <c r="A1399" s="0" t="inlineStr">
        <is>
          <t>[청라동]</t>
        </is>
      </c>
      <c r="B1399" s="0" t="n">
        <v>109881</v>
      </c>
      <c r="C1399" s="0" t="n">
        <v>8</v>
      </c>
      <c r="D1399" s="0" t="inlineStr">
        <is>
          <t>청라파크자이더테라스(1블럭)</t>
        </is>
      </c>
      <c r="E1399" s="0" t="inlineStr">
        <is>
          <t>2016.03.</t>
        </is>
      </c>
      <c r="F1399" s="0" t="n">
        <v>270</v>
      </c>
      <c r="G1399" s="0" t="n">
        <v>34.13</v>
      </c>
      <c r="H1399" s="0" t="n">
        <v>112.83</v>
      </c>
      <c r="I1399" s="0" t="n">
        <v>25.7</v>
      </c>
      <c r="J1399" s="0" t="n">
        <v>84.98999999999999</v>
      </c>
      <c r="K1399" s="0" t="n">
        <v>53</v>
      </c>
      <c r="T1399" s="0" t="n">
        <v>3</v>
      </c>
      <c r="U1399" s="0" t="n">
        <v>2</v>
      </c>
      <c r="V1399" s="0" t="inlineStr">
        <is>
          <t>계단식</t>
        </is>
      </c>
      <c r="W1399" s="0" t="inlineStr">
        <is>
          <t>112P1</t>
        </is>
      </c>
      <c r="X1399" s="0" t="n">
        <v>4</v>
      </c>
      <c r="Y1399" s="0" t="n">
        <v>4</v>
      </c>
      <c r="Z1399" s="0" t="inlineStr">
        <is>
          <t>https://new.land.naver.com/complexes/109881?tab=detail&amp;rf=Y</t>
        </is>
      </c>
      <c r="AA1399" s="0" t="inlineStr">
        <is>
          <t>인천시 서구 청라동 104-2</t>
        </is>
      </c>
      <c r="AB1399" s="0" t="inlineStr">
        <is>
          <t>인천시</t>
        </is>
      </c>
      <c r="AC1399" s="0" t="inlineStr">
        <is>
          <t>서구</t>
        </is>
      </c>
      <c r="AD1399" s="0" t="inlineStr">
        <is>
          <t>청라동</t>
        </is>
      </c>
      <c r="AG1399" s="0" t="inlineStr">
        <is>
          <t>인천시 서구 보석로 31</t>
        </is>
      </c>
      <c r="AH1399" s="0" t="n">
        <v>0</v>
      </c>
      <c r="AI1399" s="0" t="n">
        <v>104</v>
      </c>
      <c r="AJ1399" s="0" t="n">
        <v>36</v>
      </c>
      <c r="AK1399" s="0" t="n">
        <v>329</v>
      </c>
      <c r="AL1399" s="0" t="n">
        <v>1.22</v>
      </c>
    </row>
    <row r="1400">
      <c r="A1400" s="0" t="inlineStr">
        <is>
          <t>[청라동]</t>
        </is>
      </c>
      <c r="B1400" s="0" t="n">
        <v>109881</v>
      </c>
      <c r="C1400" s="0" t="n">
        <v>9</v>
      </c>
      <c r="D1400" s="0" t="inlineStr">
        <is>
          <t>청라파크자이더테라스(1블럭)</t>
        </is>
      </c>
      <c r="E1400" s="0" t="inlineStr">
        <is>
          <t>2016.03.</t>
        </is>
      </c>
      <c r="F1400" s="0" t="n">
        <v>270</v>
      </c>
      <c r="G1400" s="0" t="n">
        <v>34.13</v>
      </c>
      <c r="H1400" s="0" t="n">
        <v>112.83</v>
      </c>
      <c r="I1400" s="0" t="n">
        <v>25.7</v>
      </c>
      <c r="J1400" s="0" t="n">
        <v>84.98999999999999</v>
      </c>
      <c r="K1400" s="0" t="n">
        <v>40</v>
      </c>
      <c r="T1400" s="0" t="n">
        <v>3</v>
      </c>
      <c r="U1400" s="0" t="n">
        <v>2</v>
      </c>
      <c r="V1400" s="0" t="inlineStr">
        <is>
          <t>계단식</t>
        </is>
      </c>
      <c r="W1400" s="0" t="inlineStr">
        <is>
          <t>112T1</t>
        </is>
      </c>
      <c r="X1400" s="0" t="n">
        <v>4</v>
      </c>
      <c r="Y1400" s="0" t="n">
        <v>4</v>
      </c>
      <c r="Z1400" s="0" t="inlineStr">
        <is>
          <t>https://new.land.naver.com/complexes/109881?tab=detail&amp;rf=Y</t>
        </is>
      </c>
      <c r="AA1400" s="0" t="inlineStr">
        <is>
          <t>인천시 서구 청라동 104-2</t>
        </is>
      </c>
      <c r="AB1400" s="0" t="inlineStr">
        <is>
          <t>인천시</t>
        </is>
      </c>
      <c r="AC1400" s="0" t="inlineStr">
        <is>
          <t>서구</t>
        </is>
      </c>
      <c r="AD1400" s="0" t="inlineStr">
        <is>
          <t>청라동</t>
        </is>
      </c>
      <c r="AG1400" s="0" t="inlineStr">
        <is>
          <t>인천시 서구 보석로 31</t>
        </is>
      </c>
      <c r="AH1400" s="0" t="n">
        <v>0</v>
      </c>
      <c r="AI1400" s="0" t="n">
        <v>104</v>
      </c>
      <c r="AJ1400" s="0" t="n">
        <v>36</v>
      </c>
      <c r="AK1400" s="0" t="n">
        <v>329</v>
      </c>
      <c r="AL1400" s="0" t="n">
        <v>1.22</v>
      </c>
    </row>
    <row r="1401">
      <c r="A1401" s="0" t="inlineStr">
        <is>
          <t>[청라동]</t>
        </is>
      </c>
      <c r="B1401" s="0" t="n">
        <v>109881</v>
      </c>
      <c r="C1401" s="0" t="n">
        <v>10</v>
      </c>
      <c r="D1401" s="0" t="inlineStr">
        <is>
          <t>청라파크자이더테라스(1블럭)</t>
        </is>
      </c>
      <c r="E1401" s="0" t="inlineStr">
        <is>
          <t>2016.03.</t>
        </is>
      </c>
      <c r="F1401" s="0" t="n">
        <v>270</v>
      </c>
      <c r="G1401" s="0" t="n">
        <v>34.07</v>
      </c>
      <c r="H1401" s="0" t="n">
        <v>112.63</v>
      </c>
      <c r="I1401" s="0" t="n">
        <v>25.7</v>
      </c>
      <c r="J1401" s="0" t="n">
        <v>84.95999999999999</v>
      </c>
      <c r="K1401" s="0" t="n">
        <v>8</v>
      </c>
      <c r="T1401" s="0" t="n">
        <v>4</v>
      </c>
      <c r="U1401" s="0" t="n">
        <v>2</v>
      </c>
      <c r="V1401" s="0" t="inlineStr">
        <is>
          <t>계단식</t>
        </is>
      </c>
      <c r="W1401" s="0" t="n">
        <v>112</v>
      </c>
      <c r="X1401" s="0" t="n">
        <v>4</v>
      </c>
      <c r="Y1401" s="0" t="n">
        <v>4</v>
      </c>
      <c r="Z1401" s="0" t="inlineStr">
        <is>
          <t>https://new.land.naver.com/complexes/109881?tab=detail&amp;rf=Y</t>
        </is>
      </c>
      <c r="AA1401" s="0" t="inlineStr">
        <is>
          <t>인천시 서구 청라동 104-2</t>
        </is>
      </c>
      <c r="AB1401" s="0" t="inlineStr">
        <is>
          <t>인천시</t>
        </is>
      </c>
      <c r="AC1401" s="0" t="inlineStr">
        <is>
          <t>서구</t>
        </is>
      </c>
      <c r="AD1401" s="0" t="inlineStr">
        <is>
          <t>청라동</t>
        </is>
      </c>
      <c r="AG1401" s="0" t="inlineStr">
        <is>
          <t>인천시 서구 보석로 31</t>
        </is>
      </c>
      <c r="AH1401" s="0" t="n">
        <v>0</v>
      </c>
      <c r="AI1401" s="0" t="n">
        <v>104</v>
      </c>
      <c r="AJ1401" s="0" t="n">
        <v>36</v>
      </c>
      <c r="AK1401" s="0" t="n">
        <v>329</v>
      </c>
      <c r="AL1401" s="0" t="n">
        <v>1.22</v>
      </c>
    </row>
    <row r="1402">
      <c r="A1402" s="0" t="inlineStr">
        <is>
          <t>[청라동]</t>
        </is>
      </c>
      <c r="B1402" s="0" t="n">
        <v>109881</v>
      </c>
      <c r="C1402" s="0" t="n">
        <v>11</v>
      </c>
      <c r="D1402" s="0" t="inlineStr">
        <is>
          <t>청라파크자이더테라스(1블럭)</t>
        </is>
      </c>
      <c r="E1402" s="0" t="inlineStr">
        <is>
          <t>2016.03.</t>
        </is>
      </c>
      <c r="F1402" s="0" t="n">
        <v>270</v>
      </c>
      <c r="G1402" s="0" t="n">
        <v>34.07</v>
      </c>
      <c r="H1402" s="0" t="n">
        <v>112.63</v>
      </c>
      <c r="I1402" s="0" t="n">
        <v>25.7</v>
      </c>
      <c r="J1402" s="0" t="n">
        <v>84.95999999999999</v>
      </c>
      <c r="K1402" s="0" t="n">
        <v>4</v>
      </c>
      <c r="T1402" s="0" t="n">
        <v>4</v>
      </c>
      <c r="U1402" s="0" t="n">
        <v>2</v>
      </c>
      <c r="V1402" s="0" t="inlineStr">
        <is>
          <t>계단식</t>
        </is>
      </c>
      <c r="W1402" s="0" t="inlineStr">
        <is>
          <t>112P2</t>
        </is>
      </c>
      <c r="X1402" s="0" t="n">
        <v>4</v>
      </c>
      <c r="Y1402" s="0" t="n">
        <v>4</v>
      </c>
      <c r="Z1402" s="0" t="inlineStr">
        <is>
          <t>https://new.land.naver.com/complexes/109881?tab=detail&amp;rf=Y</t>
        </is>
      </c>
      <c r="AA1402" s="0" t="inlineStr">
        <is>
          <t>인천시 서구 청라동 104-2</t>
        </is>
      </c>
      <c r="AB1402" s="0" t="inlineStr">
        <is>
          <t>인천시</t>
        </is>
      </c>
      <c r="AC1402" s="0" t="inlineStr">
        <is>
          <t>서구</t>
        </is>
      </c>
      <c r="AD1402" s="0" t="inlineStr">
        <is>
          <t>청라동</t>
        </is>
      </c>
      <c r="AG1402" s="0" t="inlineStr">
        <is>
          <t>인천시 서구 보석로 31</t>
        </is>
      </c>
      <c r="AH1402" s="0" t="n">
        <v>0</v>
      </c>
      <c r="AI1402" s="0" t="n">
        <v>104</v>
      </c>
      <c r="AJ1402" s="0" t="n">
        <v>36</v>
      </c>
      <c r="AK1402" s="0" t="n">
        <v>329</v>
      </c>
      <c r="AL1402" s="0" t="n">
        <v>1.22</v>
      </c>
    </row>
    <row r="1403">
      <c r="A1403" s="0" t="inlineStr">
        <is>
          <t>[청라동]</t>
        </is>
      </c>
      <c r="B1403" s="0" t="n">
        <v>109881</v>
      </c>
      <c r="C1403" s="0" t="n">
        <v>12</v>
      </c>
      <c r="D1403" s="0" t="inlineStr">
        <is>
          <t>청라파크자이더테라스(1블럭)</t>
        </is>
      </c>
      <c r="E1403" s="0" t="inlineStr">
        <is>
          <t>2016.03.</t>
        </is>
      </c>
      <c r="F1403" s="0" t="n">
        <v>270</v>
      </c>
      <c r="G1403" s="0" t="n">
        <v>34.13</v>
      </c>
      <c r="H1403" s="0" t="n">
        <v>112.83</v>
      </c>
      <c r="I1403" s="0" t="n">
        <v>25.7</v>
      </c>
      <c r="J1403" s="0" t="n">
        <v>84.98999999999999</v>
      </c>
      <c r="K1403" s="0" t="n">
        <v>1</v>
      </c>
      <c r="T1403" s="0" t="n">
        <v>4</v>
      </c>
      <c r="U1403" s="0" t="n">
        <v>2</v>
      </c>
      <c r="V1403" s="0" t="inlineStr">
        <is>
          <t>계단식</t>
        </is>
      </c>
      <c r="W1403" s="0" t="inlineStr">
        <is>
          <t>112T2</t>
        </is>
      </c>
      <c r="X1403" s="0" t="n">
        <v>4</v>
      </c>
      <c r="Y1403" s="0" t="n">
        <v>4</v>
      </c>
      <c r="Z1403" s="0" t="inlineStr">
        <is>
          <t>https://new.land.naver.com/complexes/109881?tab=detail&amp;rf=Y</t>
        </is>
      </c>
      <c r="AA1403" s="0" t="inlineStr">
        <is>
          <t>인천시 서구 청라동 104-2</t>
        </is>
      </c>
      <c r="AB1403" s="0" t="inlineStr">
        <is>
          <t>인천시</t>
        </is>
      </c>
      <c r="AC1403" s="0" t="inlineStr">
        <is>
          <t>서구</t>
        </is>
      </c>
      <c r="AD1403" s="0" t="inlineStr">
        <is>
          <t>청라동</t>
        </is>
      </c>
      <c r="AG1403" s="0" t="inlineStr">
        <is>
          <t>인천시 서구 보석로 31</t>
        </is>
      </c>
      <c r="AH1403" s="0" t="n">
        <v>0</v>
      </c>
      <c r="AI1403" s="0" t="n">
        <v>104</v>
      </c>
      <c r="AJ1403" s="0" t="n">
        <v>36</v>
      </c>
      <c r="AK1403" s="0" t="n">
        <v>329</v>
      </c>
      <c r="AL1403" s="0" t="n">
        <v>1.22</v>
      </c>
    </row>
    <row r="1404">
      <c r="A1404" s="0" t="inlineStr">
        <is>
          <t>[청라동]</t>
        </is>
      </c>
      <c r="B1404" s="0" t="n">
        <v>100513</v>
      </c>
      <c r="C1404" s="0" t="n">
        <v>1</v>
      </c>
      <c r="D1404" s="0" t="inlineStr">
        <is>
          <t>호반베르디움앤영무예다음</t>
        </is>
      </c>
      <c r="E1404" s="0" t="inlineStr">
        <is>
          <t>2011.05.</t>
        </is>
      </c>
      <c r="F1404" s="0" t="n">
        <v>1051</v>
      </c>
      <c r="G1404" s="0" t="n">
        <v>24.15</v>
      </c>
      <c r="H1404" s="0" t="n">
        <v>79.86</v>
      </c>
      <c r="I1404" s="0" t="n">
        <v>18.12</v>
      </c>
      <c r="J1404" s="0" t="n">
        <v>59.93</v>
      </c>
      <c r="K1404" s="0" t="n">
        <v>422</v>
      </c>
      <c r="T1404" s="0" t="n">
        <v>3</v>
      </c>
      <c r="U1404" s="0" t="n">
        <v>2</v>
      </c>
      <c r="V1404" s="0" t="inlineStr">
        <is>
          <t>계단식</t>
        </is>
      </c>
      <c r="W1404" s="0" t="inlineStr">
        <is>
          <t>79B</t>
        </is>
      </c>
      <c r="X1404" s="0" t="n">
        <v>30</v>
      </c>
      <c r="Y1404" s="0" t="n">
        <v>24</v>
      </c>
      <c r="Z1404" s="0" t="inlineStr">
        <is>
          <t>https://new.land.naver.com/complexes/100513?tab=detail&amp;rf=Y</t>
        </is>
      </c>
      <c r="AA1404" s="0" t="inlineStr">
        <is>
          <t>인천시 서구 청라동 130-4</t>
        </is>
      </c>
      <c r="AB1404" s="0" t="inlineStr">
        <is>
          <t>인천시</t>
        </is>
      </c>
      <c r="AC1404" s="0" t="inlineStr">
        <is>
          <t>서구</t>
        </is>
      </c>
      <c r="AD1404" s="0" t="inlineStr">
        <is>
          <t>청라동</t>
        </is>
      </c>
      <c r="AG1404" s="0" t="inlineStr">
        <is>
          <t>인천시 서구 청라에메랄드로 134</t>
        </is>
      </c>
      <c r="AH1404" s="0" t="n">
        <v>0</v>
      </c>
      <c r="AI1404" s="0" t="n">
        <v>179</v>
      </c>
      <c r="AJ1404" s="0" t="n">
        <v>12</v>
      </c>
      <c r="AK1404" s="0" t="n">
        <v>1362</v>
      </c>
      <c r="AL1404" s="0" t="n">
        <v>1.3</v>
      </c>
    </row>
    <row r="1405">
      <c r="A1405" s="0" t="inlineStr">
        <is>
          <t>[청라동]</t>
        </is>
      </c>
      <c r="B1405" s="0" t="n">
        <v>100513</v>
      </c>
      <c r="C1405" s="0" t="n">
        <v>2</v>
      </c>
      <c r="D1405" s="0" t="inlineStr">
        <is>
          <t>호반베르디움앤영무예다음</t>
        </is>
      </c>
      <c r="E1405" s="0" t="inlineStr">
        <is>
          <t>2011.05.</t>
        </is>
      </c>
      <c r="F1405" s="0" t="n">
        <v>1051</v>
      </c>
      <c r="G1405" s="0" t="n">
        <v>24.17</v>
      </c>
      <c r="H1405" s="0" t="n">
        <v>79.93000000000001</v>
      </c>
      <c r="I1405" s="0" t="n">
        <v>18.06</v>
      </c>
      <c r="J1405" s="0" t="n">
        <v>59.73</v>
      </c>
      <c r="K1405" s="0" t="n">
        <v>207</v>
      </c>
      <c r="T1405" s="0" t="n">
        <v>3</v>
      </c>
      <c r="U1405" s="0" t="n">
        <v>2</v>
      </c>
      <c r="V1405" s="0" t="inlineStr">
        <is>
          <t>계단식</t>
        </is>
      </c>
      <c r="W1405" s="0" t="inlineStr">
        <is>
          <t>79C</t>
        </is>
      </c>
      <c r="X1405" s="0" t="n">
        <v>30</v>
      </c>
      <c r="Y1405" s="0" t="n">
        <v>24</v>
      </c>
      <c r="Z1405" s="0" t="inlineStr">
        <is>
          <t>https://new.land.naver.com/complexes/100513?tab=detail&amp;rf=Y</t>
        </is>
      </c>
      <c r="AA1405" s="0" t="inlineStr">
        <is>
          <t>인천시 서구 청라동 130-4</t>
        </is>
      </c>
      <c r="AB1405" s="0" t="inlineStr">
        <is>
          <t>인천시</t>
        </is>
      </c>
      <c r="AC1405" s="0" t="inlineStr">
        <is>
          <t>서구</t>
        </is>
      </c>
      <c r="AD1405" s="0" t="inlineStr">
        <is>
          <t>청라동</t>
        </is>
      </c>
      <c r="AG1405" s="0" t="inlineStr">
        <is>
          <t>인천시 서구 청라에메랄드로 134</t>
        </is>
      </c>
      <c r="AH1405" s="0" t="n">
        <v>0</v>
      </c>
      <c r="AI1405" s="0" t="n">
        <v>179</v>
      </c>
      <c r="AJ1405" s="0" t="n">
        <v>12</v>
      </c>
      <c r="AK1405" s="0" t="n">
        <v>1362</v>
      </c>
      <c r="AL1405" s="0" t="n">
        <v>1.3</v>
      </c>
    </row>
    <row r="1406">
      <c r="A1406" s="0" t="inlineStr">
        <is>
          <t>[청라동]</t>
        </is>
      </c>
      <c r="B1406" s="0" t="n">
        <v>100513</v>
      </c>
      <c r="C1406" s="0" t="n">
        <v>3</v>
      </c>
      <c r="D1406" s="0" t="inlineStr">
        <is>
          <t>호반베르디움앤영무예다음</t>
        </is>
      </c>
      <c r="E1406" s="0" t="inlineStr">
        <is>
          <t>2011.05.</t>
        </is>
      </c>
      <c r="F1406" s="0" t="n">
        <v>1051</v>
      </c>
      <c r="G1406" s="0" t="n">
        <v>24.51</v>
      </c>
      <c r="H1406" s="0" t="n">
        <v>81.03</v>
      </c>
      <c r="I1406" s="0" t="n">
        <v>18.1</v>
      </c>
      <c r="J1406" s="0" t="n">
        <v>59.86</v>
      </c>
      <c r="K1406" s="0" t="n">
        <v>422</v>
      </c>
      <c r="T1406" s="0" t="n">
        <v>3</v>
      </c>
      <c r="U1406" s="0" t="n">
        <v>2</v>
      </c>
      <c r="V1406" s="0" t="inlineStr">
        <is>
          <t>계단식</t>
        </is>
      </c>
      <c r="W1406" s="0" t="inlineStr">
        <is>
          <t>81A</t>
        </is>
      </c>
      <c r="X1406" s="0" t="n">
        <v>30</v>
      </c>
      <c r="Y1406" s="0" t="n">
        <v>24</v>
      </c>
      <c r="Z1406" s="0" t="inlineStr">
        <is>
          <t>https://new.land.naver.com/complexes/100513?tab=detail&amp;rf=Y</t>
        </is>
      </c>
      <c r="AA1406" s="0" t="inlineStr">
        <is>
          <t>인천시 서구 청라동 130-4</t>
        </is>
      </c>
      <c r="AB1406" s="0" t="inlineStr">
        <is>
          <t>인천시</t>
        </is>
      </c>
      <c r="AC1406" s="0" t="inlineStr">
        <is>
          <t>서구</t>
        </is>
      </c>
      <c r="AD1406" s="0" t="inlineStr">
        <is>
          <t>청라동</t>
        </is>
      </c>
      <c r="AG1406" s="0" t="inlineStr">
        <is>
          <t>인천시 서구 청라에메랄드로 134</t>
        </is>
      </c>
      <c r="AH1406" s="0" t="n">
        <v>0</v>
      </c>
      <c r="AI1406" s="0" t="n">
        <v>179</v>
      </c>
      <c r="AJ1406" s="0" t="n">
        <v>12</v>
      </c>
      <c r="AK1406" s="0" t="n">
        <v>1362</v>
      </c>
      <c r="AL1406" s="0" t="n">
        <v>1.3</v>
      </c>
    </row>
    <row r="1407">
      <c r="A1407" s="0" t="inlineStr">
        <is>
          <t>[청라동]</t>
        </is>
      </c>
      <c r="B1407" s="0" t="n">
        <v>27186</v>
      </c>
      <c r="C1407" s="0" t="n">
        <v>1</v>
      </c>
      <c r="D1407" s="0" t="inlineStr">
        <is>
          <t>중흥s-클래스1단지</t>
        </is>
      </c>
      <c r="E1407" s="0" t="inlineStr">
        <is>
          <t>2010.09.</t>
        </is>
      </c>
      <c r="F1407" s="0" t="n">
        <v>476</v>
      </c>
      <c r="G1407" s="0" t="n">
        <v>43.93</v>
      </c>
      <c r="H1407" s="0" t="n">
        <v>145.25</v>
      </c>
      <c r="I1407" s="0" t="n">
        <v>36.17</v>
      </c>
      <c r="J1407" s="0" t="n">
        <v>119.58</v>
      </c>
      <c r="K1407" s="0" t="n">
        <v>180</v>
      </c>
      <c r="T1407" s="0" t="n">
        <v>5</v>
      </c>
      <c r="U1407" s="0" t="n">
        <v>2</v>
      </c>
      <c r="V1407" s="0" t="inlineStr">
        <is>
          <t>계단식</t>
        </is>
      </c>
      <c r="W1407" s="0" t="inlineStr">
        <is>
          <t>145A</t>
        </is>
      </c>
      <c r="X1407" s="0" t="n">
        <v>25</v>
      </c>
      <c r="Y1407" s="0" t="n">
        <v>15</v>
      </c>
      <c r="Z1407" s="0" t="inlineStr">
        <is>
          <t>https://new.land.naver.com/complexes/27186?tab=detail&amp;rf=Y</t>
        </is>
      </c>
      <c r="AA1407" s="0" t="inlineStr">
        <is>
          <t>인천시 서구 청라동 116-4</t>
        </is>
      </c>
      <c r="AB1407" s="0" t="inlineStr">
        <is>
          <t>인천시</t>
        </is>
      </c>
      <c r="AC1407" s="0" t="inlineStr">
        <is>
          <t>서구</t>
        </is>
      </c>
      <c r="AD1407" s="0" t="inlineStr">
        <is>
          <t>청라동</t>
        </is>
      </c>
      <c r="AG1407" s="0" t="inlineStr">
        <is>
          <t>인천시 서구 청라라임로 131</t>
        </is>
      </c>
      <c r="AH1407" s="0" t="n">
        <v>0</v>
      </c>
      <c r="AI1407" s="0" t="n">
        <v>171</v>
      </c>
      <c r="AJ1407" s="0" t="n">
        <v>12</v>
      </c>
      <c r="AK1407" s="0" t="n">
        <v>1030</v>
      </c>
      <c r="AL1407" s="0" t="n">
        <v>2.16</v>
      </c>
    </row>
    <row r="1408">
      <c r="A1408" s="0" t="inlineStr">
        <is>
          <t>[청라동]</t>
        </is>
      </c>
      <c r="B1408" s="0" t="n">
        <v>27186</v>
      </c>
      <c r="C1408" s="0" t="n">
        <v>2</v>
      </c>
      <c r="D1408" s="0" t="inlineStr">
        <is>
          <t>중흥s-클래스1단지</t>
        </is>
      </c>
      <c r="E1408" s="0" t="inlineStr">
        <is>
          <t>2010.09.</t>
        </is>
      </c>
      <c r="F1408" s="0" t="n">
        <v>476</v>
      </c>
      <c r="G1408" s="0" t="n">
        <v>44.21</v>
      </c>
      <c r="H1408" s="0" t="n">
        <v>146.16</v>
      </c>
      <c r="I1408" s="0" t="n">
        <v>36.43</v>
      </c>
      <c r="J1408" s="0" t="n">
        <v>120.45</v>
      </c>
      <c r="K1408" s="0" t="n">
        <v>58</v>
      </c>
      <c r="T1408" s="0" t="n">
        <v>5</v>
      </c>
      <c r="U1408" s="0" t="n">
        <v>2</v>
      </c>
      <c r="V1408" s="0" t="inlineStr">
        <is>
          <t>계단식</t>
        </is>
      </c>
      <c r="W1408" s="0" t="inlineStr">
        <is>
          <t>146B</t>
        </is>
      </c>
      <c r="X1408" s="0" t="n">
        <v>25</v>
      </c>
      <c r="Y1408" s="0" t="n">
        <v>15</v>
      </c>
      <c r="Z1408" s="0" t="inlineStr">
        <is>
          <t>https://new.land.naver.com/complexes/27186?tab=detail&amp;rf=Y</t>
        </is>
      </c>
      <c r="AA1408" s="0" t="inlineStr">
        <is>
          <t>인천시 서구 청라동 116-4</t>
        </is>
      </c>
      <c r="AB1408" s="0" t="inlineStr">
        <is>
          <t>인천시</t>
        </is>
      </c>
      <c r="AC1408" s="0" t="inlineStr">
        <is>
          <t>서구</t>
        </is>
      </c>
      <c r="AD1408" s="0" t="inlineStr">
        <is>
          <t>청라동</t>
        </is>
      </c>
      <c r="AG1408" s="0" t="inlineStr">
        <is>
          <t>인천시 서구 청라라임로 131</t>
        </is>
      </c>
      <c r="AH1408" s="0" t="n">
        <v>0</v>
      </c>
      <c r="AI1408" s="0" t="n">
        <v>171</v>
      </c>
      <c r="AJ1408" s="0" t="n">
        <v>12</v>
      </c>
      <c r="AK1408" s="0" t="n">
        <v>1030</v>
      </c>
      <c r="AL1408" s="0" t="n">
        <v>2.16</v>
      </c>
    </row>
    <row r="1409">
      <c r="A1409" s="0" t="inlineStr">
        <is>
          <t>[청라동]</t>
        </is>
      </c>
      <c r="B1409" s="0" t="n">
        <v>27186</v>
      </c>
      <c r="C1409" s="0" t="n">
        <v>3</v>
      </c>
      <c r="D1409" s="0" t="inlineStr">
        <is>
          <t>중흥s-클래스1단지</t>
        </is>
      </c>
      <c r="E1409" s="0" t="inlineStr">
        <is>
          <t>2010.09.</t>
        </is>
      </c>
      <c r="F1409" s="0" t="n">
        <v>476</v>
      </c>
      <c r="G1409" s="0" t="n">
        <v>50.39</v>
      </c>
      <c r="H1409" s="0" t="n">
        <v>166.59</v>
      </c>
      <c r="I1409" s="0" t="n">
        <v>41.76</v>
      </c>
      <c r="J1409" s="0" t="n">
        <v>138.05</v>
      </c>
      <c r="K1409" s="0" t="n">
        <v>60</v>
      </c>
      <c r="T1409" s="0" t="n">
        <v>4</v>
      </c>
      <c r="U1409" s="0" t="n">
        <v>2</v>
      </c>
      <c r="V1409" s="0" t="inlineStr">
        <is>
          <t>계단식</t>
        </is>
      </c>
      <c r="W1409" s="0" t="inlineStr">
        <is>
          <t>166A</t>
        </is>
      </c>
      <c r="X1409" s="0" t="n">
        <v>25</v>
      </c>
      <c r="Y1409" s="0" t="n">
        <v>15</v>
      </c>
      <c r="Z1409" s="0" t="inlineStr">
        <is>
          <t>https://new.land.naver.com/complexes/27186?tab=detail&amp;rf=Y</t>
        </is>
      </c>
      <c r="AA1409" s="0" t="inlineStr">
        <is>
          <t>인천시 서구 청라동 116-4</t>
        </is>
      </c>
      <c r="AB1409" s="0" t="inlineStr">
        <is>
          <t>인천시</t>
        </is>
      </c>
      <c r="AC1409" s="0" t="inlineStr">
        <is>
          <t>서구</t>
        </is>
      </c>
      <c r="AD1409" s="0" t="inlineStr">
        <is>
          <t>청라동</t>
        </is>
      </c>
      <c r="AG1409" s="0" t="inlineStr">
        <is>
          <t>인천시 서구 청라라임로 131</t>
        </is>
      </c>
      <c r="AH1409" s="0" t="n">
        <v>0</v>
      </c>
      <c r="AI1409" s="0" t="n">
        <v>171</v>
      </c>
      <c r="AJ1409" s="0" t="n">
        <v>12</v>
      </c>
      <c r="AK1409" s="0" t="n">
        <v>1030</v>
      </c>
      <c r="AL1409" s="0" t="n">
        <v>2.16</v>
      </c>
    </row>
    <row r="1410">
      <c r="A1410" s="0" t="inlineStr">
        <is>
          <t>[청라동]</t>
        </is>
      </c>
      <c r="B1410" s="0" t="n">
        <v>27186</v>
      </c>
      <c r="C1410" s="0" t="n">
        <v>4</v>
      </c>
      <c r="D1410" s="0" t="inlineStr">
        <is>
          <t>중흥s-클래스1단지</t>
        </is>
      </c>
      <c r="E1410" s="0" t="inlineStr">
        <is>
          <t>2010.09.</t>
        </is>
      </c>
      <c r="F1410" s="0" t="n">
        <v>476</v>
      </c>
      <c r="G1410" s="0" t="n">
        <v>50.54</v>
      </c>
      <c r="H1410" s="0" t="n">
        <v>167.1</v>
      </c>
      <c r="I1410" s="0" t="n">
        <v>42.11</v>
      </c>
      <c r="J1410" s="0" t="n">
        <v>139.21</v>
      </c>
      <c r="K1410" s="0" t="n">
        <v>14</v>
      </c>
      <c r="T1410" s="0" t="n">
        <v>4</v>
      </c>
      <c r="U1410" s="0" t="n">
        <v>2</v>
      </c>
      <c r="V1410" s="0" t="inlineStr">
        <is>
          <t>계단식</t>
        </is>
      </c>
      <c r="W1410" s="0" t="inlineStr">
        <is>
          <t>167C</t>
        </is>
      </c>
      <c r="X1410" s="0" t="n">
        <v>25</v>
      </c>
      <c r="Y1410" s="0" t="n">
        <v>15</v>
      </c>
      <c r="Z1410" s="0" t="inlineStr">
        <is>
          <t>https://new.land.naver.com/complexes/27186?tab=detail&amp;rf=Y</t>
        </is>
      </c>
      <c r="AA1410" s="0" t="inlineStr">
        <is>
          <t>인천시 서구 청라동 116-4</t>
        </is>
      </c>
      <c r="AB1410" s="0" t="inlineStr">
        <is>
          <t>인천시</t>
        </is>
      </c>
      <c r="AC1410" s="0" t="inlineStr">
        <is>
          <t>서구</t>
        </is>
      </c>
      <c r="AD1410" s="0" t="inlineStr">
        <is>
          <t>청라동</t>
        </is>
      </c>
      <c r="AG1410" s="0" t="inlineStr">
        <is>
          <t>인천시 서구 청라라임로 131</t>
        </is>
      </c>
      <c r="AH1410" s="0" t="n">
        <v>0</v>
      </c>
      <c r="AI1410" s="0" t="n">
        <v>171</v>
      </c>
      <c r="AJ1410" s="0" t="n">
        <v>12</v>
      </c>
      <c r="AK1410" s="0" t="n">
        <v>1030</v>
      </c>
      <c r="AL1410" s="0" t="n">
        <v>2.16</v>
      </c>
    </row>
    <row r="1411">
      <c r="A1411" s="0" t="inlineStr">
        <is>
          <t>[청라동]</t>
        </is>
      </c>
      <c r="B1411" s="0" t="n">
        <v>27186</v>
      </c>
      <c r="C1411" s="0" t="n">
        <v>5</v>
      </c>
      <c r="D1411" s="0" t="inlineStr">
        <is>
          <t>중흥s-클래스1단지</t>
        </is>
      </c>
      <c r="E1411" s="0" t="inlineStr">
        <is>
          <t>2010.09.</t>
        </is>
      </c>
      <c r="F1411" s="0" t="n">
        <v>476</v>
      </c>
      <c r="G1411" s="0" t="n">
        <v>50.93</v>
      </c>
      <c r="H1411" s="0" t="n">
        <v>168.38</v>
      </c>
      <c r="I1411" s="0" t="n">
        <v>42.44</v>
      </c>
      <c r="J1411" s="0" t="n">
        <v>140.33</v>
      </c>
      <c r="K1411" s="0" t="n">
        <v>164</v>
      </c>
      <c r="T1411" s="0" t="n">
        <v>4</v>
      </c>
      <c r="U1411" s="0" t="n">
        <v>2</v>
      </c>
      <c r="V1411" s="0" t="inlineStr">
        <is>
          <t>계단식</t>
        </is>
      </c>
      <c r="W1411" s="0" t="inlineStr">
        <is>
          <t>168B</t>
        </is>
      </c>
      <c r="X1411" s="0" t="n">
        <v>25</v>
      </c>
      <c r="Y1411" s="0" t="n">
        <v>15</v>
      </c>
      <c r="Z1411" s="0" t="inlineStr">
        <is>
          <t>https://new.land.naver.com/complexes/27186?tab=detail&amp;rf=Y</t>
        </is>
      </c>
      <c r="AA1411" s="0" t="inlineStr">
        <is>
          <t>인천시 서구 청라동 116-4</t>
        </is>
      </c>
      <c r="AB1411" s="0" t="inlineStr">
        <is>
          <t>인천시</t>
        </is>
      </c>
      <c r="AC1411" s="0" t="inlineStr">
        <is>
          <t>서구</t>
        </is>
      </c>
      <c r="AD1411" s="0" t="inlineStr">
        <is>
          <t>청라동</t>
        </is>
      </c>
      <c r="AG1411" s="0" t="inlineStr">
        <is>
          <t>인천시 서구 청라라임로 131</t>
        </is>
      </c>
      <c r="AH1411" s="0" t="n">
        <v>0</v>
      </c>
      <c r="AI1411" s="0" t="n">
        <v>171</v>
      </c>
      <c r="AJ1411" s="0" t="n">
        <v>12</v>
      </c>
      <c r="AK1411" s="0" t="n">
        <v>1030</v>
      </c>
      <c r="AL1411" s="0" t="n">
        <v>2.16</v>
      </c>
    </row>
    <row r="1412">
      <c r="A1412" s="0" t="inlineStr">
        <is>
          <t>[청라동]</t>
        </is>
      </c>
      <c r="B1412" s="0" t="n">
        <v>27081</v>
      </c>
      <c r="C1412" s="0" t="n">
        <v>1</v>
      </c>
      <c r="D1412" s="0" t="inlineStr">
        <is>
          <t>청라메이루즈커낼파크뷰</t>
        </is>
      </c>
      <c r="E1412" s="0" t="inlineStr">
        <is>
          <t>2011.02.</t>
        </is>
      </c>
      <c r="F1412" s="0" t="n">
        <v>263</v>
      </c>
      <c r="G1412" s="0" t="n">
        <v>32.61</v>
      </c>
      <c r="H1412" s="0" t="n">
        <v>107.83</v>
      </c>
      <c r="I1412" s="0" t="n">
        <v>24.52</v>
      </c>
      <c r="J1412" s="0" t="n">
        <v>81.08</v>
      </c>
      <c r="K1412" s="0" t="n">
        <v>56</v>
      </c>
      <c r="T1412" s="0" t="n">
        <v>3</v>
      </c>
      <c r="U1412" s="0" t="n">
        <v>2</v>
      </c>
      <c r="V1412" s="0" t="inlineStr">
        <is>
          <t>계단식</t>
        </is>
      </c>
      <c r="W1412" s="0" t="n">
        <v>107</v>
      </c>
      <c r="X1412" s="0" t="n">
        <v>15</v>
      </c>
      <c r="Y1412" s="0" t="n">
        <v>13</v>
      </c>
      <c r="Z1412" s="0" t="inlineStr">
        <is>
          <t>https://new.land.naver.com/complexes/27081?tab=detail&amp;rf=Y</t>
        </is>
      </c>
      <c r="AA1412" s="0" t="inlineStr">
        <is>
          <t>인천시 서구 청라동 165-2</t>
        </is>
      </c>
      <c r="AB1412" s="0" t="inlineStr">
        <is>
          <t>인천시</t>
        </is>
      </c>
      <c r="AC1412" s="0" t="inlineStr">
        <is>
          <t>서구</t>
        </is>
      </c>
      <c r="AD1412" s="0" t="inlineStr">
        <is>
          <t>청라동</t>
        </is>
      </c>
      <c r="AG1412" s="0" t="inlineStr">
        <is>
          <t>인천시 서구 청라라임로 86</t>
        </is>
      </c>
      <c r="AH1412" s="0" t="n">
        <v>0</v>
      </c>
      <c r="AI1412" s="0" t="n">
        <v>149</v>
      </c>
      <c r="AJ1412" s="0" t="n">
        <v>18</v>
      </c>
      <c r="AK1412" s="0" t="n">
        <v>314</v>
      </c>
      <c r="AL1412" s="0" t="n">
        <v>1.19</v>
      </c>
    </row>
    <row r="1413">
      <c r="A1413" s="0" t="inlineStr">
        <is>
          <t>[청라동]</t>
        </is>
      </c>
      <c r="B1413" s="0" t="n">
        <v>27081</v>
      </c>
      <c r="C1413" s="0" t="n">
        <v>2</v>
      </c>
      <c r="D1413" s="0" t="inlineStr">
        <is>
          <t>청라메이루즈커낼파크뷰</t>
        </is>
      </c>
      <c r="E1413" s="0" t="inlineStr">
        <is>
          <t>2011.02.</t>
        </is>
      </c>
      <c r="F1413" s="0" t="n">
        <v>263</v>
      </c>
      <c r="G1413" s="0" t="n">
        <v>33.21</v>
      </c>
      <c r="H1413" s="0" t="n">
        <v>109.8</v>
      </c>
      <c r="I1413" s="0" t="n">
        <v>24.91</v>
      </c>
      <c r="J1413" s="0" t="n">
        <v>82.38</v>
      </c>
      <c r="K1413" s="0" t="n">
        <v>56</v>
      </c>
      <c r="T1413" s="0" t="n">
        <v>3</v>
      </c>
      <c r="U1413" s="0" t="n">
        <v>2</v>
      </c>
      <c r="V1413" s="0" t="inlineStr">
        <is>
          <t>계단식</t>
        </is>
      </c>
      <c r="W1413" s="0" t="inlineStr">
        <is>
          <t>109A</t>
        </is>
      </c>
      <c r="X1413" s="0" t="n">
        <v>15</v>
      </c>
      <c r="Y1413" s="0" t="n">
        <v>13</v>
      </c>
      <c r="Z1413" s="0" t="inlineStr">
        <is>
          <t>https://new.land.naver.com/complexes/27081?tab=detail&amp;rf=Y</t>
        </is>
      </c>
      <c r="AA1413" s="0" t="inlineStr">
        <is>
          <t>인천시 서구 청라동 165-2</t>
        </is>
      </c>
      <c r="AB1413" s="0" t="inlineStr">
        <is>
          <t>인천시</t>
        </is>
      </c>
      <c r="AC1413" s="0" t="inlineStr">
        <is>
          <t>서구</t>
        </is>
      </c>
      <c r="AD1413" s="0" t="inlineStr">
        <is>
          <t>청라동</t>
        </is>
      </c>
      <c r="AG1413" s="0" t="inlineStr">
        <is>
          <t>인천시 서구 청라라임로 86</t>
        </is>
      </c>
      <c r="AH1413" s="0" t="n">
        <v>0</v>
      </c>
      <c r="AI1413" s="0" t="n">
        <v>149</v>
      </c>
      <c r="AJ1413" s="0" t="n">
        <v>18</v>
      </c>
      <c r="AK1413" s="0" t="n">
        <v>314</v>
      </c>
      <c r="AL1413" s="0" t="n">
        <v>1.19</v>
      </c>
    </row>
    <row r="1414">
      <c r="A1414" s="0" t="inlineStr">
        <is>
          <t>[청라동]</t>
        </is>
      </c>
      <c r="B1414" s="0" t="n">
        <v>27081</v>
      </c>
      <c r="C1414" s="0" t="n">
        <v>3</v>
      </c>
      <c r="D1414" s="0" t="inlineStr">
        <is>
          <t>청라메이루즈커낼파크뷰</t>
        </is>
      </c>
      <c r="E1414" s="0" t="inlineStr">
        <is>
          <t>2011.02.</t>
        </is>
      </c>
      <c r="F1414" s="0" t="n">
        <v>263</v>
      </c>
      <c r="G1414" s="0" t="n">
        <v>33.53</v>
      </c>
      <c r="H1414" s="0" t="n">
        <v>110.86</v>
      </c>
      <c r="I1414" s="0" t="n">
        <v>25.3</v>
      </c>
      <c r="J1414" s="0" t="n">
        <v>83.64</v>
      </c>
      <c r="K1414" s="0" t="n">
        <v>151</v>
      </c>
      <c r="T1414" s="0" t="n">
        <v>3</v>
      </c>
      <c r="U1414" s="0" t="n">
        <v>2</v>
      </c>
      <c r="V1414" s="0" t="inlineStr">
        <is>
          <t>계단식</t>
        </is>
      </c>
      <c r="W1414" s="0" t="inlineStr">
        <is>
          <t>110B</t>
        </is>
      </c>
      <c r="X1414" s="0" t="n">
        <v>15</v>
      </c>
      <c r="Y1414" s="0" t="n">
        <v>13</v>
      </c>
      <c r="Z1414" s="0" t="inlineStr">
        <is>
          <t>https://new.land.naver.com/complexes/27081?tab=detail&amp;rf=Y</t>
        </is>
      </c>
      <c r="AA1414" s="0" t="inlineStr">
        <is>
          <t>인천시 서구 청라동 165-2</t>
        </is>
      </c>
      <c r="AB1414" s="0" t="inlineStr">
        <is>
          <t>인천시</t>
        </is>
      </c>
      <c r="AC1414" s="0" t="inlineStr">
        <is>
          <t>서구</t>
        </is>
      </c>
      <c r="AD1414" s="0" t="inlineStr">
        <is>
          <t>청라동</t>
        </is>
      </c>
      <c r="AG1414" s="0" t="inlineStr">
        <is>
          <t>인천시 서구 청라라임로 86</t>
        </is>
      </c>
      <c r="AH1414" s="0" t="n">
        <v>0</v>
      </c>
      <c r="AI1414" s="0" t="n">
        <v>149</v>
      </c>
      <c r="AJ1414" s="0" t="n">
        <v>18</v>
      </c>
      <c r="AK1414" s="0" t="n">
        <v>314</v>
      </c>
      <c r="AL1414" s="0" t="n">
        <v>1.19</v>
      </c>
    </row>
    <row r="1415">
      <c r="A1415" s="0" t="inlineStr">
        <is>
          <t>[청라동]</t>
        </is>
      </c>
      <c r="B1415" s="0" t="n">
        <v>27102</v>
      </c>
      <c r="C1415" s="0" t="n">
        <v>1</v>
      </c>
      <c r="D1415" s="0" t="inlineStr">
        <is>
          <t>청라자이</t>
        </is>
      </c>
      <c r="E1415" s="0" t="inlineStr">
        <is>
          <t>2010.06.</t>
        </is>
      </c>
      <c r="F1415" s="0" t="n">
        <v>884</v>
      </c>
      <c r="G1415" s="0" t="n">
        <v>37.39</v>
      </c>
      <c r="H1415" s="0" t="n">
        <v>123.63</v>
      </c>
      <c r="I1415" s="0" t="n">
        <v>29.02</v>
      </c>
      <c r="J1415" s="0" t="n">
        <v>95.95</v>
      </c>
      <c r="K1415" s="0" t="n">
        <v>56</v>
      </c>
      <c r="T1415" s="0" t="n">
        <v>3</v>
      </c>
      <c r="U1415" s="0" t="n">
        <v>2</v>
      </c>
      <c r="V1415" s="0" t="inlineStr">
        <is>
          <t>계단식</t>
        </is>
      </c>
      <c r="W1415" s="0" t="inlineStr">
        <is>
          <t>123A</t>
        </is>
      </c>
      <c r="X1415" s="0" t="n">
        <v>20</v>
      </c>
      <c r="Y1415" s="0" t="n">
        <v>10</v>
      </c>
      <c r="Z1415" s="0" t="inlineStr">
        <is>
          <t>https://new.land.naver.com/complexes/27102?tab=detail&amp;rf=Y</t>
        </is>
      </c>
      <c r="AA1415" s="0" t="inlineStr">
        <is>
          <t>인천시 서구 청라동 193-1</t>
        </is>
      </c>
      <c r="AB1415" s="0" t="inlineStr">
        <is>
          <t>인천시</t>
        </is>
      </c>
      <c r="AC1415" s="0" t="inlineStr">
        <is>
          <t>서구</t>
        </is>
      </c>
      <c r="AD1415" s="0" t="inlineStr">
        <is>
          <t>청라동</t>
        </is>
      </c>
      <c r="AG1415" s="0" t="inlineStr">
        <is>
          <t>인천시 서구 청라에메랄드로 30</t>
        </is>
      </c>
      <c r="AH1415" s="0" t="n">
        <v>0</v>
      </c>
      <c r="AI1415" s="0" t="n">
        <v>169</v>
      </c>
      <c r="AJ1415" s="0" t="n">
        <v>13</v>
      </c>
      <c r="AK1415" s="0" t="n">
        <v>1554</v>
      </c>
      <c r="AL1415" s="0" t="n">
        <v>1.76</v>
      </c>
    </row>
    <row r="1416">
      <c r="A1416" s="0" t="inlineStr">
        <is>
          <t>[청라동]</t>
        </is>
      </c>
      <c r="B1416" s="0" t="n">
        <v>27102</v>
      </c>
      <c r="C1416" s="0" t="n">
        <v>2</v>
      </c>
      <c r="D1416" s="0" t="inlineStr">
        <is>
          <t>청라자이</t>
        </is>
      </c>
      <c r="E1416" s="0" t="inlineStr">
        <is>
          <t>2010.06.</t>
        </is>
      </c>
      <c r="F1416" s="0" t="n">
        <v>884</v>
      </c>
      <c r="G1416" s="0" t="n">
        <v>37.35</v>
      </c>
      <c r="H1416" s="0" t="n">
        <v>123.5</v>
      </c>
      <c r="I1416" s="0" t="n">
        <v>29.08</v>
      </c>
      <c r="J1416" s="0" t="n">
        <v>96.16</v>
      </c>
      <c r="K1416" s="0" t="n">
        <v>16</v>
      </c>
      <c r="T1416" s="0" t="n">
        <v>3</v>
      </c>
      <c r="U1416" s="0" t="n">
        <v>2</v>
      </c>
      <c r="V1416" s="0" t="inlineStr">
        <is>
          <t>계단식</t>
        </is>
      </c>
      <c r="W1416" s="0" t="inlineStr">
        <is>
          <t>123B</t>
        </is>
      </c>
      <c r="X1416" s="0" t="n">
        <v>20</v>
      </c>
      <c r="Y1416" s="0" t="n">
        <v>10</v>
      </c>
      <c r="Z1416" s="0" t="inlineStr">
        <is>
          <t>https://new.land.naver.com/complexes/27102?tab=detail&amp;rf=Y</t>
        </is>
      </c>
      <c r="AA1416" s="0" t="inlineStr">
        <is>
          <t>인천시 서구 청라동 193-1</t>
        </is>
      </c>
      <c r="AB1416" s="0" t="inlineStr">
        <is>
          <t>인천시</t>
        </is>
      </c>
      <c r="AC1416" s="0" t="inlineStr">
        <is>
          <t>서구</t>
        </is>
      </c>
      <c r="AD1416" s="0" t="inlineStr">
        <is>
          <t>청라동</t>
        </is>
      </c>
      <c r="AG1416" s="0" t="inlineStr">
        <is>
          <t>인천시 서구 청라에메랄드로 30</t>
        </is>
      </c>
      <c r="AH1416" s="0" t="n">
        <v>0</v>
      </c>
      <c r="AI1416" s="0" t="n">
        <v>169</v>
      </c>
      <c r="AJ1416" s="0" t="n">
        <v>13</v>
      </c>
      <c r="AK1416" s="0" t="n">
        <v>1554</v>
      </c>
      <c r="AL1416" s="0" t="n">
        <v>1.76</v>
      </c>
    </row>
    <row r="1417">
      <c r="A1417" s="0" t="inlineStr">
        <is>
          <t>[청라동]</t>
        </is>
      </c>
      <c r="B1417" s="0" t="n">
        <v>27102</v>
      </c>
      <c r="C1417" s="0" t="n">
        <v>3</v>
      </c>
      <c r="D1417" s="0" t="inlineStr">
        <is>
          <t>청라자이</t>
        </is>
      </c>
      <c r="E1417" s="0" t="inlineStr">
        <is>
          <t>2010.06.</t>
        </is>
      </c>
      <c r="F1417" s="0" t="n">
        <v>884</v>
      </c>
      <c r="G1417" s="0" t="n">
        <v>39.7</v>
      </c>
      <c r="H1417" s="0" t="n">
        <v>131.24</v>
      </c>
      <c r="I1417" s="0" t="n">
        <v>30.82</v>
      </c>
      <c r="J1417" s="0" t="n">
        <v>101.9</v>
      </c>
      <c r="K1417" s="0" t="n">
        <v>96</v>
      </c>
      <c r="T1417" s="0" t="n">
        <v>4</v>
      </c>
      <c r="U1417" s="0" t="n">
        <v>2</v>
      </c>
      <c r="V1417" s="0" t="inlineStr">
        <is>
          <t>계단식</t>
        </is>
      </c>
      <c r="W1417" s="0" t="n">
        <v>131</v>
      </c>
      <c r="X1417" s="0" t="n">
        <v>20</v>
      </c>
      <c r="Y1417" s="0" t="n">
        <v>10</v>
      </c>
      <c r="Z1417" s="0" t="inlineStr">
        <is>
          <t>https://new.land.naver.com/complexes/27102?tab=detail&amp;rf=Y</t>
        </is>
      </c>
      <c r="AA1417" s="0" t="inlineStr">
        <is>
          <t>인천시 서구 청라동 193-1</t>
        </is>
      </c>
      <c r="AB1417" s="0" t="inlineStr">
        <is>
          <t>인천시</t>
        </is>
      </c>
      <c r="AC1417" s="0" t="inlineStr">
        <is>
          <t>서구</t>
        </is>
      </c>
      <c r="AD1417" s="0" t="inlineStr">
        <is>
          <t>청라동</t>
        </is>
      </c>
      <c r="AG1417" s="0" t="inlineStr">
        <is>
          <t>인천시 서구 청라에메랄드로 30</t>
        </is>
      </c>
      <c r="AH1417" s="0" t="n">
        <v>0</v>
      </c>
      <c r="AI1417" s="0" t="n">
        <v>169</v>
      </c>
      <c r="AJ1417" s="0" t="n">
        <v>13</v>
      </c>
      <c r="AK1417" s="0" t="n">
        <v>1554</v>
      </c>
      <c r="AL1417" s="0" t="n">
        <v>1.76</v>
      </c>
    </row>
    <row r="1418">
      <c r="A1418" s="0" t="inlineStr">
        <is>
          <t>[청라동]</t>
        </is>
      </c>
      <c r="B1418" s="0" t="n">
        <v>27102</v>
      </c>
      <c r="C1418" s="0" t="n">
        <v>4</v>
      </c>
      <c r="D1418" s="0" t="inlineStr">
        <is>
          <t>청라자이</t>
        </is>
      </c>
      <c r="E1418" s="0" t="inlineStr">
        <is>
          <t>2010.06.</t>
        </is>
      </c>
      <c r="F1418" s="0" t="n">
        <v>884</v>
      </c>
      <c r="G1418" s="0" t="n">
        <v>44.03</v>
      </c>
      <c r="H1418" s="0" t="n">
        <v>145.57</v>
      </c>
      <c r="I1418" s="0" t="n">
        <v>34.48</v>
      </c>
      <c r="J1418" s="0" t="n">
        <v>114</v>
      </c>
      <c r="K1418" s="0" t="n">
        <v>108</v>
      </c>
      <c r="T1418" s="0" t="n">
        <v>4</v>
      </c>
      <c r="U1418" s="0" t="n">
        <v>2</v>
      </c>
      <c r="V1418" s="0" t="inlineStr">
        <is>
          <t>계단식</t>
        </is>
      </c>
      <c r="W1418" s="0" t="n">
        <v>145</v>
      </c>
      <c r="X1418" s="0" t="n">
        <v>20</v>
      </c>
      <c r="Y1418" s="0" t="n">
        <v>10</v>
      </c>
      <c r="Z1418" s="0" t="inlineStr">
        <is>
          <t>https://new.land.naver.com/complexes/27102?tab=detail&amp;rf=Y</t>
        </is>
      </c>
      <c r="AA1418" s="0" t="inlineStr">
        <is>
          <t>인천시 서구 청라동 193-1</t>
        </is>
      </c>
      <c r="AB1418" s="0" t="inlineStr">
        <is>
          <t>인천시</t>
        </is>
      </c>
      <c r="AC1418" s="0" t="inlineStr">
        <is>
          <t>서구</t>
        </is>
      </c>
      <c r="AD1418" s="0" t="inlineStr">
        <is>
          <t>청라동</t>
        </is>
      </c>
      <c r="AG1418" s="0" t="inlineStr">
        <is>
          <t>인천시 서구 청라에메랄드로 30</t>
        </is>
      </c>
      <c r="AH1418" s="0" t="n">
        <v>0</v>
      </c>
      <c r="AI1418" s="0" t="n">
        <v>169</v>
      </c>
      <c r="AJ1418" s="0" t="n">
        <v>13</v>
      </c>
      <c r="AK1418" s="0" t="n">
        <v>1554</v>
      </c>
      <c r="AL1418" s="0" t="n">
        <v>1.76</v>
      </c>
    </row>
    <row r="1419">
      <c r="A1419" s="0" t="inlineStr">
        <is>
          <t>[청라동]</t>
        </is>
      </c>
      <c r="B1419" s="0" t="n">
        <v>27102</v>
      </c>
      <c r="C1419" s="0" t="n">
        <v>5</v>
      </c>
      <c r="D1419" s="0" t="inlineStr">
        <is>
          <t>청라자이</t>
        </is>
      </c>
      <c r="E1419" s="0" t="inlineStr">
        <is>
          <t>2010.06.</t>
        </is>
      </c>
      <c r="F1419" s="0" t="n">
        <v>884</v>
      </c>
      <c r="G1419" s="0" t="n">
        <v>44.7</v>
      </c>
      <c r="H1419" s="0" t="n">
        <v>147.77</v>
      </c>
      <c r="I1419" s="0" t="n">
        <v>34.94</v>
      </c>
      <c r="J1419" s="0" t="n">
        <v>115.51</v>
      </c>
      <c r="K1419" s="0" t="n">
        <v>222</v>
      </c>
      <c r="T1419" s="0" t="n">
        <v>4</v>
      </c>
      <c r="U1419" s="0" t="n">
        <v>2</v>
      </c>
      <c r="V1419" s="0" t="inlineStr">
        <is>
          <t>계단식</t>
        </is>
      </c>
      <c r="W1419" s="0" t="inlineStr">
        <is>
          <t>147B</t>
        </is>
      </c>
      <c r="X1419" s="0" t="n">
        <v>20</v>
      </c>
      <c r="Y1419" s="0" t="n">
        <v>10</v>
      </c>
      <c r="Z1419" s="0" t="inlineStr">
        <is>
          <t>https://new.land.naver.com/complexes/27102?tab=detail&amp;rf=Y</t>
        </is>
      </c>
      <c r="AA1419" s="0" t="inlineStr">
        <is>
          <t>인천시 서구 청라동 193-1</t>
        </is>
      </c>
      <c r="AB1419" s="0" t="inlineStr">
        <is>
          <t>인천시</t>
        </is>
      </c>
      <c r="AC1419" s="0" t="inlineStr">
        <is>
          <t>서구</t>
        </is>
      </c>
      <c r="AD1419" s="0" t="inlineStr">
        <is>
          <t>청라동</t>
        </is>
      </c>
      <c r="AG1419" s="0" t="inlineStr">
        <is>
          <t>인천시 서구 청라에메랄드로 30</t>
        </is>
      </c>
      <c r="AH1419" s="0" t="n">
        <v>0</v>
      </c>
      <c r="AI1419" s="0" t="n">
        <v>169</v>
      </c>
      <c r="AJ1419" s="0" t="n">
        <v>13</v>
      </c>
      <c r="AK1419" s="0" t="n">
        <v>1554</v>
      </c>
      <c r="AL1419" s="0" t="n">
        <v>1.76</v>
      </c>
    </row>
    <row r="1420">
      <c r="A1420" s="0" t="inlineStr">
        <is>
          <t>[청라동]</t>
        </is>
      </c>
      <c r="B1420" s="0" t="n">
        <v>27102</v>
      </c>
      <c r="C1420" s="0" t="n">
        <v>6</v>
      </c>
      <c r="D1420" s="0" t="inlineStr">
        <is>
          <t>청라자이</t>
        </is>
      </c>
      <c r="E1420" s="0" t="inlineStr">
        <is>
          <t>2010.06.</t>
        </is>
      </c>
      <c r="F1420" s="0" t="n">
        <v>884</v>
      </c>
      <c r="G1420" s="0" t="n">
        <v>44.56</v>
      </c>
      <c r="H1420" s="0" t="n">
        <v>147.32</v>
      </c>
      <c r="I1420" s="0" t="n">
        <v>34.76</v>
      </c>
      <c r="J1420" s="0" t="n">
        <v>114.92</v>
      </c>
      <c r="K1420" s="0" t="n">
        <v>132</v>
      </c>
      <c r="T1420" s="0" t="n">
        <v>4</v>
      </c>
      <c r="U1420" s="0" t="n">
        <v>2</v>
      </c>
      <c r="V1420" s="0" t="inlineStr">
        <is>
          <t>계단식</t>
        </is>
      </c>
      <c r="W1420" s="0" t="inlineStr">
        <is>
          <t>147A</t>
        </is>
      </c>
      <c r="X1420" s="0" t="n">
        <v>20</v>
      </c>
      <c r="Y1420" s="0" t="n">
        <v>10</v>
      </c>
      <c r="Z1420" s="0" t="inlineStr">
        <is>
          <t>https://new.land.naver.com/complexes/27102?tab=detail&amp;rf=Y</t>
        </is>
      </c>
      <c r="AA1420" s="0" t="inlineStr">
        <is>
          <t>인천시 서구 청라동 193-1</t>
        </is>
      </c>
      <c r="AB1420" s="0" t="inlineStr">
        <is>
          <t>인천시</t>
        </is>
      </c>
      <c r="AC1420" s="0" t="inlineStr">
        <is>
          <t>서구</t>
        </is>
      </c>
      <c r="AD1420" s="0" t="inlineStr">
        <is>
          <t>청라동</t>
        </is>
      </c>
      <c r="AG1420" s="0" t="inlineStr">
        <is>
          <t>인천시 서구 청라에메랄드로 30</t>
        </is>
      </c>
      <c r="AH1420" s="0" t="n">
        <v>0</v>
      </c>
      <c r="AI1420" s="0" t="n">
        <v>169</v>
      </c>
      <c r="AJ1420" s="0" t="n">
        <v>13</v>
      </c>
      <c r="AK1420" s="0" t="n">
        <v>1554</v>
      </c>
      <c r="AL1420" s="0" t="n">
        <v>1.76</v>
      </c>
    </row>
    <row r="1421">
      <c r="A1421" s="0" t="inlineStr">
        <is>
          <t>[청라동]</t>
        </is>
      </c>
      <c r="B1421" s="0" t="n">
        <v>27102</v>
      </c>
      <c r="C1421" s="0" t="n">
        <v>7</v>
      </c>
      <c r="D1421" s="0" t="inlineStr">
        <is>
          <t>청라자이</t>
        </is>
      </c>
      <c r="E1421" s="0" t="inlineStr">
        <is>
          <t>2010.06.</t>
        </is>
      </c>
      <c r="F1421" s="0" t="n">
        <v>884</v>
      </c>
      <c r="G1421" s="0" t="n">
        <v>44.59</v>
      </c>
      <c r="H1421" s="0" t="n">
        <v>147.43</v>
      </c>
      <c r="I1421" s="0" t="n">
        <v>34.73</v>
      </c>
      <c r="J1421" s="0" t="n">
        <v>114.81</v>
      </c>
      <c r="K1421" s="0" t="n">
        <v>66</v>
      </c>
      <c r="T1421" s="0" t="n">
        <v>4</v>
      </c>
      <c r="U1421" s="0" t="n">
        <v>2</v>
      </c>
      <c r="V1421" s="0" t="inlineStr">
        <is>
          <t>계단식</t>
        </is>
      </c>
      <c r="W1421" s="0" t="inlineStr">
        <is>
          <t>147D</t>
        </is>
      </c>
      <c r="X1421" s="0" t="n">
        <v>20</v>
      </c>
      <c r="Y1421" s="0" t="n">
        <v>10</v>
      </c>
      <c r="Z1421" s="0" t="inlineStr">
        <is>
          <t>https://new.land.naver.com/complexes/27102?tab=detail&amp;rf=Y</t>
        </is>
      </c>
      <c r="AA1421" s="0" t="inlineStr">
        <is>
          <t>인천시 서구 청라동 193-1</t>
        </is>
      </c>
      <c r="AB1421" s="0" t="inlineStr">
        <is>
          <t>인천시</t>
        </is>
      </c>
      <c r="AC1421" s="0" t="inlineStr">
        <is>
          <t>서구</t>
        </is>
      </c>
      <c r="AD1421" s="0" t="inlineStr">
        <is>
          <t>청라동</t>
        </is>
      </c>
      <c r="AG1421" s="0" t="inlineStr">
        <is>
          <t>인천시 서구 청라에메랄드로 30</t>
        </is>
      </c>
      <c r="AH1421" s="0" t="n">
        <v>0</v>
      </c>
      <c r="AI1421" s="0" t="n">
        <v>169</v>
      </c>
      <c r="AJ1421" s="0" t="n">
        <v>13</v>
      </c>
      <c r="AK1421" s="0" t="n">
        <v>1554</v>
      </c>
      <c r="AL1421" s="0" t="n">
        <v>1.76</v>
      </c>
    </row>
    <row r="1422">
      <c r="A1422" s="0" t="inlineStr">
        <is>
          <t>[청라동]</t>
        </is>
      </c>
      <c r="B1422" s="0" t="n">
        <v>27102</v>
      </c>
      <c r="C1422" s="0" t="n">
        <v>8</v>
      </c>
      <c r="D1422" s="0" t="inlineStr">
        <is>
          <t>청라자이</t>
        </is>
      </c>
      <c r="E1422" s="0" t="inlineStr">
        <is>
          <t>2010.06.</t>
        </is>
      </c>
      <c r="F1422" s="0" t="n">
        <v>884</v>
      </c>
      <c r="G1422" s="0" t="n">
        <v>44.57</v>
      </c>
      <c r="H1422" s="0" t="n">
        <v>147.34</v>
      </c>
      <c r="I1422" s="0" t="n">
        <v>34.72</v>
      </c>
      <c r="J1422" s="0" t="n">
        <v>114.79</v>
      </c>
      <c r="K1422" s="0" t="n">
        <v>40</v>
      </c>
      <c r="T1422" s="0" t="n">
        <v>4</v>
      </c>
      <c r="U1422" s="0" t="n">
        <v>2</v>
      </c>
      <c r="V1422" s="0" t="inlineStr">
        <is>
          <t>계단식</t>
        </is>
      </c>
      <c r="W1422" s="0" t="inlineStr">
        <is>
          <t>147C</t>
        </is>
      </c>
      <c r="X1422" s="0" t="n">
        <v>20</v>
      </c>
      <c r="Y1422" s="0" t="n">
        <v>10</v>
      </c>
      <c r="Z1422" s="0" t="inlineStr">
        <is>
          <t>https://new.land.naver.com/complexes/27102?tab=detail&amp;rf=Y</t>
        </is>
      </c>
      <c r="AA1422" s="0" t="inlineStr">
        <is>
          <t>인천시 서구 청라동 193-1</t>
        </is>
      </c>
      <c r="AB1422" s="0" t="inlineStr">
        <is>
          <t>인천시</t>
        </is>
      </c>
      <c r="AC1422" s="0" t="inlineStr">
        <is>
          <t>서구</t>
        </is>
      </c>
      <c r="AD1422" s="0" t="inlineStr">
        <is>
          <t>청라동</t>
        </is>
      </c>
      <c r="AG1422" s="0" t="inlineStr">
        <is>
          <t>인천시 서구 청라에메랄드로 30</t>
        </is>
      </c>
      <c r="AH1422" s="0" t="n">
        <v>0</v>
      </c>
      <c r="AI1422" s="0" t="n">
        <v>169</v>
      </c>
      <c r="AJ1422" s="0" t="n">
        <v>13</v>
      </c>
      <c r="AK1422" s="0" t="n">
        <v>1554</v>
      </c>
      <c r="AL1422" s="0" t="n">
        <v>1.76</v>
      </c>
    </row>
    <row r="1423">
      <c r="A1423" s="0" t="inlineStr">
        <is>
          <t>[청라동]</t>
        </is>
      </c>
      <c r="B1423" s="0" t="n">
        <v>27102</v>
      </c>
      <c r="C1423" s="0" t="n">
        <v>9</v>
      </c>
      <c r="D1423" s="0" t="inlineStr">
        <is>
          <t>청라자이</t>
        </is>
      </c>
      <c r="E1423" s="0" t="inlineStr">
        <is>
          <t>2010.06.</t>
        </is>
      </c>
      <c r="F1423" s="0" t="n">
        <v>884</v>
      </c>
      <c r="G1423" s="0" t="n">
        <v>54.7</v>
      </c>
      <c r="H1423" s="0" t="n">
        <v>180.85</v>
      </c>
      <c r="I1423" s="0" t="n">
        <v>43.21</v>
      </c>
      <c r="J1423" s="0" t="n">
        <v>142.87</v>
      </c>
      <c r="K1423" s="0" t="n">
        <v>136</v>
      </c>
      <c r="T1423" s="0" t="n">
        <v>4</v>
      </c>
      <c r="U1423" s="0" t="n">
        <v>2</v>
      </c>
      <c r="V1423" s="0" t="inlineStr">
        <is>
          <t>계단식</t>
        </is>
      </c>
      <c r="W1423" s="0" t="n">
        <v>180</v>
      </c>
      <c r="X1423" s="0" t="n">
        <v>20</v>
      </c>
      <c r="Y1423" s="0" t="n">
        <v>10</v>
      </c>
      <c r="Z1423" s="0" t="inlineStr">
        <is>
          <t>https://new.land.naver.com/complexes/27102?tab=detail&amp;rf=Y</t>
        </is>
      </c>
      <c r="AA1423" s="0" t="inlineStr">
        <is>
          <t>인천시 서구 청라동 193-1</t>
        </is>
      </c>
      <c r="AB1423" s="0" t="inlineStr">
        <is>
          <t>인천시</t>
        </is>
      </c>
      <c r="AC1423" s="0" t="inlineStr">
        <is>
          <t>서구</t>
        </is>
      </c>
      <c r="AD1423" s="0" t="inlineStr">
        <is>
          <t>청라동</t>
        </is>
      </c>
      <c r="AG1423" s="0" t="inlineStr">
        <is>
          <t>인천시 서구 청라에메랄드로 30</t>
        </is>
      </c>
      <c r="AH1423" s="0" t="n">
        <v>0</v>
      </c>
      <c r="AI1423" s="0" t="n">
        <v>169</v>
      </c>
      <c r="AJ1423" s="0" t="n">
        <v>13</v>
      </c>
      <c r="AK1423" s="0" t="n">
        <v>1554</v>
      </c>
      <c r="AL1423" s="0" t="n">
        <v>1.76</v>
      </c>
    </row>
    <row r="1424">
      <c r="A1424" s="0" t="inlineStr">
        <is>
          <t>[청라동]</t>
        </is>
      </c>
      <c r="B1424" s="0" t="n">
        <v>27102</v>
      </c>
      <c r="C1424" s="0" t="n">
        <v>10</v>
      </c>
      <c r="D1424" s="0" t="inlineStr">
        <is>
          <t>청라자이</t>
        </is>
      </c>
      <c r="E1424" s="0" t="inlineStr">
        <is>
          <t>2010.06.</t>
        </is>
      </c>
      <c r="F1424" s="0" t="n">
        <v>884</v>
      </c>
      <c r="G1424" s="0" t="n">
        <v>73.66</v>
      </c>
      <c r="H1424" s="0" t="n">
        <v>243.51</v>
      </c>
      <c r="I1424" s="0" t="n">
        <v>56.78</v>
      </c>
      <c r="J1424" s="0" t="n">
        <v>187.71</v>
      </c>
      <c r="K1424" s="0" t="n">
        <v>4</v>
      </c>
      <c r="T1424" s="0" t="n">
        <v>5</v>
      </c>
      <c r="U1424" s="0" t="n">
        <v>4</v>
      </c>
      <c r="V1424" s="0" t="inlineStr">
        <is>
          <t>계단식</t>
        </is>
      </c>
      <c r="W1424" s="0" t="n">
        <v>243</v>
      </c>
      <c r="X1424" s="0" t="n">
        <v>20</v>
      </c>
      <c r="Y1424" s="0" t="n">
        <v>10</v>
      </c>
      <c r="Z1424" s="0" t="inlineStr">
        <is>
          <t>https://new.land.naver.com/complexes/27102?tab=detail&amp;rf=Y</t>
        </is>
      </c>
      <c r="AA1424" s="0" t="inlineStr">
        <is>
          <t>인천시 서구 청라동 193-1</t>
        </is>
      </c>
      <c r="AB1424" s="0" t="inlineStr">
        <is>
          <t>인천시</t>
        </is>
      </c>
      <c r="AC1424" s="0" t="inlineStr">
        <is>
          <t>서구</t>
        </is>
      </c>
      <c r="AD1424" s="0" t="inlineStr">
        <is>
          <t>청라동</t>
        </is>
      </c>
      <c r="AG1424" s="0" t="inlineStr">
        <is>
          <t>인천시 서구 청라에메랄드로 30</t>
        </is>
      </c>
      <c r="AH1424" s="0" t="n">
        <v>0</v>
      </c>
      <c r="AI1424" s="0" t="n">
        <v>169</v>
      </c>
      <c r="AJ1424" s="0" t="n">
        <v>13</v>
      </c>
      <c r="AK1424" s="0" t="n">
        <v>1554</v>
      </c>
      <c r="AL1424" s="0" t="n">
        <v>1.76</v>
      </c>
    </row>
    <row r="1425">
      <c r="A1425" s="0" t="inlineStr">
        <is>
          <t>[청라동]</t>
        </is>
      </c>
      <c r="B1425" s="0" t="n">
        <v>27102</v>
      </c>
      <c r="C1425" s="0" t="n">
        <v>11</v>
      </c>
      <c r="D1425" s="0" t="inlineStr">
        <is>
          <t>청라자이</t>
        </is>
      </c>
      <c r="E1425" s="0" t="inlineStr">
        <is>
          <t>2010.06.</t>
        </is>
      </c>
      <c r="F1425" s="0" t="n">
        <v>884</v>
      </c>
      <c r="G1425" s="0" t="n">
        <v>84.13</v>
      </c>
      <c r="H1425" s="0" t="n">
        <v>278.12</v>
      </c>
      <c r="I1425" s="0" t="n">
        <v>65.37</v>
      </c>
      <c r="J1425" s="0" t="n">
        <v>216.11</v>
      </c>
      <c r="K1425" s="0" t="n">
        <v>8</v>
      </c>
      <c r="T1425" s="0" t="n">
        <v>5</v>
      </c>
      <c r="U1425" s="0" t="n">
        <v>4</v>
      </c>
      <c r="V1425" s="0" t="inlineStr">
        <is>
          <t>계단식</t>
        </is>
      </c>
      <c r="W1425" s="0" t="n">
        <v>278</v>
      </c>
      <c r="X1425" s="0" t="n">
        <v>20</v>
      </c>
      <c r="Y1425" s="0" t="n">
        <v>10</v>
      </c>
      <c r="Z1425" s="0" t="inlineStr">
        <is>
          <t>https://new.land.naver.com/complexes/27102?tab=detail&amp;rf=Y</t>
        </is>
      </c>
      <c r="AA1425" s="0" t="inlineStr">
        <is>
          <t>인천시 서구 청라동 193-1</t>
        </is>
      </c>
      <c r="AB1425" s="0" t="inlineStr">
        <is>
          <t>인천시</t>
        </is>
      </c>
      <c r="AC1425" s="0" t="inlineStr">
        <is>
          <t>서구</t>
        </is>
      </c>
      <c r="AD1425" s="0" t="inlineStr">
        <is>
          <t>청라동</t>
        </is>
      </c>
      <c r="AG1425" s="0" t="inlineStr">
        <is>
          <t>인천시 서구 청라에메랄드로 30</t>
        </is>
      </c>
      <c r="AH1425" s="0" t="n">
        <v>0</v>
      </c>
      <c r="AI1425" s="0" t="n">
        <v>169</v>
      </c>
      <c r="AJ1425" s="0" t="n">
        <v>13</v>
      </c>
      <c r="AK1425" s="0" t="n">
        <v>1554</v>
      </c>
      <c r="AL1425" s="0" t="n">
        <v>1.76</v>
      </c>
    </row>
    <row r="1426">
      <c r="A1426" s="0" t="inlineStr">
        <is>
          <t>[청라동]</t>
        </is>
      </c>
      <c r="B1426" s="0" t="n">
        <v>109882</v>
      </c>
      <c r="C1426" s="0" t="n">
        <v>1</v>
      </c>
      <c r="D1426" s="0" t="inlineStr">
        <is>
          <t>청라파크자이더테라스(2블럭)</t>
        </is>
      </c>
      <c r="E1426" s="0" t="inlineStr">
        <is>
          <t>2016.03.</t>
        </is>
      </c>
      <c r="F1426" s="0" t="n">
        <v>376</v>
      </c>
      <c r="G1426" s="0" t="n">
        <v>30.9</v>
      </c>
      <c r="H1426" s="0" t="n">
        <v>102.15</v>
      </c>
      <c r="I1426" s="0" t="n">
        <v>23.19</v>
      </c>
      <c r="J1426" s="0" t="n">
        <v>76.67</v>
      </c>
      <c r="K1426" s="0" t="n">
        <v>54</v>
      </c>
      <c r="T1426" s="0" t="n">
        <v>3</v>
      </c>
      <c r="U1426" s="0" t="n">
        <v>2</v>
      </c>
      <c r="V1426" s="0" t="inlineStr">
        <is>
          <t>계단식</t>
        </is>
      </c>
      <c r="W1426" s="0" t="inlineStr">
        <is>
          <t>102A</t>
        </is>
      </c>
      <c r="X1426" s="0" t="n">
        <v>4</v>
      </c>
      <c r="Y1426" s="0" t="n">
        <v>4</v>
      </c>
      <c r="Z1426" s="0" t="inlineStr">
        <is>
          <t>https://new.land.naver.com/complexes/109882?tab=detail&amp;rf=Y</t>
        </is>
      </c>
      <c r="AA1426" s="0" t="inlineStr">
        <is>
          <t>인천시 서구 청라동 104-13</t>
        </is>
      </c>
      <c r="AB1426" s="0" t="inlineStr">
        <is>
          <t>인천시</t>
        </is>
      </c>
      <c r="AC1426" s="0" t="inlineStr">
        <is>
          <t>서구</t>
        </is>
      </c>
      <c r="AD1426" s="0" t="inlineStr">
        <is>
          <t>청라동</t>
        </is>
      </c>
      <c r="AG1426" s="0" t="inlineStr">
        <is>
          <t>인천시 서구 보석로 32</t>
        </is>
      </c>
      <c r="AH1426" s="0" t="n">
        <v>0</v>
      </c>
      <c r="AI1426" s="0" t="n">
        <v>104</v>
      </c>
      <c r="AJ1426" s="0" t="n">
        <v>36</v>
      </c>
      <c r="AK1426" s="0" t="n">
        <v>462</v>
      </c>
      <c r="AL1426" s="0" t="n">
        <v>1.23</v>
      </c>
    </row>
    <row r="1427">
      <c r="A1427" s="0" t="inlineStr">
        <is>
          <t>[청라동]</t>
        </is>
      </c>
      <c r="B1427" s="0" t="n">
        <v>109882</v>
      </c>
      <c r="C1427" s="0" t="n">
        <v>2</v>
      </c>
      <c r="D1427" s="0" t="inlineStr">
        <is>
          <t>청라파크자이더테라스(2블럭)</t>
        </is>
      </c>
      <c r="E1427" s="0" t="inlineStr">
        <is>
          <t>2016.03.</t>
        </is>
      </c>
      <c r="F1427" s="0" t="n">
        <v>376</v>
      </c>
      <c r="G1427" s="0" t="n">
        <v>30.9</v>
      </c>
      <c r="H1427" s="0" t="n">
        <v>102.15</v>
      </c>
      <c r="I1427" s="0" t="n">
        <v>23.19</v>
      </c>
      <c r="J1427" s="0" t="n">
        <v>76.67</v>
      </c>
      <c r="K1427" s="0" t="n">
        <v>18</v>
      </c>
      <c r="T1427" s="0" t="n">
        <v>3</v>
      </c>
      <c r="U1427" s="0" t="n">
        <v>2</v>
      </c>
      <c r="V1427" s="0" t="inlineStr">
        <is>
          <t>계단식</t>
        </is>
      </c>
      <c r="W1427" s="0" t="inlineStr">
        <is>
          <t>102B</t>
        </is>
      </c>
      <c r="X1427" s="0" t="n">
        <v>4</v>
      </c>
      <c r="Y1427" s="0" t="n">
        <v>4</v>
      </c>
      <c r="Z1427" s="0" t="inlineStr">
        <is>
          <t>https://new.land.naver.com/complexes/109882?tab=detail&amp;rf=Y</t>
        </is>
      </c>
      <c r="AA1427" s="0" t="inlineStr">
        <is>
          <t>인천시 서구 청라동 104-13</t>
        </is>
      </c>
      <c r="AB1427" s="0" t="inlineStr">
        <is>
          <t>인천시</t>
        </is>
      </c>
      <c r="AC1427" s="0" t="inlineStr">
        <is>
          <t>서구</t>
        </is>
      </c>
      <c r="AD1427" s="0" t="inlineStr">
        <is>
          <t>청라동</t>
        </is>
      </c>
      <c r="AG1427" s="0" t="inlineStr">
        <is>
          <t>인천시 서구 보석로 32</t>
        </is>
      </c>
      <c r="AH1427" s="0" t="n">
        <v>0</v>
      </c>
      <c r="AI1427" s="0" t="n">
        <v>104</v>
      </c>
      <c r="AJ1427" s="0" t="n">
        <v>36</v>
      </c>
      <c r="AK1427" s="0" t="n">
        <v>462</v>
      </c>
      <c r="AL1427" s="0" t="n">
        <v>1.23</v>
      </c>
    </row>
    <row r="1428">
      <c r="A1428" s="0" t="inlineStr">
        <is>
          <t>[청라동]</t>
        </is>
      </c>
      <c r="B1428" s="0" t="n">
        <v>109882</v>
      </c>
      <c r="C1428" s="0" t="n">
        <v>3</v>
      </c>
      <c r="D1428" s="0" t="inlineStr">
        <is>
          <t>청라파크자이더테라스(2블럭)</t>
        </is>
      </c>
      <c r="E1428" s="0" t="inlineStr">
        <is>
          <t>2016.03.</t>
        </is>
      </c>
      <c r="F1428" s="0" t="n">
        <v>376</v>
      </c>
      <c r="G1428" s="0" t="n">
        <v>33.57</v>
      </c>
      <c r="H1428" s="0" t="n">
        <v>110.99</v>
      </c>
      <c r="I1428" s="0" t="n">
        <v>25.7</v>
      </c>
      <c r="J1428" s="0" t="n">
        <v>84.98999999999999</v>
      </c>
      <c r="K1428" s="0" t="n">
        <v>20</v>
      </c>
      <c r="T1428" s="0" t="n">
        <v>3</v>
      </c>
      <c r="U1428" s="0" t="n">
        <v>2</v>
      </c>
      <c r="V1428" s="0" t="inlineStr">
        <is>
          <t>계단식</t>
        </is>
      </c>
      <c r="W1428" s="0" t="inlineStr">
        <is>
          <t>110B</t>
        </is>
      </c>
      <c r="X1428" s="0" t="n">
        <v>4</v>
      </c>
      <c r="Y1428" s="0" t="n">
        <v>4</v>
      </c>
      <c r="Z1428" s="0" t="inlineStr">
        <is>
          <t>https://new.land.naver.com/complexes/109882?tab=detail&amp;rf=Y</t>
        </is>
      </c>
      <c r="AA1428" s="0" t="inlineStr">
        <is>
          <t>인천시 서구 청라동 104-13</t>
        </is>
      </c>
      <c r="AB1428" s="0" t="inlineStr">
        <is>
          <t>인천시</t>
        </is>
      </c>
      <c r="AC1428" s="0" t="inlineStr">
        <is>
          <t>서구</t>
        </is>
      </c>
      <c r="AD1428" s="0" t="inlineStr">
        <is>
          <t>청라동</t>
        </is>
      </c>
      <c r="AG1428" s="0" t="inlineStr">
        <is>
          <t>인천시 서구 보석로 32</t>
        </is>
      </c>
      <c r="AH1428" s="0" t="n">
        <v>0</v>
      </c>
      <c r="AI1428" s="0" t="n">
        <v>104</v>
      </c>
      <c r="AJ1428" s="0" t="n">
        <v>36</v>
      </c>
      <c r="AK1428" s="0" t="n">
        <v>462</v>
      </c>
      <c r="AL1428" s="0" t="n">
        <v>1.23</v>
      </c>
    </row>
    <row r="1429">
      <c r="A1429" s="0" t="inlineStr">
        <is>
          <t>[청라동]</t>
        </is>
      </c>
      <c r="B1429" s="0" t="n">
        <v>109882</v>
      </c>
      <c r="C1429" s="0" t="n">
        <v>4</v>
      </c>
      <c r="D1429" s="0" t="inlineStr">
        <is>
          <t>청라파크자이더테라스(2블럭)</t>
        </is>
      </c>
      <c r="E1429" s="0" t="inlineStr">
        <is>
          <t>2016.03.</t>
        </is>
      </c>
      <c r="F1429" s="0" t="n">
        <v>376</v>
      </c>
      <c r="G1429" s="0" t="n">
        <v>33.57</v>
      </c>
      <c r="H1429" s="0" t="n">
        <v>110.99</v>
      </c>
      <c r="I1429" s="0" t="n">
        <v>25.7</v>
      </c>
      <c r="J1429" s="0" t="n">
        <v>84.98999999999999</v>
      </c>
      <c r="K1429" s="0" t="n">
        <v>10</v>
      </c>
      <c r="T1429" s="0" t="n">
        <v>3</v>
      </c>
      <c r="U1429" s="0" t="n">
        <v>2</v>
      </c>
      <c r="V1429" s="0" t="inlineStr">
        <is>
          <t>계단식</t>
        </is>
      </c>
      <c r="W1429" s="0" t="inlineStr">
        <is>
          <t>110Q</t>
        </is>
      </c>
      <c r="X1429" s="0" t="n">
        <v>4</v>
      </c>
      <c r="Y1429" s="0" t="n">
        <v>4</v>
      </c>
      <c r="Z1429" s="0" t="inlineStr">
        <is>
          <t>https://new.land.naver.com/complexes/109882?tab=detail&amp;rf=Y</t>
        </is>
      </c>
      <c r="AA1429" s="0" t="inlineStr">
        <is>
          <t>인천시 서구 청라동 104-13</t>
        </is>
      </c>
      <c r="AB1429" s="0" t="inlineStr">
        <is>
          <t>인천시</t>
        </is>
      </c>
      <c r="AC1429" s="0" t="inlineStr">
        <is>
          <t>서구</t>
        </is>
      </c>
      <c r="AD1429" s="0" t="inlineStr">
        <is>
          <t>청라동</t>
        </is>
      </c>
      <c r="AG1429" s="0" t="inlineStr">
        <is>
          <t>인천시 서구 보석로 32</t>
        </is>
      </c>
      <c r="AH1429" s="0" t="n">
        <v>0</v>
      </c>
      <c r="AI1429" s="0" t="n">
        <v>104</v>
      </c>
      <c r="AJ1429" s="0" t="n">
        <v>36</v>
      </c>
      <c r="AK1429" s="0" t="n">
        <v>462</v>
      </c>
      <c r="AL1429" s="0" t="n">
        <v>1.23</v>
      </c>
    </row>
    <row r="1430">
      <c r="A1430" s="0" t="inlineStr">
        <is>
          <t>[청라동]</t>
        </is>
      </c>
      <c r="B1430" s="0" t="n">
        <v>109882</v>
      </c>
      <c r="C1430" s="0" t="n">
        <v>5</v>
      </c>
      <c r="D1430" s="0" t="inlineStr">
        <is>
          <t>청라파크자이더테라스(2블럭)</t>
        </is>
      </c>
      <c r="E1430" s="0" t="inlineStr">
        <is>
          <t>2016.03.</t>
        </is>
      </c>
      <c r="F1430" s="0" t="n">
        <v>376</v>
      </c>
      <c r="G1430" s="0" t="n">
        <v>33.57</v>
      </c>
      <c r="H1430" s="0" t="n">
        <v>110.99</v>
      </c>
      <c r="I1430" s="0" t="n">
        <v>25.7</v>
      </c>
      <c r="J1430" s="0" t="n">
        <v>84.98999999999999</v>
      </c>
      <c r="K1430" s="0" t="n">
        <v>10</v>
      </c>
      <c r="T1430" s="0" t="n">
        <v>3</v>
      </c>
      <c r="U1430" s="0" t="n">
        <v>2</v>
      </c>
      <c r="V1430" s="0" t="inlineStr">
        <is>
          <t>계단식</t>
        </is>
      </c>
      <c r="W1430" s="0" t="inlineStr">
        <is>
          <t>110S</t>
        </is>
      </c>
      <c r="X1430" s="0" t="n">
        <v>4</v>
      </c>
      <c r="Y1430" s="0" t="n">
        <v>4</v>
      </c>
      <c r="Z1430" s="0" t="inlineStr">
        <is>
          <t>https://new.land.naver.com/complexes/109882?tab=detail&amp;rf=Y</t>
        </is>
      </c>
      <c r="AA1430" s="0" t="inlineStr">
        <is>
          <t>인천시 서구 청라동 104-13</t>
        </is>
      </c>
      <c r="AB1430" s="0" t="inlineStr">
        <is>
          <t>인천시</t>
        </is>
      </c>
      <c r="AC1430" s="0" t="inlineStr">
        <is>
          <t>서구</t>
        </is>
      </c>
      <c r="AD1430" s="0" t="inlineStr">
        <is>
          <t>청라동</t>
        </is>
      </c>
      <c r="AG1430" s="0" t="inlineStr">
        <is>
          <t>인천시 서구 보석로 32</t>
        </is>
      </c>
      <c r="AH1430" s="0" t="n">
        <v>0</v>
      </c>
      <c r="AI1430" s="0" t="n">
        <v>104</v>
      </c>
      <c r="AJ1430" s="0" t="n">
        <v>36</v>
      </c>
      <c r="AK1430" s="0" t="n">
        <v>462</v>
      </c>
      <c r="AL1430" s="0" t="n">
        <v>1.23</v>
      </c>
    </row>
    <row r="1431">
      <c r="A1431" s="0" t="inlineStr">
        <is>
          <t>[청라동]</t>
        </is>
      </c>
      <c r="B1431" s="0" t="n">
        <v>109882</v>
      </c>
      <c r="C1431" s="0" t="n">
        <v>6</v>
      </c>
      <c r="D1431" s="0" t="inlineStr">
        <is>
          <t>청라파크자이더테라스(2블럭)</t>
        </is>
      </c>
      <c r="E1431" s="0" t="inlineStr">
        <is>
          <t>2016.03.</t>
        </is>
      </c>
      <c r="F1431" s="0" t="n">
        <v>376</v>
      </c>
      <c r="G1431" s="0" t="n">
        <v>34.07</v>
      </c>
      <c r="H1431" s="0" t="n">
        <v>112.64</v>
      </c>
      <c r="I1431" s="0" t="n">
        <v>25.7</v>
      </c>
      <c r="J1431" s="0" t="n">
        <v>84.98999999999999</v>
      </c>
      <c r="K1431" s="0" t="n">
        <v>120</v>
      </c>
      <c r="T1431" s="0" t="n">
        <v>3</v>
      </c>
      <c r="U1431" s="0" t="n">
        <v>2</v>
      </c>
      <c r="V1431" s="0" t="inlineStr">
        <is>
          <t>계단식</t>
        </is>
      </c>
      <c r="W1431" s="0" t="inlineStr">
        <is>
          <t>112A</t>
        </is>
      </c>
      <c r="X1431" s="0" t="n">
        <v>4</v>
      </c>
      <c r="Y1431" s="0" t="n">
        <v>4</v>
      </c>
      <c r="Z1431" s="0" t="inlineStr">
        <is>
          <t>https://new.land.naver.com/complexes/109882?tab=detail&amp;rf=Y</t>
        </is>
      </c>
      <c r="AA1431" s="0" t="inlineStr">
        <is>
          <t>인천시 서구 청라동 104-13</t>
        </is>
      </c>
      <c r="AB1431" s="0" t="inlineStr">
        <is>
          <t>인천시</t>
        </is>
      </c>
      <c r="AC1431" s="0" t="inlineStr">
        <is>
          <t>서구</t>
        </is>
      </c>
      <c r="AD1431" s="0" t="inlineStr">
        <is>
          <t>청라동</t>
        </is>
      </c>
      <c r="AG1431" s="0" t="inlineStr">
        <is>
          <t>인천시 서구 보석로 32</t>
        </is>
      </c>
      <c r="AH1431" s="0" t="n">
        <v>0</v>
      </c>
      <c r="AI1431" s="0" t="n">
        <v>104</v>
      </c>
      <c r="AJ1431" s="0" t="n">
        <v>36</v>
      </c>
      <c r="AK1431" s="0" t="n">
        <v>462</v>
      </c>
      <c r="AL1431" s="0" t="n">
        <v>1.23</v>
      </c>
    </row>
    <row r="1432">
      <c r="A1432" s="0" t="inlineStr">
        <is>
          <t>[청라동]</t>
        </is>
      </c>
      <c r="B1432" s="0" t="n">
        <v>109882</v>
      </c>
      <c r="C1432" s="0" t="n">
        <v>7</v>
      </c>
      <c r="D1432" s="0" t="inlineStr">
        <is>
          <t>청라파크자이더테라스(2블럭)</t>
        </is>
      </c>
      <c r="E1432" s="0" t="inlineStr">
        <is>
          <t>2016.03.</t>
        </is>
      </c>
      <c r="F1432" s="0" t="n">
        <v>376</v>
      </c>
      <c r="G1432" s="0" t="n">
        <v>34.07</v>
      </c>
      <c r="H1432" s="0" t="n">
        <v>112.64</v>
      </c>
      <c r="I1432" s="0" t="n">
        <v>25.7</v>
      </c>
      <c r="J1432" s="0" t="n">
        <v>84.98999999999999</v>
      </c>
      <c r="K1432" s="0" t="n">
        <v>60</v>
      </c>
      <c r="T1432" s="0" t="n">
        <v>3</v>
      </c>
      <c r="U1432" s="0" t="n">
        <v>2</v>
      </c>
      <c r="V1432" s="0" t="inlineStr">
        <is>
          <t>계단식</t>
        </is>
      </c>
      <c r="W1432" s="0" t="inlineStr">
        <is>
          <t>112P1</t>
        </is>
      </c>
      <c r="X1432" s="0" t="n">
        <v>4</v>
      </c>
      <c r="Y1432" s="0" t="n">
        <v>4</v>
      </c>
      <c r="Z1432" s="0" t="inlineStr">
        <is>
          <t>https://new.land.naver.com/complexes/109882?tab=detail&amp;rf=Y</t>
        </is>
      </c>
      <c r="AA1432" s="0" t="inlineStr">
        <is>
          <t>인천시 서구 청라동 104-13</t>
        </is>
      </c>
      <c r="AB1432" s="0" t="inlineStr">
        <is>
          <t>인천시</t>
        </is>
      </c>
      <c r="AC1432" s="0" t="inlineStr">
        <is>
          <t>서구</t>
        </is>
      </c>
      <c r="AD1432" s="0" t="inlineStr">
        <is>
          <t>청라동</t>
        </is>
      </c>
      <c r="AG1432" s="0" t="inlineStr">
        <is>
          <t>인천시 서구 보석로 32</t>
        </is>
      </c>
      <c r="AH1432" s="0" t="n">
        <v>0</v>
      </c>
      <c r="AI1432" s="0" t="n">
        <v>104</v>
      </c>
      <c r="AJ1432" s="0" t="n">
        <v>36</v>
      </c>
      <c r="AK1432" s="0" t="n">
        <v>462</v>
      </c>
      <c r="AL1432" s="0" t="n">
        <v>1.23</v>
      </c>
    </row>
    <row r="1433">
      <c r="A1433" s="0" t="inlineStr">
        <is>
          <t>[청라동]</t>
        </is>
      </c>
      <c r="B1433" s="0" t="n">
        <v>109882</v>
      </c>
      <c r="C1433" s="0" t="n">
        <v>8</v>
      </c>
      <c r="D1433" s="0" t="inlineStr">
        <is>
          <t>청라파크자이더테라스(2블럭)</t>
        </is>
      </c>
      <c r="E1433" s="0" t="inlineStr">
        <is>
          <t>2016.03.</t>
        </is>
      </c>
      <c r="F1433" s="0" t="n">
        <v>376</v>
      </c>
      <c r="G1433" s="0" t="n">
        <v>34.07</v>
      </c>
      <c r="H1433" s="0" t="n">
        <v>112.64</v>
      </c>
      <c r="I1433" s="0" t="n">
        <v>25.7</v>
      </c>
      <c r="J1433" s="0" t="n">
        <v>84.98999999999999</v>
      </c>
      <c r="K1433" s="0" t="n">
        <v>60</v>
      </c>
      <c r="T1433" s="0" t="n">
        <v>3</v>
      </c>
      <c r="U1433" s="0" t="n">
        <v>2</v>
      </c>
      <c r="V1433" s="0" t="inlineStr">
        <is>
          <t>계단식</t>
        </is>
      </c>
      <c r="W1433" s="0" t="inlineStr">
        <is>
          <t>112T1</t>
        </is>
      </c>
      <c r="X1433" s="0" t="n">
        <v>4</v>
      </c>
      <c r="Y1433" s="0" t="n">
        <v>4</v>
      </c>
      <c r="Z1433" s="0" t="inlineStr">
        <is>
          <t>https://new.land.naver.com/complexes/109882?tab=detail&amp;rf=Y</t>
        </is>
      </c>
      <c r="AA1433" s="0" t="inlineStr">
        <is>
          <t>인천시 서구 청라동 104-13</t>
        </is>
      </c>
      <c r="AB1433" s="0" t="inlineStr">
        <is>
          <t>인천시</t>
        </is>
      </c>
      <c r="AC1433" s="0" t="inlineStr">
        <is>
          <t>서구</t>
        </is>
      </c>
      <c r="AD1433" s="0" t="inlineStr">
        <is>
          <t>청라동</t>
        </is>
      </c>
      <c r="AG1433" s="0" t="inlineStr">
        <is>
          <t>인천시 서구 보석로 32</t>
        </is>
      </c>
      <c r="AH1433" s="0" t="n">
        <v>0</v>
      </c>
      <c r="AI1433" s="0" t="n">
        <v>104</v>
      </c>
      <c r="AJ1433" s="0" t="n">
        <v>36</v>
      </c>
      <c r="AK1433" s="0" t="n">
        <v>462</v>
      </c>
      <c r="AL1433" s="0" t="n">
        <v>1.23</v>
      </c>
    </row>
    <row r="1434">
      <c r="A1434" s="0" t="inlineStr">
        <is>
          <t>[청라동]</t>
        </is>
      </c>
      <c r="B1434" s="0" t="n">
        <v>109882</v>
      </c>
      <c r="C1434" s="0" t="n">
        <v>9</v>
      </c>
      <c r="D1434" s="0" t="inlineStr">
        <is>
          <t>청라파크자이더테라스(2블럭)</t>
        </is>
      </c>
      <c r="E1434" s="0" t="inlineStr">
        <is>
          <t>2016.03.</t>
        </is>
      </c>
      <c r="F1434" s="0" t="n">
        <v>376</v>
      </c>
      <c r="G1434" s="0" t="n">
        <v>34.01</v>
      </c>
      <c r="H1434" s="0" t="n">
        <v>112.45</v>
      </c>
      <c r="I1434" s="0" t="n">
        <v>25.7</v>
      </c>
      <c r="J1434" s="0" t="n">
        <v>84.95999999999999</v>
      </c>
      <c r="K1434" s="0" t="n">
        <v>14</v>
      </c>
      <c r="T1434" s="0" t="n">
        <v>3</v>
      </c>
      <c r="U1434" s="0" t="n">
        <v>2</v>
      </c>
      <c r="V1434" s="0" t="inlineStr">
        <is>
          <t>계단식</t>
        </is>
      </c>
      <c r="W1434" s="0" t="n">
        <v>112</v>
      </c>
      <c r="X1434" s="0" t="n">
        <v>4</v>
      </c>
      <c r="Y1434" s="0" t="n">
        <v>4</v>
      </c>
      <c r="Z1434" s="0" t="inlineStr">
        <is>
          <t>https://new.land.naver.com/complexes/109882?tab=detail&amp;rf=Y</t>
        </is>
      </c>
      <c r="AA1434" s="0" t="inlineStr">
        <is>
          <t>인천시 서구 청라동 104-13</t>
        </is>
      </c>
      <c r="AB1434" s="0" t="inlineStr">
        <is>
          <t>인천시</t>
        </is>
      </c>
      <c r="AC1434" s="0" t="inlineStr">
        <is>
          <t>서구</t>
        </is>
      </c>
      <c r="AD1434" s="0" t="inlineStr">
        <is>
          <t>청라동</t>
        </is>
      </c>
      <c r="AG1434" s="0" t="inlineStr">
        <is>
          <t>인천시 서구 보석로 32</t>
        </is>
      </c>
      <c r="AH1434" s="0" t="n">
        <v>0</v>
      </c>
      <c r="AI1434" s="0" t="n">
        <v>104</v>
      </c>
      <c r="AJ1434" s="0" t="n">
        <v>36</v>
      </c>
      <c r="AK1434" s="0" t="n">
        <v>462</v>
      </c>
      <c r="AL1434" s="0" t="n">
        <v>1.23</v>
      </c>
    </row>
    <row r="1435">
      <c r="A1435" s="0" t="inlineStr">
        <is>
          <t>[청라동]</t>
        </is>
      </c>
      <c r="B1435" s="0" t="n">
        <v>109882</v>
      </c>
      <c r="C1435" s="0" t="n">
        <v>10</v>
      </c>
      <c r="D1435" s="0" t="inlineStr">
        <is>
          <t>청라파크자이더테라스(2블럭)</t>
        </is>
      </c>
      <c r="E1435" s="0" t="inlineStr">
        <is>
          <t>2016.03.</t>
        </is>
      </c>
      <c r="F1435" s="0" t="n">
        <v>376</v>
      </c>
      <c r="G1435" s="0" t="n">
        <v>34.01</v>
      </c>
      <c r="H1435" s="0" t="n">
        <v>112.45</v>
      </c>
      <c r="I1435" s="0" t="n">
        <v>25.7</v>
      </c>
      <c r="J1435" s="0" t="n">
        <v>84.95999999999999</v>
      </c>
      <c r="K1435" s="0" t="n">
        <v>6</v>
      </c>
      <c r="T1435" s="0" t="n">
        <v>3</v>
      </c>
      <c r="U1435" s="0" t="n">
        <v>2</v>
      </c>
      <c r="V1435" s="0" t="inlineStr">
        <is>
          <t>계단식</t>
        </is>
      </c>
      <c r="W1435" s="0" t="inlineStr">
        <is>
          <t>112P2</t>
        </is>
      </c>
      <c r="X1435" s="0" t="n">
        <v>4</v>
      </c>
      <c r="Y1435" s="0" t="n">
        <v>4</v>
      </c>
      <c r="Z1435" s="0" t="inlineStr">
        <is>
          <t>https://new.land.naver.com/complexes/109882?tab=detail&amp;rf=Y</t>
        </is>
      </c>
      <c r="AA1435" s="0" t="inlineStr">
        <is>
          <t>인천시 서구 청라동 104-13</t>
        </is>
      </c>
      <c r="AB1435" s="0" t="inlineStr">
        <is>
          <t>인천시</t>
        </is>
      </c>
      <c r="AC1435" s="0" t="inlineStr">
        <is>
          <t>서구</t>
        </is>
      </c>
      <c r="AD1435" s="0" t="inlineStr">
        <is>
          <t>청라동</t>
        </is>
      </c>
      <c r="AG1435" s="0" t="inlineStr">
        <is>
          <t>인천시 서구 보석로 32</t>
        </is>
      </c>
      <c r="AH1435" s="0" t="n">
        <v>0</v>
      </c>
      <c r="AI1435" s="0" t="n">
        <v>104</v>
      </c>
      <c r="AJ1435" s="0" t="n">
        <v>36</v>
      </c>
      <c r="AK1435" s="0" t="n">
        <v>462</v>
      </c>
      <c r="AL1435" s="0" t="n">
        <v>1.23</v>
      </c>
    </row>
    <row r="1436">
      <c r="A1436" s="0" t="inlineStr">
        <is>
          <t>[청라동]</t>
        </is>
      </c>
      <c r="B1436" s="0" t="n">
        <v>109882</v>
      </c>
      <c r="C1436" s="0" t="n">
        <v>11</v>
      </c>
      <c r="D1436" s="0" t="inlineStr">
        <is>
          <t>청라파크자이더테라스(2블럭)</t>
        </is>
      </c>
      <c r="E1436" s="0" t="inlineStr">
        <is>
          <t>2016.03.</t>
        </is>
      </c>
      <c r="F1436" s="0" t="n">
        <v>376</v>
      </c>
      <c r="G1436" s="0" t="n">
        <v>34.01</v>
      </c>
      <c r="H1436" s="0" t="n">
        <v>112.45</v>
      </c>
      <c r="I1436" s="0" t="n">
        <v>25.7</v>
      </c>
      <c r="J1436" s="0" t="n">
        <v>84.95999999999999</v>
      </c>
      <c r="K1436" s="0" t="n">
        <v>4</v>
      </c>
      <c r="T1436" s="0" t="n">
        <v>3</v>
      </c>
      <c r="U1436" s="0" t="n">
        <v>2</v>
      </c>
      <c r="V1436" s="0" t="inlineStr">
        <is>
          <t>계단식</t>
        </is>
      </c>
      <c r="W1436" s="0" t="inlineStr">
        <is>
          <t>112T2</t>
        </is>
      </c>
      <c r="X1436" s="0" t="n">
        <v>4</v>
      </c>
      <c r="Y1436" s="0" t="n">
        <v>4</v>
      </c>
      <c r="Z1436" s="0" t="inlineStr">
        <is>
          <t>https://new.land.naver.com/complexes/109882?tab=detail&amp;rf=Y</t>
        </is>
      </c>
      <c r="AA1436" s="0" t="inlineStr">
        <is>
          <t>인천시 서구 청라동 104-13</t>
        </is>
      </c>
      <c r="AB1436" s="0" t="inlineStr">
        <is>
          <t>인천시</t>
        </is>
      </c>
      <c r="AC1436" s="0" t="inlineStr">
        <is>
          <t>서구</t>
        </is>
      </c>
      <c r="AD1436" s="0" t="inlineStr">
        <is>
          <t>청라동</t>
        </is>
      </c>
      <c r="AG1436" s="0" t="inlineStr">
        <is>
          <t>인천시 서구 보석로 32</t>
        </is>
      </c>
      <c r="AH1436" s="0" t="n">
        <v>0</v>
      </c>
      <c r="AI1436" s="0" t="n">
        <v>104</v>
      </c>
      <c r="AJ1436" s="0" t="n">
        <v>36</v>
      </c>
      <c r="AK1436" s="0" t="n">
        <v>462</v>
      </c>
      <c r="AL1436" s="0" t="n">
        <v>1.23</v>
      </c>
    </row>
    <row r="1437">
      <c r="A1437" s="0" t="inlineStr">
        <is>
          <t>[청라동]</t>
        </is>
      </c>
      <c r="B1437" s="0" t="n">
        <v>100475</v>
      </c>
      <c r="C1437" s="0" t="n">
        <v>1</v>
      </c>
      <c r="D1437" s="0" t="inlineStr">
        <is>
          <t>청라웰카운티1차</t>
        </is>
      </c>
      <c r="E1437" s="0" t="inlineStr">
        <is>
          <t>2010.07.</t>
        </is>
      </c>
      <c r="F1437" s="0" t="n">
        <v>692</v>
      </c>
      <c r="G1437" s="0" t="n">
        <v>33.99</v>
      </c>
      <c r="H1437" s="0" t="n">
        <v>112.39</v>
      </c>
      <c r="I1437" s="0" t="n">
        <v>25.55</v>
      </c>
      <c r="J1437" s="0" t="n">
        <v>84.48999999999999</v>
      </c>
      <c r="K1437" s="0" t="n">
        <v>280</v>
      </c>
      <c r="T1437" s="0" t="n">
        <v>3</v>
      </c>
      <c r="U1437" s="0" t="n">
        <v>2</v>
      </c>
      <c r="V1437" s="0" t="inlineStr">
        <is>
          <t>계단식</t>
        </is>
      </c>
      <c r="W1437" s="0" t="inlineStr">
        <is>
          <t>112B</t>
        </is>
      </c>
      <c r="X1437" s="0" t="n">
        <v>20</v>
      </c>
      <c r="Y1437" s="0" t="n">
        <v>20</v>
      </c>
      <c r="Z1437" s="0" t="inlineStr">
        <is>
          <t>https://new.land.naver.com/complexes/100475?tab=detail&amp;rf=Y</t>
        </is>
      </c>
      <c r="AA1437" s="0" t="inlineStr">
        <is>
          <t>인천시 서구 청라동 130-2</t>
        </is>
      </c>
      <c r="AB1437" s="0" t="inlineStr">
        <is>
          <t>인천시</t>
        </is>
      </c>
      <c r="AC1437" s="0" t="inlineStr">
        <is>
          <t>서구</t>
        </is>
      </c>
      <c r="AD1437" s="0" t="inlineStr">
        <is>
          <t>청라동</t>
        </is>
      </c>
      <c r="AG1437" s="0" t="inlineStr">
        <is>
          <t>인천시 서구 청라에메랄드로 156</t>
        </is>
      </c>
      <c r="AH1437" s="0" t="n">
        <v>0</v>
      </c>
      <c r="AI1437" s="0" t="n">
        <v>169</v>
      </c>
      <c r="AJ1437" s="0" t="n">
        <v>12</v>
      </c>
      <c r="AK1437" s="0" t="n">
        <v>932</v>
      </c>
      <c r="AL1437" s="0" t="n">
        <v>1.35</v>
      </c>
    </row>
    <row r="1438">
      <c r="A1438" s="0" t="inlineStr">
        <is>
          <t>[청라동]</t>
        </is>
      </c>
      <c r="B1438" s="0" t="n">
        <v>100475</v>
      </c>
      <c r="C1438" s="0" t="n">
        <v>2</v>
      </c>
      <c r="D1438" s="0" t="inlineStr">
        <is>
          <t>청라웰카운티1차</t>
        </is>
      </c>
      <c r="E1438" s="0" t="inlineStr">
        <is>
          <t>2010.07.</t>
        </is>
      </c>
      <c r="F1438" s="0" t="n">
        <v>692</v>
      </c>
      <c r="G1438" s="0" t="n">
        <v>34.15</v>
      </c>
      <c r="H1438" s="0" t="n">
        <v>112.92</v>
      </c>
      <c r="I1438" s="0" t="n">
        <v>25.63</v>
      </c>
      <c r="J1438" s="0" t="n">
        <v>84.73</v>
      </c>
      <c r="K1438" s="0" t="n">
        <v>132</v>
      </c>
      <c r="T1438" s="0" t="n">
        <v>3</v>
      </c>
      <c r="U1438" s="0" t="n">
        <v>2</v>
      </c>
      <c r="V1438" s="0" t="inlineStr">
        <is>
          <t>계단식</t>
        </is>
      </c>
      <c r="W1438" s="0" t="inlineStr">
        <is>
          <t>112A</t>
        </is>
      </c>
      <c r="X1438" s="0" t="n">
        <v>20</v>
      </c>
      <c r="Y1438" s="0" t="n">
        <v>20</v>
      </c>
      <c r="Z1438" s="0" t="inlineStr">
        <is>
          <t>https://new.land.naver.com/complexes/100475?tab=detail&amp;rf=Y</t>
        </is>
      </c>
      <c r="AA1438" s="0" t="inlineStr">
        <is>
          <t>인천시 서구 청라동 130-2</t>
        </is>
      </c>
      <c r="AB1438" s="0" t="inlineStr">
        <is>
          <t>인천시</t>
        </is>
      </c>
      <c r="AC1438" s="0" t="inlineStr">
        <is>
          <t>서구</t>
        </is>
      </c>
      <c r="AD1438" s="0" t="inlineStr">
        <is>
          <t>청라동</t>
        </is>
      </c>
      <c r="AG1438" s="0" t="inlineStr">
        <is>
          <t>인천시 서구 청라에메랄드로 156</t>
        </is>
      </c>
      <c r="AH1438" s="0" t="n">
        <v>0</v>
      </c>
      <c r="AI1438" s="0" t="n">
        <v>169</v>
      </c>
      <c r="AJ1438" s="0" t="n">
        <v>12</v>
      </c>
      <c r="AK1438" s="0" t="n">
        <v>932</v>
      </c>
      <c r="AL1438" s="0" t="n">
        <v>1.35</v>
      </c>
    </row>
    <row r="1439">
      <c r="A1439" s="0" t="inlineStr">
        <is>
          <t>[청라동]</t>
        </is>
      </c>
      <c r="B1439" s="0" t="n">
        <v>100475</v>
      </c>
      <c r="C1439" s="0" t="n">
        <v>3</v>
      </c>
      <c r="D1439" s="0" t="inlineStr">
        <is>
          <t>청라웰카운티1차</t>
        </is>
      </c>
      <c r="E1439" s="0" t="inlineStr">
        <is>
          <t>2010.07.</t>
        </is>
      </c>
      <c r="F1439" s="0" t="n">
        <v>692</v>
      </c>
      <c r="G1439" s="0" t="n">
        <v>34.27</v>
      </c>
      <c r="H1439" s="0" t="n">
        <v>113.29</v>
      </c>
      <c r="I1439" s="0" t="n">
        <v>25.7</v>
      </c>
      <c r="J1439" s="0" t="n">
        <v>84.97</v>
      </c>
      <c r="K1439" s="0" t="n">
        <v>280</v>
      </c>
      <c r="T1439" s="0" t="n">
        <v>3</v>
      </c>
      <c r="U1439" s="0" t="n">
        <v>2</v>
      </c>
      <c r="V1439" s="0" t="inlineStr">
        <is>
          <t>계단식</t>
        </is>
      </c>
      <c r="W1439" s="0" t="inlineStr">
        <is>
          <t>113C</t>
        </is>
      </c>
      <c r="X1439" s="0" t="n">
        <v>20</v>
      </c>
      <c r="Y1439" s="0" t="n">
        <v>20</v>
      </c>
      <c r="Z1439" s="0" t="inlineStr">
        <is>
          <t>https://new.land.naver.com/complexes/100475?tab=detail&amp;rf=Y</t>
        </is>
      </c>
      <c r="AA1439" s="0" t="inlineStr">
        <is>
          <t>인천시 서구 청라동 130-2</t>
        </is>
      </c>
      <c r="AB1439" s="0" t="inlineStr">
        <is>
          <t>인천시</t>
        </is>
      </c>
      <c r="AC1439" s="0" t="inlineStr">
        <is>
          <t>서구</t>
        </is>
      </c>
      <c r="AD1439" s="0" t="inlineStr">
        <is>
          <t>청라동</t>
        </is>
      </c>
      <c r="AG1439" s="0" t="inlineStr">
        <is>
          <t>인천시 서구 청라에메랄드로 156</t>
        </is>
      </c>
      <c r="AH1439" s="0" t="n">
        <v>0</v>
      </c>
      <c r="AI1439" s="0" t="n">
        <v>169</v>
      </c>
      <c r="AJ1439" s="0" t="n">
        <v>12</v>
      </c>
      <c r="AK1439" s="0" t="n">
        <v>932</v>
      </c>
      <c r="AL1439" s="0" t="n">
        <v>1.35</v>
      </c>
    </row>
    <row r="1440">
      <c r="A1440" s="0" t="inlineStr">
        <is>
          <t>[청라동]</t>
        </is>
      </c>
      <c r="B1440" s="0" t="n">
        <v>27084</v>
      </c>
      <c r="C1440" s="0" t="n">
        <v>1</v>
      </c>
      <c r="D1440" s="0" t="inlineStr">
        <is>
          <t>청라한양수자인</t>
        </is>
      </c>
      <c r="E1440" s="0" t="inlineStr">
        <is>
          <t>2011.12.</t>
        </is>
      </c>
      <c r="F1440" s="0" t="n">
        <v>566</v>
      </c>
      <c r="G1440" s="0" t="n">
        <v>39.06</v>
      </c>
      <c r="H1440" s="0" t="n">
        <v>129.13</v>
      </c>
      <c r="I1440" s="0" t="n">
        <v>31.02</v>
      </c>
      <c r="J1440" s="0" t="n">
        <v>102.55</v>
      </c>
      <c r="K1440" s="0" t="n">
        <v>138</v>
      </c>
      <c r="T1440" s="0" t="n">
        <v>3</v>
      </c>
      <c r="U1440" s="0" t="n">
        <v>2</v>
      </c>
      <c r="V1440" s="0" t="inlineStr">
        <is>
          <t>계단식</t>
        </is>
      </c>
      <c r="W1440" s="0" t="n">
        <v>129</v>
      </c>
      <c r="X1440" s="0" t="n">
        <v>30</v>
      </c>
      <c r="Y1440" s="0" t="n">
        <v>24</v>
      </c>
      <c r="Z1440" s="0" t="inlineStr">
        <is>
          <t>https://new.land.naver.com/complexes/27084?tab=detail&amp;rf=Y</t>
        </is>
      </c>
      <c r="AA1440" s="0" t="inlineStr">
        <is>
          <t>인천시 서구 청라동 102-2</t>
        </is>
      </c>
      <c r="AB1440" s="0" t="inlineStr">
        <is>
          <t>인천시</t>
        </is>
      </c>
      <c r="AC1440" s="0" t="inlineStr">
        <is>
          <t>서구</t>
        </is>
      </c>
      <c r="AD1440" s="0" t="inlineStr">
        <is>
          <t>청라동</t>
        </is>
      </c>
      <c r="AG1440" s="0" t="inlineStr">
        <is>
          <t>인천시 서구 비즈니스로 41</t>
        </is>
      </c>
      <c r="AH1440" s="0" t="n">
        <v>0</v>
      </c>
      <c r="AI1440" s="0" t="n">
        <v>219</v>
      </c>
      <c r="AJ1440" s="0" t="n">
        <v>17</v>
      </c>
      <c r="AK1440" s="0" t="n">
        <v>1082</v>
      </c>
      <c r="AL1440" s="0" t="n">
        <v>1.91</v>
      </c>
    </row>
    <row r="1441">
      <c r="A1441" s="0" t="inlineStr">
        <is>
          <t>[청라동]</t>
        </is>
      </c>
      <c r="B1441" s="0" t="n">
        <v>27084</v>
      </c>
      <c r="C1441" s="0" t="n">
        <v>2</v>
      </c>
      <c r="D1441" s="0" t="inlineStr">
        <is>
          <t>청라한양수자인</t>
        </is>
      </c>
      <c r="E1441" s="0" t="inlineStr">
        <is>
          <t>2011.12.</t>
        </is>
      </c>
      <c r="F1441" s="0" t="n">
        <v>566</v>
      </c>
      <c r="G1441" s="0" t="n">
        <v>45.49</v>
      </c>
      <c r="H1441" s="0" t="n">
        <v>150.4</v>
      </c>
      <c r="I1441" s="0" t="n">
        <v>36.36</v>
      </c>
      <c r="J1441" s="0" t="n">
        <v>120.2</v>
      </c>
      <c r="K1441" s="0" t="n">
        <v>192</v>
      </c>
      <c r="T1441" s="0" t="n">
        <v>4</v>
      </c>
      <c r="U1441" s="0" t="n">
        <v>2</v>
      </c>
      <c r="V1441" s="0" t="inlineStr">
        <is>
          <t>계단식</t>
        </is>
      </c>
      <c r="W1441" s="0" t="n">
        <v>150</v>
      </c>
      <c r="X1441" s="0" t="n">
        <v>30</v>
      </c>
      <c r="Y1441" s="0" t="n">
        <v>24</v>
      </c>
      <c r="Z1441" s="0" t="inlineStr">
        <is>
          <t>https://new.land.naver.com/complexes/27084?tab=detail&amp;rf=Y</t>
        </is>
      </c>
      <c r="AA1441" s="0" t="inlineStr">
        <is>
          <t>인천시 서구 청라동 102-2</t>
        </is>
      </c>
      <c r="AB1441" s="0" t="inlineStr">
        <is>
          <t>인천시</t>
        </is>
      </c>
      <c r="AC1441" s="0" t="inlineStr">
        <is>
          <t>서구</t>
        </is>
      </c>
      <c r="AD1441" s="0" t="inlineStr">
        <is>
          <t>청라동</t>
        </is>
      </c>
      <c r="AG1441" s="0" t="inlineStr">
        <is>
          <t>인천시 서구 비즈니스로 41</t>
        </is>
      </c>
      <c r="AH1441" s="0" t="n">
        <v>0</v>
      </c>
      <c r="AI1441" s="0" t="n">
        <v>219</v>
      </c>
      <c r="AJ1441" s="0" t="n">
        <v>17</v>
      </c>
      <c r="AK1441" s="0" t="n">
        <v>1082</v>
      </c>
      <c r="AL1441" s="0" t="n">
        <v>1.91</v>
      </c>
    </row>
    <row r="1442">
      <c r="A1442" s="0" t="inlineStr">
        <is>
          <t>[청라동]</t>
        </is>
      </c>
      <c r="B1442" s="0" t="n">
        <v>27084</v>
      </c>
      <c r="C1442" s="0" t="n">
        <v>3</v>
      </c>
      <c r="D1442" s="0" t="inlineStr">
        <is>
          <t>청라한양수자인</t>
        </is>
      </c>
      <c r="E1442" s="0" t="inlineStr">
        <is>
          <t>2011.12.</t>
        </is>
      </c>
      <c r="F1442" s="0" t="n">
        <v>566</v>
      </c>
      <c r="G1442" s="0" t="n">
        <v>46.38</v>
      </c>
      <c r="H1442" s="0" t="n">
        <v>153.33</v>
      </c>
      <c r="I1442" s="0" t="n">
        <v>36.73</v>
      </c>
      <c r="J1442" s="0" t="n">
        <v>121.44</v>
      </c>
      <c r="K1442" s="0" t="n">
        <v>108</v>
      </c>
      <c r="T1442" s="0" t="n">
        <v>4</v>
      </c>
      <c r="U1442" s="0" t="n">
        <v>2</v>
      </c>
      <c r="V1442" s="0" t="inlineStr">
        <is>
          <t>계단식</t>
        </is>
      </c>
      <c r="W1442" s="0" t="inlineStr">
        <is>
          <t>153A</t>
        </is>
      </c>
      <c r="X1442" s="0" t="n">
        <v>30</v>
      </c>
      <c r="Y1442" s="0" t="n">
        <v>24</v>
      </c>
      <c r="Z1442" s="0" t="inlineStr">
        <is>
          <t>https://new.land.naver.com/complexes/27084?tab=detail&amp;rf=Y</t>
        </is>
      </c>
      <c r="AA1442" s="0" t="inlineStr">
        <is>
          <t>인천시 서구 청라동 102-2</t>
        </is>
      </c>
      <c r="AB1442" s="0" t="inlineStr">
        <is>
          <t>인천시</t>
        </is>
      </c>
      <c r="AC1442" s="0" t="inlineStr">
        <is>
          <t>서구</t>
        </is>
      </c>
      <c r="AD1442" s="0" t="inlineStr">
        <is>
          <t>청라동</t>
        </is>
      </c>
      <c r="AG1442" s="0" t="inlineStr">
        <is>
          <t>인천시 서구 비즈니스로 41</t>
        </is>
      </c>
      <c r="AH1442" s="0" t="n">
        <v>0</v>
      </c>
      <c r="AI1442" s="0" t="n">
        <v>219</v>
      </c>
      <c r="AJ1442" s="0" t="n">
        <v>17</v>
      </c>
      <c r="AK1442" s="0" t="n">
        <v>1082</v>
      </c>
      <c r="AL1442" s="0" t="n">
        <v>1.91</v>
      </c>
    </row>
    <row r="1443">
      <c r="A1443" s="0" t="inlineStr">
        <is>
          <t>[청라동]</t>
        </is>
      </c>
      <c r="B1443" s="0" t="n">
        <v>27084</v>
      </c>
      <c r="C1443" s="0" t="n">
        <v>4</v>
      </c>
      <c r="D1443" s="0" t="inlineStr">
        <is>
          <t>청라한양수자인</t>
        </is>
      </c>
      <c r="E1443" s="0" t="inlineStr">
        <is>
          <t>2011.12.</t>
        </is>
      </c>
      <c r="F1443" s="0" t="n">
        <v>566</v>
      </c>
      <c r="G1443" s="0" t="n">
        <v>46.38</v>
      </c>
      <c r="H1443" s="0" t="n">
        <v>153.33</v>
      </c>
      <c r="I1443" s="0" t="n">
        <v>36.73</v>
      </c>
      <c r="J1443" s="0" t="n">
        <v>121.44</v>
      </c>
      <c r="K1443" s="0" t="n">
        <v>27</v>
      </c>
      <c r="T1443" s="0" t="n">
        <v>4</v>
      </c>
      <c r="U1443" s="0" t="n">
        <v>2</v>
      </c>
      <c r="V1443" s="0" t="inlineStr">
        <is>
          <t>계단식</t>
        </is>
      </c>
      <c r="W1443" s="0" t="inlineStr">
        <is>
          <t>153B</t>
        </is>
      </c>
      <c r="X1443" s="0" t="n">
        <v>30</v>
      </c>
      <c r="Y1443" s="0" t="n">
        <v>24</v>
      </c>
      <c r="Z1443" s="0" t="inlineStr">
        <is>
          <t>https://new.land.naver.com/complexes/27084?tab=detail&amp;rf=Y</t>
        </is>
      </c>
      <c r="AA1443" s="0" t="inlineStr">
        <is>
          <t>인천시 서구 청라동 102-2</t>
        </is>
      </c>
      <c r="AB1443" s="0" t="inlineStr">
        <is>
          <t>인천시</t>
        </is>
      </c>
      <c r="AC1443" s="0" t="inlineStr">
        <is>
          <t>서구</t>
        </is>
      </c>
      <c r="AD1443" s="0" t="inlineStr">
        <is>
          <t>청라동</t>
        </is>
      </c>
      <c r="AG1443" s="0" t="inlineStr">
        <is>
          <t>인천시 서구 비즈니스로 41</t>
        </is>
      </c>
      <c r="AH1443" s="0" t="n">
        <v>0</v>
      </c>
      <c r="AI1443" s="0" t="n">
        <v>219</v>
      </c>
      <c r="AJ1443" s="0" t="n">
        <v>17</v>
      </c>
      <c r="AK1443" s="0" t="n">
        <v>1082</v>
      </c>
      <c r="AL1443" s="0" t="n">
        <v>1.91</v>
      </c>
    </row>
    <row r="1444">
      <c r="A1444" s="0" t="inlineStr">
        <is>
          <t>[청라동]</t>
        </is>
      </c>
      <c r="B1444" s="0" t="n">
        <v>27084</v>
      </c>
      <c r="C1444" s="0" t="n">
        <v>5</v>
      </c>
      <c r="D1444" s="0" t="inlineStr">
        <is>
          <t>청라한양수자인</t>
        </is>
      </c>
      <c r="E1444" s="0" t="inlineStr">
        <is>
          <t>2011.12.</t>
        </is>
      </c>
      <c r="F1444" s="0" t="n">
        <v>566</v>
      </c>
      <c r="G1444" s="0" t="n">
        <v>53.14</v>
      </c>
      <c r="H1444" s="0" t="n">
        <v>175.69</v>
      </c>
      <c r="I1444" s="0" t="n">
        <v>43.23</v>
      </c>
      <c r="J1444" s="0" t="n">
        <v>142.92</v>
      </c>
      <c r="K1444" s="0" t="n">
        <v>96</v>
      </c>
      <c r="T1444" s="0" t="n">
        <v>4</v>
      </c>
      <c r="U1444" s="0" t="n">
        <v>2</v>
      </c>
      <c r="V1444" s="0" t="inlineStr">
        <is>
          <t>계단식</t>
        </is>
      </c>
      <c r="W1444" s="0" t="inlineStr">
        <is>
          <t>175A</t>
        </is>
      </c>
      <c r="X1444" s="0" t="n">
        <v>30</v>
      </c>
      <c r="Y1444" s="0" t="n">
        <v>24</v>
      </c>
      <c r="Z1444" s="0" t="inlineStr">
        <is>
          <t>https://new.land.naver.com/complexes/27084?tab=detail&amp;rf=Y</t>
        </is>
      </c>
      <c r="AA1444" s="0" t="inlineStr">
        <is>
          <t>인천시 서구 청라동 102-2</t>
        </is>
      </c>
      <c r="AB1444" s="0" t="inlineStr">
        <is>
          <t>인천시</t>
        </is>
      </c>
      <c r="AC1444" s="0" t="inlineStr">
        <is>
          <t>서구</t>
        </is>
      </c>
      <c r="AD1444" s="0" t="inlineStr">
        <is>
          <t>청라동</t>
        </is>
      </c>
      <c r="AG1444" s="0" t="inlineStr">
        <is>
          <t>인천시 서구 비즈니스로 41</t>
        </is>
      </c>
      <c r="AH1444" s="0" t="n">
        <v>0</v>
      </c>
      <c r="AI1444" s="0" t="n">
        <v>219</v>
      </c>
      <c r="AJ1444" s="0" t="n">
        <v>17</v>
      </c>
      <c r="AK1444" s="0" t="n">
        <v>1082</v>
      </c>
      <c r="AL1444" s="0" t="n">
        <v>1.91</v>
      </c>
    </row>
    <row r="1445">
      <c r="A1445" s="0" t="inlineStr">
        <is>
          <t>[청라동]</t>
        </is>
      </c>
      <c r="B1445" s="0" t="n">
        <v>27084</v>
      </c>
      <c r="C1445" s="0" t="n">
        <v>6</v>
      </c>
      <c r="D1445" s="0" t="inlineStr">
        <is>
          <t>청라한양수자인</t>
        </is>
      </c>
      <c r="E1445" s="0" t="inlineStr">
        <is>
          <t>2011.12.</t>
        </is>
      </c>
      <c r="F1445" s="0" t="n">
        <v>566</v>
      </c>
      <c r="G1445" s="0" t="n">
        <v>53.14</v>
      </c>
      <c r="H1445" s="0" t="n">
        <v>175.69</v>
      </c>
      <c r="I1445" s="0" t="n">
        <v>43.23</v>
      </c>
      <c r="J1445" s="0" t="n">
        <v>142.92</v>
      </c>
      <c r="K1445" s="0" t="n">
        <v>5</v>
      </c>
      <c r="T1445" s="0" t="n">
        <v>4</v>
      </c>
      <c r="U1445" s="0" t="n">
        <v>2</v>
      </c>
      <c r="V1445" s="0" t="inlineStr">
        <is>
          <t>계단식</t>
        </is>
      </c>
      <c r="W1445" s="0" t="inlineStr">
        <is>
          <t>175B</t>
        </is>
      </c>
      <c r="X1445" s="0" t="n">
        <v>30</v>
      </c>
      <c r="Y1445" s="0" t="n">
        <v>24</v>
      </c>
      <c r="Z1445" s="0" t="inlineStr">
        <is>
          <t>https://new.land.naver.com/complexes/27084?tab=detail&amp;rf=Y</t>
        </is>
      </c>
      <c r="AA1445" s="0" t="inlineStr">
        <is>
          <t>인천시 서구 청라동 102-2</t>
        </is>
      </c>
      <c r="AB1445" s="0" t="inlineStr">
        <is>
          <t>인천시</t>
        </is>
      </c>
      <c r="AC1445" s="0" t="inlineStr">
        <is>
          <t>서구</t>
        </is>
      </c>
      <c r="AD1445" s="0" t="inlineStr">
        <is>
          <t>청라동</t>
        </is>
      </c>
      <c r="AG1445" s="0" t="inlineStr">
        <is>
          <t>인천시 서구 비즈니스로 41</t>
        </is>
      </c>
      <c r="AH1445" s="0" t="n">
        <v>0</v>
      </c>
      <c r="AI1445" s="0" t="n">
        <v>219</v>
      </c>
      <c r="AJ1445" s="0" t="n">
        <v>17</v>
      </c>
      <c r="AK1445" s="0" t="n">
        <v>1082</v>
      </c>
      <c r="AL1445" s="0" t="n">
        <v>1.91</v>
      </c>
    </row>
    <row r="1446">
      <c r="A1446" s="0" t="inlineStr">
        <is>
          <t>[청라동]</t>
        </is>
      </c>
      <c r="B1446" s="0" t="n">
        <v>113524</v>
      </c>
      <c r="C1446" s="0" t="n">
        <v>1</v>
      </c>
      <c r="D1446" s="0" t="inlineStr">
        <is>
          <t>청라국제금융단지한양수자인레이크블루</t>
        </is>
      </c>
      <c r="E1446" s="0" t="inlineStr">
        <is>
          <t>2019.01.</t>
        </is>
      </c>
      <c r="F1446" s="0" t="n">
        <v>1534</v>
      </c>
      <c r="G1446" s="0" t="n">
        <v>26.65</v>
      </c>
      <c r="H1446" s="0" t="n">
        <v>88.11</v>
      </c>
      <c r="I1446" s="0" t="n">
        <v>18.07</v>
      </c>
      <c r="J1446" s="0" t="n">
        <v>59.75</v>
      </c>
      <c r="K1446" s="0" t="n">
        <v>91</v>
      </c>
      <c r="T1446" s="0" t="n">
        <v>3</v>
      </c>
      <c r="U1446" s="0" t="n">
        <v>2</v>
      </c>
      <c r="V1446" s="0" t="inlineStr">
        <is>
          <t>계단식</t>
        </is>
      </c>
      <c r="W1446" s="0" t="inlineStr">
        <is>
          <t>88A</t>
        </is>
      </c>
      <c r="X1446" s="0" t="n">
        <v>36</v>
      </c>
      <c r="Y1446" s="0" t="n">
        <v>21</v>
      </c>
      <c r="Z1446" s="0" t="inlineStr">
        <is>
          <t>https://new.land.naver.com/complexes/113524?tab=detail&amp;rf=Y</t>
        </is>
      </c>
      <c r="AA1446" s="0" t="inlineStr">
        <is>
          <t>인천시 서구 청라동 85-1</t>
        </is>
      </c>
      <c r="AB1446" s="0" t="inlineStr">
        <is>
          <t>인천시</t>
        </is>
      </c>
      <c r="AC1446" s="0" t="inlineStr">
        <is>
          <t>서구</t>
        </is>
      </c>
      <c r="AD1446" s="0" t="inlineStr">
        <is>
          <t>청라동</t>
        </is>
      </c>
      <c r="AG1446" s="0" t="inlineStr">
        <is>
          <t>인천시 서구 청라한내로 132</t>
        </is>
      </c>
      <c r="AH1446" s="0" t="n">
        <v>0</v>
      </c>
      <c r="AI1446" s="0" t="n">
        <v>225</v>
      </c>
      <c r="AJ1446" s="0" t="n">
        <v>15</v>
      </c>
      <c r="AK1446" s="0" t="n">
        <v>2008</v>
      </c>
      <c r="AL1446" s="0" t="n">
        <v>1.31</v>
      </c>
    </row>
    <row r="1447">
      <c r="A1447" s="0" t="inlineStr">
        <is>
          <t>[청라동]</t>
        </is>
      </c>
      <c r="B1447" s="0" t="n">
        <v>113524</v>
      </c>
      <c r="C1447" s="0" t="n">
        <v>2</v>
      </c>
      <c r="D1447" s="0" t="inlineStr">
        <is>
          <t>청라국제금융단지한양수자인레이크블루</t>
        </is>
      </c>
      <c r="E1447" s="0" t="inlineStr">
        <is>
          <t>2019.01.</t>
        </is>
      </c>
      <c r="F1447" s="0" t="n">
        <v>1534</v>
      </c>
      <c r="G1447" s="0" t="n">
        <v>26.67</v>
      </c>
      <c r="H1447" s="0" t="n">
        <v>88.19</v>
      </c>
      <c r="I1447" s="0" t="n">
        <v>18.14</v>
      </c>
      <c r="J1447" s="0" t="n">
        <v>59.98</v>
      </c>
      <c r="K1447" s="0" t="n">
        <v>60</v>
      </c>
      <c r="T1447" s="0" t="n">
        <v>3</v>
      </c>
      <c r="U1447" s="0" t="n">
        <v>2</v>
      </c>
      <c r="V1447" s="0" t="inlineStr">
        <is>
          <t>계단식</t>
        </is>
      </c>
      <c r="W1447" s="0" t="inlineStr">
        <is>
          <t>88B</t>
        </is>
      </c>
      <c r="X1447" s="0" t="n">
        <v>36</v>
      </c>
      <c r="Y1447" s="0" t="n">
        <v>21</v>
      </c>
      <c r="Z1447" s="0" t="inlineStr">
        <is>
          <t>https://new.land.naver.com/complexes/113524?tab=detail&amp;rf=Y</t>
        </is>
      </c>
      <c r="AA1447" s="0" t="inlineStr">
        <is>
          <t>인천시 서구 청라동 85-1</t>
        </is>
      </c>
      <c r="AB1447" s="0" t="inlineStr">
        <is>
          <t>인천시</t>
        </is>
      </c>
      <c r="AC1447" s="0" t="inlineStr">
        <is>
          <t>서구</t>
        </is>
      </c>
      <c r="AD1447" s="0" t="inlineStr">
        <is>
          <t>청라동</t>
        </is>
      </c>
      <c r="AG1447" s="0" t="inlineStr">
        <is>
          <t>인천시 서구 청라한내로 132</t>
        </is>
      </c>
      <c r="AH1447" s="0" t="n">
        <v>0</v>
      </c>
      <c r="AI1447" s="0" t="n">
        <v>225</v>
      </c>
      <c r="AJ1447" s="0" t="n">
        <v>15</v>
      </c>
      <c r="AK1447" s="0" t="n">
        <v>2008</v>
      </c>
      <c r="AL1447" s="0" t="n">
        <v>1.31</v>
      </c>
    </row>
    <row r="1448">
      <c r="A1448" s="0" t="inlineStr">
        <is>
          <t>[청라동]</t>
        </is>
      </c>
      <c r="B1448" s="0" t="n">
        <v>113524</v>
      </c>
      <c r="C1448" s="0" t="n">
        <v>3</v>
      </c>
      <c r="D1448" s="0" t="inlineStr">
        <is>
          <t>청라국제금융단지한양수자인레이크블루</t>
        </is>
      </c>
      <c r="E1448" s="0" t="inlineStr">
        <is>
          <t>2019.01.</t>
        </is>
      </c>
      <c r="F1448" s="0" t="n">
        <v>1534</v>
      </c>
      <c r="G1448" s="0" t="n">
        <v>34.98</v>
      </c>
      <c r="H1448" s="0" t="n">
        <v>115.64</v>
      </c>
      <c r="I1448" s="0" t="n">
        <v>25.52</v>
      </c>
      <c r="J1448" s="0" t="n">
        <v>84.39</v>
      </c>
      <c r="K1448" s="0" t="n">
        <v>370</v>
      </c>
      <c r="T1448" s="0" t="n">
        <v>3</v>
      </c>
      <c r="U1448" s="0" t="n">
        <v>2</v>
      </c>
      <c r="V1448" s="0" t="inlineStr">
        <is>
          <t>계단식</t>
        </is>
      </c>
      <c r="W1448" s="0" t="inlineStr">
        <is>
          <t>115A</t>
        </is>
      </c>
      <c r="X1448" s="0" t="n">
        <v>36</v>
      </c>
      <c r="Y1448" s="0" t="n">
        <v>21</v>
      </c>
      <c r="Z1448" s="0" t="inlineStr">
        <is>
          <t>https://new.land.naver.com/complexes/113524?tab=detail&amp;rf=Y</t>
        </is>
      </c>
      <c r="AA1448" s="0" t="inlineStr">
        <is>
          <t>인천시 서구 청라동 85-1</t>
        </is>
      </c>
      <c r="AB1448" s="0" t="inlineStr">
        <is>
          <t>인천시</t>
        </is>
      </c>
      <c r="AC1448" s="0" t="inlineStr">
        <is>
          <t>서구</t>
        </is>
      </c>
      <c r="AD1448" s="0" t="inlineStr">
        <is>
          <t>청라동</t>
        </is>
      </c>
      <c r="AG1448" s="0" t="inlineStr">
        <is>
          <t>인천시 서구 청라한내로 132</t>
        </is>
      </c>
      <c r="AH1448" s="0" t="n">
        <v>0</v>
      </c>
      <c r="AI1448" s="0" t="n">
        <v>225</v>
      </c>
      <c r="AJ1448" s="0" t="n">
        <v>15</v>
      </c>
      <c r="AK1448" s="0" t="n">
        <v>2008</v>
      </c>
      <c r="AL1448" s="0" t="n">
        <v>1.31</v>
      </c>
    </row>
    <row r="1449">
      <c r="A1449" s="0" t="inlineStr">
        <is>
          <t>[청라동]</t>
        </is>
      </c>
      <c r="B1449" s="0" t="n">
        <v>113524</v>
      </c>
      <c r="C1449" s="0" t="n">
        <v>4</v>
      </c>
      <c r="D1449" s="0" t="inlineStr">
        <is>
          <t>청라국제금융단지한양수자인레이크블루</t>
        </is>
      </c>
      <c r="E1449" s="0" t="inlineStr">
        <is>
          <t>2019.01.</t>
        </is>
      </c>
      <c r="F1449" s="0" t="n">
        <v>1534</v>
      </c>
      <c r="G1449" s="0" t="n">
        <v>34.81</v>
      </c>
      <c r="H1449" s="0" t="n">
        <v>115.08</v>
      </c>
      <c r="I1449" s="0" t="n">
        <v>25.51</v>
      </c>
      <c r="J1449" s="0" t="n">
        <v>84.34</v>
      </c>
      <c r="K1449" s="0" t="n">
        <v>274</v>
      </c>
      <c r="T1449" s="0" t="n">
        <v>3</v>
      </c>
      <c r="U1449" s="0" t="n">
        <v>2</v>
      </c>
      <c r="V1449" s="0" t="inlineStr">
        <is>
          <t>계단식</t>
        </is>
      </c>
      <c r="W1449" s="0" t="inlineStr">
        <is>
          <t>115D</t>
        </is>
      </c>
      <c r="X1449" s="0" t="n">
        <v>36</v>
      </c>
      <c r="Y1449" s="0" t="n">
        <v>21</v>
      </c>
      <c r="Z1449" s="0" t="inlineStr">
        <is>
          <t>https://new.land.naver.com/complexes/113524?tab=detail&amp;rf=Y</t>
        </is>
      </c>
      <c r="AA1449" s="0" t="inlineStr">
        <is>
          <t>인천시 서구 청라동 85-1</t>
        </is>
      </c>
      <c r="AB1449" s="0" t="inlineStr">
        <is>
          <t>인천시</t>
        </is>
      </c>
      <c r="AC1449" s="0" t="inlineStr">
        <is>
          <t>서구</t>
        </is>
      </c>
      <c r="AD1449" s="0" t="inlineStr">
        <is>
          <t>청라동</t>
        </is>
      </c>
      <c r="AG1449" s="0" t="inlineStr">
        <is>
          <t>인천시 서구 청라한내로 132</t>
        </is>
      </c>
      <c r="AH1449" s="0" t="n">
        <v>0</v>
      </c>
      <c r="AI1449" s="0" t="n">
        <v>225</v>
      </c>
      <c r="AJ1449" s="0" t="n">
        <v>15</v>
      </c>
      <c r="AK1449" s="0" t="n">
        <v>2008</v>
      </c>
      <c r="AL1449" s="0" t="n">
        <v>1.31</v>
      </c>
    </row>
    <row r="1450">
      <c r="A1450" s="0" t="inlineStr">
        <is>
          <t>[청라동]</t>
        </is>
      </c>
      <c r="B1450" s="0" t="n">
        <v>113524</v>
      </c>
      <c r="C1450" s="0" t="n">
        <v>5</v>
      </c>
      <c r="D1450" s="0" t="inlineStr">
        <is>
          <t>청라국제금융단지한양수자인레이크블루</t>
        </is>
      </c>
      <c r="E1450" s="0" t="inlineStr">
        <is>
          <t>2019.01.</t>
        </is>
      </c>
      <c r="F1450" s="0" t="n">
        <v>1534</v>
      </c>
      <c r="G1450" s="0" t="n">
        <v>34.9</v>
      </c>
      <c r="H1450" s="0" t="n">
        <v>115.39</v>
      </c>
      <c r="I1450" s="0" t="n">
        <v>25.53</v>
      </c>
      <c r="J1450" s="0" t="n">
        <v>84.42</v>
      </c>
      <c r="K1450" s="0" t="n">
        <v>273</v>
      </c>
      <c r="T1450" s="0" t="n">
        <v>3</v>
      </c>
      <c r="U1450" s="0" t="n">
        <v>2</v>
      </c>
      <c r="V1450" s="0" t="inlineStr">
        <is>
          <t>계단식</t>
        </is>
      </c>
      <c r="W1450" s="0" t="inlineStr">
        <is>
          <t>115C</t>
        </is>
      </c>
      <c r="X1450" s="0" t="n">
        <v>36</v>
      </c>
      <c r="Y1450" s="0" t="n">
        <v>21</v>
      </c>
      <c r="Z1450" s="0" t="inlineStr">
        <is>
          <t>https://new.land.naver.com/complexes/113524?tab=detail&amp;rf=Y</t>
        </is>
      </c>
      <c r="AA1450" s="0" t="inlineStr">
        <is>
          <t>인천시 서구 청라동 85-1</t>
        </is>
      </c>
      <c r="AB1450" s="0" t="inlineStr">
        <is>
          <t>인천시</t>
        </is>
      </c>
      <c r="AC1450" s="0" t="inlineStr">
        <is>
          <t>서구</t>
        </is>
      </c>
      <c r="AD1450" s="0" t="inlineStr">
        <is>
          <t>청라동</t>
        </is>
      </c>
      <c r="AG1450" s="0" t="inlineStr">
        <is>
          <t>인천시 서구 청라한내로 132</t>
        </is>
      </c>
      <c r="AH1450" s="0" t="n">
        <v>0</v>
      </c>
      <c r="AI1450" s="0" t="n">
        <v>225</v>
      </c>
      <c r="AJ1450" s="0" t="n">
        <v>15</v>
      </c>
      <c r="AK1450" s="0" t="n">
        <v>2008</v>
      </c>
      <c r="AL1450" s="0" t="n">
        <v>1.31</v>
      </c>
    </row>
    <row r="1451">
      <c r="A1451" s="0" t="inlineStr">
        <is>
          <t>[청라동]</t>
        </is>
      </c>
      <c r="B1451" s="0" t="n">
        <v>113524</v>
      </c>
      <c r="C1451" s="0" t="n">
        <v>6</v>
      </c>
      <c r="D1451" s="0" t="inlineStr">
        <is>
          <t>청라국제금융단지한양수자인레이크블루</t>
        </is>
      </c>
      <c r="E1451" s="0" t="inlineStr">
        <is>
          <t>2019.01.</t>
        </is>
      </c>
      <c r="F1451" s="0" t="n">
        <v>1534</v>
      </c>
      <c r="G1451" s="0" t="n">
        <v>34.96</v>
      </c>
      <c r="H1451" s="0" t="n">
        <v>115.6</v>
      </c>
      <c r="I1451" s="0" t="n">
        <v>25.6</v>
      </c>
      <c r="J1451" s="0" t="n">
        <v>84.64</v>
      </c>
      <c r="K1451" s="0" t="n">
        <v>255</v>
      </c>
      <c r="T1451" s="0" t="n">
        <v>3</v>
      </c>
      <c r="U1451" s="0" t="n">
        <v>2</v>
      </c>
      <c r="V1451" s="0" t="inlineStr">
        <is>
          <t>계단식</t>
        </is>
      </c>
      <c r="W1451" s="0" t="inlineStr">
        <is>
          <t>115E</t>
        </is>
      </c>
      <c r="X1451" s="0" t="n">
        <v>36</v>
      </c>
      <c r="Y1451" s="0" t="n">
        <v>21</v>
      </c>
      <c r="Z1451" s="0" t="inlineStr">
        <is>
          <t>https://new.land.naver.com/complexes/113524?tab=detail&amp;rf=Y</t>
        </is>
      </c>
      <c r="AA1451" s="0" t="inlineStr">
        <is>
          <t>인천시 서구 청라동 85-1</t>
        </is>
      </c>
      <c r="AB1451" s="0" t="inlineStr">
        <is>
          <t>인천시</t>
        </is>
      </c>
      <c r="AC1451" s="0" t="inlineStr">
        <is>
          <t>서구</t>
        </is>
      </c>
      <c r="AD1451" s="0" t="inlineStr">
        <is>
          <t>청라동</t>
        </is>
      </c>
      <c r="AG1451" s="0" t="inlineStr">
        <is>
          <t>인천시 서구 청라한내로 132</t>
        </is>
      </c>
      <c r="AH1451" s="0" t="n">
        <v>0</v>
      </c>
      <c r="AI1451" s="0" t="n">
        <v>225</v>
      </c>
      <c r="AJ1451" s="0" t="n">
        <v>15</v>
      </c>
      <c r="AK1451" s="0" t="n">
        <v>2008</v>
      </c>
      <c r="AL1451" s="0" t="n">
        <v>1.31</v>
      </c>
    </row>
    <row r="1452">
      <c r="A1452" s="0" t="inlineStr">
        <is>
          <t>[청라동]</t>
        </is>
      </c>
      <c r="B1452" s="0" t="n">
        <v>113524</v>
      </c>
      <c r="C1452" s="0" t="n">
        <v>7</v>
      </c>
      <c r="D1452" s="0" t="inlineStr">
        <is>
          <t>청라국제금융단지한양수자인레이크블루</t>
        </is>
      </c>
      <c r="E1452" s="0" t="inlineStr">
        <is>
          <t>2019.01.</t>
        </is>
      </c>
      <c r="F1452" s="0" t="n">
        <v>1534</v>
      </c>
      <c r="G1452" s="0" t="n">
        <v>34.97</v>
      </c>
      <c r="H1452" s="0" t="n">
        <v>115.62</v>
      </c>
      <c r="I1452" s="0" t="n">
        <v>25.55</v>
      </c>
      <c r="J1452" s="0" t="n">
        <v>84.48999999999999</v>
      </c>
      <c r="K1452" s="0" t="n">
        <v>207</v>
      </c>
      <c r="T1452" s="0" t="n">
        <v>3</v>
      </c>
      <c r="U1452" s="0" t="n">
        <v>2</v>
      </c>
      <c r="V1452" s="0" t="inlineStr">
        <is>
          <t>계단식</t>
        </is>
      </c>
      <c r="W1452" s="0" t="inlineStr">
        <is>
          <t>115B</t>
        </is>
      </c>
      <c r="X1452" s="0" t="n">
        <v>36</v>
      </c>
      <c r="Y1452" s="0" t="n">
        <v>21</v>
      </c>
      <c r="Z1452" s="0" t="inlineStr">
        <is>
          <t>https://new.land.naver.com/complexes/113524?tab=detail&amp;rf=Y</t>
        </is>
      </c>
      <c r="AA1452" s="0" t="inlineStr">
        <is>
          <t>인천시 서구 청라동 85-1</t>
        </is>
      </c>
      <c r="AB1452" s="0" t="inlineStr">
        <is>
          <t>인천시</t>
        </is>
      </c>
      <c r="AC1452" s="0" t="inlineStr">
        <is>
          <t>서구</t>
        </is>
      </c>
      <c r="AD1452" s="0" t="inlineStr">
        <is>
          <t>청라동</t>
        </is>
      </c>
      <c r="AG1452" s="0" t="inlineStr">
        <is>
          <t>인천시 서구 청라한내로 132</t>
        </is>
      </c>
      <c r="AH1452" s="0" t="n">
        <v>0</v>
      </c>
      <c r="AI1452" s="0" t="n">
        <v>225</v>
      </c>
      <c r="AJ1452" s="0" t="n">
        <v>15</v>
      </c>
      <c r="AK1452" s="0" t="n">
        <v>2008</v>
      </c>
      <c r="AL1452" s="0" t="n">
        <v>1.31</v>
      </c>
    </row>
    <row r="1453">
      <c r="A1453" s="0" t="inlineStr">
        <is>
          <t>[청라동]</t>
        </is>
      </c>
      <c r="B1453" s="0" t="n">
        <v>113524</v>
      </c>
      <c r="C1453" s="0" t="n">
        <v>8</v>
      </c>
      <c r="D1453" s="0" t="inlineStr">
        <is>
          <t>청라국제금융단지한양수자인레이크블루</t>
        </is>
      </c>
      <c r="E1453" s="0" t="inlineStr">
        <is>
          <t>2019.01.</t>
        </is>
      </c>
      <c r="F1453" s="0" t="n">
        <v>1534</v>
      </c>
      <c r="G1453" s="0" t="n">
        <v>51.89</v>
      </c>
      <c r="H1453" s="0" t="n">
        <v>171.56</v>
      </c>
      <c r="I1453" s="0" t="n">
        <v>37.64</v>
      </c>
      <c r="J1453" s="0" t="n">
        <v>124.45</v>
      </c>
      <c r="K1453" s="0" t="n">
        <v>4</v>
      </c>
      <c r="T1453" s="0" t="n">
        <v>3</v>
      </c>
      <c r="U1453" s="0" t="n">
        <v>2</v>
      </c>
      <c r="V1453" s="0" t="inlineStr">
        <is>
          <t>계단식</t>
        </is>
      </c>
      <c r="W1453" s="0" t="n">
        <v>171</v>
      </c>
      <c r="X1453" s="0" t="n">
        <v>36</v>
      </c>
      <c r="Y1453" s="0" t="n">
        <v>21</v>
      </c>
      <c r="Z1453" s="0" t="inlineStr">
        <is>
          <t>https://new.land.naver.com/complexes/113524?tab=detail&amp;rf=Y</t>
        </is>
      </c>
      <c r="AA1453" s="0" t="inlineStr">
        <is>
          <t>인천시 서구 청라동 85-1</t>
        </is>
      </c>
      <c r="AB1453" s="0" t="inlineStr">
        <is>
          <t>인천시</t>
        </is>
      </c>
      <c r="AC1453" s="0" t="inlineStr">
        <is>
          <t>서구</t>
        </is>
      </c>
      <c r="AD1453" s="0" t="inlineStr">
        <is>
          <t>청라동</t>
        </is>
      </c>
      <c r="AG1453" s="0" t="inlineStr">
        <is>
          <t>인천시 서구 청라한내로 132</t>
        </is>
      </c>
      <c r="AH1453" s="0" t="n">
        <v>0</v>
      </c>
      <c r="AI1453" s="0" t="n">
        <v>225</v>
      </c>
      <c r="AJ1453" s="0" t="n">
        <v>15</v>
      </c>
      <c r="AK1453" s="0" t="n">
        <v>2008</v>
      </c>
      <c r="AL1453" s="0" t="n">
        <v>1.31</v>
      </c>
    </row>
    <row r="1454">
      <c r="A1454" s="0" t="inlineStr">
        <is>
          <t>[청라동]</t>
        </is>
      </c>
      <c r="B1454" s="0" t="n">
        <v>27819</v>
      </c>
      <c r="C1454" s="0" t="n">
        <v>1</v>
      </c>
      <c r="D1454" s="0" t="inlineStr">
        <is>
          <t>동양엔파트4단지</t>
        </is>
      </c>
      <c r="E1454" s="0" t="inlineStr">
        <is>
          <t>2011.08.</t>
        </is>
      </c>
      <c r="F1454" s="0" t="n">
        <v>256</v>
      </c>
      <c r="G1454" s="0" t="n">
        <v>44.1</v>
      </c>
      <c r="H1454" s="0" t="n">
        <v>145.81</v>
      </c>
      <c r="I1454" s="0" t="n">
        <v>35.67</v>
      </c>
      <c r="J1454" s="0" t="n">
        <v>117.94</v>
      </c>
      <c r="K1454" s="0" t="n">
        <v>15</v>
      </c>
      <c r="T1454" s="0" t="n">
        <v>4</v>
      </c>
      <c r="U1454" s="0" t="n">
        <v>2</v>
      </c>
      <c r="V1454" s="0" t="inlineStr">
        <is>
          <t>계단식</t>
        </is>
      </c>
      <c r="W1454" s="0" t="inlineStr">
        <is>
          <t>145A</t>
        </is>
      </c>
      <c r="X1454" s="0" t="n">
        <v>15</v>
      </c>
      <c r="Y1454" s="0" t="n">
        <v>13</v>
      </c>
      <c r="Z1454" s="0" t="inlineStr">
        <is>
          <t>https://new.land.naver.com/complexes/27819?tab=detail&amp;rf=Y</t>
        </is>
      </c>
      <c r="AA1454" s="0" t="inlineStr">
        <is>
          <t>인천시 서구 청라동 155-12</t>
        </is>
      </c>
      <c r="AB1454" s="0" t="inlineStr">
        <is>
          <t>인천시</t>
        </is>
      </c>
      <c r="AC1454" s="0" t="inlineStr">
        <is>
          <t>서구</t>
        </is>
      </c>
      <c r="AD1454" s="0" t="inlineStr">
        <is>
          <t>청라동</t>
        </is>
      </c>
      <c r="AG1454" s="0" t="inlineStr">
        <is>
          <t>인천시 서구 청라커낼로 249</t>
        </is>
      </c>
      <c r="AH1454" s="0" t="n">
        <v>0</v>
      </c>
      <c r="AI1454" s="0" t="n">
        <v>149</v>
      </c>
      <c r="AJ1454" s="0" t="n">
        <v>15</v>
      </c>
      <c r="AK1454" s="0" t="n">
        <v>457</v>
      </c>
      <c r="AL1454" s="0" t="n">
        <v>1.79</v>
      </c>
    </row>
    <row r="1455">
      <c r="A1455" s="0" t="inlineStr">
        <is>
          <t>[청라동]</t>
        </is>
      </c>
      <c r="B1455" s="0" t="n">
        <v>27819</v>
      </c>
      <c r="C1455" s="0" t="n">
        <v>2</v>
      </c>
      <c r="D1455" s="0" t="inlineStr">
        <is>
          <t>동양엔파트4단지</t>
        </is>
      </c>
      <c r="E1455" s="0" t="inlineStr">
        <is>
          <t>2011.08.</t>
        </is>
      </c>
      <c r="F1455" s="0" t="n">
        <v>256</v>
      </c>
      <c r="G1455" s="0" t="n">
        <v>44.06</v>
      </c>
      <c r="H1455" s="0" t="n">
        <v>145.66</v>
      </c>
      <c r="I1455" s="0" t="n">
        <v>35.61</v>
      </c>
      <c r="J1455" s="0" t="n">
        <v>117.75</v>
      </c>
      <c r="K1455" s="0" t="n">
        <v>14</v>
      </c>
      <c r="T1455" s="0" t="n">
        <v>4</v>
      </c>
      <c r="U1455" s="0" t="n">
        <v>2</v>
      </c>
      <c r="V1455" s="0" t="inlineStr">
        <is>
          <t>계단식</t>
        </is>
      </c>
      <c r="W1455" s="0" t="inlineStr">
        <is>
          <t>145B</t>
        </is>
      </c>
      <c r="X1455" s="0" t="n">
        <v>15</v>
      </c>
      <c r="Y1455" s="0" t="n">
        <v>13</v>
      </c>
      <c r="Z1455" s="0" t="inlineStr">
        <is>
          <t>https://new.land.naver.com/complexes/27819?tab=detail&amp;rf=Y</t>
        </is>
      </c>
      <c r="AA1455" s="0" t="inlineStr">
        <is>
          <t>인천시 서구 청라동 155-12</t>
        </is>
      </c>
      <c r="AB1455" s="0" t="inlineStr">
        <is>
          <t>인천시</t>
        </is>
      </c>
      <c r="AC1455" s="0" t="inlineStr">
        <is>
          <t>서구</t>
        </is>
      </c>
      <c r="AD1455" s="0" t="inlineStr">
        <is>
          <t>청라동</t>
        </is>
      </c>
      <c r="AG1455" s="0" t="inlineStr">
        <is>
          <t>인천시 서구 청라커낼로 249</t>
        </is>
      </c>
      <c r="AH1455" s="0" t="n">
        <v>0</v>
      </c>
      <c r="AI1455" s="0" t="n">
        <v>149</v>
      </c>
      <c r="AJ1455" s="0" t="n">
        <v>15</v>
      </c>
      <c r="AK1455" s="0" t="n">
        <v>457</v>
      </c>
      <c r="AL1455" s="0" t="n">
        <v>1.79</v>
      </c>
    </row>
    <row r="1456">
      <c r="A1456" s="0" t="inlineStr">
        <is>
          <t>[청라동]</t>
        </is>
      </c>
      <c r="B1456" s="0" t="n">
        <v>27819</v>
      </c>
      <c r="C1456" s="0" t="n">
        <v>3</v>
      </c>
      <c r="D1456" s="0" t="inlineStr">
        <is>
          <t>동양엔파트4단지</t>
        </is>
      </c>
      <c r="E1456" s="0" t="inlineStr">
        <is>
          <t>2011.08.</t>
        </is>
      </c>
      <c r="F1456" s="0" t="n">
        <v>256</v>
      </c>
      <c r="G1456" s="0" t="n">
        <v>44.19</v>
      </c>
      <c r="H1456" s="0" t="n">
        <v>146.1</v>
      </c>
      <c r="I1456" s="0" t="n">
        <v>35.67</v>
      </c>
      <c r="J1456" s="0" t="n">
        <v>117.95</v>
      </c>
      <c r="K1456" s="0" t="n">
        <v>60</v>
      </c>
      <c r="T1456" s="0" t="n">
        <v>4</v>
      </c>
      <c r="U1456" s="0" t="n">
        <v>2</v>
      </c>
      <c r="V1456" s="0" t="inlineStr">
        <is>
          <t>계단식</t>
        </is>
      </c>
      <c r="W1456" s="0" t="inlineStr">
        <is>
          <t>146A2</t>
        </is>
      </c>
      <c r="X1456" s="0" t="n">
        <v>15</v>
      </c>
      <c r="Y1456" s="0" t="n">
        <v>13</v>
      </c>
      <c r="Z1456" s="0" t="inlineStr">
        <is>
          <t>https://new.land.naver.com/complexes/27819?tab=detail&amp;rf=Y</t>
        </is>
      </c>
      <c r="AA1456" s="0" t="inlineStr">
        <is>
          <t>인천시 서구 청라동 155-12</t>
        </is>
      </c>
      <c r="AB1456" s="0" t="inlineStr">
        <is>
          <t>인천시</t>
        </is>
      </c>
      <c r="AC1456" s="0" t="inlineStr">
        <is>
          <t>서구</t>
        </is>
      </c>
      <c r="AD1456" s="0" t="inlineStr">
        <is>
          <t>청라동</t>
        </is>
      </c>
      <c r="AG1456" s="0" t="inlineStr">
        <is>
          <t>인천시 서구 청라커낼로 249</t>
        </is>
      </c>
      <c r="AH1456" s="0" t="n">
        <v>0</v>
      </c>
      <c r="AI1456" s="0" t="n">
        <v>149</v>
      </c>
      <c r="AJ1456" s="0" t="n">
        <v>15</v>
      </c>
      <c r="AK1456" s="0" t="n">
        <v>457</v>
      </c>
      <c r="AL1456" s="0" t="n">
        <v>1.79</v>
      </c>
    </row>
    <row r="1457">
      <c r="A1457" s="0" t="inlineStr">
        <is>
          <t>[청라동]</t>
        </is>
      </c>
      <c r="B1457" s="0" t="n">
        <v>27819</v>
      </c>
      <c r="C1457" s="0" t="n">
        <v>4</v>
      </c>
      <c r="D1457" s="0" t="inlineStr">
        <is>
          <t>동양엔파트4단지</t>
        </is>
      </c>
      <c r="E1457" s="0" t="inlineStr">
        <is>
          <t>2011.08.</t>
        </is>
      </c>
      <c r="F1457" s="0" t="n">
        <v>256</v>
      </c>
      <c r="G1457" s="0" t="n">
        <v>44.65</v>
      </c>
      <c r="H1457" s="0" t="n">
        <v>147.62</v>
      </c>
      <c r="I1457" s="0" t="n">
        <v>35.66</v>
      </c>
      <c r="J1457" s="0" t="n">
        <v>117.9</v>
      </c>
      <c r="K1457" s="0" t="n">
        <v>110</v>
      </c>
      <c r="T1457" s="0" t="n">
        <v>4</v>
      </c>
      <c r="U1457" s="0" t="n">
        <v>2</v>
      </c>
      <c r="V1457" s="0" t="inlineStr">
        <is>
          <t>계단식</t>
        </is>
      </c>
      <c r="W1457" s="0" t="inlineStr">
        <is>
          <t>147D</t>
        </is>
      </c>
      <c r="X1457" s="0" t="n">
        <v>15</v>
      </c>
      <c r="Y1457" s="0" t="n">
        <v>13</v>
      </c>
      <c r="Z1457" s="0" t="inlineStr">
        <is>
          <t>https://new.land.naver.com/complexes/27819?tab=detail&amp;rf=Y</t>
        </is>
      </c>
      <c r="AA1457" s="0" t="inlineStr">
        <is>
          <t>인천시 서구 청라동 155-12</t>
        </is>
      </c>
      <c r="AB1457" s="0" t="inlineStr">
        <is>
          <t>인천시</t>
        </is>
      </c>
      <c r="AC1457" s="0" t="inlineStr">
        <is>
          <t>서구</t>
        </is>
      </c>
      <c r="AD1457" s="0" t="inlineStr">
        <is>
          <t>청라동</t>
        </is>
      </c>
      <c r="AG1457" s="0" t="inlineStr">
        <is>
          <t>인천시 서구 청라커낼로 249</t>
        </is>
      </c>
      <c r="AH1457" s="0" t="n">
        <v>0</v>
      </c>
      <c r="AI1457" s="0" t="n">
        <v>149</v>
      </c>
      <c r="AJ1457" s="0" t="n">
        <v>15</v>
      </c>
      <c r="AK1457" s="0" t="n">
        <v>457</v>
      </c>
      <c r="AL1457" s="0" t="n">
        <v>1.79</v>
      </c>
    </row>
    <row r="1458">
      <c r="A1458" s="0" t="inlineStr">
        <is>
          <t>[청라동]</t>
        </is>
      </c>
      <c r="B1458" s="0" t="n">
        <v>27819</v>
      </c>
      <c r="C1458" s="0" t="n">
        <v>5</v>
      </c>
      <c r="D1458" s="0" t="inlineStr">
        <is>
          <t>동양엔파트4단지</t>
        </is>
      </c>
      <c r="E1458" s="0" t="inlineStr">
        <is>
          <t>2011.08.</t>
        </is>
      </c>
      <c r="F1458" s="0" t="n">
        <v>256</v>
      </c>
      <c r="G1458" s="0" t="n">
        <v>44.54</v>
      </c>
      <c r="H1458" s="0" t="n">
        <v>147.24</v>
      </c>
      <c r="I1458" s="0" t="n">
        <v>35.74</v>
      </c>
      <c r="J1458" s="0" t="n">
        <v>118.16</v>
      </c>
      <c r="K1458" s="0" t="n">
        <v>28</v>
      </c>
      <c r="T1458" s="0" t="n">
        <v>4</v>
      </c>
      <c r="U1458" s="0" t="n">
        <v>2</v>
      </c>
      <c r="V1458" s="0" t="inlineStr">
        <is>
          <t>계단식</t>
        </is>
      </c>
      <c r="W1458" s="0" t="inlineStr">
        <is>
          <t>147C1</t>
        </is>
      </c>
      <c r="X1458" s="0" t="n">
        <v>15</v>
      </c>
      <c r="Y1458" s="0" t="n">
        <v>13</v>
      </c>
      <c r="Z1458" s="0" t="inlineStr">
        <is>
          <t>https://new.land.naver.com/complexes/27819?tab=detail&amp;rf=Y</t>
        </is>
      </c>
      <c r="AA1458" s="0" t="inlineStr">
        <is>
          <t>인천시 서구 청라동 155-12</t>
        </is>
      </c>
      <c r="AB1458" s="0" t="inlineStr">
        <is>
          <t>인천시</t>
        </is>
      </c>
      <c r="AC1458" s="0" t="inlineStr">
        <is>
          <t>서구</t>
        </is>
      </c>
      <c r="AD1458" s="0" t="inlineStr">
        <is>
          <t>청라동</t>
        </is>
      </c>
      <c r="AG1458" s="0" t="inlineStr">
        <is>
          <t>인천시 서구 청라커낼로 249</t>
        </is>
      </c>
      <c r="AH1458" s="0" t="n">
        <v>0</v>
      </c>
      <c r="AI1458" s="0" t="n">
        <v>149</v>
      </c>
      <c r="AJ1458" s="0" t="n">
        <v>15</v>
      </c>
      <c r="AK1458" s="0" t="n">
        <v>457</v>
      </c>
      <c r="AL1458" s="0" t="n">
        <v>1.79</v>
      </c>
    </row>
    <row r="1459">
      <c r="A1459" s="0" t="inlineStr">
        <is>
          <t>[청라동]</t>
        </is>
      </c>
      <c r="B1459" s="0" t="n">
        <v>27819</v>
      </c>
      <c r="C1459" s="0" t="n">
        <v>6</v>
      </c>
      <c r="D1459" s="0" t="inlineStr">
        <is>
          <t>동양엔파트4단지</t>
        </is>
      </c>
      <c r="E1459" s="0" t="inlineStr">
        <is>
          <t>2011.08.</t>
        </is>
      </c>
      <c r="F1459" s="0" t="n">
        <v>256</v>
      </c>
      <c r="G1459" s="0" t="n">
        <v>44.52</v>
      </c>
      <c r="H1459" s="0" t="n">
        <v>147.18</v>
      </c>
      <c r="I1459" s="0" t="n">
        <v>35.67</v>
      </c>
      <c r="J1459" s="0" t="n">
        <v>117.94</v>
      </c>
      <c r="K1459" s="0" t="n">
        <v>15</v>
      </c>
      <c r="T1459" s="0" t="n">
        <v>4</v>
      </c>
      <c r="U1459" s="0" t="n">
        <v>2</v>
      </c>
      <c r="V1459" s="0" t="inlineStr">
        <is>
          <t>계단식</t>
        </is>
      </c>
      <c r="W1459" s="0" t="inlineStr">
        <is>
          <t>147A1</t>
        </is>
      </c>
      <c r="X1459" s="0" t="n">
        <v>15</v>
      </c>
      <c r="Y1459" s="0" t="n">
        <v>13</v>
      </c>
      <c r="Z1459" s="0" t="inlineStr">
        <is>
          <t>https://new.land.naver.com/complexes/27819?tab=detail&amp;rf=Y</t>
        </is>
      </c>
      <c r="AA1459" s="0" t="inlineStr">
        <is>
          <t>인천시 서구 청라동 155-12</t>
        </is>
      </c>
      <c r="AB1459" s="0" t="inlineStr">
        <is>
          <t>인천시</t>
        </is>
      </c>
      <c r="AC1459" s="0" t="inlineStr">
        <is>
          <t>서구</t>
        </is>
      </c>
      <c r="AD1459" s="0" t="inlineStr">
        <is>
          <t>청라동</t>
        </is>
      </c>
      <c r="AG1459" s="0" t="inlineStr">
        <is>
          <t>인천시 서구 청라커낼로 249</t>
        </is>
      </c>
      <c r="AH1459" s="0" t="n">
        <v>0</v>
      </c>
      <c r="AI1459" s="0" t="n">
        <v>149</v>
      </c>
      <c r="AJ1459" s="0" t="n">
        <v>15</v>
      </c>
      <c r="AK1459" s="0" t="n">
        <v>457</v>
      </c>
      <c r="AL1459" s="0" t="n">
        <v>1.79</v>
      </c>
    </row>
    <row r="1460">
      <c r="A1460" s="0" t="inlineStr">
        <is>
          <t>[청라동]</t>
        </is>
      </c>
      <c r="B1460" s="0" t="n">
        <v>27819</v>
      </c>
      <c r="C1460" s="0" t="n">
        <v>7</v>
      </c>
      <c r="D1460" s="0" t="inlineStr">
        <is>
          <t>동양엔파트4단지</t>
        </is>
      </c>
      <c r="E1460" s="0" t="inlineStr">
        <is>
          <t>2011.08.</t>
        </is>
      </c>
      <c r="F1460" s="0" t="n">
        <v>256</v>
      </c>
      <c r="G1460" s="0" t="n">
        <v>44.84</v>
      </c>
      <c r="H1460" s="0" t="n">
        <v>148.24</v>
      </c>
      <c r="I1460" s="0" t="n">
        <v>35.65</v>
      </c>
      <c r="J1460" s="0" t="n">
        <v>117.86</v>
      </c>
      <c r="K1460" s="0" t="n">
        <v>14</v>
      </c>
      <c r="T1460" s="0" t="n">
        <v>4</v>
      </c>
      <c r="U1460" s="0" t="n">
        <v>2</v>
      </c>
      <c r="V1460" s="0" t="inlineStr">
        <is>
          <t>계단식</t>
        </is>
      </c>
      <c r="W1460" s="0" t="inlineStr">
        <is>
          <t>148C</t>
        </is>
      </c>
      <c r="X1460" s="0" t="n">
        <v>15</v>
      </c>
      <c r="Y1460" s="0" t="n">
        <v>13</v>
      </c>
      <c r="Z1460" s="0" t="inlineStr">
        <is>
          <t>https://new.land.naver.com/complexes/27819?tab=detail&amp;rf=Y</t>
        </is>
      </c>
      <c r="AA1460" s="0" t="inlineStr">
        <is>
          <t>인천시 서구 청라동 155-12</t>
        </is>
      </c>
      <c r="AB1460" s="0" t="inlineStr">
        <is>
          <t>인천시</t>
        </is>
      </c>
      <c r="AC1460" s="0" t="inlineStr">
        <is>
          <t>서구</t>
        </is>
      </c>
      <c r="AD1460" s="0" t="inlineStr">
        <is>
          <t>청라동</t>
        </is>
      </c>
      <c r="AG1460" s="0" t="inlineStr">
        <is>
          <t>인천시 서구 청라커낼로 249</t>
        </is>
      </c>
      <c r="AH1460" s="0" t="n">
        <v>0</v>
      </c>
      <c r="AI1460" s="0" t="n">
        <v>149</v>
      </c>
      <c r="AJ1460" s="0" t="n">
        <v>15</v>
      </c>
      <c r="AK1460" s="0" t="n">
        <v>457</v>
      </c>
      <c r="AL1460" s="0" t="n">
        <v>1.79</v>
      </c>
    </row>
    <row r="1461">
      <c r="A1461" s="0" t="inlineStr">
        <is>
          <t>[청라동]</t>
        </is>
      </c>
      <c r="B1461" s="0" t="n">
        <v>101709</v>
      </c>
      <c r="C1461" s="0" t="n">
        <v>1</v>
      </c>
      <c r="D1461" s="0" t="inlineStr">
        <is>
          <t>청라힐스테이트</t>
        </is>
      </c>
      <c r="E1461" s="0" t="inlineStr">
        <is>
          <t>2012.03.</t>
        </is>
      </c>
      <c r="F1461" s="0" t="n">
        <v>224</v>
      </c>
      <c r="G1461" s="0" t="n">
        <v>34.37</v>
      </c>
      <c r="H1461" s="0" t="n">
        <v>113.63</v>
      </c>
      <c r="I1461" s="0" t="n">
        <v>25.7</v>
      </c>
      <c r="J1461" s="0" t="n">
        <v>84.97</v>
      </c>
      <c r="K1461" s="0" t="n">
        <v>116</v>
      </c>
      <c r="T1461" s="0" t="n">
        <v>3</v>
      </c>
      <c r="U1461" s="0" t="n">
        <v>2</v>
      </c>
      <c r="V1461" s="0" t="inlineStr">
        <is>
          <t>계단식</t>
        </is>
      </c>
      <c r="W1461" s="0" t="inlineStr">
        <is>
          <t>113A</t>
        </is>
      </c>
      <c r="X1461" s="0" t="n">
        <v>15</v>
      </c>
      <c r="Y1461" s="0" t="n">
        <v>13</v>
      </c>
      <c r="Z1461" s="0" t="inlineStr">
        <is>
          <t>https://new.land.naver.com/complexes/101709?tab=detail&amp;rf=Y</t>
        </is>
      </c>
      <c r="AA1461" s="0" t="inlineStr">
        <is>
          <t>인천시 서구 청라동 103-27</t>
        </is>
      </c>
      <c r="AB1461" s="0" t="inlineStr">
        <is>
          <t>인천시</t>
        </is>
      </c>
      <c r="AC1461" s="0" t="inlineStr">
        <is>
          <t>서구</t>
        </is>
      </c>
      <c r="AD1461" s="0" t="inlineStr">
        <is>
          <t>청라동</t>
        </is>
      </c>
      <c r="AG1461" s="0" t="inlineStr">
        <is>
          <t>인천시 서구 한내로 7</t>
        </is>
      </c>
      <c r="AH1461" s="0" t="n">
        <v>0</v>
      </c>
      <c r="AI1461" s="0" t="n">
        <v>149</v>
      </c>
      <c r="AJ1461" s="0" t="n">
        <v>16</v>
      </c>
      <c r="AK1461" s="0" t="n">
        <v>295</v>
      </c>
      <c r="AL1461" s="0" t="n">
        <v>1.32</v>
      </c>
    </row>
    <row r="1462">
      <c r="A1462" s="0" t="inlineStr">
        <is>
          <t>[청라동]</t>
        </is>
      </c>
      <c r="B1462" s="0" t="n">
        <v>101709</v>
      </c>
      <c r="C1462" s="0" t="n">
        <v>2</v>
      </c>
      <c r="D1462" s="0" t="inlineStr">
        <is>
          <t>청라힐스테이트</t>
        </is>
      </c>
      <c r="E1462" s="0" t="inlineStr">
        <is>
          <t>2012.03.</t>
        </is>
      </c>
      <c r="F1462" s="0" t="n">
        <v>224</v>
      </c>
      <c r="G1462" s="0" t="n">
        <v>34.2</v>
      </c>
      <c r="H1462" s="0" t="n">
        <v>113.09</v>
      </c>
      <c r="I1462" s="0" t="n">
        <v>25.7</v>
      </c>
      <c r="J1462" s="0" t="n">
        <v>84.98</v>
      </c>
      <c r="K1462" s="0" t="n">
        <v>108</v>
      </c>
      <c r="T1462" s="0" t="n">
        <v>3</v>
      </c>
      <c r="U1462" s="0" t="n">
        <v>2</v>
      </c>
      <c r="V1462" s="0" t="inlineStr">
        <is>
          <t>계단식</t>
        </is>
      </c>
      <c r="W1462" s="0" t="inlineStr">
        <is>
          <t>113B</t>
        </is>
      </c>
      <c r="X1462" s="0" t="n">
        <v>15</v>
      </c>
      <c r="Y1462" s="0" t="n">
        <v>13</v>
      </c>
      <c r="Z1462" s="0" t="inlineStr">
        <is>
          <t>https://new.land.naver.com/complexes/101709?tab=detail&amp;rf=Y</t>
        </is>
      </c>
      <c r="AA1462" s="0" t="inlineStr">
        <is>
          <t>인천시 서구 청라동 103-27</t>
        </is>
      </c>
      <c r="AB1462" s="0" t="inlineStr">
        <is>
          <t>인천시</t>
        </is>
      </c>
      <c r="AC1462" s="0" t="inlineStr">
        <is>
          <t>서구</t>
        </is>
      </c>
      <c r="AD1462" s="0" t="inlineStr">
        <is>
          <t>청라동</t>
        </is>
      </c>
      <c r="AG1462" s="0" t="inlineStr">
        <is>
          <t>인천시 서구 한내로 7</t>
        </is>
      </c>
      <c r="AH1462" s="0" t="n">
        <v>0</v>
      </c>
      <c r="AI1462" s="0" t="n">
        <v>149</v>
      </c>
      <c r="AJ1462" s="0" t="n">
        <v>16</v>
      </c>
      <c r="AK1462" s="0" t="n">
        <v>295</v>
      </c>
      <c r="AL1462" s="0" t="n">
        <v>1.32</v>
      </c>
    </row>
    <row r="1463">
      <c r="A1463" s="0" t="inlineStr">
        <is>
          <t>[청라동]</t>
        </is>
      </c>
      <c r="B1463" s="0" t="n">
        <v>27073</v>
      </c>
      <c r="C1463" s="0" t="n">
        <v>1</v>
      </c>
      <c r="D1463" s="0" t="inlineStr">
        <is>
          <t>청라엑슬루타워</t>
        </is>
      </c>
      <c r="E1463" s="0" t="inlineStr">
        <is>
          <t>2011.11.</t>
        </is>
      </c>
      <c r="F1463" s="0" t="n">
        <v>616</v>
      </c>
      <c r="G1463" s="0" t="n">
        <v>38.26</v>
      </c>
      <c r="H1463" s="0" t="n">
        <v>126.5</v>
      </c>
      <c r="I1463" s="0" t="n">
        <v>27.96</v>
      </c>
      <c r="J1463" s="0" t="n">
        <v>92.43000000000001</v>
      </c>
      <c r="K1463" s="0" t="n">
        <v>104</v>
      </c>
      <c r="T1463" s="0" t="n">
        <v>3</v>
      </c>
      <c r="U1463" s="0" t="n">
        <v>2</v>
      </c>
      <c r="V1463" s="0" t="inlineStr">
        <is>
          <t>계단식</t>
        </is>
      </c>
      <c r="W1463" s="0" t="n">
        <v>126</v>
      </c>
      <c r="X1463" s="0" t="n">
        <v>55</v>
      </c>
      <c r="Y1463" s="0" t="n">
        <v>55</v>
      </c>
      <c r="Z1463" s="0" t="inlineStr">
        <is>
          <t>https://new.land.naver.com/complexes/27073?tab=detail&amp;rf=Y</t>
        </is>
      </c>
      <c r="AA1463" s="0" t="inlineStr">
        <is>
          <t>인천시 서구 청라동 164-1</t>
        </is>
      </c>
      <c r="AB1463" s="0" t="inlineStr">
        <is>
          <t>인천시</t>
        </is>
      </c>
      <c r="AC1463" s="0" t="inlineStr">
        <is>
          <t>서구</t>
        </is>
      </c>
      <c r="AD1463" s="0" t="inlineStr">
        <is>
          <t>청라동</t>
        </is>
      </c>
      <c r="AG1463" s="0" t="inlineStr">
        <is>
          <t>인천시 서구 중봉대로586번길 22</t>
        </is>
      </c>
      <c r="AH1463" s="0" t="n">
        <v>0</v>
      </c>
      <c r="AI1463" s="0" t="n">
        <v>312</v>
      </c>
      <c r="AJ1463" s="0" t="n">
        <v>45</v>
      </c>
      <c r="AK1463" s="0" t="n">
        <v>1673</v>
      </c>
      <c r="AL1463" s="0" t="n">
        <v>2.72</v>
      </c>
    </row>
    <row r="1464">
      <c r="A1464" s="0" t="inlineStr">
        <is>
          <t>[청라동]</t>
        </is>
      </c>
      <c r="B1464" s="0" t="n">
        <v>27073</v>
      </c>
      <c r="C1464" s="0" t="n">
        <v>2</v>
      </c>
      <c r="D1464" s="0" t="inlineStr">
        <is>
          <t>청라엑슬루타워</t>
        </is>
      </c>
      <c r="E1464" s="0" t="inlineStr">
        <is>
          <t>2011.11.</t>
        </is>
      </c>
      <c r="F1464" s="0" t="n">
        <v>616</v>
      </c>
      <c r="G1464" s="0" t="n">
        <v>42.18</v>
      </c>
      <c r="H1464" s="0" t="n">
        <v>139.47</v>
      </c>
      <c r="I1464" s="0" t="n">
        <v>31.04</v>
      </c>
      <c r="J1464" s="0" t="n">
        <v>102.62</v>
      </c>
      <c r="K1464" s="0" t="n">
        <v>104</v>
      </c>
      <c r="T1464" s="0" t="n">
        <v>3</v>
      </c>
      <c r="U1464" s="0" t="n">
        <v>2</v>
      </c>
      <c r="V1464" s="0" t="inlineStr">
        <is>
          <t>계단식</t>
        </is>
      </c>
      <c r="W1464" s="0" t="n">
        <v>139</v>
      </c>
      <c r="X1464" s="0" t="n">
        <v>55</v>
      </c>
      <c r="Y1464" s="0" t="n">
        <v>55</v>
      </c>
      <c r="Z1464" s="0" t="inlineStr">
        <is>
          <t>https://new.land.naver.com/complexes/27073?tab=detail&amp;rf=Y</t>
        </is>
      </c>
      <c r="AA1464" s="0" t="inlineStr">
        <is>
          <t>인천시 서구 청라동 164-1</t>
        </is>
      </c>
      <c r="AB1464" s="0" t="inlineStr">
        <is>
          <t>인천시</t>
        </is>
      </c>
      <c r="AC1464" s="0" t="inlineStr">
        <is>
          <t>서구</t>
        </is>
      </c>
      <c r="AD1464" s="0" t="inlineStr">
        <is>
          <t>청라동</t>
        </is>
      </c>
      <c r="AG1464" s="0" t="inlineStr">
        <is>
          <t>인천시 서구 중봉대로586번길 22</t>
        </is>
      </c>
      <c r="AH1464" s="0" t="n">
        <v>0</v>
      </c>
      <c r="AI1464" s="0" t="n">
        <v>312</v>
      </c>
      <c r="AJ1464" s="0" t="n">
        <v>45</v>
      </c>
      <c r="AK1464" s="0" t="n">
        <v>1673</v>
      </c>
      <c r="AL1464" s="0" t="n">
        <v>2.72</v>
      </c>
    </row>
    <row r="1465">
      <c r="A1465" s="0" t="inlineStr">
        <is>
          <t>[청라동]</t>
        </is>
      </c>
      <c r="B1465" s="0" t="n">
        <v>27073</v>
      </c>
      <c r="C1465" s="0" t="n">
        <v>3</v>
      </c>
      <c r="D1465" s="0" t="inlineStr">
        <is>
          <t>청라엑슬루타워</t>
        </is>
      </c>
      <c r="E1465" s="0" t="inlineStr">
        <is>
          <t>2011.11.</t>
        </is>
      </c>
      <c r="F1465" s="0" t="n">
        <v>616</v>
      </c>
      <c r="G1465" s="0" t="n">
        <v>45.22</v>
      </c>
      <c r="H1465" s="0" t="n">
        <v>149.51</v>
      </c>
      <c r="I1465" s="0" t="n">
        <v>33.34</v>
      </c>
      <c r="J1465" s="0" t="n">
        <v>110.22</v>
      </c>
      <c r="K1465" s="0" t="n">
        <v>208</v>
      </c>
      <c r="T1465" s="0" t="n">
        <v>3</v>
      </c>
      <c r="U1465" s="0" t="n">
        <v>2</v>
      </c>
      <c r="V1465" s="0" t="inlineStr">
        <is>
          <t>계단식</t>
        </is>
      </c>
      <c r="W1465" s="0" t="n">
        <v>149</v>
      </c>
      <c r="X1465" s="0" t="n">
        <v>55</v>
      </c>
      <c r="Y1465" s="0" t="n">
        <v>55</v>
      </c>
      <c r="Z1465" s="0" t="inlineStr">
        <is>
          <t>https://new.land.naver.com/complexes/27073?tab=detail&amp;rf=Y</t>
        </is>
      </c>
      <c r="AA1465" s="0" t="inlineStr">
        <is>
          <t>인천시 서구 청라동 164-1</t>
        </is>
      </c>
      <c r="AB1465" s="0" t="inlineStr">
        <is>
          <t>인천시</t>
        </is>
      </c>
      <c r="AC1465" s="0" t="inlineStr">
        <is>
          <t>서구</t>
        </is>
      </c>
      <c r="AD1465" s="0" t="inlineStr">
        <is>
          <t>청라동</t>
        </is>
      </c>
      <c r="AG1465" s="0" t="inlineStr">
        <is>
          <t>인천시 서구 중봉대로586번길 22</t>
        </is>
      </c>
      <c r="AH1465" s="0" t="n">
        <v>0</v>
      </c>
      <c r="AI1465" s="0" t="n">
        <v>312</v>
      </c>
      <c r="AJ1465" s="0" t="n">
        <v>45</v>
      </c>
      <c r="AK1465" s="0" t="n">
        <v>1673</v>
      </c>
      <c r="AL1465" s="0" t="n">
        <v>2.72</v>
      </c>
    </row>
    <row r="1466">
      <c r="A1466" s="0" t="inlineStr">
        <is>
          <t>[청라동]</t>
        </is>
      </c>
      <c r="B1466" s="0" t="n">
        <v>27073</v>
      </c>
      <c r="C1466" s="0" t="n">
        <v>4</v>
      </c>
      <c r="D1466" s="0" t="inlineStr">
        <is>
          <t>청라엑슬루타워</t>
        </is>
      </c>
      <c r="E1466" s="0" t="inlineStr">
        <is>
          <t>2011.11.</t>
        </is>
      </c>
      <c r="F1466" s="0" t="n">
        <v>616</v>
      </c>
      <c r="G1466" s="0" t="n">
        <v>54.46</v>
      </c>
      <c r="H1466" s="0" t="n">
        <v>180.04</v>
      </c>
      <c r="I1466" s="0" t="n">
        <v>40.13</v>
      </c>
      <c r="J1466" s="0" t="n">
        <v>132.68</v>
      </c>
      <c r="K1466" s="0" t="n">
        <v>104</v>
      </c>
      <c r="T1466" s="0" t="n">
        <v>4</v>
      </c>
      <c r="U1466" s="0" t="n">
        <v>2</v>
      </c>
      <c r="V1466" s="0" t="inlineStr">
        <is>
          <t>계단식</t>
        </is>
      </c>
      <c r="W1466" s="0" t="n">
        <v>180</v>
      </c>
      <c r="X1466" s="0" t="n">
        <v>55</v>
      </c>
      <c r="Y1466" s="0" t="n">
        <v>55</v>
      </c>
      <c r="Z1466" s="0" t="inlineStr">
        <is>
          <t>https://new.land.naver.com/complexes/27073?tab=detail&amp;rf=Y</t>
        </is>
      </c>
      <c r="AA1466" s="0" t="inlineStr">
        <is>
          <t>인천시 서구 청라동 164-1</t>
        </is>
      </c>
      <c r="AB1466" s="0" t="inlineStr">
        <is>
          <t>인천시</t>
        </is>
      </c>
      <c r="AC1466" s="0" t="inlineStr">
        <is>
          <t>서구</t>
        </is>
      </c>
      <c r="AD1466" s="0" t="inlineStr">
        <is>
          <t>청라동</t>
        </is>
      </c>
      <c r="AG1466" s="0" t="inlineStr">
        <is>
          <t>인천시 서구 중봉대로586번길 22</t>
        </is>
      </c>
      <c r="AH1466" s="0" t="n">
        <v>0</v>
      </c>
      <c r="AI1466" s="0" t="n">
        <v>312</v>
      </c>
      <c r="AJ1466" s="0" t="n">
        <v>45</v>
      </c>
      <c r="AK1466" s="0" t="n">
        <v>1673</v>
      </c>
      <c r="AL1466" s="0" t="n">
        <v>2.72</v>
      </c>
    </row>
    <row r="1467">
      <c r="A1467" s="0" t="inlineStr">
        <is>
          <t>[청라동]</t>
        </is>
      </c>
      <c r="B1467" s="0" t="n">
        <v>27073</v>
      </c>
      <c r="C1467" s="0" t="n">
        <v>5</v>
      </c>
      <c r="D1467" s="0" t="inlineStr">
        <is>
          <t>청라엑슬루타워</t>
        </is>
      </c>
      <c r="E1467" s="0" t="inlineStr">
        <is>
          <t>2011.11.</t>
        </is>
      </c>
      <c r="F1467" s="0" t="n">
        <v>616</v>
      </c>
      <c r="G1467" s="0" t="n">
        <v>61.64</v>
      </c>
      <c r="H1467" s="0" t="n">
        <v>203.79</v>
      </c>
      <c r="I1467" s="0" t="n">
        <v>45.45</v>
      </c>
      <c r="J1467" s="0" t="n">
        <v>150.28</v>
      </c>
      <c r="K1467" s="0" t="n">
        <v>96</v>
      </c>
      <c r="T1467" s="0" t="n">
        <v>4</v>
      </c>
      <c r="U1467" s="0" t="n">
        <v>2</v>
      </c>
      <c r="V1467" s="0" t="inlineStr">
        <is>
          <t>계단식</t>
        </is>
      </c>
      <c r="W1467" s="0" t="n">
        <v>203</v>
      </c>
      <c r="X1467" s="0" t="n">
        <v>55</v>
      </c>
      <c r="Y1467" s="0" t="n">
        <v>55</v>
      </c>
      <c r="Z1467" s="0" t="inlineStr">
        <is>
          <t>https://new.land.naver.com/complexes/27073?tab=detail&amp;rf=Y</t>
        </is>
      </c>
      <c r="AA1467" s="0" t="inlineStr">
        <is>
          <t>인천시 서구 청라동 164-1</t>
        </is>
      </c>
      <c r="AB1467" s="0" t="inlineStr">
        <is>
          <t>인천시</t>
        </is>
      </c>
      <c r="AC1467" s="0" t="inlineStr">
        <is>
          <t>서구</t>
        </is>
      </c>
      <c r="AD1467" s="0" t="inlineStr">
        <is>
          <t>청라동</t>
        </is>
      </c>
      <c r="AG1467" s="0" t="inlineStr">
        <is>
          <t>인천시 서구 중봉대로586번길 22</t>
        </is>
      </c>
      <c r="AH1467" s="0" t="n">
        <v>0</v>
      </c>
      <c r="AI1467" s="0" t="n">
        <v>312</v>
      </c>
      <c r="AJ1467" s="0" t="n">
        <v>45</v>
      </c>
      <c r="AK1467" s="0" t="n">
        <v>1673</v>
      </c>
      <c r="AL1467" s="0" t="n">
        <v>2.72</v>
      </c>
    </row>
    <row r="1468">
      <c r="A1468" s="0" t="inlineStr">
        <is>
          <t>[청라동]</t>
        </is>
      </c>
      <c r="B1468" s="0" t="n">
        <v>27752</v>
      </c>
      <c r="C1468" s="0" t="n">
        <v>1</v>
      </c>
      <c r="D1468" s="0" t="inlineStr">
        <is>
          <t>청라호반베르디움(29블럭)</t>
        </is>
      </c>
      <c r="E1468" s="0" t="inlineStr">
        <is>
          <t>2012.07.</t>
        </is>
      </c>
      <c r="F1468" s="0" t="n">
        <v>2134</v>
      </c>
      <c r="G1468" s="0" t="n">
        <v>33.77</v>
      </c>
      <c r="H1468" s="0" t="n">
        <v>111.66</v>
      </c>
      <c r="I1468" s="0" t="n">
        <v>25.69</v>
      </c>
      <c r="J1468" s="0" t="n">
        <v>84.93000000000001</v>
      </c>
      <c r="K1468" s="0" t="n">
        <v>508</v>
      </c>
      <c r="T1468" s="0" t="n">
        <v>3</v>
      </c>
      <c r="U1468" s="0" t="n">
        <v>2</v>
      </c>
      <c r="V1468" s="0" t="inlineStr">
        <is>
          <t>계단식</t>
        </is>
      </c>
      <c r="W1468" s="0" t="inlineStr">
        <is>
          <t>111B</t>
        </is>
      </c>
      <c r="X1468" s="0" t="n">
        <v>30</v>
      </c>
      <c r="Y1468" s="0" t="n">
        <v>23</v>
      </c>
      <c r="Z1468" s="0" t="inlineStr">
        <is>
          <t>https://new.land.naver.com/complexes/27752?tab=detail&amp;rf=Y</t>
        </is>
      </c>
      <c r="AA1468" s="0" t="inlineStr">
        <is>
          <t>인천시 서구 청라동 173-1</t>
        </is>
      </c>
      <c r="AB1468" s="0" t="inlineStr">
        <is>
          <t>인천시</t>
        </is>
      </c>
      <c r="AC1468" s="0" t="inlineStr">
        <is>
          <t>서구</t>
        </is>
      </c>
      <c r="AD1468" s="0" t="inlineStr">
        <is>
          <t>청라동</t>
        </is>
      </c>
      <c r="AG1468" s="0" t="inlineStr">
        <is>
          <t>인천시 서구 청라커낼로 163</t>
        </is>
      </c>
      <c r="AH1468" s="0" t="n">
        <v>0</v>
      </c>
      <c r="AI1468" s="0" t="n">
        <v>219</v>
      </c>
      <c r="AJ1468" s="0" t="n">
        <v>14</v>
      </c>
      <c r="AK1468" s="0" t="n">
        <v>3246</v>
      </c>
      <c r="AL1468" s="0" t="n">
        <v>1.52</v>
      </c>
    </row>
    <row r="1469">
      <c r="A1469" s="0" t="inlineStr">
        <is>
          <t>[청라동]</t>
        </is>
      </c>
      <c r="B1469" s="0" t="n">
        <v>27752</v>
      </c>
      <c r="C1469" s="0" t="n">
        <v>2</v>
      </c>
      <c r="D1469" s="0" t="inlineStr">
        <is>
          <t>청라호반베르디움(29블럭)</t>
        </is>
      </c>
      <c r="E1469" s="0" t="inlineStr">
        <is>
          <t>2012.07.</t>
        </is>
      </c>
      <c r="F1469" s="0" t="n">
        <v>2134</v>
      </c>
      <c r="G1469" s="0" t="n">
        <v>33.82</v>
      </c>
      <c r="H1469" s="0" t="n">
        <v>111.82</v>
      </c>
      <c r="I1469" s="0" t="n">
        <v>25.68</v>
      </c>
      <c r="J1469" s="0" t="n">
        <v>84.92</v>
      </c>
      <c r="K1469" s="0" t="n">
        <v>500</v>
      </c>
      <c r="T1469" s="0" t="n">
        <v>3</v>
      </c>
      <c r="U1469" s="0" t="n">
        <v>2</v>
      </c>
      <c r="V1469" s="0" t="inlineStr">
        <is>
          <t>계단식</t>
        </is>
      </c>
      <c r="W1469" s="0" t="inlineStr">
        <is>
          <t>111C</t>
        </is>
      </c>
      <c r="X1469" s="0" t="n">
        <v>30</v>
      </c>
      <c r="Y1469" s="0" t="n">
        <v>23</v>
      </c>
      <c r="Z1469" s="0" t="inlineStr">
        <is>
          <t>https://new.land.naver.com/complexes/27752?tab=detail&amp;rf=Y</t>
        </is>
      </c>
      <c r="AA1469" s="0" t="inlineStr">
        <is>
          <t>인천시 서구 청라동 173-1</t>
        </is>
      </c>
      <c r="AB1469" s="0" t="inlineStr">
        <is>
          <t>인천시</t>
        </is>
      </c>
      <c r="AC1469" s="0" t="inlineStr">
        <is>
          <t>서구</t>
        </is>
      </c>
      <c r="AD1469" s="0" t="inlineStr">
        <is>
          <t>청라동</t>
        </is>
      </c>
      <c r="AG1469" s="0" t="inlineStr">
        <is>
          <t>인천시 서구 청라커낼로 163</t>
        </is>
      </c>
      <c r="AH1469" s="0" t="n">
        <v>0</v>
      </c>
      <c r="AI1469" s="0" t="n">
        <v>219</v>
      </c>
      <c r="AJ1469" s="0" t="n">
        <v>14</v>
      </c>
      <c r="AK1469" s="0" t="n">
        <v>3246</v>
      </c>
      <c r="AL1469" s="0" t="n">
        <v>1.52</v>
      </c>
    </row>
    <row r="1470">
      <c r="A1470" s="0" t="inlineStr">
        <is>
          <t>[청라동]</t>
        </is>
      </c>
      <c r="B1470" s="0" t="n">
        <v>27752</v>
      </c>
      <c r="C1470" s="0" t="n">
        <v>3</v>
      </c>
      <c r="D1470" s="0" t="inlineStr">
        <is>
          <t>청라호반베르디움(29블럭)</t>
        </is>
      </c>
      <c r="E1470" s="0" t="inlineStr">
        <is>
          <t>2012.07.</t>
        </is>
      </c>
      <c r="F1470" s="0" t="n">
        <v>2134</v>
      </c>
      <c r="G1470" s="0" t="n">
        <v>33.95</v>
      </c>
      <c r="H1470" s="0" t="n">
        <v>112.25</v>
      </c>
      <c r="I1470" s="0" t="n">
        <v>25.69</v>
      </c>
      <c r="J1470" s="0" t="n">
        <v>84.94</v>
      </c>
      <c r="K1470" s="0" t="n">
        <v>776</v>
      </c>
      <c r="T1470" s="0" t="n">
        <v>3</v>
      </c>
      <c r="U1470" s="0" t="n">
        <v>2</v>
      </c>
      <c r="V1470" s="0" t="inlineStr">
        <is>
          <t>계단식</t>
        </is>
      </c>
      <c r="W1470" s="0" t="inlineStr">
        <is>
          <t>112A</t>
        </is>
      </c>
      <c r="X1470" s="0" t="n">
        <v>30</v>
      </c>
      <c r="Y1470" s="0" t="n">
        <v>23</v>
      </c>
      <c r="Z1470" s="0" t="inlineStr">
        <is>
          <t>https://new.land.naver.com/complexes/27752?tab=detail&amp;rf=Y</t>
        </is>
      </c>
      <c r="AA1470" s="0" t="inlineStr">
        <is>
          <t>인천시 서구 청라동 173-1</t>
        </is>
      </c>
      <c r="AB1470" s="0" t="inlineStr">
        <is>
          <t>인천시</t>
        </is>
      </c>
      <c r="AC1470" s="0" t="inlineStr">
        <is>
          <t>서구</t>
        </is>
      </c>
      <c r="AD1470" s="0" t="inlineStr">
        <is>
          <t>청라동</t>
        </is>
      </c>
      <c r="AG1470" s="0" t="inlineStr">
        <is>
          <t>인천시 서구 청라커낼로 163</t>
        </is>
      </c>
      <c r="AH1470" s="0" t="n">
        <v>0</v>
      </c>
      <c r="AI1470" s="0" t="n">
        <v>219</v>
      </c>
      <c r="AJ1470" s="0" t="n">
        <v>14</v>
      </c>
      <c r="AK1470" s="0" t="n">
        <v>3246</v>
      </c>
      <c r="AL1470" s="0" t="n">
        <v>1.52</v>
      </c>
    </row>
    <row r="1471">
      <c r="A1471" s="0" t="inlineStr">
        <is>
          <t>[청라동]</t>
        </is>
      </c>
      <c r="B1471" s="0" t="n">
        <v>27752</v>
      </c>
      <c r="C1471" s="0" t="n">
        <v>4</v>
      </c>
      <c r="D1471" s="0" t="inlineStr">
        <is>
          <t>청라호반베르디움(29블럭)</t>
        </is>
      </c>
      <c r="E1471" s="0" t="inlineStr">
        <is>
          <t>2012.07.</t>
        </is>
      </c>
      <c r="F1471" s="0" t="n">
        <v>2134</v>
      </c>
      <c r="G1471" s="0" t="n">
        <v>34</v>
      </c>
      <c r="H1471" s="0" t="n">
        <v>112.42</v>
      </c>
      <c r="I1471" s="0" t="n">
        <v>25.7</v>
      </c>
      <c r="J1471" s="0" t="n">
        <v>84.98999999999999</v>
      </c>
      <c r="K1471" s="0" t="n">
        <v>350</v>
      </c>
      <c r="T1471" s="0" t="n">
        <v>3</v>
      </c>
      <c r="U1471" s="0" t="n">
        <v>2</v>
      </c>
      <c r="V1471" s="0" t="inlineStr">
        <is>
          <t>계단식</t>
        </is>
      </c>
      <c r="W1471" s="0" t="inlineStr">
        <is>
          <t>112D</t>
        </is>
      </c>
      <c r="X1471" s="0" t="n">
        <v>30</v>
      </c>
      <c r="Y1471" s="0" t="n">
        <v>23</v>
      </c>
      <c r="Z1471" s="0" t="inlineStr">
        <is>
          <t>https://new.land.naver.com/complexes/27752?tab=detail&amp;rf=Y</t>
        </is>
      </c>
      <c r="AA1471" s="0" t="inlineStr">
        <is>
          <t>인천시 서구 청라동 173-1</t>
        </is>
      </c>
      <c r="AB1471" s="0" t="inlineStr">
        <is>
          <t>인천시</t>
        </is>
      </c>
      <c r="AC1471" s="0" t="inlineStr">
        <is>
          <t>서구</t>
        </is>
      </c>
      <c r="AD1471" s="0" t="inlineStr">
        <is>
          <t>청라동</t>
        </is>
      </c>
      <c r="AG1471" s="0" t="inlineStr">
        <is>
          <t>인천시 서구 청라커낼로 163</t>
        </is>
      </c>
      <c r="AH1471" s="0" t="n">
        <v>0</v>
      </c>
      <c r="AI1471" s="0" t="n">
        <v>219</v>
      </c>
      <c r="AJ1471" s="0" t="n">
        <v>14</v>
      </c>
      <c r="AK1471" s="0" t="n">
        <v>3246</v>
      </c>
      <c r="AL1471" s="0" t="n">
        <v>1.52</v>
      </c>
    </row>
    <row r="1472">
      <c r="A1472" s="0" t="inlineStr">
        <is>
          <t>[청라동]</t>
        </is>
      </c>
      <c r="B1472" s="0" t="n">
        <v>101295</v>
      </c>
      <c r="C1472" s="0" t="n">
        <v>1</v>
      </c>
      <c r="D1472" s="0" t="inlineStr">
        <is>
          <t>청라린스트라우스</t>
        </is>
      </c>
      <c r="E1472" s="0" t="inlineStr">
        <is>
          <t>2013.08.</t>
        </is>
      </c>
      <c r="F1472" s="0" t="n">
        <v>590</v>
      </c>
      <c r="G1472" s="0" t="n">
        <v>41.05</v>
      </c>
      <c r="H1472" s="0" t="n">
        <v>135.72</v>
      </c>
      <c r="I1472" s="0" t="n">
        <v>30.66</v>
      </c>
      <c r="J1472" s="0" t="n">
        <v>101.36</v>
      </c>
      <c r="K1472" s="0" t="n">
        <v>145</v>
      </c>
      <c r="T1472" s="0" t="n">
        <v>3</v>
      </c>
      <c r="U1472" s="0" t="n">
        <v>2</v>
      </c>
      <c r="V1472" s="0" t="inlineStr">
        <is>
          <t>계단식</t>
        </is>
      </c>
      <c r="W1472" s="0" t="n">
        <v>135</v>
      </c>
      <c r="X1472" s="0" t="n">
        <v>41</v>
      </c>
      <c r="Y1472" s="0" t="n">
        <v>37</v>
      </c>
      <c r="Z1472" s="0" t="inlineStr">
        <is>
          <t>https://new.land.naver.com/complexes/101295?tab=detail&amp;rf=Y</t>
        </is>
      </c>
      <c r="AA1472" s="0" t="inlineStr">
        <is>
          <t>인천시 서구 청라동 160-1</t>
        </is>
      </c>
      <c r="AB1472" s="0" t="inlineStr">
        <is>
          <t>인천시</t>
        </is>
      </c>
      <c r="AC1472" s="0" t="inlineStr">
        <is>
          <t>서구</t>
        </is>
      </c>
      <c r="AD1472" s="0" t="inlineStr">
        <is>
          <t>청라동</t>
        </is>
      </c>
      <c r="AG1472" s="0" t="inlineStr">
        <is>
          <t>인천시 서구 청라라임로 85</t>
        </is>
      </c>
      <c r="AH1472" s="0" t="n">
        <v>0</v>
      </c>
      <c r="AI1472" s="0" t="n">
        <v>305</v>
      </c>
      <c r="AJ1472" s="0" t="n">
        <v>24</v>
      </c>
      <c r="AK1472" s="0" t="n">
        <v>1012</v>
      </c>
      <c r="AL1472" s="0" t="n">
        <v>1.72</v>
      </c>
    </row>
    <row r="1473">
      <c r="A1473" s="0" t="inlineStr">
        <is>
          <t>[청라동]</t>
        </is>
      </c>
      <c r="B1473" s="0" t="n">
        <v>101295</v>
      </c>
      <c r="C1473" s="0" t="n">
        <v>2</v>
      </c>
      <c r="D1473" s="0" t="inlineStr">
        <is>
          <t>청라린스트라우스</t>
        </is>
      </c>
      <c r="E1473" s="0" t="inlineStr">
        <is>
          <t>2013.08.</t>
        </is>
      </c>
      <c r="F1473" s="0" t="n">
        <v>590</v>
      </c>
      <c r="G1473" s="0" t="n">
        <v>41.49</v>
      </c>
      <c r="H1473" s="0" t="n">
        <v>137.17</v>
      </c>
      <c r="I1473" s="0" t="n">
        <v>30.84</v>
      </c>
      <c r="J1473" s="0" t="n">
        <v>101.98</v>
      </c>
      <c r="K1473" s="0" t="n">
        <v>138</v>
      </c>
      <c r="T1473" s="0" t="n">
        <v>3</v>
      </c>
      <c r="U1473" s="0" t="n">
        <v>2</v>
      </c>
      <c r="V1473" s="0" t="inlineStr">
        <is>
          <t>계단식</t>
        </is>
      </c>
      <c r="W1473" s="0" t="n">
        <v>137</v>
      </c>
      <c r="X1473" s="0" t="n">
        <v>41</v>
      </c>
      <c r="Y1473" s="0" t="n">
        <v>37</v>
      </c>
      <c r="Z1473" s="0" t="inlineStr">
        <is>
          <t>https://new.land.naver.com/complexes/101295?tab=detail&amp;rf=Y</t>
        </is>
      </c>
      <c r="AA1473" s="0" t="inlineStr">
        <is>
          <t>인천시 서구 청라동 160-1</t>
        </is>
      </c>
      <c r="AB1473" s="0" t="inlineStr">
        <is>
          <t>인천시</t>
        </is>
      </c>
      <c r="AC1473" s="0" t="inlineStr">
        <is>
          <t>서구</t>
        </is>
      </c>
      <c r="AD1473" s="0" t="inlineStr">
        <is>
          <t>청라동</t>
        </is>
      </c>
      <c r="AG1473" s="0" t="inlineStr">
        <is>
          <t>인천시 서구 청라라임로 85</t>
        </is>
      </c>
      <c r="AH1473" s="0" t="n">
        <v>0</v>
      </c>
      <c r="AI1473" s="0" t="n">
        <v>305</v>
      </c>
      <c r="AJ1473" s="0" t="n">
        <v>24</v>
      </c>
      <c r="AK1473" s="0" t="n">
        <v>1012</v>
      </c>
      <c r="AL1473" s="0" t="n">
        <v>1.72</v>
      </c>
    </row>
    <row r="1474">
      <c r="A1474" s="0" t="inlineStr">
        <is>
          <t>[청라동]</t>
        </is>
      </c>
      <c r="B1474" s="0" t="n">
        <v>101295</v>
      </c>
      <c r="C1474" s="0" t="n">
        <v>3</v>
      </c>
      <c r="D1474" s="0" t="inlineStr">
        <is>
          <t>청라린스트라우스</t>
        </is>
      </c>
      <c r="E1474" s="0" t="inlineStr">
        <is>
          <t>2013.08.</t>
        </is>
      </c>
      <c r="F1474" s="0" t="n">
        <v>590</v>
      </c>
      <c r="G1474" s="0" t="n">
        <v>49.74</v>
      </c>
      <c r="H1474" s="0" t="n">
        <v>164.46</v>
      </c>
      <c r="I1474" s="0" t="n">
        <v>37.63</v>
      </c>
      <c r="J1474" s="0" t="n">
        <v>124.41</v>
      </c>
      <c r="K1474" s="0" t="n">
        <v>149</v>
      </c>
      <c r="T1474" s="0" t="n">
        <v>4</v>
      </c>
      <c r="U1474" s="0" t="n">
        <v>2</v>
      </c>
      <c r="V1474" s="0" t="inlineStr">
        <is>
          <t>계단식</t>
        </is>
      </c>
      <c r="W1474" s="0" t="inlineStr">
        <is>
          <t>164B</t>
        </is>
      </c>
      <c r="X1474" s="0" t="n">
        <v>41</v>
      </c>
      <c r="Y1474" s="0" t="n">
        <v>37</v>
      </c>
      <c r="Z1474" s="0" t="inlineStr">
        <is>
          <t>https://new.land.naver.com/complexes/101295?tab=detail&amp;rf=Y</t>
        </is>
      </c>
      <c r="AA1474" s="0" t="inlineStr">
        <is>
          <t>인천시 서구 청라동 160-1</t>
        </is>
      </c>
      <c r="AB1474" s="0" t="inlineStr">
        <is>
          <t>인천시</t>
        </is>
      </c>
      <c r="AC1474" s="0" t="inlineStr">
        <is>
          <t>서구</t>
        </is>
      </c>
      <c r="AD1474" s="0" t="inlineStr">
        <is>
          <t>청라동</t>
        </is>
      </c>
      <c r="AG1474" s="0" t="inlineStr">
        <is>
          <t>인천시 서구 청라라임로 85</t>
        </is>
      </c>
      <c r="AH1474" s="0" t="n">
        <v>0</v>
      </c>
      <c r="AI1474" s="0" t="n">
        <v>305</v>
      </c>
      <c r="AJ1474" s="0" t="n">
        <v>24</v>
      </c>
      <c r="AK1474" s="0" t="n">
        <v>1012</v>
      </c>
      <c r="AL1474" s="0" t="n">
        <v>1.72</v>
      </c>
    </row>
    <row r="1475">
      <c r="A1475" s="0" t="inlineStr">
        <is>
          <t>[청라동]</t>
        </is>
      </c>
      <c r="B1475" s="0" t="n">
        <v>101295</v>
      </c>
      <c r="C1475" s="0" t="n">
        <v>4</v>
      </c>
      <c r="D1475" s="0" t="inlineStr">
        <is>
          <t>청라린스트라우스</t>
        </is>
      </c>
      <c r="E1475" s="0" t="inlineStr">
        <is>
          <t>2013.08.</t>
        </is>
      </c>
      <c r="F1475" s="0" t="n">
        <v>590</v>
      </c>
      <c r="G1475" s="0" t="n">
        <v>49.94</v>
      </c>
      <c r="H1475" s="0" t="n">
        <v>165.12</v>
      </c>
      <c r="I1475" s="0" t="n">
        <v>37.83</v>
      </c>
      <c r="J1475" s="0" t="n">
        <v>125.07</v>
      </c>
      <c r="K1475" s="0" t="n">
        <v>80</v>
      </c>
      <c r="T1475" s="0" t="n">
        <v>4</v>
      </c>
      <c r="U1475" s="0" t="n">
        <v>2</v>
      </c>
      <c r="V1475" s="0" t="inlineStr">
        <is>
          <t>계단식</t>
        </is>
      </c>
      <c r="W1475" s="0" t="inlineStr">
        <is>
          <t>165A</t>
        </is>
      </c>
      <c r="X1475" s="0" t="n">
        <v>41</v>
      </c>
      <c r="Y1475" s="0" t="n">
        <v>37</v>
      </c>
      <c r="Z1475" s="0" t="inlineStr">
        <is>
          <t>https://new.land.naver.com/complexes/101295?tab=detail&amp;rf=Y</t>
        </is>
      </c>
      <c r="AA1475" s="0" t="inlineStr">
        <is>
          <t>인천시 서구 청라동 160-1</t>
        </is>
      </c>
      <c r="AB1475" s="0" t="inlineStr">
        <is>
          <t>인천시</t>
        </is>
      </c>
      <c r="AC1475" s="0" t="inlineStr">
        <is>
          <t>서구</t>
        </is>
      </c>
      <c r="AD1475" s="0" t="inlineStr">
        <is>
          <t>청라동</t>
        </is>
      </c>
      <c r="AG1475" s="0" t="inlineStr">
        <is>
          <t>인천시 서구 청라라임로 85</t>
        </is>
      </c>
      <c r="AH1475" s="0" t="n">
        <v>0</v>
      </c>
      <c r="AI1475" s="0" t="n">
        <v>305</v>
      </c>
      <c r="AJ1475" s="0" t="n">
        <v>24</v>
      </c>
      <c r="AK1475" s="0" t="n">
        <v>1012</v>
      </c>
      <c r="AL1475" s="0" t="n">
        <v>1.72</v>
      </c>
    </row>
    <row r="1476">
      <c r="A1476" s="0" t="inlineStr">
        <is>
          <t>[청라동]</t>
        </is>
      </c>
      <c r="B1476" s="0" t="n">
        <v>101295</v>
      </c>
      <c r="C1476" s="0" t="n">
        <v>5</v>
      </c>
      <c r="D1476" s="0" t="inlineStr">
        <is>
          <t>청라린스트라우스</t>
        </is>
      </c>
      <c r="E1476" s="0" t="inlineStr">
        <is>
          <t>2013.08.</t>
        </is>
      </c>
      <c r="F1476" s="0" t="n">
        <v>590</v>
      </c>
      <c r="G1476" s="0" t="n">
        <v>55.06</v>
      </c>
      <c r="H1476" s="0" t="n">
        <v>182.02</v>
      </c>
      <c r="I1476" s="0" t="n">
        <v>41.99</v>
      </c>
      <c r="J1476" s="0" t="n">
        <v>138.84</v>
      </c>
      <c r="K1476" s="0" t="n">
        <v>78</v>
      </c>
      <c r="T1476" s="0" t="n">
        <v>4</v>
      </c>
      <c r="U1476" s="0" t="n">
        <v>2</v>
      </c>
      <c r="V1476" s="0" t="inlineStr">
        <is>
          <t>계단식</t>
        </is>
      </c>
      <c r="W1476" s="0" t="n">
        <v>182</v>
      </c>
      <c r="X1476" s="0" t="n">
        <v>41</v>
      </c>
      <c r="Y1476" s="0" t="n">
        <v>37</v>
      </c>
      <c r="Z1476" s="0" t="inlineStr">
        <is>
          <t>https://new.land.naver.com/complexes/101295?tab=detail&amp;rf=Y</t>
        </is>
      </c>
      <c r="AA1476" s="0" t="inlineStr">
        <is>
          <t>인천시 서구 청라동 160-1</t>
        </is>
      </c>
      <c r="AB1476" s="0" t="inlineStr">
        <is>
          <t>인천시</t>
        </is>
      </c>
      <c r="AC1476" s="0" t="inlineStr">
        <is>
          <t>서구</t>
        </is>
      </c>
      <c r="AD1476" s="0" t="inlineStr">
        <is>
          <t>청라동</t>
        </is>
      </c>
      <c r="AG1476" s="0" t="inlineStr">
        <is>
          <t>인천시 서구 청라라임로 85</t>
        </is>
      </c>
      <c r="AH1476" s="0" t="n">
        <v>0</v>
      </c>
      <c r="AI1476" s="0" t="n">
        <v>305</v>
      </c>
      <c r="AJ1476" s="0" t="n">
        <v>24</v>
      </c>
      <c r="AK1476" s="0" t="n">
        <v>1012</v>
      </c>
      <c r="AL1476" s="0" t="n">
        <v>1.72</v>
      </c>
    </row>
    <row r="1477">
      <c r="A1477" s="0" t="inlineStr">
        <is>
          <t>[청라동]</t>
        </is>
      </c>
      <c r="B1477" s="0" t="n">
        <v>112938</v>
      </c>
      <c r="C1477" s="0" t="n">
        <v>1</v>
      </c>
      <c r="D1477" s="0" t="inlineStr">
        <is>
          <t>청라모아미래도</t>
        </is>
      </c>
      <c r="E1477" s="0" t="inlineStr">
        <is>
          <t>2018.02.</t>
        </is>
      </c>
      <c r="F1477" s="0" t="n">
        <v>418</v>
      </c>
      <c r="G1477" s="0" t="n">
        <v>28.83</v>
      </c>
      <c r="H1477" s="0" t="n">
        <v>95.33</v>
      </c>
      <c r="I1477" s="0" t="n">
        <v>21.58</v>
      </c>
      <c r="J1477" s="0" t="n">
        <v>71.36</v>
      </c>
      <c r="K1477" s="0" t="n">
        <v>244</v>
      </c>
      <c r="T1477" s="0" t="n">
        <v>3</v>
      </c>
      <c r="U1477" s="0" t="n">
        <v>2</v>
      </c>
      <c r="V1477" s="0" t="inlineStr">
        <is>
          <t>계단식</t>
        </is>
      </c>
      <c r="W1477" s="0" t="inlineStr">
        <is>
          <t>95A</t>
        </is>
      </c>
      <c r="X1477" s="0" t="n">
        <v>25</v>
      </c>
      <c r="Y1477" s="0" t="n">
        <v>23</v>
      </c>
      <c r="Z1477" s="0" t="inlineStr">
        <is>
          <t>https://new.land.naver.com/complexes/112938?tab=detail&amp;rf=Y</t>
        </is>
      </c>
      <c r="AA1477" s="0" t="inlineStr">
        <is>
          <t>인천시 서구 청라동 82-1</t>
        </is>
      </c>
      <c r="AB1477" s="0" t="inlineStr">
        <is>
          <t>인천시</t>
        </is>
      </c>
      <c r="AC1477" s="0" t="inlineStr">
        <is>
          <t>서구</t>
        </is>
      </c>
      <c r="AD1477" s="0" t="inlineStr">
        <is>
          <t>청라동</t>
        </is>
      </c>
      <c r="AG1477" s="0" t="inlineStr">
        <is>
          <t>인천시 서구 비즈니스로 165</t>
        </is>
      </c>
      <c r="AH1477" s="0" t="n">
        <v>0</v>
      </c>
      <c r="AI1477" s="0" t="n">
        <v>169</v>
      </c>
      <c r="AJ1477" s="0" t="n">
        <v>12</v>
      </c>
      <c r="AK1477" s="0" t="n">
        <v>508</v>
      </c>
      <c r="AL1477" s="0" t="n">
        <v>1.22</v>
      </c>
    </row>
    <row r="1478">
      <c r="A1478" s="0" t="inlineStr">
        <is>
          <t>[청라동]</t>
        </is>
      </c>
      <c r="B1478" s="0" t="n">
        <v>112938</v>
      </c>
      <c r="C1478" s="0" t="n">
        <v>2</v>
      </c>
      <c r="D1478" s="0" t="inlineStr">
        <is>
          <t>청라모아미래도</t>
        </is>
      </c>
      <c r="E1478" s="0" t="inlineStr">
        <is>
          <t>2018.02.</t>
        </is>
      </c>
      <c r="F1478" s="0" t="n">
        <v>418</v>
      </c>
      <c r="G1478" s="0" t="n">
        <v>28.98</v>
      </c>
      <c r="H1478" s="0" t="n">
        <v>95.83</v>
      </c>
      <c r="I1478" s="0" t="n">
        <v>21.5</v>
      </c>
      <c r="J1478" s="0" t="n">
        <v>71.09</v>
      </c>
      <c r="K1478" s="0" t="n">
        <v>124</v>
      </c>
      <c r="T1478" s="0" t="n">
        <v>3</v>
      </c>
      <c r="U1478" s="0" t="n">
        <v>2</v>
      </c>
      <c r="V1478" s="0" t="inlineStr">
        <is>
          <t>계단식</t>
        </is>
      </c>
      <c r="W1478" s="0" t="inlineStr">
        <is>
          <t>95C</t>
        </is>
      </c>
      <c r="X1478" s="0" t="n">
        <v>25</v>
      </c>
      <c r="Y1478" s="0" t="n">
        <v>23</v>
      </c>
      <c r="Z1478" s="0" t="inlineStr">
        <is>
          <t>https://new.land.naver.com/complexes/112938?tab=detail&amp;rf=Y</t>
        </is>
      </c>
      <c r="AA1478" s="0" t="inlineStr">
        <is>
          <t>인천시 서구 청라동 82-1</t>
        </is>
      </c>
      <c r="AB1478" s="0" t="inlineStr">
        <is>
          <t>인천시</t>
        </is>
      </c>
      <c r="AC1478" s="0" t="inlineStr">
        <is>
          <t>서구</t>
        </is>
      </c>
      <c r="AD1478" s="0" t="inlineStr">
        <is>
          <t>청라동</t>
        </is>
      </c>
      <c r="AG1478" s="0" t="inlineStr">
        <is>
          <t>인천시 서구 비즈니스로 165</t>
        </is>
      </c>
      <c r="AH1478" s="0" t="n">
        <v>0</v>
      </c>
      <c r="AI1478" s="0" t="n">
        <v>169</v>
      </c>
      <c r="AJ1478" s="0" t="n">
        <v>12</v>
      </c>
      <c r="AK1478" s="0" t="n">
        <v>508</v>
      </c>
      <c r="AL1478" s="0" t="n">
        <v>1.22</v>
      </c>
    </row>
    <row r="1479">
      <c r="A1479" s="0" t="inlineStr">
        <is>
          <t>[청라동]</t>
        </is>
      </c>
      <c r="B1479" s="0" t="n">
        <v>112938</v>
      </c>
      <c r="C1479" s="0" t="n">
        <v>3</v>
      </c>
      <c r="D1479" s="0" t="inlineStr">
        <is>
          <t>청라모아미래도</t>
        </is>
      </c>
      <c r="E1479" s="0" t="inlineStr">
        <is>
          <t>2018.02.</t>
        </is>
      </c>
      <c r="F1479" s="0" t="n">
        <v>418</v>
      </c>
      <c r="G1479" s="0" t="n">
        <v>28.98</v>
      </c>
      <c r="H1479" s="0" t="n">
        <v>95.81</v>
      </c>
      <c r="I1479" s="0" t="n">
        <v>21.65</v>
      </c>
      <c r="J1479" s="0" t="n">
        <v>71.59</v>
      </c>
      <c r="K1479" s="0" t="n">
        <v>50</v>
      </c>
      <c r="T1479" s="0" t="n">
        <v>3</v>
      </c>
      <c r="U1479" s="0" t="n">
        <v>2</v>
      </c>
      <c r="V1479" s="0" t="inlineStr">
        <is>
          <t>계단식</t>
        </is>
      </c>
      <c r="W1479" s="0" t="inlineStr">
        <is>
          <t>95B</t>
        </is>
      </c>
      <c r="X1479" s="0" t="n">
        <v>25</v>
      </c>
      <c r="Y1479" s="0" t="n">
        <v>23</v>
      </c>
      <c r="Z1479" s="0" t="inlineStr">
        <is>
          <t>https://new.land.naver.com/complexes/112938?tab=detail&amp;rf=Y</t>
        </is>
      </c>
      <c r="AA1479" s="0" t="inlineStr">
        <is>
          <t>인천시 서구 청라동 82-1</t>
        </is>
      </c>
      <c r="AB1479" s="0" t="inlineStr">
        <is>
          <t>인천시</t>
        </is>
      </c>
      <c r="AC1479" s="0" t="inlineStr">
        <is>
          <t>서구</t>
        </is>
      </c>
      <c r="AD1479" s="0" t="inlineStr">
        <is>
          <t>청라동</t>
        </is>
      </c>
      <c r="AG1479" s="0" t="inlineStr">
        <is>
          <t>인천시 서구 비즈니스로 165</t>
        </is>
      </c>
      <c r="AH1479" s="0" t="n">
        <v>0</v>
      </c>
      <c r="AI1479" s="0" t="n">
        <v>169</v>
      </c>
      <c r="AJ1479" s="0" t="n">
        <v>12</v>
      </c>
      <c r="AK1479" s="0" t="n">
        <v>508</v>
      </c>
      <c r="AL1479" s="0" t="n">
        <v>1.22</v>
      </c>
    </row>
    <row r="1480">
      <c r="A1480" s="0" t="inlineStr">
        <is>
          <t>[청라동]</t>
        </is>
      </c>
      <c r="B1480" s="0" t="n">
        <v>100231</v>
      </c>
      <c r="C1480" s="0" t="n">
        <v>1</v>
      </c>
      <c r="D1480" s="0" t="inlineStr">
        <is>
          <t>청라한화꿈에그린</t>
        </is>
      </c>
      <c r="E1480" s="0" t="inlineStr">
        <is>
          <t>2012.03.</t>
        </is>
      </c>
      <c r="F1480" s="0" t="n">
        <v>1172</v>
      </c>
      <c r="G1480" s="0" t="n">
        <v>39.59</v>
      </c>
      <c r="H1480" s="0" t="n">
        <v>130.88</v>
      </c>
      <c r="I1480" s="0" t="n">
        <v>30.48</v>
      </c>
      <c r="J1480" s="0" t="n">
        <v>100.79</v>
      </c>
      <c r="K1480" s="0" t="n">
        <v>305</v>
      </c>
      <c r="T1480" s="0" t="n">
        <v>3</v>
      </c>
      <c r="U1480" s="0" t="n">
        <v>2</v>
      </c>
      <c r="V1480" s="0" t="inlineStr">
        <is>
          <t>계단식</t>
        </is>
      </c>
      <c r="W1480" s="0" t="inlineStr">
        <is>
          <t>130A</t>
        </is>
      </c>
      <c r="X1480" s="0" t="n">
        <v>30</v>
      </c>
      <c r="Y1480" s="0" t="n">
        <v>22</v>
      </c>
      <c r="Z1480" s="0" t="inlineStr">
        <is>
          <t>https://new.land.naver.com/complexes/100231?tab=detail&amp;rf=Y</t>
        </is>
      </c>
      <c r="AA1480" s="0" t="inlineStr">
        <is>
          <t>인천시 서구 청라동 139-1</t>
        </is>
      </c>
      <c r="AB1480" s="0" t="inlineStr">
        <is>
          <t>인천시</t>
        </is>
      </c>
      <c r="AC1480" s="0" t="inlineStr">
        <is>
          <t>서구</t>
        </is>
      </c>
      <c r="AD1480" s="0" t="inlineStr">
        <is>
          <t>청라동</t>
        </is>
      </c>
      <c r="AG1480" s="0" t="inlineStr">
        <is>
          <t>인천시 서구 크리스탈로 148</t>
        </is>
      </c>
      <c r="AH1480" s="0" t="n">
        <v>0</v>
      </c>
      <c r="AI1480" s="0" t="n">
        <v>219</v>
      </c>
      <c r="AJ1480" s="0" t="n">
        <v>14</v>
      </c>
      <c r="AK1480" s="0" t="n">
        <v>2127</v>
      </c>
      <c r="AL1480" s="0" t="n">
        <v>1.81</v>
      </c>
    </row>
    <row r="1481">
      <c r="A1481" s="0" t="inlineStr">
        <is>
          <t>[청라동]</t>
        </is>
      </c>
      <c r="B1481" s="0" t="n">
        <v>100231</v>
      </c>
      <c r="C1481" s="0" t="n">
        <v>2</v>
      </c>
      <c r="D1481" s="0" t="inlineStr">
        <is>
          <t>청라한화꿈에그린</t>
        </is>
      </c>
      <c r="E1481" s="0" t="inlineStr">
        <is>
          <t>2012.03.</t>
        </is>
      </c>
      <c r="F1481" s="0" t="n">
        <v>1172</v>
      </c>
      <c r="G1481" s="0" t="n">
        <v>39.75</v>
      </c>
      <c r="H1481" s="0" t="n">
        <v>131.41</v>
      </c>
      <c r="I1481" s="0" t="n">
        <v>30.4</v>
      </c>
      <c r="J1481" s="0" t="n">
        <v>100.51</v>
      </c>
      <c r="K1481" s="0" t="n">
        <v>144</v>
      </c>
      <c r="T1481" s="0" t="n">
        <v>3</v>
      </c>
      <c r="U1481" s="0" t="n">
        <v>2</v>
      </c>
      <c r="V1481" s="0" t="inlineStr">
        <is>
          <t>계단식</t>
        </is>
      </c>
      <c r="W1481" s="0" t="inlineStr">
        <is>
          <t>131B</t>
        </is>
      </c>
      <c r="X1481" s="0" t="n">
        <v>30</v>
      </c>
      <c r="Y1481" s="0" t="n">
        <v>22</v>
      </c>
      <c r="Z1481" s="0" t="inlineStr">
        <is>
          <t>https://new.land.naver.com/complexes/100231?tab=detail&amp;rf=Y</t>
        </is>
      </c>
      <c r="AA1481" s="0" t="inlineStr">
        <is>
          <t>인천시 서구 청라동 139-1</t>
        </is>
      </c>
      <c r="AB1481" s="0" t="inlineStr">
        <is>
          <t>인천시</t>
        </is>
      </c>
      <c r="AC1481" s="0" t="inlineStr">
        <is>
          <t>서구</t>
        </is>
      </c>
      <c r="AD1481" s="0" t="inlineStr">
        <is>
          <t>청라동</t>
        </is>
      </c>
      <c r="AG1481" s="0" t="inlineStr">
        <is>
          <t>인천시 서구 크리스탈로 148</t>
        </is>
      </c>
      <c r="AH1481" s="0" t="n">
        <v>0</v>
      </c>
      <c r="AI1481" s="0" t="n">
        <v>219</v>
      </c>
      <c r="AJ1481" s="0" t="n">
        <v>14</v>
      </c>
      <c r="AK1481" s="0" t="n">
        <v>2127</v>
      </c>
      <c r="AL1481" s="0" t="n">
        <v>1.81</v>
      </c>
    </row>
    <row r="1482">
      <c r="A1482" s="0" t="inlineStr">
        <is>
          <t>[청라동]</t>
        </is>
      </c>
      <c r="B1482" s="0" t="n">
        <v>100231</v>
      </c>
      <c r="C1482" s="0" t="n">
        <v>3</v>
      </c>
      <c r="D1482" s="0" t="inlineStr">
        <is>
          <t>청라한화꿈에그린</t>
        </is>
      </c>
      <c r="E1482" s="0" t="inlineStr">
        <is>
          <t>2012.03.</t>
        </is>
      </c>
      <c r="F1482" s="0" t="n">
        <v>1172</v>
      </c>
      <c r="G1482" s="0" t="n">
        <v>44.19</v>
      </c>
      <c r="H1482" s="0" t="n">
        <v>146.1</v>
      </c>
      <c r="I1482" s="0" t="n">
        <v>34.16</v>
      </c>
      <c r="J1482" s="0" t="n">
        <v>112.93</v>
      </c>
      <c r="K1482" s="0" t="n">
        <v>211</v>
      </c>
      <c r="T1482" s="0" t="n">
        <v>4</v>
      </c>
      <c r="U1482" s="0" t="n">
        <v>2</v>
      </c>
      <c r="V1482" s="0" t="inlineStr">
        <is>
          <t>계단식</t>
        </is>
      </c>
      <c r="W1482" s="0" t="n">
        <v>146</v>
      </c>
      <c r="X1482" s="0" t="n">
        <v>30</v>
      </c>
      <c r="Y1482" s="0" t="n">
        <v>22</v>
      </c>
      <c r="Z1482" s="0" t="inlineStr">
        <is>
          <t>https://new.land.naver.com/complexes/100231?tab=detail&amp;rf=Y</t>
        </is>
      </c>
      <c r="AA1482" s="0" t="inlineStr">
        <is>
          <t>인천시 서구 청라동 139-1</t>
        </is>
      </c>
      <c r="AB1482" s="0" t="inlineStr">
        <is>
          <t>인천시</t>
        </is>
      </c>
      <c r="AC1482" s="0" t="inlineStr">
        <is>
          <t>서구</t>
        </is>
      </c>
      <c r="AD1482" s="0" t="inlineStr">
        <is>
          <t>청라동</t>
        </is>
      </c>
      <c r="AG1482" s="0" t="inlineStr">
        <is>
          <t>인천시 서구 크리스탈로 148</t>
        </is>
      </c>
      <c r="AH1482" s="0" t="n">
        <v>0</v>
      </c>
      <c r="AI1482" s="0" t="n">
        <v>219</v>
      </c>
      <c r="AJ1482" s="0" t="n">
        <v>14</v>
      </c>
      <c r="AK1482" s="0" t="n">
        <v>2127</v>
      </c>
      <c r="AL1482" s="0" t="n">
        <v>1.81</v>
      </c>
    </row>
    <row r="1483">
      <c r="A1483" s="0" t="inlineStr">
        <is>
          <t>[청라동]</t>
        </is>
      </c>
      <c r="B1483" s="0" t="n">
        <v>100231</v>
      </c>
      <c r="C1483" s="0" t="n">
        <v>4</v>
      </c>
      <c r="D1483" s="0" t="inlineStr">
        <is>
          <t>청라한화꿈에그린</t>
        </is>
      </c>
      <c r="E1483" s="0" t="inlineStr">
        <is>
          <t>2012.03.</t>
        </is>
      </c>
      <c r="F1483" s="0" t="n">
        <v>1172</v>
      </c>
      <c r="G1483" s="0" t="n">
        <v>44.91</v>
      </c>
      <c r="H1483" s="0" t="n">
        <v>148.48</v>
      </c>
      <c r="I1483" s="0" t="n">
        <v>34.4</v>
      </c>
      <c r="J1483" s="0" t="n">
        <v>113.75</v>
      </c>
      <c r="K1483" s="0" t="n">
        <v>140</v>
      </c>
      <c r="T1483" s="0" t="n">
        <v>4</v>
      </c>
      <c r="U1483" s="0" t="n">
        <v>2</v>
      </c>
      <c r="V1483" s="0" t="inlineStr">
        <is>
          <t>계단식</t>
        </is>
      </c>
      <c r="W1483" s="0" t="inlineStr">
        <is>
          <t>148A</t>
        </is>
      </c>
      <c r="X1483" s="0" t="n">
        <v>30</v>
      </c>
      <c r="Y1483" s="0" t="n">
        <v>22</v>
      </c>
      <c r="Z1483" s="0" t="inlineStr">
        <is>
          <t>https://new.land.naver.com/complexes/100231?tab=detail&amp;rf=Y</t>
        </is>
      </c>
      <c r="AA1483" s="0" t="inlineStr">
        <is>
          <t>인천시 서구 청라동 139-1</t>
        </is>
      </c>
      <c r="AB1483" s="0" t="inlineStr">
        <is>
          <t>인천시</t>
        </is>
      </c>
      <c r="AC1483" s="0" t="inlineStr">
        <is>
          <t>서구</t>
        </is>
      </c>
      <c r="AD1483" s="0" t="inlineStr">
        <is>
          <t>청라동</t>
        </is>
      </c>
      <c r="AG1483" s="0" t="inlineStr">
        <is>
          <t>인천시 서구 크리스탈로 148</t>
        </is>
      </c>
      <c r="AH1483" s="0" t="n">
        <v>0</v>
      </c>
      <c r="AI1483" s="0" t="n">
        <v>219</v>
      </c>
      <c r="AJ1483" s="0" t="n">
        <v>14</v>
      </c>
      <c r="AK1483" s="0" t="n">
        <v>2127</v>
      </c>
      <c r="AL1483" s="0" t="n">
        <v>1.81</v>
      </c>
    </row>
    <row r="1484">
      <c r="A1484" s="0" t="inlineStr">
        <is>
          <t>[청라동]</t>
        </is>
      </c>
      <c r="B1484" s="0" t="n">
        <v>100231</v>
      </c>
      <c r="C1484" s="0" t="n">
        <v>5</v>
      </c>
      <c r="D1484" s="0" t="inlineStr">
        <is>
          <t>청라한화꿈에그린</t>
        </is>
      </c>
      <c r="E1484" s="0" t="inlineStr">
        <is>
          <t>2012.03.</t>
        </is>
      </c>
      <c r="F1484" s="0" t="n">
        <v>1172</v>
      </c>
      <c r="G1484" s="0" t="n">
        <v>45.04</v>
      </c>
      <c r="H1484" s="0" t="n">
        <v>148.9</v>
      </c>
      <c r="I1484" s="0" t="n">
        <v>34.4</v>
      </c>
      <c r="J1484" s="0" t="n">
        <v>113.72</v>
      </c>
      <c r="K1484" s="0" t="n">
        <v>140</v>
      </c>
      <c r="T1484" s="0" t="n">
        <v>4</v>
      </c>
      <c r="U1484" s="0" t="n">
        <v>2</v>
      </c>
      <c r="V1484" s="0" t="inlineStr">
        <is>
          <t>계단식</t>
        </is>
      </c>
      <c r="W1484" s="0" t="inlineStr">
        <is>
          <t>148B</t>
        </is>
      </c>
      <c r="X1484" s="0" t="n">
        <v>30</v>
      </c>
      <c r="Y1484" s="0" t="n">
        <v>22</v>
      </c>
      <c r="Z1484" s="0" t="inlineStr">
        <is>
          <t>https://new.land.naver.com/complexes/100231?tab=detail&amp;rf=Y</t>
        </is>
      </c>
      <c r="AA1484" s="0" t="inlineStr">
        <is>
          <t>인천시 서구 청라동 139-1</t>
        </is>
      </c>
      <c r="AB1484" s="0" t="inlineStr">
        <is>
          <t>인천시</t>
        </is>
      </c>
      <c r="AC1484" s="0" t="inlineStr">
        <is>
          <t>서구</t>
        </is>
      </c>
      <c r="AD1484" s="0" t="inlineStr">
        <is>
          <t>청라동</t>
        </is>
      </c>
      <c r="AG1484" s="0" t="inlineStr">
        <is>
          <t>인천시 서구 크리스탈로 148</t>
        </is>
      </c>
      <c r="AH1484" s="0" t="n">
        <v>0</v>
      </c>
      <c r="AI1484" s="0" t="n">
        <v>219</v>
      </c>
      <c r="AJ1484" s="0" t="n">
        <v>14</v>
      </c>
      <c r="AK1484" s="0" t="n">
        <v>2127</v>
      </c>
      <c r="AL1484" s="0" t="n">
        <v>1.81</v>
      </c>
    </row>
    <row r="1485">
      <c r="A1485" s="0" t="inlineStr">
        <is>
          <t>[청라동]</t>
        </is>
      </c>
      <c r="B1485" s="0" t="n">
        <v>100231</v>
      </c>
      <c r="C1485" s="0" t="n">
        <v>6</v>
      </c>
      <c r="D1485" s="0" t="inlineStr">
        <is>
          <t>청라한화꿈에그린</t>
        </is>
      </c>
      <c r="E1485" s="0" t="inlineStr">
        <is>
          <t>2012.03.</t>
        </is>
      </c>
      <c r="F1485" s="0" t="n">
        <v>1172</v>
      </c>
      <c r="G1485" s="0" t="n">
        <v>49.43</v>
      </c>
      <c r="H1485" s="0" t="n">
        <v>163.42</v>
      </c>
      <c r="I1485" s="0" t="n">
        <v>38</v>
      </c>
      <c r="J1485" s="0" t="n">
        <v>125.64</v>
      </c>
      <c r="K1485" s="0" t="n">
        <v>116</v>
      </c>
      <c r="T1485" s="0" t="n">
        <v>4</v>
      </c>
      <c r="U1485" s="0" t="n">
        <v>2</v>
      </c>
      <c r="V1485" s="0" t="inlineStr">
        <is>
          <t>계단식</t>
        </is>
      </c>
      <c r="W1485" s="0" t="n">
        <v>163</v>
      </c>
      <c r="X1485" s="0" t="n">
        <v>30</v>
      </c>
      <c r="Y1485" s="0" t="n">
        <v>22</v>
      </c>
      <c r="Z1485" s="0" t="inlineStr">
        <is>
          <t>https://new.land.naver.com/complexes/100231?tab=detail&amp;rf=Y</t>
        </is>
      </c>
      <c r="AA1485" s="0" t="inlineStr">
        <is>
          <t>인천시 서구 청라동 139-1</t>
        </is>
      </c>
      <c r="AB1485" s="0" t="inlineStr">
        <is>
          <t>인천시</t>
        </is>
      </c>
      <c r="AC1485" s="0" t="inlineStr">
        <is>
          <t>서구</t>
        </is>
      </c>
      <c r="AD1485" s="0" t="inlineStr">
        <is>
          <t>청라동</t>
        </is>
      </c>
      <c r="AG1485" s="0" t="inlineStr">
        <is>
          <t>인천시 서구 크리스탈로 148</t>
        </is>
      </c>
      <c r="AH1485" s="0" t="n">
        <v>0</v>
      </c>
      <c r="AI1485" s="0" t="n">
        <v>219</v>
      </c>
      <c r="AJ1485" s="0" t="n">
        <v>14</v>
      </c>
      <c r="AK1485" s="0" t="n">
        <v>2127</v>
      </c>
      <c r="AL1485" s="0" t="n">
        <v>1.81</v>
      </c>
    </row>
    <row r="1486">
      <c r="A1486" s="0" t="inlineStr">
        <is>
          <t>[청라동]</t>
        </is>
      </c>
      <c r="B1486" s="0" t="n">
        <v>100231</v>
      </c>
      <c r="C1486" s="0" t="n">
        <v>7</v>
      </c>
      <c r="D1486" s="0" t="inlineStr">
        <is>
          <t>청라한화꿈에그린</t>
        </is>
      </c>
      <c r="E1486" s="0" t="inlineStr">
        <is>
          <t>2012.03.</t>
        </is>
      </c>
      <c r="F1486" s="0" t="n">
        <v>1172</v>
      </c>
      <c r="G1486" s="0" t="n">
        <v>53.95</v>
      </c>
      <c r="H1486" s="0" t="n">
        <v>178.35</v>
      </c>
      <c r="I1486" s="0" t="n">
        <v>41.24</v>
      </c>
      <c r="J1486" s="0" t="n">
        <v>136.35</v>
      </c>
      <c r="K1486" s="0" t="n">
        <v>116</v>
      </c>
      <c r="T1486" s="0" t="n">
        <v>4</v>
      </c>
      <c r="U1486" s="0" t="n">
        <v>2</v>
      </c>
      <c r="V1486" s="0" t="inlineStr">
        <is>
          <t>계단식</t>
        </is>
      </c>
      <c r="W1486" s="0" t="n">
        <v>178</v>
      </c>
      <c r="X1486" s="0" t="n">
        <v>30</v>
      </c>
      <c r="Y1486" s="0" t="n">
        <v>22</v>
      </c>
      <c r="Z1486" s="0" t="inlineStr">
        <is>
          <t>https://new.land.naver.com/complexes/100231?tab=detail&amp;rf=Y</t>
        </is>
      </c>
      <c r="AA1486" s="0" t="inlineStr">
        <is>
          <t>인천시 서구 청라동 139-1</t>
        </is>
      </c>
      <c r="AB1486" s="0" t="inlineStr">
        <is>
          <t>인천시</t>
        </is>
      </c>
      <c r="AC1486" s="0" t="inlineStr">
        <is>
          <t>서구</t>
        </is>
      </c>
      <c r="AD1486" s="0" t="inlineStr">
        <is>
          <t>청라동</t>
        </is>
      </c>
      <c r="AG1486" s="0" t="inlineStr">
        <is>
          <t>인천시 서구 크리스탈로 148</t>
        </is>
      </c>
      <c r="AH1486" s="0" t="n">
        <v>0</v>
      </c>
      <c r="AI1486" s="0" t="n">
        <v>219</v>
      </c>
      <c r="AJ1486" s="0" t="n">
        <v>14</v>
      </c>
      <c r="AK1486" s="0" t="n">
        <v>2127</v>
      </c>
      <c r="AL1486" s="0" t="n">
        <v>1.81</v>
      </c>
    </row>
    <row r="1487">
      <c r="A1487" s="0" t="inlineStr">
        <is>
          <t>[청라동]</t>
        </is>
      </c>
      <c r="B1487" s="0" t="n">
        <v>27185</v>
      </c>
      <c r="C1487" s="0" t="n">
        <v>1</v>
      </c>
      <c r="D1487" s="0" t="inlineStr">
        <is>
          <t>중흥s-클래스2단지</t>
        </is>
      </c>
      <c r="E1487" s="0" t="inlineStr">
        <is>
          <t>2010.05.</t>
        </is>
      </c>
      <c r="F1487" s="0" t="n">
        <v>174</v>
      </c>
      <c r="G1487" s="0" t="n">
        <v>50.69</v>
      </c>
      <c r="H1487" s="0" t="n">
        <v>167.6</v>
      </c>
      <c r="I1487" s="0" t="n">
        <v>42.76</v>
      </c>
      <c r="J1487" s="0" t="n">
        <v>141.38</v>
      </c>
      <c r="K1487" s="0" t="n">
        <v>60</v>
      </c>
      <c r="T1487" s="0" t="n">
        <v>4</v>
      </c>
      <c r="U1487" s="0" t="n">
        <v>2</v>
      </c>
      <c r="V1487" s="0" t="inlineStr">
        <is>
          <t>계단식</t>
        </is>
      </c>
      <c r="W1487" s="0" t="inlineStr">
        <is>
          <t>167B</t>
        </is>
      </c>
      <c r="X1487" s="0" t="n">
        <v>15</v>
      </c>
      <c r="Y1487" s="0" t="n">
        <v>15</v>
      </c>
      <c r="Z1487" s="0" t="inlineStr">
        <is>
          <t>https://new.land.naver.com/complexes/27185?tab=detail&amp;rf=Y</t>
        </is>
      </c>
      <c r="AA1487" s="0" t="inlineStr">
        <is>
          <t>인천시 서구 청라동 165-13</t>
        </is>
      </c>
      <c r="AB1487" s="0" t="inlineStr">
        <is>
          <t>인천시</t>
        </is>
      </c>
      <c r="AC1487" s="0" t="inlineStr">
        <is>
          <t>서구</t>
        </is>
      </c>
      <c r="AD1487" s="0" t="inlineStr">
        <is>
          <t>청라동</t>
        </is>
      </c>
      <c r="AG1487" s="0" t="inlineStr">
        <is>
          <t>인천시 서구 청라에메랄드로 113</t>
        </is>
      </c>
      <c r="AH1487" s="0" t="n">
        <v>0</v>
      </c>
      <c r="AI1487" s="0" t="n">
        <v>149</v>
      </c>
      <c r="AJ1487" s="0" t="n">
        <v>14</v>
      </c>
      <c r="AK1487" s="0" t="n">
        <v>394</v>
      </c>
      <c r="AL1487" s="0" t="n">
        <v>2.26</v>
      </c>
    </row>
    <row r="1488">
      <c r="A1488" s="0" t="inlineStr">
        <is>
          <t>[청라동]</t>
        </is>
      </c>
      <c r="B1488" s="0" t="n">
        <v>27185</v>
      </c>
      <c r="C1488" s="0" t="n">
        <v>2</v>
      </c>
      <c r="D1488" s="0" t="inlineStr">
        <is>
          <t>중흥s-클래스2단지</t>
        </is>
      </c>
      <c r="E1488" s="0" t="inlineStr">
        <is>
          <t>2010.05.</t>
        </is>
      </c>
      <c r="F1488" s="0" t="n">
        <v>174</v>
      </c>
      <c r="G1488" s="0" t="n">
        <v>50.75</v>
      </c>
      <c r="H1488" s="0" t="n">
        <v>167.78</v>
      </c>
      <c r="I1488" s="0" t="n">
        <v>42.44</v>
      </c>
      <c r="J1488" s="0" t="n">
        <v>140.33</v>
      </c>
      <c r="K1488" s="0" t="n">
        <v>56</v>
      </c>
      <c r="T1488" s="0" t="n">
        <v>4</v>
      </c>
      <c r="U1488" s="0" t="n">
        <v>2</v>
      </c>
      <c r="V1488" s="0" t="inlineStr">
        <is>
          <t>계단식</t>
        </is>
      </c>
      <c r="W1488" s="0" t="inlineStr">
        <is>
          <t>167A</t>
        </is>
      </c>
      <c r="X1488" s="0" t="n">
        <v>15</v>
      </c>
      <c r="Y1488" s="0" t="n">
        <v>15</v>
      </c>
      <c r="Z1488" s="0" t="inlineStr">
        <is>
          <t>https://new.land.naver.com/complexes/27185?tab=detail&amp;rf=Y</t>
        </is>
      </c>
      <c r="AA1488" s="0" t="inlineStr">
        <is>
          <t>인천시 서구 청라동 165-13</t>
        </is>
      </c>
      <c r="AB1488" s="0" t="inlineStr">
        <is>
          <t>인천시</t>
        </is>
      </c>
      <c r="AC1488" s="0" t="inlineStr">
        <is>
          <t>서구</t>
        </is>
      </c>
      <c r="AD1488" s="0" t="inlineStr">
        <is>
          <t>청라동</t>
        </is>
      </c>
      <c r="AG1488" s="0" t="inlineStr">
        <is>
          <t>인천시 서구 청라에메랄드로 113</t>
        </is>
      </c>
      <c r="AH1488" s="0" t="n">
        <v>0</v>
      </c>
      <c r="AI1488" s="0" t="n">
        <v>149</v>
      </c>
      <c r="AJ1488" s="0" t="n">
        <v>14</v>
      </c>
      <c r="AK1488" s="0" t="n">
        <v>394</v>
      </c>
      <c r="AL1488" s="0" t="n">
        <v>2.26</v>
      </c>
    </row>
    <row r="1489">
      <c r="A1489" s="0" t="inlineStr">
        <is>
          <t>[청라동]</t>
        </is>
      </c>
      <c r="B1489" s="0" t="n">
        <v>27185</v>
      </c>
      <c r="C1489" s="0" t="n">
        <v>3</v>
      </c>
      <c r="D1489" s="0" t="inlineStr">
        <is>
          <t>중흥s-클래스2단지</t>
        </is>
      </c>
      <c r="E1489" s="0" t="inlineStr">
        <is>
          <t>2010.05.</t>
        </is>
      </c>
      <c r="F1489" s="0" t="n">
        <v>174</v>
      </c>
      <c r="G1489" s="0" t="n">
        <v>51.44</v>
      </c>
      <c r="H1489" s="0" t="n">
        <v>170.08</v>
      </c>
      <c r="I1489" s="0" t="n">
        <v>42.78</v>
      </c>
      <c r="J1489" s="0" t="n">
        <v>141.43</v>
      </c>
      <c r="K1489" s="0" t="n">
        <v>58</v>
      </c>
      <c r="T1489" s="0" t="n">
        <v>5</v>
      </c>
      <c r="U1489" s="0" t="n">
        <v>2</v>
      </c>
      <c r="V1489" s="0" t="inlineStr">
        <is>
          <t>계단식</t>
        </is>
      </c>
      <c r="W1489" s="0" t="inlineStr">
        <is>
          <t>170C</t>
        </is>
      </c>
      <c r="X1489" s="0" t="n">
        <v>15</v>
      </c>
      <c r="Y1489" s="0" t="n">
        <v>15</v>
      </c>
      <c r="Z1489" s="0" t="inlineStr">
        <is>
          <t>https://new.land.naver.com/complexes/27185?tab=detail&amp;rf=Y</t>
        </is>
      </c>
      <c r="AA1489" s="0" t="inlineStr">
        <is>
          <t>인천시 서구 청라동 165-13</t>
        </is>
      </c>
      <c r="AB1489" s="0" t="inlineStr">
        <is>
          <t>인천시</t>
        </is>
      </c>
      <c r="AC1489" s="0" t="inlineStr">
        <is>
          <t>서구</t>
        </is>
      </c>
      <c r="AD1489" s="0" t="inlineStr">
        <is>
          <t>청라동</t>
        </is>
      </c>
      <c r="AG1489" s="0" t="inlineStr">
        <is>
          <t>인천시 서구 청라에메랄드로 113</t>
        </is>
      </c>
      <c r="AH1489" s="0" t="n">
        <v>0</v>
      </c>
      <c r="AI1489" s="0" t="n">
        <v>149</v>
      </c>
      <c r="AJ1489" s="0" t="n">
        <v>14</v>
      </c>
      <c r="AK1489" s="0" t="n">
        <v>394</v>
      </c>
      <c r="AL1489" s="0" t="n">
        <v>2.26</v>
      </c>
    </row>
    <row r="1490">
      <c r="A1490" s="0" t="inlineStr">
        <is>
          <t>[청라동]</t>
        </is>
      </c>
      <c r="B1490" s="0" t="n">
        <v>118144</v>
      </c>
      <c r="C1490" s="0" t="n">
        <v>1</v>
      </c>
      <c r="D1490" s="0" t="inlineStr">
        <is>
          <t>청라호수공원한신더휴</t>
        </is>
      </c>
      <c r="E1490" s="0" t="inlineStr">
        <is>
          <t>2020.06.</t>
        </is>
      </c>
      <c r="F1490" s="0" t="n">
        <v>898</v>
      </c>
      <c r="G1490" s="0" t="n">
        <v>29.89</v>
      </c>
      <c r="H1490" s="0" t="n">
        <v>98.83</v>
      </c>
      <c r="I1490" s="0" t="n">
        <v>22.98</v>
      </c>
      <c r="J1490" s="0" t="n">
        <v>75.98999999999999</v>
      </c>
      <c r="K1490" s="0" t="n">
        <v>150</v>
      </c>
      <c r="T1490" s="0" t="n">
        <v>3</v>
      </c>
      <c r="U1490" s="0" t="n">
        <v>2</v>
      </c>
      <c r="V1490" s="0" t="inlineStr">
        <is>
          <t>계단식</t>
        </is>
      </c>
      <c r="W1490" s="0" t="n">
        <v>98</v>
      </c>
      <c r="X1490" s="0" t="n">
        <v>30</v>
      </c>
      <c r="Y1490" s="0" t="n">
        <v>21</v>
      </c>
      <c r="Z1490" s="0" t="inlineStr">
        <is>
          <t>https://new.land.naver.com/complexes/118144?tab=detail&amp;rf=Y</t>
        </is>
      </c>
      <c r="AA1490" s="0" t="inlineStr">
        <is>
          <t>인천시 서구 청라동 103-15</t>
        </is>
      </c>
      <c r="AB1490" s="0" t="inlineStr">
        <is>
          <t>인천시</t>
        </is>
      </c>
      <c r="AC1490" s="0" t="inlineStr">
        <is>
          <t>서구</t>
        </is>
      </c>
      <c r="AD1490" s="0" t="inlineStr">
        <is>
          <t>청라동</t>
        </is>
      </c>
      <c r="AG1490" s="0" t="inlineStr">
        <is>
          <t>인천시 서구 청라한내로 40</t>
        </is>
      </c>
      <c r="AH1490" s="0" t="n">
        <v>0</v>
      </c>
      <c r="AI1490" s="0" t="n">
        <v>220</v>
      </c>
      <c r="AJ1490" s="0" t="n">
        <v>15</v>
      </c>
      <c r="AK1490" s="0" t="n">
        <v>1123</v>
      </c>
      <c r="AL1490" s="0" t="n">
        <v>1.25</v>
      </c>
    </row>
    <row r="1491">
      <c r="A1491" s="0" t="inlineStr">
        <is>
          <t>[청라동]</t>
        </is>
      </c>
      <c r="B1491" s="0" t="n">
        <v>118144</v>
      </c>
      <c r="C1491" s="0" t="n">
        <v>2</v>
      </c>
      <c r="D1491" s="0" t="inlineStr">
        <is>
          <t>청라호수공원한신더휴</t>
        </is>
      </c>
      <c r="E1491" s="0" t="inlineStr">
        <is>
          <t>2020.06.</t>
        </is>
      </c>
      <c r="F1491" s="0" t="n">
        <v>898</v>
      </c>
      <c r="G1491" s="0" t="n">
        <v>33.32</v>
      </c>
      <c r="H1491" s="0" t="n">
        <v>110.17</v>
      </c>
      <c r="I1491" s="0" t="n">
        <v>25.7</v>
      </c>
      <c r="J1491" s="0" t="n">
        <v>84.95999999999999</v>
      </c>
      <c r="K1491" s="0" t="n">
        <v>328</v>
      </c>
      <c r="T1491" s="0" t="n">
        <v>3</v>
      </c>
      <c r="U1491" s="0" t="n">
        <v>2</v>
      </c>
      <c r="V1491" s="0" t="inlineStr">
        <is>
          <t>계단식</t>
        </is>
      </c>
      <c r="W1491" s="0" t="inlineStr">
        <is>
          <t>110A</t>
        </is>
      </c>
      <c r="X1491" s="0" t="n">
        <v>30</v>
      </c>
      <c r="Y1491" s="0" t="n">
        <v>21</v>
      </c>
      <c r="Z1491" s="0" t="inlineStr">
        <is>
          <t>https://new.land.naver.com/complexes/118144?tab=detail&amp;rf=Y</t>
        </is>
      </c>
      <c r="AA1491" s="0" t="inlineStr">
        <is>
          <t>인천시 서구 청라동 103-15</t>
        </is>
      </c>
      <c r="AB1491" s="0" t="inlineStr">
        <is>
          <t>인천시</t>
        </is>
      </c>
      <c r="AC1491" s="0" t="inlineStr">
        <is>
          <t>서구</t>
        </is>
      </c>
      <c r="AD1491" s="0" t="inlineStr">
        <is>
          <t>청라동</t>
        </is>
      </c>
      <c r="AG1491" s="0" t="inlineStr">
        <is>
          <t>인천시 서구 청라한내로 40</t>
        </is>
      </c>
      <c r="AH1491" s="0" t="n">
        <v>0</v>
      </c>
      <c r="AI1491" s="0" t="n">
        <v>220</v>
      </c>
      <c r="AJ1491" s="0" t="n">
        <v>15</v>
      </c>
      <c r="AK1491" s="0" t="n">
        <v>1123</v>
      </c>
      <c r="AL1491" s="0" t="n">
        <v>1.25</v>
      </c>
    </row>
    <row r="1492">
      <c r="A1492" s="0" t="inlineStr">
        <is>
          <t>[청라동]</t>
        </is>
      </c>
      <c r="B1492" s="0" t="n">
        <v>118144</v>
      </c>
      <c r="C1492" s="0" t="n">
        <v>3</v>
      </c>
      <c r="D1492" s="0" t="inlineStr">
        <is>
          <t>청라호수공원한신더휴</t>
        </is>
      </c>
      <c r="E1492" s="0" t="inlineStr">
        <is>
          <t>2020.06.</t>
        </is>
      </c>
      <c r="F1492" s="0" t="n">
        <v>898</v>
      </c>
      <c r="G1492" s="0" t="n">
        <v>33.32</v>
      </c>
      <c r="H1492" s="0" t="n">
        <v>110.17</v>
      </c>
      <c r="I1492" s="0" t="n">
        <v>25.7</v>
      </c>
      <c r="J1492" s="0" t="n">
        <v>84.95999999999999</v>
      </c>
      <c r="K1492" s="0" t="n">
        <v>166</v>
      </c>
      <c r="T1492" s="0" t="n">
        <v>3</v>
      </c>
      <c r="U1492" s="0" t="n">
        <v>2</v>
      </c>
      <c r="V1492" s="0" t="inlineStr">
        <is>
          <t>계단식</t>
        </is>
      </c>
      <c r="W1492" s="0" t="inlineStr">
        <is>
          <t>110B</t>
        </is>
      </c>
      <c r="X1492" s="0" t="n">
        <v>30</v>
      </c>
      <c r="Y1492" s="0" t="n">
        <v>21</v>
      </c>
      <c r="Z1492" s="0" t="inlineStr">
        <is>
          <t>https://new.land.naver.com/complexes/118144?tab=detail&amp;rf=Y</t>
        </is>
      </c>
      <c r="AA1492" s="0" t="inlineStr">
        <is>
          <t>인천시 서구 청라동 103-15</t>
        </is>
      </c>
      <c r="AB1492" s="0" t="inlineStr">
        <is>
          <t>인천시</t>
        </is>
      </c>
      <c r="AC1492" s="0" t="inlineStr">
        <is>
          <t>서구</t>
        </is>
      </c>
      <c r="AD1492" s="0" t="inlineStr">
        <is>
          <t>청라동</t>
        </is>
      </c>
      <c r="AG1492" s="0" t="inlineStr">
        <is>
          <t>인천시 서구 청라한내로 40</t>
        </is>
      </c>
      <c r="AH1492" s="0" t="n">
        <v>0</v>
      </c>
      <c r="AI1492" s="0" t="n">
        <v>220</v>
      </c>
      <c r="AJ1492" s="0" t="n">
        <v>15</v>
      </c>
      <c r="AK1492" s="0" t="n">
        <v>1123</v>
      </c>
      <c r="AL1492" s="0" t="n">
        <v>1.25</v>
      </c>
    </row>
    <row r="1493">
      <c r="A1493" s="0" t="inlineStr">
        <is>
          <t>[청라동]</t>
        </is>
      </c>
      <c r="B1493" s="0" t="n">
        <v>118144</v>
      </c>
      <c r="C1493" s="0" t="n">
        <v>4</v>
      </c>
      <c r="D1493" s="0" t="inlineStr">
        <is>
          <t>청라호수공원한신더휴</t>
        </is>
      </c>
      <c r="E1493" s="0" t="inlineStr">
        <is>
          <t>2020.06.</t>
        </is>
      </c>
      <c r="F1493" s="0" t="n">
        <v>898</v>
      </c>
      <c r="G1493" s="0" t="n">
        <v>33.95</v>
      </c>
      <c r="H1493" s="0" t="n">
        <v>112.24</v>
      </c>
      <c r="I1493" s="0" t="n">
        <v>25.7</v>
      </c>
      <c r="J1493" s="0" t="n">
        <v>84.98</v>
      </c>
      <c r="K1493" s="0" t="n">
        <v>254</v>
      </c>
      <c r="T1493" s="0" t="n">
        <v>3</v>
      </c>
      <c r="U1493" s="0" t="n">
        <v>2</v>
      </c>
      <c r="V1493" s="0" t="inlineStr">
        <is>
          <t>계단식</t>
        </is>
      </c>
      <c r="W1493" s="0" t="inlineStr">
        <is>
          <t>112C</t>
        </is>
      </c>
      <c r="X1493" s="0" t="n">
        <v>30</v>
      </c>
      <c r="Y1493" s="0" t="n">
        <v>21</v>
      </c>
      <c r="Z1493" s="0" t="inlineStr">
        <is>
          <t>https://new.land.naver.com/complexes/118144?tab=detail&amp;rf=Y</t>
        </is>
      </c>
      <c r="AA1493" s="0" t="inlineStr">
        <is>
          <t>인천시 서구 청라동 103-15</t>
        </is>
      </c>
      <c r="AB1493" s="0" t="inlineStr">
        <is>
          <t>인천시</t>
        </is>
      </c>
      <c r="AC1493" s="0" t="inlineStr">
        <is>
          <t>서구</t>
        </is>
      </c>
      <c r="AD1493" s="0" t="inlineStr">
        <is>
          <t>청라동</t>
        </is>
      </c>
      <c r="AG1493" s="0" t="inlineStr">
        <is>
          <t>인천시 서구 청라한내로 40</t>
        </is>
      </c>
      <c r="AH1493" s="0" t="n">
        <v>0</v>
      </c>
      <c r="AI1493" s="0" t="n">
        <v>220</v>
      </c>
      <c r="AJ1493" s="0" t="n">
        <v>15</v>
      </c>
      <c r="AK1493" s="0" t="n">
        <v>1123</v>
      </c>
      <c r="AL1493" s="0" t="n">
        <v>1.25</v>
      </c>
    </row>
    <row r="1494">
      <c r="A1494" s="0" t="inlineStr">
        <is>
          <t>[청라동]</t>
        </is>
      </c>
      <c r="B1494" s="0" t="n">
        <v>27083</v>
      </c>
      <c r="C1494" s="0" t="n">
        <v>1</v>
      </c>
      <c r="D1494" s="0" t="inlineStr">
        <is>
          <t>청라웰카운티2차</t>
        </is>
      </c>
      <c r="E1494" s="0" t="inlineStr">
        <is>
          <t>2012.04.</t>
        </is>
      </c>
      <c r="F1494" s="0" t="n">
        <v>464</v>
      </c>
      <c r="G1494" s="0" t="n">
        <v>38.24</v>
      </c>
      <c r="H1494" s="0" t="n">
        <v>126.42</v>
      </c>
      <c r="I1494" s="0" t="n">
        <v>29.42</v>
      </c>
      <c r="J1494" s="0" t="n">
        <v>97.26000000000001</v>
      </c>
      <c r="K1494" s="0" t="n">
        <v>78</v>
      </c>
      <c r="T1494" s="0" t="n">
        <v>3</v>
      </c>
      <c r="U1494" s="0" t="n">
        <v>2</v>
      </c>
      <c r="V1494" s="0" t="inlineStr">
        <is>
          <t>계단식</t>
        </is>
      </c>
      <c r="W1494" s="0" t="inlineStr">
        <is>
          <t>126B</t>
        </is>
      </c>
      <c r="X1494" s="0" t="n">
        <v>30</v>
      </c>
      <c r="Y1494" s="0" t="n">
        <v>22</v>
      </c>
      <c r="Z1494" s="0" t="inlineStr">
        <is>
          <t>https://new.land.naver.com/complexes/27083?tab=detail&amp;rf=Y</t>
        </is>
      </c>
      <c r="AA1494" s="0" t="inlineStr">
        <is>
          <t>인천시 서구 청라동 166-1</t>
        </is>
      </c>
      <c r="AB1494" s="0" t="inlineStr">
        <is>
          <t>인천시</t>
        </is>
      </c>
      <c r="AC1494" s="0" t="inlineStr">
        <is>
          <t>서구</t>
        </is>
      </c>
      <c r="AD1494" s="0" t="inlineStr">
        <is>
          <t>청라동</t>
        </is>
      </c>
      <c r="AG1494" s="0" t="inlineStr">
        <is>
          <t>인천시 서구 청라에메랄드로 112</t>
        </is>
      </c>
      <c r="AH1494" s="0" t="n">
        <v>0</v>
      </c>
      <c r="AI1494" s="0" t="n">
        <v>179</v>
      </c>
      <c r="AJ1494" s="0" t="n">
        <v>11</v>
      </c>
      <c r="AK1494" s="0" t="n">
        <v>878</v>
      </c>
      <c r="AL1494" s="0" t="n">
        <v>1.89</v>
      </c>
    </row>
    <row r="1495">
      <c r="A1495" s="0" t="inlineStr">
        <is>
          <t>[청라동]</t>
        </is>
      </c>
      <c r="B1495" s="0" t="n">
        <v>27083</v>
      </c>
      <c r="C1495" s="0" t="n">
        <v>2</v>
      </c>
      <c r="D1495" s="0" t="inlineStr">
        <is>
          <t>청라웰카운티2차</t>
        </is>
      </c>
      <c r="E1495" s="0" t="inlineStr">
        <is>
          <t>2012.04.</t>
        </is>
      </c>
      <c r="F1495" s="0" t="n">
        <v>464</v>
      </c>
      <c r="G1495" s="0" t="n">
        <v>38.3</v>
      </c>
      <c r="H1495" s="0" t="n">
        <v>126.62</v>
      </c>
      <c r="I1495" s="0" t="n">
        <v>29.42</v>
      </c>
      <c r="J1495" s="0" t="n">
        <v>97.26000000000001</v>
      </c>
      <c r="K1495" s="0" t="n">
        <v>72</v>
      </c>
      <c r="T1495" s="0" t="n">
        <v>3</v>
      </c>
      <c r="U1495" s="0" t="n">
        <v>2</v>
      </c>
      <c r="V1495" s="0" t="inlineStr">
        <is>
          <t>계단식</t>
        </is>
      </c>
      <c r="W1495" s="0" t="inlineStr">
        <is>
          <t>126A</t>
        </is>
      </c>
      <c r="X1495" s="0" t="n">
        <v>30</v>
      </c>
      <c r="Y1495" s="0" t="n">
        <v>22</v>
      </c>
      <c r="Z1495" s="0" t="inlineStr">
        <is>
          <t>https://new.land.naver.com/complexes/27083?tab=detail&amp;rf=Y</t>
        </is>
      </c>
      <c r="AA1495" s="0" t="inlineStr">
        <is>
          <t>인천시 서구 청라동 166-1</t>
        </is>
      </c>
      <c r="AB1495" s="0" t="inlineStr">
        <is>
          <t>인천시</t>
        </is>
      </c>
      <c r="AC1495" s="0" t="inlineStr">
        <is>
          <t>서구</t>
        </is>
      </c>
      <c r="AD1495" s="0" t="inlineStr">
        <is>
          <t>청라동</t>
        </is>
      </c>
      <c r="AG1495" s="0" t="inlineStr">
        <is>
          <t>인천시 서구 청라에메랄드로 112</t>
        </is>
      </c>
      <c r="AH1495" s="0" t="n">
        <v>0</v>
      </c>
      <c r="AI1495" s="0" t="n">
        <v>179</v>
      </c>
      <c r="AJ1495" s="0" t="n">
        <v>11</v>
      </c>
      <c r="AK1495" s="0" t="n">
        <v>878</v>
      </c>
      <c r="AL1495" s="0" t="n">
        <v>1.89</v>
      </c>
    </row>
    <row r="1496">
      <c r="A1496" s="0" t="inlineStr">
        <is>
          <t>[청라동]</t>
        </is>
      </c>
      <c r="B1496" s="0" t="n">
        <v>27083</v>
      </c>
      <c r="C1496" s="0" t="n">
        <v>3</v>
      </c>
      <c r="D1496" s="0" t="inlineStr">
        <is>
          <t>청라웰카운티2차</t>
        </is>
      </c>
      <c r="E1496" s="0" t="inlineStr">
        <is>
          <t>2012.04.</t>
        </is>
      </c>
      <c r="F1496" s="0" t="n">
        <v>464</v>
      </c>
      <c r="G1496" s="0" t="n">
        <v>43.17</v>
      </c>
      <c r="H1496" s="0" t="n">
        <v>142.72</v>
      </c>
      <c r="I1496" s="0" t="n">
        <v>33.46</v>
      </c>
      <c r="J1496" s="0" t="n">
        <v>110.63</v>
      </c>
      <c r="K1496" s="0" t="n">
        <v>67</v>
      </c>
      <c r="T1496" s="0" t="n">
        <v>4</v>
      </c>
      <c r="U1496" s="0" t="n">
        <v>2</v>
      </c>
      <c r="V1496" s="0" t="inlineStr">
        <is>
          <t>계단식</t>
        </is>
      </c>
      <c r="W1496" s="0" t="n">
        <v>142</v>
      </c>
      <c r="X1496" s="0" t="n">
        <v>30</v>
      </c>
      <c r="Y1496" s="0" t="n">
        <v>22</v>
      </c>
      <c r="Z1496" s="0" t="inlineStr">
        <is>
          <t>https://new.land.naver.com/complexes/27083?tab=detail&amp;rf=Y</t>
        </is>
      </c>
      <c r="AA1496" s="0" t="inlineStr">
        <is>
          <t>인천시 서구 청라동 166-1</t>
        </is>
      </c>
      <c r="AB1496" s="0" t="inlineStr">
        <is>
          <t>인천시</t>
        </is>
      </c>
      <c r="AC1496" s="0" t="inlineStr">
        <is>
          <t>서구</t>
        </is>
      </c>
      <c r="AD1496" s="0" t="inlineStr">
        <is>
          <t>청라동</t>
        </is>
      </c>
      <c r="AG1496" s="0" t="inlineStr">
        <is>
          <t>인천시 서구 청라에메랄드로 112</t>
        </is>
      </c>
      <c r="AH1496" s="0" t="n">
        <v>0</v>
      </c>
      <c r="AI1496" s="0" t="n">
        <v>179</v>
      </c>
      <c r="AJ1496" s="0" t="n">
        <v>11</v>
      </c>
      <c r="AK1496" s="0" t="n">
        <v>878</v>
      </c>
      <c r="AL1496" s="0" t="n">
        <v>1.89</v>
      </c>
    </row>
    <row r="1497">
      <c r="A1497" s="0" t="inlineStr">
        <is>
          <t>[청라동]</t>
        </is>
      </c>
      <c r="B1497" s="0" t="n">
        <v>27083</v>
      </c>
      <c r="C1497" s="0" t="n">
        <v>4</v>
      </c>
      <c r="D1497" s="0" t="inlineStr">
        <is>
          <t>청라웰카운티2차</t>
        </is>
      </c>
      <c r="E1497" s="0" t="inlineStr">
        <is>
          <t>2012.04.</t>
        </is>
      </c>
      <c r="F1497" s="0" t="n">
        <v>464</v>
      </c>
      <c r="G1497" s="0" t="n">
        <v>47.29</v>
      </c>
      <c r="H1497" s="0" t="n">
        <v>156.34</v>
      </c>
      <c r="I1497" s="0" t="n">
        <v>36.51</v>
      </c>
      <c r="J1497" s="0" t="n">
        <v>120.72</v>
      </c>
      <c r="K1497" s="0" t="n">
        <v>58</v>
      </c>
      <c r="T1497" s="0" t="n">
        <v>4</v>
      </c>
      <c r="U1497" s="0" t="n">
        <v>2</v>
      </c>
      <c r="V1497" s="0" t="inlineStr">
        <is>
          <t>계단식</t>
        </is>
      </c>
      <c r="W1497" s="0" t="inlineStr">
        <is>
          <t>156A</t>
        </is>
      </c>
      <c r="X1497" s="0" t="n">
        <v>30</v>
      </c>
      <c r="Y1497" s="0" t="n">
        <v>22</v>
      </c>
      <c r="Z1497" s="0" t="inlineStr">
        <is>
          <t>https://new.land.naver.com/complexes/27083?tab=detail&amp;rf=Y</t>
        </is>
      </c>
      <c r="AA1497" s="0" t="inlineStr">
        <is>
          <t>인천시 서구 청라동 166-1</t>
        </is>
      </c>
      <c r="AB1497" s="0" t="inlineStr">
        <is>
          <t>인천시</t>
        </is>
      </c>
      <c r="AC1497" s="0" t="inlineStr">
        <is>
          <t>서구</t>
        </is>
      </c>
      <c r="AD1497" s="0" t="inlineStr">
        <is>
          <t>청라동</t>
        </is>
      </c>
      <c r="AG1497" s="0" t="inlineStr">
        <is>
          <t>인천시 서구 청라에메랄드로 112</t>
        </is>
      </c>
      <c r="AH1497" s="0" t="n">
        <v>0</v>
      </c>
      <c r="AI1497" s="0" t="n">
        <v>179</v>
      </c>
      <c r="AJ1497" s="0" t="n">
        <v>11</v>
      </c>
      <c r="AK1497" s="0" t="n">
        <v>878</v>
      </c>
      <c r="AL1497" s="0" t="n">
        <v>1.89</v>
      </c>
    </row>
    <row r="1498">
      <c r="A1498" s="0" t="inlineStr">
        <is>
          <t>[청라동]</t>
        </is>
      </c>
      <c r="B1498" s="0" t="n">
        <v>27083</v>
      </c>
      <c r="C1498" s="0" t="n">
        <v>5</v>
      </c>
      <c r="D1498" s="0" t="inlineStr">
        <is>
          <t>청라웰카운티2차</t>
        </is>
      </c>
      <c r="E1498" s="0" t="inlineStr">
        <is>
          <t>2012.04.</t>
        </is>
      </c>
      <c r="F1498" s="0" t="n">
        <v>464</v>
      </c>
      <c r="G1498" s="0" t="n">
        <v>47.23</v>
      </c>
      <c r="H1498" s="0" t="n">
        <v>156.14</v>
      </c>
      <c r="I1498" s="0" t="n">
        <v>36.36</v>
      </c>
      <c r="J1498" s="0" t="n">
        <v>120.2</v>
      </c>
      <c r="K1498" s="0" t="n">
        <v>54</v>
      </c>
      <c r="T1498" s="0" t="n">
        <v>4</v>
      </c>
      <c r="U1498" s="0" t="n">
        <v>2</v>
      </c>
      <c r="V1498" s="0" t="inlineStr">
        <is>
          <t>계단식</t>
        </is>
      </c>
      <c r="W1498" s="0" t="inlineStr">
        <is>
          <t>156B</t>
        </is>
      </c>
      <c r="X1498" s="0" t="n">
        <v>30</v>
      </c>
      <c r="Y1498" s="0" t="n">
        <v>22</v>
      </c>
      <c r="Z1498" s="0" t="inlineStr">
        <is>
          <t>https://new.land.naver.com/complexes/27083?tab=detail&amp;rf=Y</t>
        </is>
      </c>
      <c r="AA1498" s="0" t="inlineStr">
        <is>
          <t>인천시 서구 청라동 166-1</t>
        </is>
      </c>
      <c r="AB1498" s="0" t="inlineStr">
        <is>
          <t>인천시</t>
        </is>
      </c>
      <c r="AC1498" s="0" t="inlineStr">
        <is>
          <t>서구</t>
        </is>
      </c>
      <c r="AD1498" s="0" t="inlineStr">
        <is>
          <t>청라동</t>
        </is>
      </c>
      <c r="AG1498" s="0" t="inlineStr">
        <is>
          <t>인천시 서구 청라에메랄드로 112</t>
        </is>
      </c>
      <c r="AH1498" s="0" t="n">
        <v>0</v>
      </c>
      <c r="AI1498" s="0" t="n">
        <v>179</v>
      </c>
      <c r="AJ1498" s="0" t="n">
        <v>11</v>
      </c>
      <c r="AK1498" s="0" t="n">
        <v>878</v>
      </c>
      <c r="AL1498" s="0" t="n">
        <v>1.89</v>
      </c>
    </row>
    <row r="1499">
      <c r="A1499" s="0" t="inlineStr">
        <is>
          <t>[청라동]</t>
        </is>
      </c>
      <c r="B1499" s="0" t="n">
        <v>27083</v>
      </c>
      <c r="C1499" s="0" t="n">
        <v>6</v>
      </c>
      <c r="D1499" s="0" t="inlineStr">
        <is>
          <t>청라웰카운티2차</t>
        </is>
      </c>
      <c r="E1499" s="0" t="inlineStr">
        <is>
          <t>2012.04.</t>
        </is>
      </c>
      <c r="F1499" s="0" t="n">
        <v>464</v>
      </c>
      <c r="G1499" s="0" t="n">
        <v>48.59</v>
      </c>
      <c r="H1499" s="0" t="n">
        <v>160.65</v>
      </c>
      <c r="I1499" s="0" t="n">
        <v>37.75</v>
      </c>
      <c r="J1499" s="0" t="n">
        <v>124.82</v>
      </c>
      <c r="K1499" s="0" t="n">
        <v>52</v>
      </c>
      <c r="T1499" s="0" t="n">
        <v>4</v>
      </c>
      <c r="U1499" s="0" t="n">
        <v>2</v>
      </c>
      <c r="V1499" s="0" t="inlineStr">
        <is>
          <t>계단식</t>
        </is>
      </c>
      <c r="W1499" s="0" t="n">
        <v>160</v>
      </c>
      <c r="X1499" s="0" t="n">
        <v>30</v>
      </c>
      <c r="Y1499" s="0" t="n">
        <v>22</v>
      </c>
      <c r="Z1499" s="0" t="inlineStr">
        <is>
          <t>https://new.land.naver.com/complexes/27083?tab=detail&amp;rf=Y</t>
        </is>
      </c>
      <c r="AA1499" s="0" t="inlineStr">
        <is>
          <t>인천시 서구 청라동 166-1</t>
        </is>
      </c>
      <c r="AB1499" s="0" t="inlineStr">
        <is>
          <t>인천시</t>
        </is>
      </c>
      <c r="AC1499" s="0" t="inlineStr">
        <is>
          <t>서구</t>
        </is>
      </c>
      <c r="AD1499" s="0" t="inlineStr">
        <is>
          <t>청라동</t>
        </is>
      </c>
      <c r="AG1499" s="0" t="inlineStr">
        <is>
          <t>인천시 서구 청라에메랄드로 112</t>
        </is>
      </c>
      <c r="AH1499" s="0" t="n">
        <v>0</v>
      </c>
      <c r="AI1499" s="0" t="n">
        <v>179</v>
      </c>
      <c r="AJ1499" s="0" t="n">
        <v>11</v>
      </c>
      <c r="AK1499" s="0" t="n">
        <v>878</v>
      </c>
      <c r="AL1499" s="0" t="n">
        <v>1.89</v>
      </c>
    </row>
    <row r="1500">
      <c r="A1500" s="0" t="inlineStr">
        <is>
          <t>[청라동]</t>
        </is>
      </c>
      <c r="B1500" s="0" t="n">
        <v>27083</v>
      </c>
      <c r="C1500" s="0" t="n">
        <v>7</v>
      </c>
      <c r="D1500" s="0" t="inlineStr">
        <is>
          <t>청라웰카운티2차</t>
        </is>
      </c>
      <c r="E1500" s="0" t="inlineStr">
        <is>
          <t>2012.04.</t>
        </is>
      </c>
      <c r="F1500" s="0" t="n">
        <v>464</v>
      </c>
      <c r="G1500" s="0" t="n">
        <v>56.87</v>
      </c>
      <c r="H1500" s="0" t="n">
        <v>188</v>
      </c>
      <c r="I1500" s="0" t="n">
        <v>44.41</v>
      </c>
      <c r="J1500" s="0" t="n">
        <v>146.84</v>
      </c>
      <c r="K1500" s="0" t="n">
        <v>48</v>
      </c>
      <c r="T1500" s="0" t="n">
        <v>4</v>
      </c>
      <c r="U1500" s="0" t="n">
        <v>3</v>
      </c>
      <c r="V1500" s="0" t="inlineStr">
        <is>
          <t>계단식</t>
        </is>
      </c>
      <c r="W1500" s="0" t="inlineStr">
        <is>
          <t>188A</t>
        </is>
      </c>
      <c r="X1500" s="0" t="n">
        <v>30</v>
      </c>
      <c r="Y1500" s="0" t="n">
        <v>22</v>
      </c>
      <c r="Z1500" s="0" t="inlineStr">
        <is>
          <t>https://new.land.naver.com/complexes/27083?tab=detail&amp;rf=Y</t>
        </is>
      </c>
      <c r="AA1500" s="0" t="inlineStr">
        <is>
          <t>인천시 서구 청라동 166-1</t>
        </is>
      </c>
      <c r="AB1500" s="0" t="inlineStr">
        <is>
          <t>인천시</t>
        </is>
      </c>
      <c r="AC1500" s="0" t="inlineStr">
        <is>
          <t>서구</t>
        </is>
      </c>
      <c r="AD1500" s="0" t="inlineStr">
        <is>
          <t>청라동</t>
        </is>
      </c>
      <c r="AG1500" s="0" t="inlineStr">
        <is>
          <t>인천시 서구 청라에메랄드로 112</t>
        </is>
      </c>
      <c r="AH1500" s="0" t="n">
        <v>0</v>
      </c>
      <c r="AI1500" s="0" t="n">
        <v>179</v>
      </c>
      <c r="AJ1500" s="0" t="n">
        <v>11</v>
      </c>
      <c r="AK1500" s="0" t="n">
        <v>878</v>
      </c>
      <c r="AL1500" s="0" t="n">
        <v>1.89</v>
      </c>
    </row>
    <row r="1501">
      <c r="A1501" s="0" t="inlineStr">
        <is>
          <t>[청라동]</t>
        </is>
      </c>
      <c r="B1501" s="0" t="n">
        <v>27083</v>
      </c>
      <c r="C1501" s="0" t="n">
        <v>8</v>
      </c>
      <c r="D1501" s="0" t="inlineStr">
        <is>
          <t>청라웰카운티2차</t>
        </is>
      </c>
      <c r="E1501" s="0" t="inlineStr">
        <is>
          <t>2012.04.</t>
        </is>
      </c>
      <c r="F1501" s="0" t="n">
        <v>464</v>
      </c>
      <c r="G1501" s="0" t="n">
        <v>57.14</v>
      </c>
      <c r="H1501" s="0" t="n">
        <v>188.92</v>
      </c>
      <c r="I1501" s="0" t="n">
        <v>44.27</v>
      </c>
      <c r="J1501" s="0" t="n">
        <v>146.35</v>
      </c>
      <c r="K1501" s="0" t="n">
        <v>25</v>
      </c>
      <c r="T1501" s="0" t="n">
        <v>4</v>
      </c>
      <c r="U1501" s="0" t="n">
        <v>3</v>
      </c>
      <c r="V1501" s="0" t="inlineStr">
        <is>
          <t>계단식</t>
        </is>
      </c>
      <c r="W1501" s="0" t="inlineStr">
        <is>
          <t>188B</t>
        </is>
      </c>
      <c r="X1501" s="0" t="n">
        <v>30</v>
      </c>
      <c r="Y1501" s="0" t="n">
        <v>22</v>
      </c>
      <c r="Z1501" s="0" t="inlineStr">
        <is>
          <t>https://new.land.naver.com/complexes/27083?tab=detail&amp;rf=Y</t>
        </is>
      </c>
      <c r="AA1501" s="0" t="inlineStr">
        <is>
          <t>인천시 서구 청라동 166-1</t>
        </is>
      </c>
      <c r="AB1501" s="0" t="inlineStr">
        <is>
          <t>인천시</t>
        </is>
      </c>
      <c r="AC1501" s="0" t="inlineStr">
        <is>
          <t>서구</t>
        </is>
      </c>
      <c r="AD1501" s="0" t="inlineStr">
        <is>
          <t>청라동</t>
        </is>
      </c>
      <c r="AG1501" s="0" t="inlineStr">
        <is>
          <t>인천시 서구 청라에메랄드로 112</t>
        </is>
      </c>
      <c r="AH1501" s="0" t="n">
        <v>0</v>
      </c>
      <c r="AI1501" s="0" t="n">
        <v>179</v>
      </c>
      <c r="AJ1501" s="0" t="n">
        <v>11</v>
      </c>
      <c r="AK1501" s="0" t="n">
        <v>878</v>
      </c>
      <c r="AL1501" s="0" t="n">
        <v>1.89</v>
      </c>
    </row>
    <row r="1502">
      <c r="A1502" s="0" t="inlineStr">
        <is>
          <t>[청라동]</t>
        </is>
      </c>
      <c r="B1502" s="0" t="n">
        <v>27083</v>
      </c>
      <c r="C1502" s="0" t="n">
        <v>9</v>
      </c>
      <c r="D1502" s="0" t="inlineStr">
        <is>
          <t>청라웰카운티2차</t>
        </is>
      </c>
      <c r="E1502" s="0" t="inlineStr">
        <is>
          <t>2012.04.</t>
        </is>
      </c>
      <c r="F1502" s="0" t="n">
        <v>464</v>
      </c>
      <c r="G1502" s="0" t="n">
        <v>63.44</v>
      </c>
      <c r="H1502" s="0" t="n">
        <v>209.72</v>
      </c>
      <c r="I1502" s="0" t="n">
        <v>49.03</v>
      </c>
      <c r="J1502" s="0" t="n">
        <v>162.11</v>
      </c>
      <c r="K1502" s="0" t="n">
        <v>5</v>
      </c>
      <c r="T1502" s="0" t="n">
        <v>4</v>
      </c>
      <c r="U1502" s="0" t="n">
        <v>3</v>
      </c>
      <c r="V1502" s="0" t="inlineStr">
        <is>
          <t>계단식</t>
        </is>
      </c>
      <c r="W1502" s="0" t="n">
        <v>209</v>
      </c>
      <c r="X1502" s="0" t="n">
        <v>30</v>
      </c>
      <c r="Y1502" s="0" t="n">
        <v>22</v>
      </c>
      <c r="Z1502" s="0" t="inlineStr">
        <is>
          <t>https://new.land.naver.com/complexes/27083?tab=detail&amp;rf=Y</t>
        </is>
      </c>
      <c r="AA1502" s="0" t="inlineStr">
        <is>
          <t>인천시 서구 청라동 166-1</t>
        </is>
      </c>
      <c r="AB1502" s="0" t="inlineStr">
        <is>
          <t>인천시</t>
        </is>
      </c>
      <c r="AC1502" s="0" t="inlineStr">
        <is>
          <t>서구</t>
        </is>
      </c>
      <c r="AD1502" s="0" t="inlineStr">
        <is>
          <t>청라동</t>
        </is>
      </c>
      <c r="AG1502" s="0" t="inlineStr">
        <is>
          <t>인천시 서구 청라에메랄드로 112</t>
        </is>
      </c>
      <c r="AH1502" s="0" t="n">
        <v>0</v>
      </c>
      <c r="AI1502" s="0" t="n">
        <v>179</v>
      </c>
      <c r="AJ1502" s="0" t="n">
        <v>11</v>
      </c>
      <c r="AK1502" s="0" t="n">
        <v>878</v>
      </c>
      <c r="AL1502" s="0" t="n">
        <v>1.89</v>
      </c>
    </row>
    <row r="1503">
      <c r="A1503" s="0" t="inlineStr">
        <is>
          <t>[청라동]</t>
        </is>
      </c>
      <c r="B1503" s="0" t="n">
        <v>27083</v>
      </c>
      <c r="C1503" s="0" t="n">
        <v>10</v>
      </c>
      <c r="D1503" s="0" t="inlineStr">
        <is>
          <t>청라웰카운티2차</t>
        </is>
      </c>
      <c r="E1503" s="0" t="inlineStr">
        <is>
          <t>2012.04.</t>
        </is>
      </c>
      <c r="F1503" s="0" t="n">
        <v>464</v>
      </c>
      <c r="G1503" s="0" t="n">
        <v>65.63</v>
      </c>
      <c r="H1503" s="0" t="n">
        <v>216.97</v>
      </c>
      <c r="I1503" s="0" t="n">
        <v>50.82</v>
      </c>
      <c r="J1503" s="0" t="n">
        <v>168.02</v>
      </c>
      <c r="K1503" s="0" t="n">
        <v>5</v>
      </c>
      <c r="T1503" s="0" t="n">
        <v>4</v>
      </c>
      <c r="U1503" s="0" t="n">
        <v>3</v>
      </c>
      <c r="V1503" s="0" t="inlineStr">
        <is>
          <t>계단식</t>
        </is>
      </c>
      <c r="W1503" s="0" t="n">
        <v>216</v>
      </c>
      <c r="X1503" s="0" t="n">
        <v>30</v>
      </c>
      <c r="Y1503" s="0" t="n">
        <v>22</v>
      </c>
      <c r="Z1503" s="0" t="inlineStr">
        <is>
          <t>https://new.land.naver.com/complexes/27083?tab=detail&amp;rf=Y</t>
        </is>
      </c>
      <c r="AA1503" s="0" t="inlineStr">
        <is>
          <t>인천시 서구 청라동 166-1</t>
        </is>
      </c>
      <c r="AB1503" s="0" t="inlineStr">
        <is>
          <t>인천시</t>
        </is>
      </c>
      <c r="AC1503" s="0" t="inlineStr">
        <is>
          <t>서구</t>
        </is>
      </c>
      <c r="AD1503" s="0" t="inlineStr">
        <is>
          <t>청라동</t>
        </is>
      </c>
      <c r="AG1503" s="0" t="inlineStr">
        <is>
          <t>인천시 서구 청라에메랄드로 112</t>
        </is>
      </c>
      <c r="AH1503" s="0" t="n">
        <v>0</v>
      </c>
      <c r="AI1503" s="0" t="n">
        <v>179</v>
      </c>
      <c r="AJ1503" s="0" t="n">
        <v>11</v>
      </c>
      <c r="AK1503" s="0" t="n">
        <v>878</v>
      </c>
      <c r="AL1503" s="0" t="n">
        <v>1.89</v>
      </c>
    </row>
    <row r="1504">
      <c r="A1504" s="0" t="inlineStr">
        <is>
          <t>[청라동]</t>
        </is>
      </c>
      <c r="B1504" s="0" t="n">
        <v>101293</v>
      </c>
      <c r="C1504" s="0" t="n">
        <v>1</v>
      </c>
      <c r="D1504" s="0" t="inlineStr">
        <is>
          <t>청라골드클래스</t>
        </is>
      </c>
      <c r="E1504" s="0" t="inlineStr">
        <is>
          <t>2012.02.</t>
        </is>
      </c>
      <c r="F1504" s="0" t="n">
        <v>192</v>
      </c>
      <c r="G1504" s="0" t="n">
        <v>42.95</v>
      </c>
      <c r="H1504" s="0" t="n">
        <v>142.01</v>
      </c>
      <c r="I1504" s="0" t="n">
        <v>35.23</v>
      </c>
      <c r="J1504" s="0" t="n">
        <v>116.49</v>
      </c>
      <c r="K1504" s="0" t="n">
        <v>127</v>
      </c>
      <c r="T1504" s="0" t="n">
        <v>4</v>
      </c>
      <c r="U1504" s="0" t="n">
        <v>2</v>
      </c>
      <c r="V1504" s="0" t="inlineStr">
        <is>
          <t>계단식</t>
        </is>
      </c>
      <c r="W1504" s="0" t="n">
        <v>142</v>
      </c>
      <c r="X1504" s="0" t="n">
        <v>25</v>
      </c>
      <c r="Y1504" s="0" t="n">
        <v>18</v>
      </c>
      <c r="Z1504" s="0" t="inlineStr">
        <is>
          <t>https://new.land.naver.com/complexes/101293?tab=detail&amp;rf=Y</t>
        </is>
      </c>
      <c r="AA1504" s="0" t="inlineStr">
        <is>
          <t>인천시 서구 청라동 103-2</t>
        </is>
      </c>
      <c r="AB1504" s="0" t="inlineStr">
        <is>
          <t>인천시</t>
        </is>
      </c>
      <c r="AC1504" s="0" t="inlineStr">
        <is>
          <t>서구</t>
        </is>
      </c>
      <c r="AD1504" s="0" t="inlineStr">
        <is>
          <t>청라동</t>
        </is>
      </c>
      <c r="AG1504" s="0" t="inlineStr">
        <is>
          <t>인천시 서구 청라사파이어로 158</t>
        </is>
      </c>
      <c r="AH1504" s="0" t="n">
        <v>0</v>
      </c>
      <c r="AI1504" s="0" t="n">
        <v>179</v>
      </c>
      <c r="AJ1504" s="0" t="n">
        <v>14</v>
      </c>
      <c r="AK1504" s="0" t="n">
        <v>330</v>
      </c>
      <c r="AL1504" s="0" t="n">
        <v>1.72</v>
      </c>
    </row>
    <row r="1505">
      <c r="A1505" s="0" t="inlineStr">
        <is>
          <t>[청라동]</t>
        </is>
      </c>
      <c r="B1505" s="0" t="n">
        <v>101293</v>
      </c>
      <c r="C1505" s="0" t="n">
        <v>2</v>
      </c>
      <c r="D1505" s="0" t="inlineStr">
        <is>
          <t>청라골드클래스</t>
        </is>
      </c>
      <c r="E1505" s="0" t="inlineStr">
        <is>
          <t>2012.02.</t>
        </is>
      </c>
      <c r="F1505" s="0" t="n">
        <v>192</v>
      </c>
      <c r="G1505" s="0" t="n">
        <v>43.5</v>
      </c>
      <c r="H1505" s="0" t="n">
        <v>143.83</v>
      </c>
      <c r="I1505" s="0" t="n">
        <v>35.42</v>
      </c>
      <c r="J1505" s="0" t="n">
        <v>117.11</v>
      </c>
      <c r="K1505" s="0" t="n">
        <v>65</v>
      </c>
      <c r="T1505" s="0" t="n">
        <v>4</v>
      </c>
      <c r="U1505" s="0" t="n">
        <v>2</v>
      </c>
      <c r="V1505" s="0" t="inlineStr">
        <is>
          <t>계단식</t>
        </is>
      </c>
      <c r="W1505" s="0" t="n">
        <v>143</v>
      </c>
      <c r="X1505" s="0" t="n">
        <v>25</v>
      </c>
      <c r="Y1505" s="0" t="n">
        <v>18</v>
      </c>
      <c r="Z1505" s="0" t="inlineStr">
        <is>
          <t>https://new.land.naver.com/complexes/101293?tab=detail&amp;rf=Y</t>
        </is>
      </c>
      <c r="AA1505" s="0" t="inlineStr">
        <is>
          <t>인천시 서구 청라동 103-2</t>
        </is>
      </c>
      <c r="AB1505" s="0" t="inlineStr">
        <is>
          <t>인천시</t>
        </is>
      </c>
      <c r="AC1505" s="0" t="inlineStr">
        <is>
          <t>서구</t>
        </is>
      </c>
      <c r="AD1505" s="0" t="inlineStr">
        <is>
          <t>청라동</t>
        </is>
      </c>
      <c r="AG1505" s="0" t="inlineStr">
        <is>
          <t>인천시 서구 청라사파이어로 158</t>
        </is>
      </c>
      <c r="AH1505" s="0" t="n">
        <v>0</v>
      </c>
      <c r="AI1505" s="0" t="n">
        <v>179</v>
      </c>
      <c r="AJ1505" s="0" t="n">
        <v>14</v>
      </c>
      <c r="AK1505" s="0" t="n">
        <v>330</v>
      </c>
      <c r="AL1505" s="0" t="n">
        <v>1.72</v>
      </c>
    </row>
    <row r="1506">
      <c r="A1506" s="0" t="inlineStr">
        <is>
          <t>[청라동]</t>
        </is>
      </c>
      <c r="B1506" s="0" t="n">
        <v>100593</v>
      </c>
      <c r="C1506" s="0" t="n">
        <v>1</v>
      </c>
      <c r="D1506" s="0" t="inlineStr">
        <is>
          <t>청라반도유보라2차</t>
        </is>
      </c>
      <c r="E1506" s="0" t="inlineStr">
        <is>
          <t>2012.08.</t>
        </is>
      </c>
      <c r="F1506" s="0" t="n">
        <v>754</v>
      </c>
      <c r="G1506" s="0" t="n">
        <v>39.61</v>
      </c>
      <c r="H1506" s="0" t="n">
        <v>130.97</v>
      </c>
      <c r="I1506" s="0" t="n">
        <v>30.85</v>
      </c>
      <c r="J1506" s="0" t="n">
        <v>101.99</v>
      </c>
      <c r="K1506" s="0" t="n">
        <v>206</v>
      </c>
      <c r="T1506" s="0" t="n">
        <v>3</v>
      </c>
      <c r="U1506" s="0" t="n">
        <v>2</v>
      </c>
      <c r="V1506" s="0" t="inlineStr">
        <is>
          <t>계단식</t>
        </is>
      </c>
      <c r="W1506" s="0" t="inlineStr">
        <is>
          <t>130B</t>
        </is>
      </c>
      <c r="X1506" s="0" t="n">
        <v>30</v>
      </c>
      <c r="Y1506" s="0" t="n">
        <v>28</v>
      </c>
      <c r="Z1506" s="0" t="inlineStr">
        <is>
          <t>https://new.land.naver.com/complexes/100593?tab=detail&amp;rf=Y</t>
        </is>
      </c>
      <c r="AA1506" s="0" t="inlineStr">
        <is>
          <t>인천시 서구 청라동 102-16</t>
        </is>
      </c>
      <c r="AB1506" s="0" t="inlineStr">
        <is>
          <t>인천시</t>
        </is>
      </c>
      <c r="AC1506" s="0" t="inlineStr">
        <is>
          <t>서구</t>
        </is>
      </c>
      <c r="AD1506" s="0" t="inlineStr">
        <is>
          <t>청라동</t>
        </is>
      </c>
      <c r="AG1506" s="0" t="inlineStr">
        <is>
          <t>인천시 서구 비지니스로 10</t>
        </is>
      </c>
      <c r="AH1506" s="0" t="n">
        <v>0</v>
      </c>
      <c r="AI1506" s="0" t="n">
        <v>219</v>
      </c>
      <c r="AJ1506" s="0" t="n">
        <v>13</v>
      </c>
      <c r="AK1506" s="0" t="n">
        <v>1282</v>
      </c>
      <c r="AL1506" s="0" t="n">
        <v>1.7</v>
      </c>
    </row>
    <row r="1507">
      <c r="A1507" s="0" t="inlineStr">
        <is>
          <t>[청라동]</t>
        </is>
      </c>
      <c r="B1507" s="0" t="n">
        <v>100593</v>
      </c>
      <c r="C1507" s="0" t="n">
        <v>2</v>
      </c>
      <c r="D1507" s="0" t="inlineStr">
        <is>
          <t>청라반도유보라2차</t>
        </is>
      </c>
      <c r="E1507" s="0" t="inlineStr">
        <is>
          <t>2012.08.</t>
        </is>
      </c>
      <c r="F1507" s="0" t="n">
        <v>754</v>
      </c>
      <c r="G1507" s="0" t="n">
        <v>39.55</v>
      </c>
      <c r="H1507" s="0" t="n">
        <v>130.75</v>
      </c>
      <c r="I1507" s="0" t="n">
        <v>30.84</v>
      </c>
      <c r="J1507" s="0" t="n">
        <v>101.97</v>
      </c>
      <c r="K1507" s="0" t="n">
        <v>144</v>
      </c>
      <c r="T1507" s="0" t="n">
        <v>3</v>
      </c>
      <c r="U1507" s="0" t="n">
        <v>2</v>
      </c>
      <c r="V1507" s="0" t="inlineStr">
        <is>
          <t>계단식</t>
        </is>
      </c>
      <c r="W1507" s="0" t="inlineStr">
        <is>
          <t>130A</t>
        </is>
      </c>
      <c r="X1507" s="0" t="n">
        <v>30</v>
      </c>
      <c r="Y1507" s="0" t="n">
        <v>28</v>
      </c>
      <c r="Z1507" s="0" t="inlineStr">
        <is>
          <t>https://new.land.naver.com/complexes/100593?tab=detail&amp;rf=Y</t>
        </is>
      </c>
      <c r="AA1507" s="0" t="inlineStr">
        <is>
          <t>인천시 서구 청라동 102-16</t>
        </is>
      </c>
      <c r="AB1507" s="0" t="inlineStr">
        <is>
          <t>인천시</t>
        </is>
      </c>
      <c r="AC1507" s="0" t="inlineStr">
        <is>
          <t>서구</t>
        </is>
      </c>
      <c r="AD1507" s="0" t="inlineStr">
        <is>
          <t>청라동</t>
        </is>
      </c>
      <c r="AG1507" s="0" t="inlineStr">
        <is>
          <t>인천시 서구 비지니스로 10</t>
        </is>
      </c>
      <c r="AH1507" s="0" t="n">
        <v>0</v>
      </c>
      <c r="AI1507" s="0" t="n">
        <v>219</v>
      </c>
      <c r="AJ1507" s="0" t="n">
        <v>13</v>
      </c>
      <c r="AK1507" s="0" t="n">
        <v>1282</v>
      </c>
      <c r="AL1507" s="0" t="n">
        <v>1.7</v>
      </c>
    </row>
    <row r="1508">
      <c r="A1508" s="0" t="inlineStr">
        <is>
          <t>[청라동]</t>
        </is>
      </c>
      <c r="B1508" s="0" t="n">
        <v>100593</v>
      </c>
      <c r="C1508" s="0" t="n">
        <v>3</v>
      </c>
      <c r="D1508" s="0" t="inlineStr">
        <is>
          <t>청라반도유보라2차</t>
        </is>
      </c>
      <c r="E1508" s="0" t="inlineStr">
        <is>
          <t>2012.08.</t>
        </is>
      </c>
      <c r="F1508" s="0" t="n">
        <v>754</v>
      </c>
      <c r="G1508" s="0" t="n">
        <v>46.84</v>
      </c>
      <c r="H1508" s="0" t="n">
        <v>154.85</v>
      </c>
      <c r="I1508" s="0" t="n">
        <v>36.82</v>
      </c>
      <c r="J1508" s="0" t="n">
        <v>121.73</v>
      </c>
      <c r="K1508" s="0" t="n">
        <v>404</v>
      </c>
      <c r="T1508" s="0" t="n">
        <v>4</v>
      </c>
      <c r="U1508" s="0" t="n">
        <v>2</v>
      </c>
      <c r="V1508" s="0" t="inlineStr">
        <is>
          <t>계단식</t>
        </is>
      </c>
      <c r="W1508" s="0" t="n">
        <v>154</v>
      </c>
      <c r="X1508" s="0" t="n">
        <v>30</v>
      </c>
      <c r="Y1508" s="0" t="n">
        <v>28</v>
      </c>
      <c r="Z1508" s="0" t="inlineStr">
        <is>
          <t>https://new.land.naver.com/complexes/100593?tab=detail&amp;rf=Y</t>
        </is>
      </c>
      <c r="AA1508" s="0" t="inlineStr">
        <is>
          <t>인천시 서구 청라동 102-16</t>
        </is>
      </c>
      <c r="AB1508" s="0" t="inlineStr">
        <is>
          <t>인천시</t>
        </is>
      </c>
      <c r="AC1508" s="0" t="inlineStr">
        <is>
          <t>서구</t>
        </is>
      </c>
      <c r="AD1508" s="0" t="inlineStr">
        <is>
          <t>청라동</t>
        </is>
      </c>
      <c r="AG1508" s="0" t="inlineStr">
        <is>
          <t>인천시 서구 비지니스로 10</t>
        </is>
      </c>
      <c r="AH1508" s="0" t="n">
        <v>0</v>
      </c>
      <c r="AI1508" s="0" t="n">
        <v>219</v>
      </c>
      <c r="AJ1508" s="0" t="n">
        <v>13</v>
      </c>
      <c r="AK1508" s="0" t="n">
        <v>1282</v>
      </c>
      <c r="AL1508" s="0" t="n">
        <v>1.7</v>
      </c>
    </row>
    <row r="1509">
      <c r="A1509" s="0" t="inlineStr">
        <is>
          <t>[청라동]</t>
        </is>
      </c>
      <c r="B1509" s="0" t="n">
        <v>27788</v>
      </c>
      <c r="C1509" s="0" t="n">
        <v>1</v>
      </c>
      <c r="D1509" s="0" t="inlineStr">
        <is>
          <t>청라동문굿모닝힐</t>
        </is>
      </c>
      <c r="E1509" s="0" t="inlineStr">
        <is>
          <t>2012.08.</t>
        </is>
      </c>
      <c r="F1509" s="0" t="n">
        <v>734</v>
      </c>
      <c r="G1509" s="0" t="n">
        <v>42.83</v>
      </c>
      <c r="H1509" s="0" t="n">
        <v>141.61</v>
      </c>
      <c r="I1509" s="0" t="n">
        <v>34.62</v>
      </c>
      <c r="J1509" s="0" t="n">
        <v>114.45</v>
      </c>
      <c r="K1509" s="0" t="n">
        <v>282</v>
      </c>
      <c r="T1509" s="0" t="n">
        <v>4</v>
      </c>
      <c r="U1509" s="0" t="n">
        <v>2</v>
      </c>
      <c r="V1509" s="0" t="inlineStr">
        <is>
          <t>계단식</t>
        </is>
      </c>
      <c r="W1509" s="0" t="inlineStr">
        <is>
          <t>141A</t>
        </is>
      </c>
      <c r="X1509" s="0" t="n">
        <v>30</v>
      </c>
      <c r="Y1509" s="0" t="n">
        <v>26</v>
      </c>
      <c r="Z1509" s="0" t="inlineStr">
        <is>
          <t>https://new.land.naver.com/complexes/27788?tab=detail&amp;rf=Y</t>
        </is>
      </c>
      <c r="AA1509" s="0" t="inlineStr">
        <is>
          <t>인천시 서구 청라동 102-10</t>
        </is>
      </c>
      <c r="AB1509" s="0" t="inlineStr">
        <is>
          <t>인천시</t>
        </is>
      </c>
      <c r="AC1509" s="0" t="inlineStr">
        <is>
          <t>서구</t>
        </is>
      </c>
      <c r="AD1509" s="0" t="inlineStr">
        <is>
          <t>청라동</t>
        </is>
      </c>
      <c r="AG1509" s="0" t="inlineStr">
        <is>
          <t>인천시 서구 비지니스로28번길 13</t>
        </is>
      </c>
      <c r="AH1509" s="0" t="n">
        <v>0</v>
      </c>
      <c r="AI1509" s="0" t="n">
        <v>219</v>
      </c>
      <c r="AJ1509" s="0" t="n">
        <v>12</v>
      </c>
      <c r="AK1509" s="0" t="n">
        <v>1340</v>
      </c>
      <c r="AL1509" s="0" t="n">
        <v>1.83</v>
      </c>
    </row>
    <row r="1510">
      <c r="A1510" s="0" t="inlineStr">
        <is>
          <t>[청라동]</t>
        </is>
      </c>
      <c r="B1510" s="0" t="n">
        <v>27788</v>
      </c>
      <c r="C1510" s="0" t="n">
        <v>2</v>
      </c>
      <c r="D1510" s="0" t="inlineStr">
        <is>
          <t>청라동문굿모닝힐</t>
        </is>
      </c>
      <c r="E1510" s="0" t="inlineStr">
        <is>
          <t>2012.08.</t>
        </is>
      </c>
      <c r="F1510" s="0" t="n">
        <v>734</v>
      </c>
      <c r="G1510" s="0" t="n">
        <v>42.81</v>
      </c>
      <c r="H1510" s="0" t="n">
        <v>141.53</v>
      </c>
      <c r="I1510" s="0" t="n">
        <v>34.64</v>
      </c>
      <c r="J1510" s="0" t="n">
        <v>114.53</v>
      </c>
      <c r="K1510" s="0" t="n">
        <v>112</v>
      </c>
      <c r="T1510" s="0" t="n">
        <v>4</v>
      </c>
      <c r="U1510" s="0" t="n">
        <v>2</v>
      </c>
      <c r="V1510" s="0" t="inlineStr">
        <is>
          <t>계단식</t>
        </is>
      </c>
      <c r="W1510" s="0" t="inlineStr">
        <is>
          <t>141B</t>
        </is>
      </c>
      <c r="X1510" s="0" t="n">
        <v>30</v>
      </c>
      <c r="Y1510" s="0" t="n">
        <v>26</v>
      </c>
      <c r="Z1510" s="0" t="inlineStr">
        <is>
          <t>https://new.land.naver.com/complexes/27788?tab=detail&amp;rf=Y</t>
        </is>
      </c>
      <c r="AA1510" s="0" t="inlineStr">
        <is>
          <t>인천시 서구 청라동 102-10</t>
        </is>
      </c>
      <c r="AB1510" s="0" t="inlineStr">
        <is>
          <t>인천시</t>
        </is>
      </c>
      <c r="AC1510" s="0" t="inlineStr">
        <is>
          <t>서구</t>
        </is>
      </c>
      <c r="AD1510" s="0" t="inlineStr">
        <is>
          <t>청라동</t>
        </is>
      </c>
      <c r="AG1510" s="0" t="inlineStr">
        <is>
          <t>인천시 서구 비지니스로28번길 13</t>
        </is>
      </c>
      <c r="AH1510" s="0" t="n">
        <v>0</v>
      </c>
      <c r="AI1510" s="0" t="n">
        <v>219</v>
      </c>
      <c r="AJ1510" s="0" t="n">
        <v>12</v>
      </c>
      <c r="AK1510" s="0" t="n">
        <v>1340</v>
      </c>
      <c r="AL1510" s="0" t="n">
        <v>1.83</v>
      </c>
    </row>
    <row r="1511">
      <c r="A1511" s="0" t="inlineStr">
        <is>
          <t>[청라동]</t>
        </is>
      </c>
      <c r="B1511" s="0" t="n">
        <v>27788</v>
      </c>
      <c r="C1511" s="0" t="n">
        <v>3</v>
      </c>
      <c r="D1511" s="0" t="inlineStr">
        <is>
          <t>청라동문굿모닝힐</t>
        </is>
      </c>
      <c r="E1511" s="0" t="inlineStr">
        <is>
          <t>2012.08.</t>
        </is>
      </c>
      <c r="F1511" s="0" t="n">
        <v>734</v>
      </c>
      <c r="G1511" s="0" t="n">
        <v>46.77</v>
      </c>
      <c r="H1511" s="0" t="n">
        <v>154.64</v>
      </c>
      <c r="I1511" s="0" t="n">
        <v>37.98</v>
      </c>
      <c r="J1511" s="0" t="n">
        <v>125.58</v>
      </c>
      <c r="K1511" s="0" t="n">
        <v>224</v>
      </c>
      <c r="T1511" s="0" t="n">
        <v>4</v>
      </c>
      <c r="U1511" s="0" t="n">
        <v>2</v>
      </c>
      <c r="V1511" s="0" t="inlineStr">
        <is>
          <t>계단식</t>
        </is>
      </c>
      <c r="W1511" s="0" t="inlineStr">
        <is>
          <t>154A</t>
        </is>
      </c>
      <c r="X1511" s="0" t="n">
        <v>30</v>
      </c>
      <c r="Y1511" s="0" t="n">
        <v>26</v>
      </c>
      <c r="Z1511" s="0" t="inlineStr">
        <is>
          <t>https://new.land.naver.com/complexes/27788?tab=detail&amp;rf=Y</t>
        </is>
      </c>
      <c r="AA1511" s="0" t="inlineStr">
        <is>
          <t>인천시 서구 청라동 102-10</t>
        </is>
      </c>
      <c r="AB1511" s="0" t="inlineStr">
        <is>
          <t>인천시</t>
        </is>
      </c>
      <c r="AC1511" s="0" t="inlineStr">
        <is>
          <t>서구</t>
        </is>
      </c>
      <c r="AD1511" s="0" t="inlineStr">
        <is>
          <t>청라동</t>
        </is>
      </c>
      <c r="AG1511" s="0" t="inlineStr">
        <is>
          <t>인천시 서구 비지니스로28번길 13</t>
        </is>
      </c>
      <c r="AH1511" s="0" t="n">
        <v>0</v>
      </c>
      <c r="AI1511" s="0" t="n">
        <v>219</v>
      </c>
      <c r="AJ1511" s="0" t="n">
        <v>12</v>
      </c>
      <c r="AK1511" s="0" t="n">
        <v>1340</v>
      </c>
      <c r="AL1511" s="0" t="n">
        <v>1.83</v>
      </c>
    </row>
    <row r="1512">
      <c r="A1512" s="0" t="inlineStr">
        <is>
          <t>[청라동]</t>
        </is>
      </c>
      <c r="B1512" s="0" t="n">
        <v>27788</v>
      </c>
      <c r="C1512" s="0" t="n">
        <v>4</v>
      </c>
      <c r="D1512" s="0" t="inlineStr">
        <is>
          <t>청라동문굿모닝힐</t>
        </is>
      </c>
      <c r="E1512" s="0" t="inlineStr">
        <is>
          <t>2012.08.</t>
        </is>
      </c>
      <c r="F1512" s="0" t="n">
        <v>734</v>
      </c>
      <c r="G1512" s="0" t="n">
        <v>46.79</v>
      </c>
      <c r="H1512" s="0" t="n">
        <v>154.68</v>
      </c>
      <c r="I1512" s="0" t="n">
        <v>37.84</v>
      </c>
      <c r="J1512" s="0" t="n">
        <v>125.12</v>
      </c>
      <c r="K1512" s="0" t="n">
        <v>116</v>
      </c>
      <c r="T1512" s="0" t="n">
        <v>4</v>
      </c>
      <c r="U1512" s="0" t="n">
        <v>2</v>
      </c>
      <c r="V1512" s="0" t="inlineStr">
        <is>
          <t>계단식</t>
        </is>
      </c>
      <c r="W1512" s="0" t="inlineStr">
        <is>
          <t>154B</t>
        </is>
      </c>
      <c r="X1512" s="0" t="n">
        <v>30</v>
      </c>
      <c r="Y1512" s="0" t="n">
        <v>26</v>
      </c>
      <c r="Z1512" s="0" t="inlineStr">
        <is>
          <t>https://new.land.naver.com/complexes/27788?tab=detail&amp;rf=Y</t>
        </is>
      </c>
      <c r="AA1512" s="0" t="inlineStr">
        <is>
          <t>인천시 서구 청라동 102-10</t>
        </is>
      </c>
      <c r="AB1512" s="0" t="inlineStr">
        <is>
          <t>인천시</t>
        </is>
      </c>
      <c r="AC1512" s="0" t="inlineStr">
        <is>
          <t>서구</t>
        </is>
      </c>
      <c r="AD1512" s="0" t="inlineStr">
        <is>
          <t>청라동</t>
        </is>
      </c>
      <c r="AG1512" s="0" t="inlineStr">
        <is>
          <t>인천시 서구 비지니스로28번길 13</t>
        </is>
      </c>
      <c r="AH1512" s="0" t="n">
        <v>0</v>
      </c>
      <c r="AI1512" s="0" t="n">
        <v>219</v>
      </c>
      <c r="AJ1512" s="0" t="n">
        <v>12</v>
      </c>
      <c r="AK1512" s="0" t="n">
        <v>1340</v>
      </c>
      <c r="AL1512" s="0" t="n">
        <v>1.83</v>
      </c>
    </row>
    <row r="1513">
      <c r="A1513" s="0" t="inlineStr">
        <is>
          <t>[청라동]</t>
        </is>
      </c>
      <c r="B1513" s="0" t="n">
        <v>27818</v>
      </c>
      <c r="C1513" s="0" t="n">
        <v>1</v>
      </c>
      <c r="D1513" s="0" t="inlineStr">
        <is>
          <t>우미린</t>
        </is>
      </c>
      <c r="E1513" s="0" t="inlineStr">
        <is>
          <t>2011.10.</t>
        </is>
      </c>
      <c r="F1513" s="0" t="n">
        <v>200</v>
      </c>
      <c r="G1513" s="0" t="n">
        <v>33.68</v>
      </c>
      <c r="H1513" s="0" t="n">
        <v>111.37</v>
      </c>
      <c r="I1513" s="0" t="n">
        <v>25.68</v>
      </c>
      <c r="J1513" s="0" t="n">
        <v>84.90000000000001</v>
      </c>
      <c r="K1513" s="0" t="n">
        <v>85</v>
      </c>
      <c r="T1513" s="0" t="n">
        <v>3</v>
      </c>
      <c r="U1513" s="0" t="n">
        <v>2</v>
      </c>
      <c r="V1513" s="0" t="inlineStr">
        <is>
          <t>계단식</t>
        </is>
      </c>
      <c r="W1513" s="0" t="inlineStr">
        <is>
          <t>111B</t>
        </is>
      </c>
      <c r="X1513" s="0" t="n">
        <v>25</v>
      </c>
      <c r="Y1513" s="0" t="n">
        <v>18</v>
      </c>
      <c r="Z1513" s="0" t="inlineStr">
        <is>
          <t>https://new.land.naver.com/complexes/27818?tab=detail&amp;rf=Y</t>
        </is>
      </c>
      <c r="AA1513" s="0" t="inlineStr">
        <is>
          <t>인천시 서구 청라동 103-6</t>
        </is>
      </c>
      <c r="AB1513" s="0" t="inlineStr">
        <is>
          <t>인천시</t>
        </is>
      </c>
      <c r="AC1513" s="0" t="inlineStr">
        <is>
          <t>서구</t>
        </is>
      </c>
      <c r="AD1513" s="0" t="inlineStr">
        <is>
          <t>청라동</t>
        </is>
      </c>
      <c r="AG1513" s="0" t="inlineStr">
        <is>
          <t>인천시 서구 한내로 39</t>
        </is>
      </c>
      <c r="AH1513" s="0" t="n">
        <v>0</v>
      </c>
      <c r="AI1513" s="0" t="n">
        <v>179</v>
      </c>
      <c r="AJ1513" s="0" t="n">
        <v>14</v>
      </c>
      <c r="AK1513" s="0" t="n">
        <v>302</v>
      </c>
      <c r="AL1513" s="0" t="n">
        <v>1.51</v>
      </c>
    </row>
    <row r="1514">
      <c r="A1514" s="0" t="inlineStr">
        <is>
          <t>[청라동]</t>
        </is>
      </c>
      <c r="B1514" s="0" t="n">
        <v>27818</v>
      </c>
      <c r="C1514" s="0" t="n">
        <v>2</v>
      </c>
      <c r="D1514" s="0" t="inlineStr">
        <is>
          <t>우미린</t>
        </is>
      </c>
      <c r="E1514" s="0" t="inlineStr">
        <is>
          <t>2011.10.</t>
        </is>
      </c>
      <c r="F1514" s="0" t="n">
        <v>200</v>
      </c>
      <c r="G1514" s="0" t="n">
        <v>33.78</v>
      </c>
      <c r="H1514" s="0" t="n">
        <v>111.69</v>
      </c>
      <c r="I1514" s="0" t="n">
        <v>25.69</v>
      </c>
      <c r="J1514" s="0" t="n">
        <v>84.95</v>
      </c>
      <c r="K1514" s="0" t="n">
        <v>48</v>
      </c>
      <c r="T1514" s="0" t="n">
        <v>3</v>
      </c>
      <c r="U1514" s="0" t="n">
        <v>2</v>
      </c>
      <c r="V1514" s="0" t="inlineStr">
        <is>
          <t>계단식</t>
        </is>
      </c>
      <c r="W1514" s="0" t="inlineStr">
        <is>
          <t>111A</t>
        </is>
      </c>
      <c r="X1514" s="0" t="n">
        <v>25</v>
      </c>
      <c r="Y1514" s="0" t="n">
        <v>18</v>
      </c>
      <c r="Z1514" s="0" t="inlineStr">
        <is>
          <t>https://new.land.naver.com/complexes/27818?tab=detail&amp;rf=Y</t>
        </is>
      </c>
      <c r="AA1514" s="0" t="inlineStr">
        <is>
          <t>인천시 서구 청라동 103-6</t>
        </is>
      </c>
      <c r="AB1514" s="0" t="inlineStr">
        <is>
          <t>인천시</t>
        </is>
      </c>
      <c r="AC1514" s="0" t="inlineStr">
        <is>
          <t>서구</t>
        </is>
      </c>
      <c r="AD1514" s="0" t="inlineStr">
        <is>
          <t>청라동</t>
        </is>
      </c>
      <c r="AG1514" s="0" t="inlineStr">
        <is>
          <t>인천시 서구 한내로 39</t>
        </is>
      </c>
      <c r="AH1514" s="0" t="n">
        <v>0</v>
      </c>
      <c r="AI1514" s="0" t="n">
        <v>179</v>
      </c>
      <c r="AJ1514" s="0" t="n">
        <v>14</v>
      </c>
      <c r="AK1514" s="0" t="n">
        <v>302</v>
      </c>
      <c r="AL1514" s="0" t="n">
        <v>1.51</v>
      </c>
    </row>
    <row r="1515">
      <c r="A1515" s="0" t="inlineStr">
        <is>
          <t>[청라동]</t>
        </is>
      </c>
      <c r="B1515" s="0" t="n">
        <v>27818</v>
      </c>
      <c r="C1515" s="0" t="n">
        <v>3</v>
      </c>
      <c r="D1515" s="0" t="inlineStr">
        <is>
          <t>우미린</t>
        </is>
      </c>
      <c r="E1515" s="0" t="inlineStr">
        <is>
          <t>2011.10.</t>
        </is>
      </c>
      <c r="F1515" s="0" t="n">
        <v>200</v>
      </c>
      <c r="G1515" s="0" t="n">
        <v>34</v>
      </c>
      <c r="H1515" s="0" t="n">
        <v>112.41</v>
      </c>
      <c r="I1515" s="0" t="n">
        <v>25.7</v>
      </c>
      <c r="J1515" s="0" t="n">
        <v>84.95999999999999</v>
      </c>
      <c r="K1515" s="0" t="n">
        <v>67</v>
      </c>
      <c r="T1515" s="0" t="n">
        <v>3</v>
      </c>
      <c r="U1515" s="0" t="n">
        <v>2</v>
      </c>
      <c r="V1515" s="0" t="inlineStr">
        <is>
          <t>계단식</t>
        </is>
      </c>
      <c r="W1515" s="0" t="inlineStr">
        <is>
          <t>112C</t>
        </is>
      </c>
      <c r="X1515" s="0" t="n">
        <v>25</v>
      </c>
      <c r="Y1515" s="0" t="n">
        <v>18</v>
      </c>
      <c r="Z1515" s="0" t="inlineStr">
        <is>
          <t>https://new.land.naver.com/complexes/27818?tab=detail&amp;rf=Y</t>
        </is>
      </c>
      <c r="AA1515" s="0" t="inlineStr">
        <is>
          <t>인천시 서구 청라동 103-6</t>
        </is>
      </c>
      <c r="AB1515" s="0" t="inlineStr">
        <is>
          <t>인천시</t>
        </is>
      </c>
      <c r="AC1515" s="0" t="inlineStr">
        <is>
          <t>서구</t>
        </is>
      </c>
      <c r="AD1515" s="0" t="inlineStr">
        <is>
          <t>청라동</t>
        </is>
      </c>
      <c r="AG1515" s="0" t="inlineStr">
        <is>
          <t>인천시 서구 한내로 39</t>
        </is>
      </c>
      <c r="AH1515" s="0" t="n">
        <v>0</v>
      </c>
      <c r="AI1515" s="0" t="n">
        <v>179</v>
      </c>
      <c r="AJ1515" s="0" t="n">
        <v>14</v>
      </c>
      <c r="AK1515" s="0" t="n">
        <v>302</v>
      </c>
      <c r="AL1515" s="0" t="n">
        <v>1.51</v>
      </c>
    </row>
    <row r="1516">
      <c r="A1516" s="0" t="inlineStr">
        <is>
          <t>[청라동]</t>
        </is>
      </c>
      <c r="B1516" s="0" t="n">
        <v>27785</v>
      </c>
      <c r="C1516" s="0" t="n">
        <v>1</v>
      </c>
      <c r="D1516" s="0" t="inlineStr">
        <is>
          <t>청라롯데캐슬</t>
        </is>
      </c>
      <c r="E1516" s="0" t="inlineStr">
        <is>
          <t>2013.02.</t>
        </is>
      </c>
      <c r="F1516" s="0" t="n">
        <v>828</v>
      </c>
      <c r="G1516" s="0" t="n">
        <v>43.72</v>
      </c>
      <c r="H1516" s="0" t="n">
        <v>144.55</v>
      </c>
      <c r="I1516" s="0" t="n">
        <v>34.4</v>
      </c>
      <c r="J1516" s="0" t="n">
        <v>113.75</v>
      </c>
      <c r="K1516" s="0" t="n">
        <v>184</v>
      </c>
      <c r="T1516" s="0" t="n">
        <v>4</v>
      </c>
      <c r="U1516" s="0" t="n">
        <v>2</v>
      </c>
      <c r="V1516" s="0" t="inlineStr">
        <is>
          <t>계단식</t>
        </is>
      </c>
      <c r="W1516" s="0" t="n">
        <v>144</v>
      </c>
      <c r="X1516" s="0" t="n">
        <v>42</v>
      </c>
      <c r="Y1516" s="0" t="n">
        <v>20</v>
      </c>
      <c r="Z1516" s="0" t="inlineStr">
        <is>
          <t>https://new.land.naver.com/complexes/27785?tab=detail&amp;rf=Y</t>
        </is>
      </c>
      <c r="AA1516" s="0" t="inlineStr">
        <is>
          <t>인천시 서구 청라동 159-1</t>
        </is>
      </c>
      <c r="AB1516" s="0" t="inlineStr">
        <is>
          <t>인천시</t>
        </is>
      </c>
      <c r="AC1516" s="0" t="inlineStr">
        <is>
          <t>서구</t>
        </is>
      </c>
      <c r="AD1516" s="0" t="inlineStr">
        <is>
          <t>청라동</t>
        </is>
      </c>
      <c r="AG1516" s="0" t="inlineStr">
        <is>
          <t>인천시 서구 청라커낼로 252</t>
        </is>
      </c>
      <c r="AH1516" s="0" t="n">
        <v>0</v>
      </c>
      <c r="AI1516" s="0" t="n">
        <v>313</v>
      </c>
      <c r="AJ1516" s="0" t="n">
        <v>26</v>
      </c>
      <c r="AK1516" s="0" t="n">
        <v>1626</v>
      </c>
      <c r="AL1516" s="0" t="n">
        <v>1.96</v>
      </c>
    </row>
    <row r="1517">
      <c r="A1517" s="0" t="inlineStr">
        <is>
          <t>[청라동]</t>
        </is>
      </c>
      <c r="B1517" s="0" t="n">
        <v>27785</v>
      </c>
      <c r="C1517" s="0" t="n">
        <v>2</v>
      </c>
      <c r="D1517" s="0" t="inlineStr">
        <is>
          <t>청라롯데캐슬</t>
        </is>
      </c>
      <c r="E1517" s="0" t="inlineStr">
        <is>
          <t>2013.02.</t>
        </is>
      </c>
      <c r="F1517" s="0" t="n">
        <v>828</v>
      </c>
      <c r="G1517" s="0" t="n">
        <v>48.13</v>
      </c>
      <c r="H1517" s="0" t="n">
        <v>159.11</v>
      </c>
      <c r="I1517" s="0" t="n">
        <v>38</v>
      </c>
      <c r="J1517" s="0" t="n">
        <v>125.62</v>
      </c>
      <c r="K1517" s="0" t="n">
        <v>228</v>
      </c>
      <c r="T1517" s="0" t="n">
        <v>4</v>
      </c>
      <c r="U1517" s="0" t="n">
        <v>2</v>
      </c>
      <c r="V1517" s="0" t="inlineStr">
        <is>
          <t>계단식</t>
        </is>
      </c>
      <c r="W1517" s="0" t="inlineStr">
        <is>
          <t>159B</t>
        </is>
      </c>
      <c r="X1517" s="0" t="n">
        <v>42</v>
      </c>
      <c r="Y1517" s="0" t="n">
        <v>20</v>
      </c>
      <c r="Z1517" s="0" t="inlineStr">
        <is>
          <t>https://new.land.naver.com/complexes/27785?tab=detail&amp;rf=Y</t>
        </is>
      </c>
      <c r="AA1517" s="0" t="inlineStr">
        <is>
          <t>인천시 서구 청라동 159-1</t>
        </is>
      </c>
      <c r="AB1517" s="0" t="inlineStr">
        <is>
          <t>인천시</t>
        </is>
      </c>
      <c r="AC1517" s="0" t="inlineStr">
        <is>
          <t>서구</t>
        </is>
      </c>
      <c r="AD1517" s="0" t="inlineStr">
        <is>
          <t>청라동</t>
        </is>
      </c>
      <c r="AG1517" s="0" t="inlineStr">
        <is>
          <t>인천시 서구 청라커낼로 252</t>
        </is>
      </c>
      <c r="AH1517" s="0" t="n">
        <v>0</v>
      </c>
      <c r="AI1517" s="0" t="n">
        <v>313</v>
      </c>
      <c r="AJ1517" s="0" t="n">
        <v>26</v>
      </c>
      <c r="AK1517" s="0" t="n">
        <v>1626</v>
      </c>
      <c r="AL1517" s="0" t="n">
        <v>1.96</v>
      </c>
    </row>
    <row r="1518">
      <c r="A1518" s="0" t="inlineStr">
        <is>
          <t>[청라동]</t>
        </is>
      </c>
      <c r="B1518" s="0" t="n">
        <v>27785</v>
      </c>
      <c r="C1518" s="0" t="n">
        <v>3</v>
      </c>
      <c r="D1518" s="0" t="inlineStr">
        <is>
          <t>청라롯데캐슬</t>
        </is>
      </c>
      <c r="E1518" s="0" t="inlineStr">
        <is>
          <t>2013.02.</t>
        </is>
      </c>
      <c r="F1518" s="0" t="n">
        <v>828</v>
      </c>
      <c r="G1518" s="0" t="n">
        <v>48.22</v>
      </c>
      <c r="H1518" s="0" t="n">
        <v>159.43</v>
      </c>
      <c r="I1518" s="0" t="n">
        <v>38.45</v>
      </c>
      <c r="J1518" s="0" t="n">
        <v>127.12</v>
      </c>
      <c r="K1518" s="0" t="n">
        <v>176</v>
      </c>
      <c r="T1518" s="0" t="n">
        <v>4</v>
      </c>
      <c r="U1518" s="0" t="n">
        <v>2</v>
      </c>
      <c r="V1518" s="0" t="inlineStr">
        <is>
          <t>계단식</t>
        </is>
      </c>
      <c r="W1518" s="0" t="inlineStr">
        <is>
          <t>159A</t>
        </is>
      </c>
      <c r="X1518" s="0" t="n">
        <v>42</v>
      </c>
      <c r="Y1518" s="0" t="n">
        <v>20</v>
      </c>
      <c r="Z1518" s="0" t="inlineStr">
        <is>
          <t>https://new.land.naver.com/complexes/27785?tab=detail&amp;rf=Y</t>
        </is>
      </c>
      <c r="AA1518" s="0" t="inlineStr">
        <is>
          <t>인천시 서구 청라동 159-1</t>
        </is>
      </c>
      <c r="AB1518" s="0" t="inlineStr">
        <is>
          <t>인천시</t>
        </is>
      </c>
      <c r="AC1518" s="0" t="inlineStr">
        <is>
          <t>서구</t>
        </is>
      </c>
      <c r="AD1518" s="0" t="inlineStr">
        <is>
          <t>청라동</t>
        </is>
      </c>
      <c r="AG1518" s="0" t="inlineStr">
        <is>
          <t>인천시 서구 청라커낼로 252</t>
        </is>
      </c>
      <c r="AH1518" s="0" t="n">
        <v>0</v>
      </c>
      <c r="AI1518" s="0" t="n">
        <v>313</v>
      </c>
      <c r="AJ1518" s="0" t="n">
        <v>26</v>
      </c>
      <c r="AK1518" s="0" t="n">
        <v>1626</v>
      </c>
      <c r="AL1518" s="0" t="n">
        <v>1.96</v>
      </c>
    </row>
    <row r="1519">
      <c r="A1519" s="0" t="inlineStr">
        <is>
          <t>[청라동]</t>
        </is>
      </c>
      <c r="B1519" s="0" t="n">
        <v>27785</v>
      </c>
      <c r="C1519" s="0" t="n">
        <v>4</v>
      </c>
      <c r="D1519" s="0" t="inlineStr">
        <is>
          <t>청라롯데캐슬</t>
        </is>
      </c>
      <c r="E1519" s="0" t="inlineStr">
        <is>
          <t>2013.02.</t>
        </is>
      </c>
      <c r="F1519" s="0" t="n">
        <v>828</v>
      </c>
      <c r="G1519" s="0" t="n">
        <v>53.83</v>
      </c>
      <c r="H1519" s="0" t="n">
        <v>177.97</v>
      </c>
      <c r="I1519" s="0" t="n">
        <v>42.7</v>
      </c>
      <c r="J1519" s="0" t="n">
        <v>141.18</v>
      </c>
      <c r="K1519" s="0" t="n">
        <v>240</v>
      </c>
      <c r="T1519" s="0" t="n">
        <v>4</v>
      </c>
      <c r="U1519" s="0" t="n">
        <v>2</v>
      </c>
      <c r="V1519" s="0" t="inlineStr">
        <is>
          <t>계단식</t>
        </is>
      </c>
      <c r="W1519" s="0" t="n">
        <v>177</v>
      </c>
      <c r="X1519" s="0" t="n">
        <v>42</v>
      </c>
      <c r="Y1519" s="0" t="n">
        <v>20</v>
      </c>
      <c r="Z1519" s="0" t="inlineStr">
        <is>
          <t>https://new.land.naver.com/complexes/27785?tab=detail&amp;rf=Y</t>
        </is>
      </c>
      <c r="AA1519" s="0" t="inlineStr">
        <is>
          <t>인천시 서구 청라동 159-1</t>
        </is>
      </c>
      <c r="AB1519" s="0" t="inlineStr">
        <is>
          <t>인천시</t>
        </is>
      </c>
      <c r="AC1519" s="0" t="inlineStr">
        <is>
          <t>서구</t>
        </is>
      </c>
      <c r="AD1519" s="0" t="inlineStr">
        <is>
          <t>청라동</t>
        </is>
      </c>
      <c r="AG1519" s="0" t="inlineStr">
        <is>
          <t>인천시 서구 청라커낼로 252</t>
        </is>
      </c>
      <c r="AH1519" s="0" t="n">
        <v>0</v>
      </c>
      <c r="AI1519" s="0" t="n">
        <v>313</v>
      </c>
      <c r="AJ1519" s="0" t="n">
        <v>26</v>
      </c>
      <c r="AK1519" s="0" t="n">
        <v>1626</v>
      </c>
      <c r="AL1519" s="0" t="n">
        <v>1.96</v>
      </c>
    </row>
    <row r="1520">
      <c r="A1520" s="0" t="inlineStr">
        <is>
          <t>[청라동]</t>
        </is>
      </c>
      <c r="B1520" s="0" t="n">
        <v>27787</v>
      </c>
      <c r="C1520" s="0" t="n">
        <v>1</v>
      </c>
      <c r="D1520" s="0" t="inlineStr">
        <is>
          <t>청라한라비발디</t>
        </is>
      </c>
      <c r="E1520" s="0" t="inlineStr">
        <is>
          <t>2011.10.</t>
        </is>
      </c>
      <c r="F1520" s="0" t="n">
        <v>992</v>
      </c>
      <c r="G1520" s="0" t="n">
        <v>39.59</v>
      </c>
      <c r="H1520" s="0" t="n">
        <v>130.9</v>
      </c>
      <c r="I1520" s="0" t="n">
        <v>30.84</v>
      </c>
      <c r="J1520" s="0" t="n">
        <v>101.98</v>
      </c>
      <c r="K1520" s="0" t="n">
        <v>138</v>
      </c>
      <c r="T1520" s="0" t="n">
        <v>4</v>
      </c>
      <c r="U1520" s="0" t="n">
        <v>2</v>
      </c>
      <c r="V1520" s="0" t="inlineStr">
        <is>
          <t>계단식</t>
        </is>
      </c>
      <c r="W1520" s="0" t="n">
        <v>130</v>
      </c>
      <c r="X1520" s="0" t="n">
        <v>25</v>
      </c>
      <c r="Y1520" s="0" t="n">
        <v>16</v>
      </c>
      <c r="Z1520" s="0" t="inlineStr">
        <is>
          <t>https://new.land.naver.com/complexes/27787?tab=detail&amp;rf=Y</t>
        </is>
      </c>
      <c r="AA1520" s="0" t="inlineStr">
        <is>
          <t>인천시 서구 청라동 107-1</t>
        </is>
      </c>
      <c r="AB1520" s="0" t="inlineStr">
        <is>
          <t>인천시</t>
        </is>
      </c>
      <c r="AC1520" s="0" t="inlineStr">
        <is>
          <t>서구</t>
        </is>
      </c>
      <c r="AD1520" s="0" t="inlineStr">
        <is>
          <t>청라동</t>
        </is>
      </c>
      <c r="AG1520" s="0" t="inlineStr">
        <is>
          <t>인천시 서구 청라한울로 17</t>
        </is>
      </c>
      <c r="AH1520" s="0" t="n">
        <v>0</v>
      </c>
      <c r="AI1520" s="0" t="n">
        <v>179</v>
      </c>
      <c r="AJ1520" s="0" t="n">
        <v>12</v>
      </c>
      <c r="AK1520" s="0" t="n">
        <v>1953</v>
      </c>
      <c r="AL1520" s="0" t="n">
        <v>1.97</v>
      </c>
    </row>
    <row r="1521">
      <c r="A1521" s="0" t="inlineStr">
        <is>
          <t>[청라동]</t>
        </is>
      </c>
      <c r="B1521" s="0" t="n">
        <v>27787</v>
      </c>
      <c r="C1521" s="0" t="n">
        <v>2</v>
      </c>
      <c r="D1521" s="0" t="inlineStr">
        <is>
          <t>청라한라비발디</t>
        </is>
      </c>
      <c r="E1521" s="0" t="inlineStr">
        <is>
          <t>2011.10.</t>
        </is>
      </c>
      <c r="F1521" s="0" t="n">
        <v>992</v>
      </c>
      <c r="G1521" s="0" t="n">
        <v>39.8</v>
      </c>
      <c r="H1521" s="0" t="n">
        <v>131.59</v>
      </c>
      <c r="I1521" s="0" t="n">
        <v>30.77</v>
      </c>
      <c r="J1521" s="0" t="n">
        <v>101.73</v>
      </c>
      <c r="K1521" s="0" t="n">
        <v>85</v>
      </c>
      <c r="T1521" s="0" t="n">
        <v>4</v>
      </c>
      <c r="U1521" s="0" t="n">
        <v>2</v>
      </c>
      <c r="V1521" s="0" t="inlineStr">
        <is>
          <t>계단식</t>
        </is>
      </c>
      <c r="W1521" s="0" t="inlineStr">
        <is>
          <t>131B</t>
        </is>
      </c>
      <c r="X1521" s="0" t="n">
        <v>25</v>
      </c>
      <c r="Y1521" s="0" t="n">
        <v>16</v>
      </c>
      <c r="Z1521" s="0" t="inlineStr">
        <is>
          <t>https://new.land.naver.com/complexes/27787?tab=detail&amp;rf=Y</t>
        </is>
      </c>
      <c r="AA1521" s="0" t="inlineStr">
        <is>
          <t>인천시 서구 청라동 107-1</t>
        </is>
      </c>
      <c r="AB1521" s="0" t="inlineStr">
        <is>
          <t>인천시</t>
        </is>
      </c>
      <c r="AC1521" s="0" t="inlineStr">
        <is>
          <t>서구</t>
        </is>
      </c>
      <c r="AD1521" s="0" t="inlineStr">
        <is>
          <t>청라동</t>
        </is>
      </c>
      <c r="AG1521" s="0" t="inlineStr">
        <is>
          <t>인천시 서구 청라한울로 17</t>
        </is>
      </c>
      <c r="AH1521" s="0" t="n">
        <v>0</v>
      </c>
      <c r="AI1521" s="0" t="n">
        <v>179</v>
      </c>
      <c r="AJ1521" s="0" t="n">
        <v>12</v>
      </c>
      <c r="AK1521" s="0" t="n">
        <v>1953</v>
      </c>
      <c r="AL1521" s="0" t="n">
        <v>1.97</v>
      </c>
    </row>
    <row r="1522">
      <c r="A1522" s="0" t="inlineStr">
        <is>
          <t>[청라동]</t>
        </is>
      </c>
      <c r="B1522" s="0" t="n">
        <v>27787</v>
      </c>
      <c r="C1522" s="0" t="n">
        <v>3</v>
      </c>
      <c r="D1522" s="0" t="inlineStr">
        <is>
          <t>청라한라비발디</t>
        </is>
      </c>
      <c r="E1522" s="0" t="inlineStr">
        <is>
          <t>2011.10.</t>
        </is>
      </c>
      <c r="F1522" s="0" t="n">
        <v>992</v>
      </c>
      <c r="G1522" s="0" t="n">
        <v>39.8</v>
      </c>
      <c r="H1522" s="0" t="n">
        <v>131.59</v>
      </c>
      <c r="I1522" s="0" t="n">
        <v>30.77</v>
      </c>
      <c r="J1522" s="0" t="n">
        <v>101.73</v>
      </c>
      <c r="K1522" s="0" t="n">
        <v>83</v>
      </c>
      <c r="T1522" s="0" t="n">
        <v>4</v>
      </c>
      <c r="U1522" s="0" t="n">
        <v>2</v>
      </c>
      <c r="V1522" s="0" t="inlineStr">
        <is>
          <t>계단식</t>
        </is>
      </c>
      <c r="W1522" s="0" t="inlineStr">
        <is>
          <t>131A</t>
        </is>
      </c>
      <c r="X1522" s="0" t="n">
        <v>25</v>
      </c>
      <c r="Y1522" s="0" t="n">
        <v>16</v>
      </c>
      <c r="Z1522" s="0" t="inlineStr">
        <is>
          <t>https://new.land.naver.com/complexes/27787?tab=detail&amp;rf=Y</t>
        </is>
      </c>
      <c r="AA1522" s="0" t="inlineStr">
        <is>
          <t>인천시 서구 청라동 107-1</t>
        </is>
      </c>
      <c r="AB1522" s="0" t="inlineStr">
        <is>
          <t>인천시</t>
        </is>
      </c>
      <c r="AC1522" s="0" t="inlineStr">
        <is>
          <t>서구</t>
        </is>
      </c>
      <c r="AD1522" s="0" t="inlineStr">
        <is>
          <t>청라동</t>
        </is>
      </c>
      <c r="AG1522" s="0" t="inlineStr">
        <is>
          <t>인천시 서구 청라한울로 17</t>
        </is>
      </c>
      <c r="AH1522" s="0" t="n">
        <v>0</v>
      </c>
      <c r="AI1522" s="0" t="n">
        <v>179</v>
      </c>
      <c r="AJ1522" s="0" t="n">
        <v>12</v>
      </c>
      <c r="AK1522" s="0" t="n">
        <v>1953</v>
      </c>
      <c r="AL1522" s="0" t="n">
        <v>1.97</v>
      </c>
    </row>
    <row r="1523">
      <c r="A1523" s="0" t="inlineStr">
        <is>
          <t>[청라동]</t>
        </is>
      </c>
      <c r="B1523" s="0" t="n">
        <v>27787</v>
      </c>
      <c r="C1523" s="0" t="n">
        <v>4</v>
      </c>
      <c r="D1523" s="0" t="inlineStr">
        <is>
          <t>청라한라비발디</t>
        </is>
      </c>
      <c r="E1523" s="0" t="inlineStr">
        <is>
          <t>2011.10.</t>
        </is>
      </c>
      <c r="F1523" s="0" t="n">
        <v>992</v>
      </c>
      <c r="G1523" s="0" t="n">
        <v>43.95</v>
      </c>
      <c r="H1523" s="0" t="n">
        <v>145.32</v>
      </c>
      <c r="I1523" s="0" t="n">
        <v>34.38</v>
      </c>
      <c r="J1523" s="0" t="n">
        <v>113.67</v>
      </c>
      <c r="K1523" s="0" t="n">
        <v>258</v>
      </c>
      <c r="T1523" s="0" t="n">
        <v>4</v>
      </c>
      <c r="U1523" s="0" t="n">
        <v>2</v>
      </c>
      <c r="V1523" s="0" t="inlineStr">
        <is>
          <t>계단식</t>
        </is>
      </c>
      <c r="W1523" s="0" t="inlineStr">
        <is>
          <t>145B</t>
        </is>
      </c>
      <c r="X1523" s="0" t="n">
        <v>25</v>
      </c>
      <c r="Y1523" s="0" t="n">
        <v>16</v>
      </c>
      <c r="Z1523" s="0" t="inlineStr">
        <is>
          <t>https://new.land.naver.com/complexes/27787?tab=detail&amp;rf=Y</t>
        </is>
      </c>
      <c r="AA1523" s="0" t="inlineStr">
        <is>
          <t>인천시 서구 청라동 107-1</t>
        </is>
      </c>
      <c r="AB1523" s="0" t="inlineStr">
        <is>
          <t>인천시</t>
        </is>
      </c>
      <c r="AC1523" s="0" t="inlineStr">
        <is>
          <t>서구</t>
        </is>
      </c>
      <c r="AD1523" s="0" t="inlineStr">
        <is>
          <t>청라동</t>
        </is>
      </c>
      <c r="AG1523" s="0" t="inlineStr">
        <is>
          <t>인천시 서구 청라한울로 17</t>
        </is>
      </c>
      <c r="AH1523" s="0" t="n">
        <v>0</v>
      </c>
      <c r="AI1523" s="0" t="n">
        <v>179</v>
      </c>
      <c r="AJ1523" s="0" t="n">
        <v>12</v>
      </c>
      <c r="AK1523" s="0" t="n">
        <v>1953</v>
      </c>
      <c r="AL1523" s="0" t="n">
        <v>1.97</v>
      </c>
    </row>
    <row r="1524">
      <c r="A1524" s="0" t="inlineStr">
        <is>
          <t>[청라동]</t>
        </is>
      </c>
      <c r="B1524" s="0" t="n">
        <v>27787</v>
      </c>
      <c r="C1524" s="0" t="n">
        <v>5</v>
      </c>
      <c r="D1524" s="0" t="inlineStr">
        <is>
          <t>청라한라비발디</t>
        </is>
      </c>
      <c r="E1524" s="0" t="inlineStr">
        <is>
          <t>2011.10.</t>
        </is>
      </c>
      <c r="F1524" s="0" t="n">
        <v>992</v>
      </c>
      <c r="G1524" s="0" t="n">
        <v>43.87</v>
      </c>
      <c r="H1524" s="0" t="n">
        <v>145.04</v>
      </c>
      <c r="I1524" s="0" t="n">
        <v>34.38</v>
      </c>
      <c r="J1524" s="0" t="n">
        <v>113.66</v>
      </c>
      <c r="K1524" s="0" t="n">
        <v>132</v>
      </c>
      <c r="T1524" s="0" t="n">
        <v>4</v>
      </c>
      <c r="U1524" s="0" t="n">
        <v>2</v>
      </c>
      <c r="V1524" s="0" t="inlineStr">
        <is>
          <t>계단식</t>
        </is>
      </c>
      <c r="W1524" s="0" t="inlineStr">
        <is>
          <t>145A</t>
        </is>
      </c>
      <c r="X1524" s="0" t="n">
        <v>25</v>
      </c>
      <c r="Y1524" s="0" t="n">
        <v>16</v>
      </c>
      <c r="Z1524" s="0" t="inlineStr">
        <is>
          <t>https://new.land.naver.com/complexes/27787?tab=detail&amp;rf=Y</t>
        </is>
      </c>
      <c r="AA1524" s="0" t="inlineStr">
        <is>
          <t>인천시 서구 청라동 107-1</t>
        </is>
      </c>
      <c r="AB1524" s="0" t="inlineStr">
        <is>
          <t>인천시</t>
        </is>
      </c>
      <c r="AC1524" s="0" t="inlineStr">
        <is>
          <t>서구</t>
        </is>
      </c>
      <c r="AD1524" s="0" t="inlineStr">
        <is>
          <t>청라동</t>
        </is>
      </c>
      <c r="AG1524" s="0" t="inlineStr">
        <is>
          <t>인천시 서구 청라한울로 17</t>
        </is>
      </c>
      <c r="AH1524" s="0" t="n">
        <v>0</v>
      </c>
      <c r="AI1524" s="0" t="n">
        <v>179</v>
      </c>
      <c r="AJ1524" s="0" t="n">
        <v>12</v>
      </c>
      <c r="AK1524" s="0" t="n">
        <v>1953</v>
      </c>
      <c r="AL1524" s="0" t="n">
        <v>1.97</v>
      </c>
    </row>
    <row r="1525">
      <c r="A1525" s="0" t="inlineStr">
        <is>
          <t>[청라동]</t>
        </is>
      </c>
      <c r="B1525" s="0" t="n">
        <v>27787</v>
      </c>
      <c r="C1525" s="0" t="n">
        <v>6</v>
      </c>
      <c r="D1525" s="0" t="inlineStr">
        <is>
          <t>청라한라비발디</t>
        </is>
      </c>
      <c r="E1525" s="0" t="inlineStr">
        <is>
          <t>2011.10.</t>
        </is>
      </c>
      <c r="F1525" s="0" t="n">
        <v>992</v>
      </c>
      <c r="G1525" s="0" t="n">
        <v>44.45</v>
      </c>
      <c r="H1525" s="0" t="n">
        <v>146.96</v>
      </c>
      <c r="I1525" s="0" t="n">
        <v>34.45</v>
      </c>
      <c r="J1525" s="0" t="n">
        <v>113.91</v>
      </c>
      <c r="K1525" s="0" t="n">
        <v>100</v>
      </c>
      <c r="T1525" s="0" t="n">
        <v>4</v>
      </c>
      <c r="U1525" s="0" t="n">
        <v>2</v>
      </c>
      <c r="V1525" s="0" t="inlineStr">
        <is>
          <t>계단식</t>
        </is>
      </c>
      <c r="W1525" s="0" t="n">
        <v>146</v>
      </c>
      <c r="X1525" s="0" t="n">
        <v>25</v>
      </c>
      <c r="Y1525" s="0" t="n">
        <v>16</v>
      </c>
      <c r="Z1525" s="0" t="inlineStr">
        <is>
          <t>https://new.land.naver.com/complexes/27787?tab=detail&amp;rf=Y</t>
        </is>
      </c>
      <c r="AA1525" s="0" t="inlineStr">
        <is>
          <t>인천시 서구 청라동 107-1</t>
        </is>
      </c>
      <c r="AB1525" s="0" t="inlineStr">
        <is>
          <t>인천시</t>
        </is>
      </c>
      <c r="AC1525" s="0" t="inlineStr">
        <is>
          <t>서구</t>
        </is>
      </c>
      <c r="AD1525" s="0" t="inlineStr">
        <is>
          <t>청라동</t>
        </is>
      </c>
      <c r="AG1525" s="0" t="inlineStr">
        <is>
          <t>인천시 서구 청라한울로 17</t>
        </is>
      </c>
      <c r="AH1525" s="0" t="n">
        <v>0</v>
      </c>
      <c r="AI1525" s="0" t="n">
        <v>179</v>
      </c>
      <c r="AJ1525" s="0" t="n">
        <v>12</v>
      </c>
      <c r="AK1525" s="0" t="n">
        <v>1953</v>
      </c>
      <c r="AL1525" s="0" t="n">
        <v>1.97</v>
      </c>
    </row>
    <row r="1526">
      <c r="A1526" s="0" t="inlineStr">
        <is>
          <t>[청라동]</t>
        </is>
      </c>
      <c r="B1526" s="0" t="n">
        <v>27787</v>
      </c>
      <c r="C1526" s="0" t="n">
        <v>7</v>
      </c>
      <c r="D1526" s="0" t="inlineStr">
        <is>
          <t>청라한라비발디</t>
        </is>
      </c>
      <c r="E1526" s="0" t="inlineStr">
        <is>
          <t>2011.10.</t>
        </is>
      </c>
      <c r="F1526" s="0" t="n">
        <v>992</v>
      </c>
      <c r="G1526" s="0" t="n">
        <v>51.97</v>
      </c>
      <c r="H1526" s="0" t="n">
        <v>171.82</v>
      </c>
      <c r="I1526" s="0" t="n">
        <v>40.48</v>
      </c>
      <c r="J1526" s="0" t="n">
        <v>133.85</v>
      </c>
      <c r="K1526" s="0" t="n">
        <v>100</v>
      </c>
      <c r="T1526" s="0" t="n">
        <v>4</v>
      </c>
      <c r="U1526" s="0" t="n">
        <v>2</v>
      </c>
      <c r="V1526" s="0" t="inlineStr">
        <is>
          <t>계단식</t>
        </is>
      </c>
      <c r="W1526" s="0" t="inlineStr">
        <is>
          <t>171B</t>
        </is>
      </c>
      <c r="X1526" s="0" t="n">
        <v>25</v>
      </c>
      <c r="Y1526" s="0" t="n">
        <v>16</v>
      </c>
      <c r="Z1526" s="0" t="inlineStr">
        <is>
          <t>https://new.land.naver.com/complexes/27787?tab=detail&amp;rf=Y</t>
        </is>
      </c>
      <c r="AA1526" s="0" t="inlineStr">
        <is>
          <t>인천시 서구 청라동 107-1</t>
        </is>
      </c>
      <c r="AB1526" s="0" t="inlineStr">
        <is>
          <t>인천시</t>
        </is>
      </c>
      <c r="AC1526" s="0" t="inlineStr">
        <is>
          <t>서구</t>
        </is>
      </c>
      <c r="AD1526" s="0" t="inlineStr">
        <is>
          <t>청라동</t>
        </is>
      </c>
      <c r="AG1526" s="0" t="inlineStr">
        <is>
          <t>인천시 서구 청라한울로 17</t>
        </is>
      </c>
      <c r="AH1526" s="0" t="n">
        <v>0</v>
      </c>
      <c r="AI1526" s="0" t="n">
        <v>179</v>
      </c>
      <c r="AJ1526" s="0" t="n">
        <v>12</v>
      </c>
      <c r="AK1526" s="0" t="n">
        <v>1953</v>
      </c>
      <c r="AL1526" s="0" t="n">
        <v>1.97</v>
      </c>
    </row>
    <row r="1527">
      <c r="A1527" s="0" t="inlineStr">
        <is>
          <t>[청라동]</t>
        </is>
      </c>
      <c r="B1527" s="0" t="n">
        <v>27787</v>
      </c>
      <c r="C1527" s="0" t="n">
        <v>8</v>
      </c>
      <c r="D1527" s="0" t="inlineStr">
        <is>
          <t>청라한라비발디</t>
        </is>
      </c>
      <c r="E1527" s="0" t="inlineStr">
        <is>
          <t>2011.10.</t>
        </is>
      </c>
      <c r="F1527" s="0" t="n">
        <v>992</v>
      </c>
      <c r="G1527" s="0" t="n">
        <v>51.73</v>
      </c>
      <c r="H1527" s="0" t="n">
        <v>171.04</v>
      </c>
      <c r="I1527" s="0" t="n">
        <v>40.52</v>
      </c>
      <c r="J1527" s="0" t="n">
        <v>133.96</v>
      </c>
      <c r="K1527" s="0" t="n">
        <v>96</v>
      </c>
      <c r="T1527" s="0" t="n">
        <v>4</v>
      </c>
      <c r="U1527" s="0" t="n">
        <v>2</v>
      </c>
      <c r="V1527" s="0" t="inlineStr">
        <is>
          <t>계단식</t>
        </is>
      </c>
      <c r="W1527" s="0" t="inlineStr">
        <is>
          <t>171A</t>
        </is>
      </c>
      <c r="X1527" s="0" t="n">
        <v>25</v>
      </c>
      <c r="Y1527" s="0" t="n">
        <v>16</v>
      </c>
      <c r="Z1527" s="0" t="inlineStr">
        <is>
          <t>https://new.land.naver.com/complexes/27787?tab=detail&amp;rf=Y</t>
        </is>
      </c>
      <c r="AA1527" s="0" t="inlineStr">
        <is>
          <t>인천시 서구 청라동 107-1</t>
        </is>
      </c>
      <c r="AB1527" s="0" t="inlineStr">
        <is>
          <t>인천시</t>
        </is>
      </c>
      <c r="AC1527" s="0" t="inlineStr">
        <is>
          <t>서구</t>
        </is>
      </c>
      <c r="AD1527" s="0" t="inlineStr">
        <is>
          <t>청라동</t>
        </is>
      </c>
      <c r="AG1527" s="0" t="inlineStr">
        <is>
          <t>인천시 서구 청라한울로 17</t>
        </is>
      </c>
      <c r="AH1527" s="0" t="n">
        <v>0</v>
      </c>
      <c r="AI1527" s="0" t="n">
        <v>179</v>
      </c>
      <c r="AJ1527" s="0" t="n">
        <v>12</v>
      </c>
      <c r="AK1527" s="0" t="n">
        <v>1953</v>
      </c>
      <c r="AL1527" s="0" t="n">
        <v>1.97</v>
      </c>
    </row>
    <row r="1528">
      <c r="A1528" s="0" t="inlineStr">
        <is>
          <t>[청라동]</t>
        </is>
      </c>
      <c r="B1528" s="0" t="n">
        <v>102403</v>
      </c>
      <c r="C1528" s="0" t="n">
        <v>1</v>
      </c>
      <c r="D1528" s="0" t="inlineStr">
        <is>
          <t>청라엘에이치</t>
        </is>
      </c>
      <c r="E1528" s="0" t="inlineStr">
        <is>
          <t>2011.09.</t>
        </is>
      </c>
      <c r="F1528" s="0" t="n">
        <v>1767</v>
      </c>
      <c r="G1528" s="0" t="n">
        <v>30.31</v>
      </c>
      <c r="H1528" s="0" t="n">
        <v>100.22</v>
      </c>
      <c r="I1528" s="0" t="n">
        <v>22.59</v>
      </c>
      <c r="J1528" s="0" t="n">
        <v>74.7</v>
      </c>
      <c r="K1528" s="0" t="n">
        <v>54</v>
      </c>
      <c r="T1528" s="0" t="n">
        <v>3</v>
      </c>
      <c r="U1528" s="0" t="n">
        <v>2</v>
      </c>
      <c r="V1528" s="0" t="inlineStr">
        <is>
          <t>계단식</t>
        </is>
      </c>
      <c r="W1528" s="0" t="n">
        <v>100</v>
      </c>
      <c r="X1528" s="0" t="n">
        <v>20</v>
      </c>
      <c r="Y1528" s="0" t="n">
        <v>8</v>
      </c>
      <c r="Z1528" s="0" t="inlineStr">
        <is>
          <t>https://new.land.naver.com/complexes/102403?tab=detail&amp;rf=Y</t>
        </is>
      </c>
      <c r="AA1528" s="0" t="inlineStr">
        <is>
          <t>인천시 서구 청라동 184-1</t>
        </is>
      </c>
      <c r="AB1528" s="0" t="inlineStr">
        <is>
          <t>인천시</t>
        </is>
      </c>
      <c r="AC1528" s="0" t="inlineStr">
        <is>
          <t>서구</t>
        </is>
      </c>
      <c r="AD1528" s="0" t="inlineStr">
        <is>
          <t>청라동</t>
        </is>
      </c>
      <c r="AG1528" s="0" t="inlineStr">
        <is>
          <t>인천시 서구 청라커낼로 232</t>
        </is>
      </c>
      <c r="AH1528" s="0" t="n">
        <v>1255</v>
      </c>
      <c r="AI1528" s="0" t="n">
        <v>153</v>
      </c>
      <c r="AJ1528" s="0" t="n">
        <v>17</v>
      </c>
      <c r="AK1528" s="0" t="n">
        <v>1787</v>
      </c>
      <c r="AL1528" s="0" t="n">
        <v>1.01</v>
      </c>
    </row>
    <row r="1529">
      <c r="A1529" s="0" t="inlineStr">
        <is>
          <t>[청라동]</t>
        </is>
      </c>
      <c r="B1529" s="0" t="n">
        <v>102403</v>
      </c>
      <c r="C1529" s="0" t="n">
        <v>2</v>
      </c>
      <c r="D1529" s="0" t="inlineStr">
        <is>
          <t>청라엘에이치</t>
        </is>
      </c>
      <c r="E1529" s="0" t="inlineStr">
        <is>
          <t>2011.09.</t>
        </is>
      </c>
      <c r="F1529" s="0" t="n">
        <v>1767</v>
      </c>
      <c r="G1529" s="0" t="n">
        <v>34.43</v>
      </c>
      <c r="H1529" s="0" t="n">
        <v>113.85</v>
      </c>
      <c r="I1529" s="0" t="n">
        <v>25.67</v>
      </c>
      <c r="J1529" s="0" t="n">
        <v>84.86</v>
      </c>
      <c r="K1529" s="0" t="n">
        <v>352</v>
      </c>
      <c r="T1529" s="0" t="n">
        <v>3</v>
      </c>
      <c r="U1529" s="0" t="n">
        <v>2</v>
      </c>
      <c r="V1529" s="0" t="inlineStr">
        <is>
          <t>계단식</t>
        </is>
      </c>
      <c r="W1529" s="0" t="inlineStr">
        <is>
          <t>113A</t>
        </is>
      </c>
      <c r="X1529" s="0" t="n">
        <v>20</v>
      </c>
      <c r="Y1529" s="0" t="n">
        <v>8</v>
      </c>
      <c r="Z1529" s="0" t="inlineStr">
        <is>
          <t>https://new.land.naver.com/complexes/102403?tab=detail&amp;rf=Y</t>
        </is>
      </c>
      <c r="AA1529" s="0" t="inlineStr">
        <is>
          <t>인천시 서구 청라동 184-1</t>
        </is>
      </c>
      <c r="AB1529" s="0" t="inlineStr">
        <is>
          <t>인천시</t>
        </is>
      </c>
      <c r="AC1529" s="0" t="inlineStr">
        <is>
          <t>서구</t>
        </is>
      </c>
      <c r="AD1529" s="0" t="inlineStr">
        <is>
          <t>청라동</t>
        </is>
      </c>
      <c r="AG1529" s="0" t="inlineStr">
        <is>
          <t>인천시 서구 청라커낼로 232</t>
        </is>
      </c>
      <c r="AH1529" s="0" t="n">
        <v>1255</v>
      </c>
      <c r="AI1529" s="0" t="n">
        <v>153</v>
      </c>
      <c r="AJ1529" s="0" t="n">
        <v>17</v>
      </c>
      <c r="AK1529" s="0" t="n">
        <v>1787</v>
      </c>
      <c r="AL1529" s="0" t="n">
        <v>1.01</v>
      </c>
    </row>
    <row r="1530">
      <c r="A1530" s="0" t="inlineStr">
        <is>
          <t>[청라동]</t>
        </is>
      </c>
      <c r="B1530" s="0" t="n">
        <v>102403</v>
      </c>
      <c r="C1530" s="0" t="n">
        <v>3</v>
      </c>
      <c r="D1530" s="0" t="inlineStr">
        <is>
          <t>청라엘에이치</t>
        </is>
      </c>
      <c r="E1530" s="0" t="inlineStr">
        <is>
          <t>2011.09.</t>
        </is>
      </c>
      <c r="F1530" s="0" t="n">
        <v>1767</v>
      </c>
      <c r="G1530" s="0" t="n">
        <v>34.48</v>
      </c>
      <c r="H1530" s="0" t="n">
        <v>113.99</v>
      </c>
      <c r="I1530" s="0" t="n">
        <v>25.7</v>
      </c>
      <c r="J1530" s="0" t="n">
        <v>84.95999999999999</v>
      </c>
      <c r="K1530" s="0" t="n">
        <v>36</v>
      </c>
      <c r="T1530" s="0" t="n">
        <v>3</v>
      </c>
      <c r="U1530" s="0" t="n">
        <v>2</v>
      </c>
      <c r="V1530" s="0" t="inlineStr">
        <is>
          <t>계단식</t>
        </is>
      </c>
      <c r="W1530" s="0" t="inlineStr">
        <is>
          <t>113B</t>
        </is>
      </c>
      <c r="X1530" s="0" t="n">
        <v>20</v>
      </c>
      <c r="Y1530" s="0" t="n">
        <v>8</v>
      </c>
      <c r="Z1530" s="0" t="inlineStr">
        <is>
          <t>https://new.land.naver.com/complexes/102403?tab=detail&amp;rf=Y</t>
        </is>
      </c>
      <c r="AA1530" s="0" t="inlineStr">
        <is>
          <t>인천시 서구 청라동 184-1</t>
        </is>
      </c>
      <c r="AB1530" s="0" t="inlineStr">
        <is>
          <t>인천시</t>
        </is>
      </c>
      <c r="AC1530" s="0" t="inlineStr">
        <is>
          <t>서구</t>
        </is>
      </c>
      <c r="AD1530" s="0" t="inlineStr">
        <is>
          <t>청라동</t>
        </is>
      </c>
      <c r="AG1530" s="0" t="inlineStr">
        <is>
          <t>인천시 서구 청라커낼로 232</t>
        </is>
      </c>
      <c r="AH1530" s="0" t="n">
        <v>1255</v>
      </c>
      <c r="AI1530" s="0" t="n">
        <v>153</v>
      </c>
      <c r="AJ1530" s="0" t="n">
        <v>17</v>
      </c>
      <c r="AK1530" s="0" t="n">
        <v>1787</v>
      </c>
      <c r="AL1530" s="0" t="n">
        <v>1.01</v>
      </c>
    </row>
    <row r="1531">
      <c r="A1531" s="0" t="inlineStr">
        <is>
          <t>[청라동]</t>
        </is>
      </c>
      <c r="B1531" s="0" t="n">
        <v>102403</v>
      </c>
      <c r="C1531" s="0" t="n">
        <v>4</v>
      </c>
      <c r="D1531" s="0" t="inlineStr">
        <is>
          <t>청라엘에이치</t>
        </is>
      </c>
      <c r="E1531" s="0" t="inlineStr">
        <is>
          <t>2011.09.</t>
        </is>
      </c>
      <c r="F1531" s="0" t="n">
        <v>1767</v>
      </c>
      <c r="G1531" s="0" t="n">
        <v>34.42</v>
      </c>
      <c r="H1531" s="0" t="n">
        <v>113.79</v>
      </c>
      <c r="I1531" s="0" t="n">
        <v>25.65</v>
      </c>
      <c r="J1531" s="0" t="n">
        <v>84.81</v>
      </c>
      <c r="K1531" s="0" t="n">
        <v>35</v>
      </c>
      <c r="T1531" s="0" t="n">
        <v>3</v>
      </c>
      <c r="U1531" s="0" t="n">
        <v>2</v>
      </c>
      <c r="V1531" s="0" t="inlineStr">
        <is>
          <t>계단식</t>
        </is>
      </c>
      <c r="W1531" s="0" t="inlineStr">
        <is>
          <t>113C</t>
        </is>
      </c>
      <c r="X1531" s="0" t="n">
        <v>20</v>
      </c>
      <c r="Y1531" s="0" t="n">
        <v>8</v>
      </c>
      <c r="Z1531" s="0" t="inlineStr">
        <is>
          <t>https://new.land.naver.com/complexes/102403?tab=detail&amp;rf=Y</t>
        </is>
      </c>
      <c r="AA1531" s="0" t="inlineStr">
        <is>
          <t>인천시 서구 청라동 184-1</t>
        </is>
      </c>
      <c r="AB1531" s="0" t="inlineStr">
        <is>
          <t>인천시</t>
        </is>
      </c>
      <c r="AC1531" s="0" t="inlineStr">
        <is>
          <t>서구</t>
        </is>
      </c>
      <c r="AD1531" s="0" t="inlineStr">
        <is>
          <t>청라동</t>
        </is>
      </c>
      <c r="AG1531" s="0" t="inlineStr">
        <is>
          <t>인천시 서구 청라커낼로 232</t>
        </is>
      </c>
      <c r="AH1531" s="0" t="n">
        <v>1255</v>
      </c>
      <c r="AI1531" s="0" t="n">
        <v>153</v>
      </c>
      <c r="AJ1531" s="0" t="n">
        <v>17</v>
      </c>
      <c r="AK1531" s="0" t="n">
        <v>1787</v>
      </c>
      <c r="AL1531" s="0" t="n">
        <v>1.01</v>
      </c>
    </row>
    <row r="1532">
      <c r="A1532" s="0" t="inlineStr">
        <is>
          <t>[청라동]</t>
        </is>
      </c>
      <c r="B1532" s="0" t="n">
        <v>102403</v>
      </c>
      <c r="C1532" s="0" t="n">
        <v>5</v>
      </c>
      <c r="D1532" s="0" t="inlineStr">
        <is>
          <t>청라엘에이치</t>
        </is>
      </c>
      <c r="E1532" s="0" t="inlineStr">
        <is>
          <t>2011.09.</t>
        </is>
      </c>
      <c r="F1532" s="0" t="n">
        <v>1767</v>
      </c>
      <c r="G1532" s="0" t="n">
        <v>34.42</v>
      </c>
      <c r="H1532" s="0" t="n">
        <v>113.79</v>
      </c>
      <c r="I1532" s="0" t="n">
        <v>25.65</v>
      </c>
      <c r="J1532" s="0" t="n">
        <v>84.81</v>
      </c>
      <c r="K1532" s="0" t="n">
        <v>35</v>
      </c>
      <c r="T1532" s="0" t="n">
        <v>3</v>
      </c>
      <c r="U1532" s="0" t="n">
        <v>2</v>
      </c>
      <c r="V1532" s="0" t="inlineStr">
        <is>
          <t>계단식</t>
        </is>
      </c>
      <c r="W1532" s="0" t="inlineStr">
        <is>
          <t>113D</t>
        </is>
      </c>
      <c r="X1532" s="0" t="n">
        <v>20</v>
      </c>
      <c r="Y1532" s="0" t="n">
        <v>8</v>
      </c>
      <c r="Z1532" s="0" t="inlineStr">
        <is>
          <t>https://new.land.naver.com/complexes/102403?tab=detail&amp;rf=Y</t>
        </is>
      </c>
      <c r="AA1532" s="0" t="inlineStr">
        <is>
          <t>인천시 서구 청라동 184-1</t>
        </is>
      </c>
      <c r="AB1532" s="0" t="inlineStr">
        <is>
          <t>인천시</t>
        </is>
      </c>
      <c r="AC1532" s="0" t="inlineStr">
        <is>
          <t>서구</t>
        </is>
      </c>
      <c r="AD1532" s="0" t="inlineStr">
        <is>
          <t>청라동</t>
        </is>
      </c>
      <c r="AG1532" s="0" t="inlineStr">
        <is>
          <t>인천시 서구 청라커낼로 232</t>
        </is>
      </c>
      <c r="AH1532" s="0" t="n">
        <v>1255</v>
      </c>
      <c r="AI1532" s="0" t="n">
        <v>153</v>
      </c>
      <c r="AJ1532" s="0" t="n">
        <v>17</v>
      </c>
      <c r="AK1532" s="0" t="n">
        <v>1787</v>
      </c>
      <c r="AL1532" s="0" t="n">
        <v>1.01</v>
      </c>
    </row>
    <row r="1533">
      <c r="A1533" s="0" t="inlineStr">
        <is>
          <t>[청라동]</t>
        </is>
      </c>
      <c r="B1533" s="0" t="n">
        <v>27086</v>
      </c>
      <c r="C1533" s="0" t="n">
        <v>1</v>
      </c>
      <c r="D1533" s="0" t="inlineStr">
        <is>
          <t>청라힐데스하임</t>
        </is>
      </c>
      <c r="E1533" s="0" t="inlineStr">
        <is>
          <t>2011.07.</t>
        </is>
      </c>
      <c r="F1533" s="0" t="n">
        <v>1284</v>
      </c>
      <c r="G1533" s="0" t="n">
        <v>25.47</v>
      </c>
      <c r="H1533" s="0" t="n">
        <v>84.20999999999999</v>
      </c>
      <c r="I1533" s="0" t="n">
        <v>18.11</v>
      </c>
      <c r="J1533" s="0" t="n">
        <v>59.9</v>
      </c>
      <c r="K1533" s="0" t="n">
        <v>240</v>
      </c>
      <c r="T1533" s="0" t="n">
        <v>3</v>
      </c>
      <c r="U1533" s="0" t="n">
        <v>2</v>
      </c>
      <c r="V1533" s="0" t="inlineStr">
        <is>
          <t>복합식</t>
        </is>
      </c>
      <c r="W1533" s="0" t="inlineStr">
        <is>
          <t>84D</t>
        </is>
      </c>
      <c r="X1533" s="0" t="n">
        <v>25</v>
      </c>
      <c r="Y1533" s="0" t="n">
        <v>20</v>
      </c>
      <c r="Z1533" s="0" t="inlineStr">
        <is>
          <t>https://new.land.naver.com/complexes/27086?tab=detail&amp;rf=Y</t>
        </is>
      </c>
      <c r="AA1533" s="0" t="inlineStr">
        <is>
          <t>인천시 서구 청라동 185-1</t>
        </is>
      </c>
      <c r="AB1533" s="0" t="inlineStr">
        <is>
          <t>인천시</t>
        </is>
      </c>
      <c r="AC1533" s="0" t="inlineStr">
        <is>
          <t>서구</t>
        </is>
      </c>
      <c r="AD1533" s="0" t="inlineStr">
        <is>
          <t>청라동</t>
        </is>
      </c>
      <c r="AG1533" s="0" t="inlineStr">
        <is>
          <t>인천시 서구 청라라임로 17</t>
        </is>
      </c>
      <c r="AH1533" s="0" t="n">
        <v>0</v>
      </c>
      <c r="AI1533" s="0" t="n">
        <v>169</v>
      </c>
      <c r="AJ1533" s="0" t="n">
        <v>12</v>
      </c>
      <c r="AK1533" s="0" t="n">
        <v>1516</v>
      </c>
      <c r="AL1533" s="0" t="n">
        <v>1.18</v>
      </c>
    </row>
    <row r="1534">
      <c r="A1534" s="0" t="inlineStr">
        <is>
          <t>[청라동]</t>
        </is>
      </c>
      <c r="B1534" s="0" t="n">
        <v>27086</v>
      </c>
      <c r="C1534" s="0" t="n">
        <v>2</v>
      </c>
      <c r="D1534" s="0" t="inlineStr">
        <is>
          <t>청라힐데스하임</t>
        </is>
      </c>
      <c r="E1534" s="0" t="inlineStr">
        <is>
          <t>2011.07.</t>
        </is>
      </c>
      <c r="F1534" s="0" t="n">
        <v>1284</v>
      </c>
      <c r="G1534" s="0" t="n">
        <v>25.95</v>
      </c>
      <c r="H1534" s="0" t="n">
        <v>85.81</v>
      </c>
      <c r="I1534" s="0" t="n">
        <v>18.13</v>
      </c>
      <c r="J1534" s="0" t="n">
        <v>59.94</v>
      </c>
      <c r="K1534" s="0" t="n">
        <v>352</v>
      </c>
      <c r="T1534" s="0" t="n">
        <v>3</v>
      </c>
      <c r="U1534" s="0" t="n">
        <v>2</v>
      </c>
      <c r="V1534" s="0" t="inlineStr">
        <is>
          <t>복합식</t>
        </is>
      </c>
      <c r="W1534" s="0" t="inlineStr">
        <is>
          <t>85B</t>
        </is>
      </c>
      <c r="X1534" s="0" t="n">
        <v>25</v>
      </c>
      <c r="Y1534" s="0" t="n">
        <v>20</v>
      </c>
      <c r="Z1534" s="0" t="inlineStr">
        <is>
          <t>https://new.land.naver.com/complexes/27086?tab=detail&amp;rf=Y</t>
        </is>
      </c>
      <c r="AA1534" s="0" t="inlineStr">
        <is>
          <t>인천시 서구 청라동 185-1</t>
        </is>
      </c>
      <c r="AB1534" s="0" t="inlineStr">
        <is>
          <t>인천시</t>
        </is>
      </c>
      <c r="AC1534" s="0" t="inlineStr">
        <is>
          <t>서구</t>
        </is>
      </c>
      <c r="AD1534" s="0" t="inlineStr">
        <is>
          <t>청라동</t>
        </is>
      </c>
      <c r="AG1534" s="0" t="inlineStr">
        <is>
          <t>인천시 서구 청라라임로 17</t>
        </is>
      </c>
      <c r="AH1534" s="0" t="n">
        <v>0</v>
      </c>
      <c r="AI1534" s="0" t="n">
        <v>169</v>
      </c>
      <c r="AJ1534" s="0" t="n">
        <v>12</v>
      </c>
      <c r="AK1534" s="0" t="n">
        <v>1516</v>
      </c>
      <c r="AL1534" s="0" t="n">
        <v>1.18</v>
      </c>
    </row>
    <row r="1535">
      <c r="A1535" s="0" t="inlineStr">
        <is>
          <t>[청라동]</t>
        </is>
      </c>
      <c r="B1535" s="0" t="n">
        <v>27086</v>
      </c>
      <c r="C1535" s="0" t="n">
        <v>3</v>
      </c>
      <c r="D1535" s="0" t="inlineStr">
        <is>
          <t>청라힐데스하임</t>
        </is>
      </c>
      <c r="E1535" s="0" t="inlineStr">
        <is>
          <t>2011.07.</t>
        </is>
      </c>
      <c r="F1535" s="0" t="n">
        <v>1284</v>
      </c>
      <c r="G1535" s="0" t="n">
        <v>25.95</v>
      </c>
      <c r="H1535" s="0" t="n">
        <v>85.81</v>
      </c>
      <c r="I1535" s="0" t="n">
        <v>18.13</v>
      </c>
      <c r="J1535" s="0" t="n">
        <v>59.94</v>
      </c>
      <c r="K1535" s="0" t="n">
        <v>344</v>
      </c>
      <c r="T1535" s="0" t="n">
        <v>3</v>
      </c>
      <c r="U1535" s="0" t="n">
        <v>2</v>
      </c>
      <c r="V1535" s="0" t="inlineStr">
        <is>
          <t>복합식</t>
        </is>
      </c>
      <c r="W1535" s="0" t="inlineStr">
        <is>
          <t>85A</t>
        </is>
      </c>
      <c r="X1535" s="0" t="n">
        <v>25</v>
      </c>
      <c r="Y1535" s="0" t="n">
        <v>20</v>
      </c>
      <c r="Z1535" s="0" t="inlineStr">
        <is>
          <t>https://new.land.naver.com/complexes/27086?tab=detail&amp;rf=Y</t>
        </is>
      </c>
      <c r="AA1535" s="0" t="inlineStr">
        <is>
          <t>인천시 서구 청라동 185-1</t>
        </is>
      </c>
      <c r="AB1535" s="0" t="inlineStr">
        <is>
          <t>인천시</t>
        </is>
      </c>
      <c r="AC1535" s="0" t="inlineStr">
        <is>
          <t>서구</t>
        </is>
      </c>
      <c r="AD1535" s="0" t="inlineStr">
        <is>
          <t>청라동</t>
        </is>
      </c>
      <c r="AG1535" s="0" t="inlineStr">
        <is>
          <t>인천시 서구 청라라임로 17</t>
        </is>
      </c>
      <c r="AH1535" s="0" t="n">
        <v>0</v>
      </c>
      <c r="AI1535" s="0" t="n">
        <v>169</v>
      </c>
      <c r="AJ1535" s="0" t="n">
        <v>12</v>
      </c>
      <c r="AK1535" s="0" t="n">
        <v>1516</v>
      </c>
      <c r="AL1535" s="0" t="n">
        <v>1.18</v>
      </c>
    </row>
    <row r="1536">
      <c r="A1536" s="0" t="inlineStr">
        <is>
          <t>[청라동]</t>
        </is>
      </c>
      <c r="B1536" s="0" t="n">
        <v>27086</v>
      </c>
      <c r="C1536" s="0" t="n">
        <v>4</v>
      </c>
      <c r="D1536" s="0" t="inlineStr">
        <is>
          <t>청라힐데스하임</t>
        </is>
      </c>
      <c r="E1536" s="0" t="inlineStr">
        <is>
          <t>2011.07.</t>
        </is>
      </c>
      <c r="F1536" s="0" t="n">
        <v>1284</v>
      </c>
      <c r="G1536" s="0" t="n">
        <v>26.07</v>
      </c>
      <c r="H1536" s="0" t="n">
        <v>86.2</v>
      </c>
      <c r="I1536" s="0" t="n">
        <v>18.11</v>
      </c>
      <c r="J1536" s="0" t="n">
        <v>59.88</v>
      </c>
      <c r="K1536" s="0" t="n">
        <v>348</v>
      </c>
      <c r="T1536" s="0" t="n">
        <v>3</v>
      </c>
      <c r="U1536" s="0" t="n">
        <v>2</v>
      </c>
      <c r="V1536" s="0" t="inlineStr">
        <is>
          <t>복합식</t>
        </is>
      </c>
      <c r="W1536" s="0" t="inlineStr">
        <is>
          <t>86C</t>
        </is>
      </c>
      <c r="X1536" s="0" t="n">
        <v>25</v>
      </c>
      <c r="Y1536" s="0" t="n">
        <v>20</v>
      </c>
      <c r="Z1536" s="0" t="inlineStr">
        <is>
          <t>https://new.land.naver.com/complexes/27086?tab=detail&amp;rf=Y</t>
        </is>
      </c>
      <c r="AA1536" s="0" t="inlineStr">
        <is>
          <t>인천시 서구 청라동 185-1</t>
        </is>
      </c>
      <c r="AB1536" s="0" t="inlineStr">
        <is>
          <t>인천시</t>
        </is>
      </c>
      <c r="AC1536" s="0" t="inlineStr">
        <is>
          <t>서구</t>
        </is>
      </c>
      <c r="AD1536" s="0" t="inlineStr">
        <is>
          <t>청라동</t>
        </is>
      </c>
      <c r="AG1536" s="0" t="inlineStr">
        <is>
          <t>인천시 서구 청라라임로 17</t>
        </is>
      </c>
      <c r="AH1536" s="0" t="n">
        <v>0</v>
      </c>
      <c r="AI1536" s="0" t="n">
        <v>169</v>
      </c>
      <c r="AJ1536" s="0" t="n">
        <v>12</v>
      </c>
      <c r="AK1536" s="0" t="n">
        <v>1516</v>
      </c>
      <c r="AL1536" s="0" t="n">
        <v>1.18</v>
      </c>
    </row>
    <row r="1537">
      <c r="A1537" s="0" t="inlineStr">
        <is>
          <t>[청라동]</t>
        </is>
      </c>
      <c r="B1537" s="0" t="n">
        <v>109823</v>
      </c>
      <c r="C1537" s="0" t="n">
        <v>1</v>
      </c>
      <c r="D1537" s="0" t="inlineStr">
        <is>
          <t>청라골드클래스커낼웨이</t>
        </is>
      </c>
      <c r="E1537" s="0" t="inlineStr">
        <is>
          <t>2016.11.</t>
        </is>
      </c>
      <c r="F1537" s="0" t="n">
        <v>269</v>
      </c>
      <c r="G1537" s="0" t="n">
        <v>32.8</v>
      </c>
      <c r="H1537" s="0" t="n">
        <v>108.45</v>
      </c>
      <c r="I1537" s="0" t="n">
        <v>25.08</v>
      </c>
      <c r="J1537" s="0" t="n">
        <v>82.92</v>
      </c>
      <c r="K1537" s="0" t="n">
        <v>269</v>
      </c>
      <c r="T1537" s="0" t="n">
        <v>4</v>
      </c>
      <c r="U1537" s="0" t="n">
        <v>2</v>
      </c>
      <c r="V1537" s="0" t="inlineStr">
        <is>
          <t>계단식</t>
        </is>
      </c>
      <c r="W1537" s="0" t="n">
        <v>108</v>
      </c>
      <c r="X1537" s="0" t="n">
        <v>15</v>
      </c>
      <c r="Y1537" s="0" t="n">
        <v>15</v>
      </c>
      <c r="Z1537" s="0" t="inlineStr">
        <is>
          <t>https://new.land.naver.com/complexes/109823?tab=detail&amp;rf=Y</t>
        </is>
      </c>
      <c r="AA1537" s="0" t="inlineStr">
        <is>
          <t>인천시 서구 청라동 165-7</t>
        </is>
      </c>
      <c r="AB1537" s="0" t="inlineStr">
        <is>
          <t>인천시</t>
        </is>
      </c>
      <c r="AC1537" s="0" t="inlineStr">
        <is>
          <t>서구</t>
        </is>
      </c>
      <c r="AD1537" s="0" t="inlineStr">
        <is>
          <t>청라동</t>
        </is>
      </c>
      <c r="AG1537" s="0" t="inlineStr">
        <is>
          <t>인천시 서구 청라라임로 40</t>
        </is>
      </c>
      <c r="AH1537" s="0" t="n">
        <v>0</v>
      </c>
      <c r="AI1537" s="0" t="n">
        <v>149</v>
      </c>
      <c r="AJ1537" s="0" t="n">
        <v>17</v>
      </c>
      <c r="AK1537" s="0" t="n">
        <v>350</v>
      </c>
      <c r="AL1537" s="0" t="n">
        <v>1.3</v>
      </c>
    </row>
    <row r="1538">
      <c r="A1538" s="0" t="inlineStr">
        <is>
          <t>[청라동]</t>
        </is>
      </c>
      <c r="B1538" s="0" t="n">
        <v>27784</v>
      </c>
      <c r="C1538" s="0" t="n">
        <v>1</v>
      </c>
      <c r="D1538" s="0" t="inlineStr">
        <is>
          <t>인천청라한일베라체</t>
        </is>
      </c>
      <c r="E1538" s="0" t="inlineStr">
        <is>
          <t>2011.05.</t>
        </is>
      </c>
      <c r="F1538" s="0" t="n">
        <v>257</v>
      </c>
      <c r="G1538" s="0" t="n">
        <v>39.35</v>
      </c>
      <c r="H1538" s="0" t="n">
        <v>130.1</v>
      </c>
      <c r="I1538" s="0" t="n">
        <v>31.57</v>
      </c>
      <c r="J1538" s="0" t="n">
        <v>104.37</v>
      </c>
      <c r="K1538" s="0" t="n">
        <v>149</v>
      </c>
      <c r="T1538" s="0" t="n">
        <v>3</v>
      </c>
      <c r="U1538" s="0" t="n">
        <v>2</v>
      </c>
      <c r="V1538" s="0" t="inlineStr">
        <is>
          <t>계단식</t>
        </is>
      </c>
      <c r="W1538" s="0" t="n">
        <v>130</v>
      </c>
      <c r="X1538" s="0" t="n">
        <v>15</v>
      </c>
      <c r="Y1538" s="0" t="n">
        <v>10</v>
      </c>
      <c r="Z1538" s="0" t="inlineStr">
        <is>
          <t>https://new.land.naver.com/complexes/27784?tab=detail&amp;rf=Y</t>
        </is>
      </c>
      <c r="AA1538" s="0" t="inlineStr">
        <is>
          <t>인천시 서구 청라동 155-9</t>
        </is>
      </c>
      <c r="AB1538" s="0" t="inlineStr">
        <is>
          <t>인천시</t>
        </is>
      </c>
      <c r="AC1538" s="0" t="inlineStr">
        <is>
          <t>서구</t>
        </is>
      </c>
      <c r="AD1538" s="0" t="inlineStr">
        <is>
          <t>청라동</t>
        </is>
      </c>
      <c r="AG1538" s="0" t="inlineStr">
        <is>
          <t>인천시 서구 청라루비로 68</t>
        </is>
      </c>
      <c r="AH1538" s="0" t="n">
        <v>0</v>
      </c>
      <c r="AI1538" s="0" t="n">
        <v>149</v>
      </c>
      <c r="AJ1538" s="0" t="n">
        <v>16</v>
      </c>
      <c r="AK1538" s="0" t="n">
        <v>479</v>
      </c>
      <c r="AL1538" s="0" t="n">
        <v>1.86</v>
      </c>
    </row>
    <row r="1539">
      <c r="A1539" s="0" t="inlineStr">
        <is>
          <t>[청라동]</t>
        </is>
      </c>
      <c r="B1539" s="0" t="n">
        <v>27784</v>
      </c>
      <c r="C1539" s="0" t="n">
        <v>2</v>
      </c>
      <c r="D1539" s="0" t="inlineStr">
        <is>
          <t>인천청라한일베라체</t>
        </is>
      </c>
      <c r="E1539" s="0" t="inlineStr">
        <is>
          <t>2011.05.</t>
        </is>
      </c>
      <c r="F1539" s="0" t="n">
        <v>257</v>
      </c>
      <c r="G1539" s="0" t="n">
        <v>47.05</v>
      </c>
      <c r="H1539" s="0" t="n">
        <v>155.56</v>
      </c>
      <c r="I1539" s="0" t="n">
        <v>37.14</v>
      </c>
      <c r="J1539" s="0" t="n">
        <v>122.78</v>
      </c>
      <c r="K1539" s="0" t="n">
        <v>42</v>
      </c>
      <c r="T1539" s="0" t="n">
        <v>4</v>
      </c>
      <c r="U1539" s="0" t="n">
        <v>2</v>
      </c>
      <c r="V1539" s="0" t="inlineStr">
        <is>
          <t>계단식</t>
        </is>
      </c>
      <c r="W1539" s="0" t="n">
        <v>155</v>
      </c>
      <c r="X1539" s="0" t="n">
        <v>15</v>
      </c>
      <c r="Y1539" s="0" t="n">
        <v>10</v>
      </c>
      <c r="Z1539" s="0" t="inlineStr">
        <is>
          <t>https://new.land.naver.com/complexes/27784?tab=detail&amp;rf=Y</t>
        </is>
      </c>
      <c r="AA1539" s="0" t="inlineStr">
        <is>
          <t>인천시 서구 청라동 155-9</t>
        </is>
      </c>
      <c r="AB1539" s="0" t="inlineStr">
        <is>
          <t>인천시</t>
        </is>
      </c>
      <c r="AC1539" s="0" t="inlineStr">
        <is>
          <t>서구</t>
        </is>
      </c>
      <c r="AD1539" s="0" t="inlineStr">
        <is>
          <t>청라동</t>
        </is>
      </c>
      <c r="AG1539" s="0" t="inlineStr">
        <is>
          <t>인천시 서구 청라루비로 68</t>
        </is>
      </c>
      <c r="AH1539" s="0" t="n">
        <v>0</v>
      </c>
      <c r="AI1539" s="0" t="n">
        <v>149</v>
      </c>
      <c r="AJ1539" s="0" t="n">
        <v>16</v>
      </c>
      <c r="AK1539" s="0" t="n">
        <v>479</v>
      </c>
      <c r="AL1539" s="0" t="n">
        <v>1.86</v>
      </c>
    </row>
    <row r="1540">
      <c r="A1540" s="0" t="inlineStr">
        <is>
          <t>[청라동]</t>
        </is>
      </c>
      <c r="B1540" s="0" t="n">
        <v>27784</v>
      </c>
      <c r="C1540" s="0" t="n">
        <v>3</v>
      </c>
      <c r="D1540" s="0" t="inlineStr">
        <is>
          <t>인천청라한일베라체</t>
        </is>
      </c>
      <c r="E1540" s="0" t="inlineStr">
        <is>
          <t>2011.05.</t>
        </is>
      </c>
      <c r="F1540" s="0" t="n">
        <v>257</v>
      </c>
      <c r="G1540" s="0" t="n">
        <v>50.75</v>
      </c>
      <c r="H1540" s="0" t="n">
        <v>167.77</v>
      </c>
      <c r="I1540" s="0" t="n">
        <v>40.9</v>
      </c>
      <c r="J1540" s="0" t="n">
        <v>135.22</v>
      </c>
      <c r="K1540" s="0" t="n">
        <v>4</v>
      </c>
      <c r="T1540" s="0" t="n">
        <v>3</v>
      </c>
      <c r="U1540" s="0" t="n">
        <v>2</v>
      </c>
      <c r="V1540" s="0" t="inlineStr">
        <is>
          <t>계단식</t>
        </is>
      </c>
      <c r="W1540" s="0" t="n">
        <v>167</v>
      </c>
      <c r="X1540" s="0" t="n">
        <v>15</v>
      </c>
      <c r="Y1540" s="0" t="n">
        <v>10</v>
      </c>
      <c r="Z1540" s="0" t="inlineStr">
        <is>
          <t>https://new.land.naver.com/complexes/27784?tab=detail&amp;rf=Y</t>
        </is>
      </c>
      <c r="AA1540" s="0" t="inlineStr">
        <is>
          <t>인천시 서구 청라동 155-9</t>
        </is>
      </c>
      <c r="AB1540" s="0" t="inlineStr">
        <is>
          <t>인천시</t>
        </is>
      </c>
      <c r="AC1540" s="0" t="inlineStr">
        <is>
          <t>서구</t>
        </is>
      </c>
      <c r="AD1540" s="0" t="inlineStr">
        <is>
          <t>청라동</t>
        </is>
      </c>
      <c r="AG1540" s="0" t="inlineStr">
        <is>
          <t>인천시 서구 청라루비로 68</t>
        </is>
      </c>
      <c r="AH1540" s="0" t="n">
        <v>0</v>
      </c>
      <c r="AI1540" s="0" t="n">
        <v>149</v>
      </c>
      <c r="AJ1540" s="0" t="n">
        <v>16</v>
      </c>
      <c r="AK1540" s="0" t="n">
        <v>479</v>
      </c>
      <c r="AL1540" s="0" t="n">
        <v>1.86</v>
      </c>
    </row>
    <row r="1541">
      <c r="A1541" s="0" t="inlineStr">
        <is>
          <t>[청라동]</t>
        </is>
      </c>
      <c r="B1541" s="0" t="n">
        <v>27784</v>
      </c>
      <c r="C1541" s="0" t="n">
        <v>4</v>
      </c>
      <c r="D1541" s="0" t="inlineStr">
        <is>
          <t>인천청라한일베라체</t>
        </is>
      </c>
      <c r="E1541" s="0" t="inlineStr">
        <is>
          <t>2011.05.</t>
        </is>
      </c>
      <c r="F1541" s="0" t="n">
        <v>257</v>
      </c>
      <c r="G1541" s="0" t="n">
        <v>52.51</v>
      </c>
      <c r="H1541" s="0" t="n">
        <v>173.59</v>
      </c>
      <c r="I1541" s="0" t="n">
        <v>42.25</v>
      </c>
      <c r="J1541" s="0" t="n">
        <v>139.68</v>
      </c>
      <c r="K1541" s="0" t="n">
        <v>36</v>
      </c>
      <c r="T1541" s="0" t="n">
        <v>3</v>
      </c>
      <c r="U1541" s="0" t="n">
        <v>2</v>
      </c>
      <c r="V1541" s="0" t="inlineStr">
        <is>
          <t>계단식</t>
        </is>
      </c>
      <c r="W1541" s="0" t="n">
        <v>173</v>
      </c>
      <c r="X1541" s="0" t="n">
        <v>15</v>
      </c>
      <c r="Y1541" s="0" t="n">
        <v>10</v>
      </c>
      <c r="Z1541" s="0" t="inlineStr">
        <is>
          <t>https://new.land.naver.com/complexes/27784?tab=detail&amp;rf=Y</t>
        </is>
      </c>
      <c r="AA1541" s="0" t="inlineStr">
        <is>
          <t>인천시 서구 청라동 155-9</t>
        </is>
      </c>
      <c r="AB1541" s="0" t="inlineStr">
        <is>
          <t>인천시</t>
        </is>
      </c>
      <c r="AC1541" s="0" t="inlineStr">
        <is>
          <t>서구</t>
        </is>
      </c>
      <c r="AD1541" s="0" t="inlineStr">
        <is>
          <t>청라동</t>
        </is>
      </c>
      <c r="AG1541" s="0" t="inlineStr">
        <is>
          <t>인천시 서구 청라루비로 68</t>
        </is>
      </c>
      <c r="AH1541" s="0" t="n">
        <v>0</v>
      </c>
      <c r="AI1541" s="0" t="n">
        <v>149</v>
      </c>
      <c r="AJ1541" s="0" t="n">
        <v>16</v>
      </c>
      <c r="AK1541" s="0" t="n">
        <v>479</v>
      </c>
      <c r="AL1541" s="0" t="n">
        <v>1.86</v>
      </c>
    </row>
    <row r="1542">
      <c r="A1542" s="0" t="inlineStr">
        <is>
          <t>[청라동]</t>
        </is>
      </c>
      <c r="B1542" s="0" t="n">
        <v>27784</v>
      </c>
      <c r="C1542" s="0" t="n">
        <v>5</v>
      </c>
      <c r="D1542" s="0" t="inlineStr">
        <is>
          <t>인천청라한일베라체</t>
        </is>
      </c>
      <c r="E1542" s="0" t="inlineStr">
        <is>
          <t>2011.05.</t>
        </is>
      </c>
      <c r="F1542" s="0" t="n">
        <v>257</v>
      </c>
      <c r="G1542" s="0" t="n">
        <v>52.41</v>
      </c>
      <c r="H1542" s="0" t="n">
        <v>173.28</v>
      </c>
      <c r="I1542" s="0" t="n">
        <v>42.18</v>
      </c>
      <c r="J1542" s="0" t="n">
        <v>139.45</v>
      </c>
      <c r="K1542" s="0" t="n">
        <v>26</v>
      </c>
      <c r="T1542" s="0" t="n">
        <v>3</v>
      </c>
      <c r="U1542" s="0" t="n">
        <v>2</v>
      </c>
      <c r="V1542" s="0" t="inlineStr">
        <is>
          <t>계단식</t>
        </is>
      </c>
      <c r="W1542" s="0" t="n">
        <v>173</v>
      </c>
      <c r="X1542" s="0" t="n">
        <v>15</v>
      </c>
      <c r="Y1542" s="0" t="n">
        <v>10</v>
      </c>
      <c r="Z1542" s="0" t="inlineStr">
        <is>
          <t>https://new.land.naver.com/complexes/27784?tab=detail&amp;rf=Y</t>
        </is>
      </c>
      <c r="AA1542" s="0" t="inlineStr">
        <is>
          <t>인천시 서구 청라동 155-9</t>
        </is>
      </c>
      <c r="AB1542" s="0" t="inlineStr">
        <is>
          <t>인천시</t>
        </is>
      </c>
      <c r="AC1542" s="0" t="inlineStr">
        <is>
          <t>서구</t>
        </is>
      </c>
      <c r="AD1542" s="0" t="inlineStr">
        <is>
          <t>청라동</t>
        </is>
      </c>
      <c r="AG1542" s="0" t="inlineStr">
        <is>
          <t>인천시 서구 청라루비로 68</t>
        </is>
      </c>
      <c r="AH1542" s="0" t="n">
        <v>0</v>
      </c>
      <c r="AI1542" s="0" t="n">
        <v>149</v>
      </c>
      <c r="AJ1542" s="0" t="n">
        <v>16</v>
      </c>
      <c r="AK1542" s="0" t="n">
        <v>479</v>
      </c>
      <c r="AL1542" s="0" t="n">
        <v>1.86</v>
      </c>
    </row>
    <row r="1543">
      <c r="A1543" s="0" t="inlineStr">
        <is>
          <t>[청라동]</t>
        </is>
      </c>
      <c r="B1543" s="0" t="n">
        <v>27082</v>
      </c>
      <c r="C1543" s="0" t="n">
        <v>1</v>
      </c>
      <c r="D1543" s="0" t="inlineStr">
        <is>
          <t>서해그랑블</t>
        </is>
      </c>
      <c r="E1543" s="0" t="inlineStr">
        <is>
          <t>2010.12.</t>
        </is>
      </c>
      <c r="F1543" s="0" t="n">
        <v>336</v>
      </c>
      <c r="G1543" s="0" t="n">
        <v>26.23</v>
      </c>
      <c r="H1543" s="0" t="n">
        <v>86.73</v>
      </c>
      <c r="I1543" s="0" t="n">
        <v>18.14</v>
      </c>
      <c r="J1543" s="0" t="n">
        <v>59.99</v>
      </c>
      <c r="K1543" s="0" t="n">
        <v>168</v>
      </c>
      <c r="T1543" s="0" t="n">
        <v>3</v>
      </c>
      <c r="U1543" s="0" t="n">
        <v>2</v>
      </c>
      <c r="V1543" s="0" t="inlineStr">
        <is>
          <t>복합식</t>
        </is>
      </c>
      <c r="W1543" s="0" t="n">
        <v>86</v>
      </c>
      <c r="X1543" s="0" t="n">
        <v>15</v>
      </c>
      <c r="Y1543" s="0" t="n">
        <v>15</v>
      </c>
      <c r="Z1543" s="0" t="inlineStr">
        <is>
          <t>https://new.land.naver.com/complexes/27082?tab=detail&amp;rf=Y</t>
        </is>
      </c>
      <c r="AA1543" s="0" t="inlineStr">
        <is>
          <t>인천시 서구 청라동 165-10</t>
        </is>
      </c>
      <c r="AB1543" s="0" t="inlineStr">
        <is>
          <t>인천시</t>
        </is>
      </c>
      <c r="AC1543" s="0" t="inlineStr">
        <is>
          <t>서구</t>
        </is>
      </c>
      <c r="AD1543" s="0" t="inlineStr">
        <is>
          <t>청라동</t>
        </is>
      </c>
      <c r="AG1543" s="0" t="inlineStr">
        <is>
          <t>인천시 서구 청라에메랄드로 65</t>
        </is>
      </c>
      <c r="AH1543" s="0" t="n">
        <v>0</v>
      </c>
      <c r="AI1543" s="0" t="n">
        <v>149</v>
      </c>
      <c r="AJ1543" s="0" t="n">
        <v>16</v>
      </c>
      <c r="AK1543" s="0" t="n">
        <v>544</v>
      </c>
      <c r="AL1543" s="0" t="n">
        <v>1.62</v>
      </c>
    </row>
    <row r="1544">
      <c r="A1544" s="0" t="inlineStr">
        <is>
          <t>[청라동]</t>
        </is>
      </c>
      <c r="B1544" s="0" t="n">
        <v>27082</v>
      </c>
      <c r="C1544" s="0" t="n">
        <v>2</v>
      </c>
      <c r="D1544" s="0" t="inlineStr">
        <is>
          <t>서해그랑블</t>
        </is>
      </c>
      <c r="E1544" s="0" t="inlineStr">
        <is>
          <t>2010.12.</t>
        </is>
      </c>
      <c r="F1544" s="0" t="n">
        <v>336</v>
      </c>
      <c r="G1544" s="0" t="n">
        <v>26.77</v>
      </c>
      <c r="H1544" s="0" t="n">
        <v>88.52</v>
      </c>
      <c r="I1544" s="0" t="n">
        <v>18.14</v>
      </c>
      <c r="J1544" s="0" t="n">
        <v>59.97</v>
      </c>
      <c r="K1544" s="0" t="n">
        <v>168</v>
      </c>
      <c r="T1544" s="0" t="n">
        <v>3</v>
      </c>
      <c r="U1544" s="0" t="n">
        <v>2</v>
      </c>
      <c r="V1544" s="0" t="inlineStr">
        <is>
          <t>계단식</t>
        </is>
      </c>
      <c r="W1544" s="0" t="n">
        <v>88</v>
      </c>
      <c r="X1544" s="0" t="n">
        <v>15</v>
      </c>
      <c r="Y1544" s="0" t="n">
        <v>15</v>
      </c>
      <c r="Z1544" s="0" t="inlineStr">
        <is>
          <t>https://new.land.naver.com/complexes/27082?tab=detail&amp;rf=Y</t>
        </is>
      </c>
      <c r="AA1544" s="0" t="inlineStr">
        <is>
          <t>인천시 서구 청라동 165-10</t>
        </is>
      </c>
      <c r="AB1544" s="0" t="inlineStr">
        <is>
          <t>인천시</t>
        </is>
      </c>
      <c r="AC1544" s="0" t="inlineStr">
        <is>
          <t>서구</t>
        </is>
      </c>
      <c r="AD1544" s="0" t="inlineStr">
        <is>
          <t>청라동</t>
        </is>
      </c>
      <c r="AG1544" s="0" t="inlineStr">
        <is>
          <t>인천시 서구 청라에메랄드로 65</t>
        </is>
      </c>
      <c r="AH1544" s="0" t="n">
        <v>0</v>
      </c>
      <c r="AI1544" s="0" t="n">
        <v>149</v>
      </c>
      <c r="AJ1544" s="0" t="n">
        <v>16</v>
      </c>
      <c r="AK1544" s="0" t="n">
        <v>544</v>
      </c>
      <c r="AL1544" s="0" t="n">
        <v>1.62</v>
      </c>
    </row>
    <row r="1545">
      <c r="A1545" s="0" t="inlineStr">
        <is>
          <t>[청라동]</t>
        </is>
      </c>
      <c r="B1545" s="0" t="n">
        <v>100040</v>
      </c>
      <c r="C1545" s="0" t="n">
        <v>1</v>
      </c>
      <c r="D1545" s="0" t="inlineStr">
        <is>
          <t>청라동양엔파트5단지</t>
        </is>
      </c>
      <c r="E1545" s="0" t="inlineStr">
        <is>
          <t>2012.07.</t>
        </is>
      </c>
      <c r="F1545" s="0" t="n">
        <v>564</v>
      </c>
      <c r="G1545" s="0" t="n">
        <v>44.45</v>
      </c>
      <c r="H1545" s="0" t="n">
        <v>146.95</v>
      </c>
      <c r="I1545" s="0" t="n">
        <v>35.94</v>
      </c>
      <c r="J1545" s="0" t="n">
        <v>118.83</v>
      </c>
      <c r="K1545" s="0" t="n">
        <v>150</v>
      </c>
      <c r="T1545" s="0" t="n">
        <v>4</v>
      </c>
      <c r="U1545" s="0" t="n">
        <v>2</v>
      </c>
      <c r="V1545" s="0" t="inlineStr">
        <is>
          <t>계단식</t>
        </is>
      </c>
      <c r="W1545" s="0" t="inlineStr">
        <is>
          <t>146A2</t>
        </is>
      </c>
      <c r="X1545" s="0" t="n">
        <v>30</v>
      </c>
      <c r="Y1545" s="0" t="n">
        <v>25</v>
      </c>
      <c r="Z1545" s="0" t="inlineStr">
        <is>
          <t>https://new.land.naver.com/complexes/100040?tab=detail&amp;rf=Y</t>
        </is>
      </c>
      <c r="AA1545" s="0" t="inlineStr">
        <is>
          <t>인천시 서구 청라동 102-3</t>
        </is>
      </c>
      <c r="AB1545" s="0" t="inlineStr">
        <is>
          <t>인천시</t>
        </is>
      </c>
      <c r="AC1545" s="0" t="inlineStr">
        <is>
          <t>서구</t>
        </is>
      </c>
      <c r="AD1545" s="0" t="inlineStr">
        <is>
          <t>청라동</t>
        </is>
      </c>
      <c r="AG1545" s="0" t="inlineStr">
        <is>
          <t>인천시 서구 솔빛로 13</t>
        </is>
      </c>
      <c r="AH1545" s="0" t="n">
        <v>0</v>
      </c>
      <c r="AI1545" s="0" t="n">
        <v>219</v>
      </c>
      <c r="AJ1545" s="0" t="n">
        <v>15</v>
      </c>
      <c r="AK1545" s="0" t="n">
        <v>1044</v>
      </c>
      <c r="AL1545" s="0" t="n">
        <v>1.85</v>
      </c>
    </row>
    <row r="1546">
      <c r="A1546" s="0" t="inlineStr">
        <is>
          <t>[청라동]</t>
        </is>
      </c>
      <c r="B1546" s="0" t="n">
        <v>100040</v>
      </c>
      <c r="C1546" s="0" t="n">
        <v>2</v>
      </c>
      <c r="D1546" s="0" t="inlineStr">
        <is>
          <t>청라동양엔파트5단지</t>
        </is>
      </c>
      <c r="E1546" s="0" t="inlineStr">
        <is>
          <t>2012.07.</t>
        </is>
      </c>
      <c r="F1546" s="0" t="n">
        <v>564</v>
      </c>
      <c r="G1546" s="0" t="n">
        <v>44.4</v>
      </c>
      <c r="H1546" s="0" t="n">
        <v>146.78</v>
      </c>
      <c r="I1546" s="0" t="n">
        <v>35.8</v>
      </c>
      <c r="J1546" s="0" t="n">
        <v>118.36</v>
      </c>
      <c r="K1546" s="0" t="n">
        <v>82</v>
      </c>
      <c r="T1546" s="0" t="n">
        <v>4</v>
      </c>
      <c r="U1546" s="0" t="n">
        <v>2</v>
      </c>
      <c r="V1546" s="0" t="inlineStr">
        <is>
          <t>계단식</t>
        </is>
      </c>
      <c r="W1546" s="0" t="inlineStr">
        <is>
          <t>146B</t>
        </is>
      </c>
      <c r="X1546" s="0" t="n">
        <v>30</v>
      </c>
      <c r="Y1546" s="0" t="n">
        <v>25</v>
      </c>
      <c r="Z1546" s="0" t="inlineStr">
        <is>
          <t>https://new.land.naver.com/complexes/100040?tab=detail&amp;rf=Y</t>
        </is>
      </c>
      <c r="AA1546" s="0" t="inlineStr">
        <is>
          <t>인천시 서구 청라동 102-3</t>
        </is>
      </c>
      <c r="AB1546" s="0" t="inlineStr">
        <is>
          <t>인천시</t>
        </is>
      </c>
      <c r="AC1546" s="0" t="inlineStr">
        <is>
          <t>서구</t>
        </is>
      </c>
      <c r="AD1546" s="0" t="inlineStr">
        <is>
          <t>청라동</t>
        </is>
      </c>
      <c r="AG1546" s="0" t="inlineStr">
        <is>
          <t>인천시 서구 솔빛로 13</t>
        </is>
      </c>
      <c r="AH1546" s="0" t="n">
        <v>0</v>
      </c>
      <c r="AI1546" s="0" t="n">
        <v>219</v>
      </c>
      <c r="AJ1546" s="0" t="n">
        <v>15</v>
      </c>
      <c r="AK1546" s="0" t="n">
        <v>1044</v>
      </c>
      <c r="AL1546" s="0" t="n">
        <v>1.85</v>
      </c>
    </row>
    <row r="1547">
      <c r="A1547" s="0" t="inlineStr">
        <is>
          <t>[청라동]</t>
        </is>
      </c>
      <c r="B1547" s="0" t="n">
        <v>100040</v>
      </c>
      <c r="C1547" s="0" t="n">
        <v>3</v>
      </c>
      <c r="D1547" s="0" t="inlineStr">
        <is>
          <t>청라동양엔파트5단지</t>
        </is>
      </c>
      <c r="E1547" s="0" t="inlineStr">
        <is>
          <t>2012.07.</t>
        </is>
      </c>
      <c r="F1547" s="0" t="n">
        <v>564</v>
      </c>
      <c r="G1547" s="0" t="n">
        <v>44.48</v>
      </c>
      <c r="H1547" s="0" t="n">
        <v>147.07</v>
      </c>
      <c r="I1547" s="0" t="n">
        <v>35.94</v>
      </c>
      <c r="J1547" s="0" t="n">
        <v>118.83</v>
      </c>
      <c r="K1547" s="0" t="n">
        <v>90</v>
      </c>
      <c r="T1547" s="0" t="n">
        <v>4</v>
      </c>
      <c r="U1547" s="0" t="n">
        <v>2</v>
      </c>
      <c r="V1547" s="0" t="inlineStr">
        <is>
          <t>계단식</t>
        </is>
      </c>
      <c r="W1547" s="0" t="inlineStr">
        <is>
          <t>147A1</t>
        </is>
      </c>
      <c r="X1547" s="0" t="n">
        <v>30</v>
      </c>
      <c r="Y1547" s="0" t="n">
        <v>25</v>
      </c>
      <c r="Z1547" s="0" t="inlineStr">
        <is>
          <t>https://new.land.naver.com/complexes/100040?tab=detail&amp;rf=Y</t>
        </is>
      </c>
      <c r="AA1547" s="0" t="inlineStr">
        <is>
          <t>인천시 서구 청라동 102-3</t>
        </is>
      </c>
      <c r="AB1547" s="0" t="inlineStr">
        <is>
          <t>인천시</t>
        </is>
      </c>
      <c r="AC1547" s="0" t="inlineStr">
        <is>
          <t>서구</t>
        </is>
      </c>
      <c r="AD1547" s="0" t="inlineStr">
        <is>
          <t>청라동</t>
        </is>
      </c>
      <c r="AG1547" s="0" t="inlineStr">
        <is>
          <t>인천시 서구 솔빛로 13</t>
        </is>
      </c>
      <c r="AH1547" s="0" t="n">
        <v>0</v>
      </c>
      <c r="AI1547" s="0" t="n">
        <v>219</v>
      </c>
      <c r="AJ1547" s="0" t="n">
        <v>15</v>
      </c>
      <c r="AK1547" s="0" t="n">
        <v>1044</v>
      </c>
      <c r="AL1547" s="0" t="n">
        <v>1.85</v>
      </c>
    </row>
    <row r="1548">
      <c r="A1548" s="0" t="inlineStr">
        <is>
          <t>[청라동]</t>
        </is>
      </c>
      <c r="B1548" s="0" t="n">
        <v>100040</v>
      </c>
      <c r="C1548" s="0" t="n">
        <v>4</v>
      </c>
      <c r="D1548" s="0" t="inlineStr">
        <is>
          <t>청라동양엔파트5단지</t>
        </is>
      </c>
      <c r="E1548" s="0" t="inlineStr">
        <is>
          <t>2012.07.</t>
        </is>
      </c>
      <c r="F1548" s="0" t="n">
        <v>564</v>
      </c>
      <c r="G1548" s="0" t="n">
        <v>44.61</v>
      </c>
      <c r="H1548" s="0" t="n">
        <v>147.49</v>
      </c>
      <c r="I1548" s="0" t="n">
        <v>35.8</v>
      </c>
      <c r="J1548" s="0" t="n">
        <v>118.35</v>
      </c>
      <c r="K1548" s="0" t="n">
        <v>88</v>
      </c>
      <c r="T1548" s="0" t="n">
        <v>4</v>
      </c>
      <c r="U1548" s="0" t="n">
        <v>2</v>
      </c>
      <c r="V1548" s="0" t="inlineStr">
        <is>
          <t>계단식</t>
        </is>
      </c>
      <c r="W1548" s="0" t="inlineStr">
        <is>
          <t>147C</t>
        </is>
      </c>
      <c r="X1548" s="0" t="n">
        <v>30</v>
      </c>
      <c r="Y1548" s="0" t="n">
        <v>25</v>
      </c>
      <c r="Z1548" s="0" t="inlineStr">
        <is>
          <t>https://new.land.naver.com/complexes/100040?tab=detail&amp;rf=Y</t>
        </is>
      </c>
      <c r="AA1548" s="0" t="inlineStr">
        <is>
          <t>인천시 서구 청라동 102-3</t>
        </is>
      </c>
      <c r="AB1548" s="0" t="inlineStr">
        <is>
          <t>인천시</t>
        </is>
      </c>
      <c r="AC1548" s="0" t="inlineStr">
        <is>
          <t>서구</t>
        </is>
      </c>
      <c r="AD1548" s="0" t="inlineStr">
        <is>
          <t>청라동</t>
        </is>
      </c>
      <c r="AG1548" s="0" t="inlineStr">
        <is>
          <t>인천시 서구 솔빛로 13</t>
        </is>
      </c>
      <c r="AH1548" s="0" t="n">
        <v>0</v>
      </c>
      <c r="AI1548" s="0" t="n">
        <v>219</v>
      </c>
      <c r="AJ1548" s="0" t="n">
        <v>15</v>
      </c>
      <c r="AK1548" s="0" t="n">
        <v>1044</v>
      </c>
      <c r="AL1548" s="0" t="n">
        <v>1.85</v>
      </c>
    </row>
    <row r="1549">
      <c r="A1549" s="0" t="inlineStr">
        <is>
          <t>[청라동]</t>
        </is>
      </c>
      <c r="B1549" s="0" t="n">
        <v>100040</v>
      </c>
      <c r="C1549" s="0" t="n">
        <v>5</v>
      </c>
      <c r="D1549" s="0" t="inlineStr">
        <is>
          <t>청라동양엔파트5단지</t>
        </is>
      </c>
      <c r="E1549" s="0" t="inlineStr">
        <is>
          <t>2012.07.</t>
        </is>
      </c>
      <c r="F1549" s="0" t="n">
        <v>564</v>
      </c>
      <c r="G1549" s="0" t="n">
        <v>44.6</v>
      </c>
      <c r="H1549" s="0" t="n">
        <v>147.44</v>
      </c>
      <c r="I1549" s="0" t="n">
        <v>35.94</v>
      </c>
      <c r="J1549" s="0" t="n">
        <v>118.83</v>
      </c>
      <c r="K1549" s="0" t="n">
        <v>85</v>
      </c>
      <c r="T1549" s="0" t="n">
        <v>4</v>
      </c>
      <c r="U1549" s="0" t="n">
        <v>2</v>
      </c>
      <c r="V1549" s="0" t="inlineStr">
        <is>
          <t>계단식</t>
        </is>
      </c>
      <c r="W1549" s="0" t="inlineStr">
        <is>
          <t>147A</t>
        </is>
      </c>
      <c r="X1549" s="0" t="n">
        <v>30</v>
      </c>
      <c r="Y1549" s="0" t="n">
        <v>25</v>
      </c>
      <c r="Z1549" s="0" t="inlineStr">
        <is>
          <t>https://new.land.naver.com/complexes/100040?tab=detail&amp;rf=Y</t>
        </is>
      </c>
      <c r="AA1549" s="0" t="inlineStr">
        <is>
          <t>인천시 서구 청라동 102-3</t>
        </is>
      </c>
      <c r="AB1549" s="0" t="inlineStr">
        <is>
          <t>인천시</t>
        </is>
      </c>
      <c r="AC1549" s="0" t="inlineStr">
        <is>
          <t>서구</t>
        </is>
      </c>
      <c r="AD1549" s="0" t="inlineStr">
        <is>
          <t>청라동</t>
        </is>
      </c>
      <c r="AG1549" s="0" t="inlineStr">
        <is>
          <t>인천시 서구 솔빛로 13</t>
        </is>
      </c>
      <c r="AH1549" s="0" t="n">
        <v>0</v>
      </c>
      <c r="AI1549" s="0" t="n">
        <v>219</v>
      </c>
      <c r="AJ1549" s="0" t="n">
        <v>15</v>
      </c>
      <c r="AK1549" s="0" t="n">
        <v>1044</v>
      </c>
      <c r="AL1549" s="0" t="n">
        <v>1.85</v>
      </c>
    </row>
    <row r="1550">
      <c r="A1550" s="0" t="inlineStr">
        <is>
          <t>[청라동]</t>
        </is>
      </c>
      <c r="B1550" s="0" t="n">
        <v>100040</v>
      </c>
      <c r="C1550" s="0" t="n">
        <v>6</v>
      </c>
      <c r="D1550" s="0" t="inlineStr">
        <is>
          <t>청라동양엔파트5단지</t>
        </is>
      </c>
      <c r="E1550" s="0" t="inlineStr">
        <is>
          <t>2012.07.</t>
        </is>
      </c>
      <c r="F1550" s="0" t="n">
        <v>564</v>
      </c>
      <c r="G1550" s="0" t="n">
        <v>44.78</v>
      </c>
      <c r="H1550" s="0" t="n">
        <v>148.06</v>
      </c>
      <c r="I1550" s="0" t="n">
        <v>35.95</v>
      </c>
      <c r="J1550" s="0" t="n">
        <v>118.85</v>
      </c>
      <c r="K1550" s="0" t="n">
        <v>69</v>
      </c>
      <c r="T1550" s="0" t="n">
        <v>4</v>
      </c>
      <c r="U1550" s="0" t="n">
        <v>2</v>
      </c>
      <c r="V1550" s="0" t="inlineStr">
        <is>
          <t>계단식</t>
        </is>
      </c>
      <c r="W1550" s="0" t="inlineStr">
        <is>
          <t>148C1</t>
        </is>
      </c>
      <c r="X1550" s="0" t="n">
        <v>30</v>
      </c>
      <c r="Y1550" s="0" t="n">
        <v>25</v>
      </c>
      <c r="Z1550" s="0" t="inlineStr">
        <is>
          <t>https://new.land.naver.com/complexes/100040?tab=detail&amp;rf=Y</t>
        </is>
      </c>
      <c r="AA1550" s="0" t="inlineStr">
        <is>
          <t>인천시 서구 청라동 102-3</t>
        </is>
      </c>
      <c r="AB1550" s="0" t="inlineStr">
        <is>
          <t>인천시</t>
        </is>
      </c>
      <c r="AC1550" s="0" t="inlineStr">
        <is>
          <t>서구</t>
        </is>
      </c>
      <c r="AD1550" s="0" t="inlineStr">
        <is>
          <t>청라동</t>
        </is>
      </c>
      <c r="AG1550" s="0" t="inlineStr">
        <is>
          <t>인천시 서구 솔빛로 13</t>
        </is>
      </c>
      <c r="AH1550" s="0" t="n">
        <v>0</v>
      </c>
      <c r="AI1550" s="0" t="n">
        <v>219</v>
      </c>
      <c r="AJ1550" s="0" t="n">
        <v>15</v>
      </c>
      <c r="AK1550" s="0" t="n">
        <v>1044</v>
      </c>
      <c r="AL1550" s="0" t="n">
        <v>1.85</v>
      </c>
    </row>
    <row r="1551">
      <c r="A1551" s="0" t="inlineStr">
        <is>
          <t>[청라동]</t>
        </is>
      </c>
      <c r="B1551" s="0" t="n">
        <v>101657</v>
      </c>
      <c r="C1551" s="0" t="n">
        <v>1</v>
      </c>
      <c r="D1551" s="0" t="inlineStr">
        <is>
          <t>청라힐스테이트커낼뷰</t>
        </is>
      </c>
      <c r="E1551" s="0" t="inlineStr">
        <is>
          <t>2012.03.</t>
        </is>
      </c>
      <c r="F1551" s="0" t="n">
        <v>244</v>
      </c>
      <c r="G1551" s="0" t="n">
        <v>46.49</v>
      </c>
      <c r="H1551" s="0" t="n">
        <v>153.69</v>
      </c>
      <c r="I1551" s="0" t="n">
        <v>36.69</v>
      </c>
      <c r="J1551" s="0" t="n">
        <v>121.3</v>
      </c>
      <c r="K1551" s="0" t="n">
        <v>108</v>
      </c>
      <c r="T1551" s="0" t="n">
        <v>4</v>
      </c>
      <c r="U1551" s="0" t="n">
        <v>2</v>
      </c>
      <c r="V1551" s="0" t="inlineStr">
        <is>
          <t>계단식</t>
        </is>
      </c>
      <c r="W1551" s="0" t="inlineStr">
        <is>
          <t>153B</t>
        </is>
      </c>
      <c r="X1551" s="0" t="n">
        <v>15</v>
      </c>
      <c r="Y1551" s="0" t="n">
        <v>13</v>
      </c>
      <c r="Z1551" s="0" t="inlineStr">
        <is>
          <t>https://new.land.naver.com/complexes/101657?tab=detail&amp;rf=Y</t>
        </is>
      </c>
      <c r="AA1551" s="0" t="inlineStr">
        <is>
          <t>인천시 서구 청라동 155-17</t>
        </is>
      </c>
      <c r="AB1551" s="0" t="inlineStr">
        <is>
          <t>인천시</t>
        </is>
      </c>
      <c r="AC1551" s="0" t="inlineStr">
        <is>
          <t>서구</t>
        </is>
      </c>
      <c r="AD1551" s="0" t="inlineStr">
        <is>
          <t>청라동</t>
        </is>
      </c>
      <c r="AG1551" s="0" t="inlineStr">
        <is>
          <t>인천시 서구 청라커낼로 297</t>
        </is>
      </c>
      <c r="AH1551" s="0" t="n">
        <v>0</v>
      </c>
      <c r="AI1551" s="0" t="n">
        <v>149</v>
      </c>
      <c r="AJ1551" s="0" t="n">
        <v>16</v>
      </c>
      <c r="AK1551" s="0" t="n">
        <v>429</v>
      </c>
      <c r="AL1551" s="0" t="n">
        <v>1.76</v>
      </c>
    </row>
    <row r="1552">
      <c r="A1552" s="0" t="inlineStr">
        <is>
          <t>[청라동]</t>
        </is>
      </c>
      <c r="B1552" s="0" t="n">
        <v>101657</v>
      </c>
      <c r="C1552" s="0" t="n">
        <v>2</v>
      </c>
      <c r="D1552" s="0" t="inlineStr">
        <is>
          <t>청라힐스테이트커낼뷰</t>
        </is>
      </c>
      <c r="E1552" s="0" t="inlineStr">
        <is>
          <t>2012.03.</t>
        </is>
      </c>
      <c r="F1552" s="0" t="n">
        <v>244</v>
      </c>
      <c r="G1552" s="0" t="n">
        <v>46.4</v>
      </c>
      <c r="H1552" s="0" t="n">
        <v>153.39</v>
      </c>
      <c r="I1552" s="0" t="n">
        <v>36.68</v>
      </c>
      <c r="J1552" s="0" t="n">
        <v>121.28</v>
      </c>
      <c r="K1552" s="0" t="n">
        <v>86</v>
      </c>
      <c r="T1552" s="0" t="n">
        <v>4</v>
      </c>
      <c r="U1552" s="0" t="n">
        <v>2</v>
      </c>
      <c r="V1552" s="0" t="inlineStr">
        <is>
          <t>계단식</t>
        </is>
      </c>
      <c r="W1552" s="0" t="inlineStr">
        <is>
          <t>153C</t>
        </is>
      </c>
      <c r="X1552" s="0" t="n">
        <v>15</v>
      </c>
      <c r="Y1552" s="0" t="n">
        <v>13</v>
      </c>
      <c r="Z1552" s="0" t="inlineStr">
        <is>
          <t>https://new.land.naver.com/complexes/101657?tab=detail&amp;rf=Y</t>
        </is>
      </c>
      <c r="AA1552" s="0" t="inlineStr">
        <is>
          <t>인천시 서구 청라동 155-17</t>
        </is>
      </c>
      <c r="AB1552" s="0" t="inlineStr">
        <is>
          <t>인천시</t>
        </is>
      </c>
      <c r="AC1552" s="0" t="inlineStr">
        <is>
          <t>서구</t>
        </is>
      </c>
      <c r="AD1552" s="0" t="inlineStr">
        <is>
          <t>청라동</t>
        </is>
      </c>
      <c r="AG1552" s="0" t="inlineStr">
        <is>
          <t>인천시 서구 청라커낼로 297</t>
        </is>
      </c>
      <c r="AH1552" s="0" t="n">
        <v>0</v>
      </c>
      <c r="AI1552" s="0" t="n">
        <v>149</v>
      </c>
      <c r="AJ1552" s="0" t="n">
        <v>16</v>
      </c>
      <c r="AK1552" s="0" t="n">
        <v>429</v>
      </c>
      <c r="AL1552" s="0" t="n">
        <v>1.76</v>
      </c>
    </row>
    <row r="1553">
      <c r="A1553" s="0" t="inlineStr">
        <is>
          <t>[청라동]</t>
        </is>
      </c>
      <c r="B1553" s="0" t="n">
        <v>101657</v>
      </c>
      <c r="C1553" s="0" t="n">
        <v>3</v>
      </c>
      <c r="D1553" s="0" t="inlineStr">
        <is>
          <t>청라힐스테이트커낼뷰</t>
        </is>
      </c>
      <c r="E1553" s="0" t="inlineStr">
        <is>
          <t>2012.03.</t>
        </is>
      </c>
      <c r="F1553" s="0" t="n">
        <v>244</v>
      </c>
      <c r="G1553" s="0" t="n">
        <v>46.28</v>
      </c>
      <c r="H1553" s="0" t="n">
        <v>153</v>
      </c>
      <c r="I1553" s="0" t="n">
        <v>36.69</v>
      </c>
      <c r="J1553" s="0" t="n">
        <v>121.31</v>
      </c>
      <c r="K1553" s="0" t="n">
        <v>50</v>
      </c>
      <c r="T1553" s="0" t="n">
        <v>4</v>
      </c>
      <c r="U1553" s="0" t="n">
        <v>2</v>
      </c>
      <c r="V1553" s="0" t="inlineStr">
        <is>
          <t>계단식</t>
        </is>
      </c>
      <c r="W1553" s="0" t="inlineStr">
        <is>
          <t>153A</t>
        </is>
      </c>
      <c r="X1553" s="0" t="n">
        <v>15</v>
      </c>
      <c r="Y1553" s="0" t="n">
        <v>13</v>
      </c>
      <c r="Z1553" s="0" t="inlineStr">
        <is>
          <t>https://new.land.naver.com/complexes/101657?tab=detail&amp;rf=Y</t>
        </is>
      </c>
      <c r="AA1553" s="0" t="inlineStr">
        <is>
          <t>인천시 서구 청라동 155-17</t>
        </is>
      </c>
      <c r="AB1553" s="0" t="inlineStr">
        <is>
          <t>인천시</t>
        </is>
      </c>
      <c r="AC1553" s="0" t="inlineStr">
        <is>
          <t>서구</t>
        </is>
      </c>
      <c r="AD1553" s="0" t="inlineStr">
        <is>
          <t>청라동</t>
        </is>
      </c>
      <c r="AG1553" s="0" t="inlineStr">
        <is>
          <t>인천시 서구 청라커낼로 297</t>
        </is>
      </c>
      <c r="AH1553" s="0" t="n">
        <v>0</v>
      </c>
      <c r="AI1553" s="0" t="n">
        <v>149</v>
      </c>
      <c r="AJ1553" s="0" t="n">
        <v>16</v>
      </c>
      <c r="AK1553" s="0" t="n">
        <v>429</v>
      </c>
      <c r="AL1553" s="0" t="n">
        <v>1.76</v>
      </c>
    </row>
    <row r="1554">
      <c r="A1554" s="0" t="inlineStr">
        <is>
          <t>[청라동]</t>
        </is>
      </c>
      <c r="B1554" s="0" t="n">
        <v>111225</v>
      </c>
      <c r="C1554" s="0" t="n">
        <v>1</v>
      </c>
      <c r="D1554" s="0" t="inlineStr">
        <is>
          <t>청라센트럴에일린의뜰</t>
        </is>
      </c>
      <c r="E1554" s="0" t="inlineStr">
        <is>
          <t>2018.09.</t>
        </is>
      </c>
      <c r="F1554" s="0" t="n">
        <v>1163</v>
      </c>
      <c r="G1554" s="0" t="n">
        <v>35.41</v>
      </c>
      <c r="H1554" s="0" t="n">
        <v>117.09</v>
      </c>
      <c r="I1554" s="0" t="n">
        <v>25.7</v>
      </c>
      <c r="J1554" s="0" t="n">
        <v>84.98</v>
      </c>
      <c r="K1554" s="0" t="n">
        <v>546</v>
      </c>
      <c r="T1554" s="0" t="n">
        <v>3</v>
      </c>
      <c r="U1554" s="0" t="n">
        <v>2</v>
      </c>
      <c r="V1554" s="0" t="inlineStr">
        <is>
          <t>계단식</t>
        </is>
      </c>
      <c r="W1554" s="0" t="inlineStr">
        <is>
          <t>117A</t>
        </is>
      </c>
      <c r="X1554" s="0" t="n">
        <v>37</v>
      </c>
      <c r="Y1554" s="0" t="n">
        <v>32</v>
      </c>
      <c r="Z1554" s="0" t="inlineStr">
        <is>
          <t>https://new.land.naver.com/complexes/111225?tab=detail&amp;rf=Y</t>
        </is>
      </c>
      <c r="AA1554" s="0" t="inlineStr">
        <is>
          <t>인천시 서구 청라동 156-1</t>
        </is>
      </c>
      <c r="AB1554" s="0" t="inlineStr">
        <is>
          <t>인천시</t>
        </is>
      </c>
      <c r="AC1554" s="0" t="inlineStr">
        <is>
          <t>서구</t>
        </is>
      </c>
      <c r="AD1554" s="0" t="inlineStr">
        <is>
          <t>청라동</t>
        </is>
      </c>
      <c r="AG1554" s="0" t="inlineStr">
        <is>
          <t>인천시 서구 청라커낼로 300</t>
        </is>
      </c>
      <c r="AH1554" s="0" t="n">
        <v>0</v>
      </c>
      <c r="AI1554" s="0" t="n">
        <v>312</v>
      </c>
      <c r="AJ1554" s="0" t="n">
        <v>21</v>
      </c>
      <c r="AK1554" s="0" t="n">
        <v>1649</v>
      </c>
      <c r="AL1554" s="0" t="n">
        <v>1.42</v>
      </c>
    </row>
    <row r="1555">
      <c r="A1555" s="0" t="inlineStr">
        <is>
          <t>[청라동]</t>
        </is>
      </c>
      <c r="B1555" s="0" t="n">
        <v>111225</v>
      </c>
      <c r="C1555" s="0" t="n">
        <v>2</v>
      </c>
      <c r="D1555" s="0" t="inlineStr">
        <is>
          <t>청라센트럴에일린의뜰</t>
        </is>
      </c>
      <c r="E1555" s="0" t="inlineStr">
        <is>
          <t>2018.09.</t>
        </is>
      </c>
      <c r="F1555" s="0" t="n">
        <v>1163</v>
      </c>
      <c r="G1555" s="0" t="n">
        <v>35.57</v>
      </c>
      <c r="H1555" s="0" t="n">
        <v>117.6</v>
      </c>
      <c r="I1555" s="0" t="n">
        <v>25.7</v>
      </c>
      <c r="J1555" s="0" t="n">
        <v>84.95999999999999</v>
      </c>
      <c r="K1555" s="0" t="n">
        <v>123</v>
      </c>
      <c r="T1555" s="0" t="n">
        <v>3</v>
      </c>
      <c r="U1555" s="0" t="n">
        <v>2</v>
      </c>
      <c r="V1555" s="0" t="inlineStr">
        <is>
          <t>계단식</t>
        </is>
      </c>
      <c r="W1555" s="0" t="inlineStr">
        <is>
          <t>117B</t>
        </is>
      </c>
      <c r="X1555" s="0" t="n">
        <v>37</v>
      </c>
      <c r="Y1555" s="0" t="n">
        <v>32</v>
      </c>
      <c r="Z1555" s="0" t="inlineStr">
        <is>
          <t>https://new.land.naver.com/complexes/111225?tab=detail&amp;rf=Y</t>
        </is>
      </c>
      <c r="AA1555" s="0" t="inlineStr">
        <is>
          <t>인천시 서구 청라동 156-1</t>
        </is>
      </c>
      <c r="AB1555" s="0" t="inlineStr">
        <is>
          <t>인천시</t>
        </is>
      </c>
      <c r="AC1555" s="0" t="inlineStr">
        <is>
          <t>서구</t>
        </is>
      </c>
      <c r="AD1555" s="0" t="inlineStr">
        <is>
          <t>청라동</t>
        </is>
      </c>
      <c r="AG1555" s="0" t="inlineStr">
        <is>
          <t>인천시 서구 청라커낼로 300</t>
        </is>
      </c>
      <c r="AH1555" s="0" t="n">
        <v>0</v>
      </c>
      <c r="AI1555" s="0" t="n">
        <v>312</v>
      </c>
      <c r="AJ1555" s="0" t="n">
        <v>21</v>
      </c>
      <c r="AK1555" s="0" t="n">
        <v>1649</v>
      </c>
      <c r="AL1555" s="0" t="n">
        <v>1.42</v>
      </c>
    </row>
    <row r="1556">
      <c r="A1556" s="0" t="inlineStr">
        <is>
          <t>[청라동]</t>
        </is>
      </c>
      <c r="B1556" s="0" t="n">
        <v>111225</v>
      </c>
      <c r="C1556" s="0" t="n">
        <v>3</v>
      </c>
      <c r="D1556" s="0" t="inlineStr">
        <is>
          <t>청라센트럴에일린의뜰</t>
        </is>
      </c>
      <c r="E1556" s="0" t="inlineStr">
        <is>
          <t>2018.09.</t>
        </is>
      </c>
      <c r="F1556" s="0" t="n">
        <v>1163</v>
      </c>
      <c r="G1556" s="0" t="n">
        <v>35.77</v>
      </c>
      <c r="H1556" s="0" t="n">
        <v>118.25</v>
      </c>
      <c r="I1556" s="0" t="n">
        <v>25.7</v>
      </c>
      <c r="J1556" s="0" t="n">
        <v>84.97</v>
      </c>
      <c r="K1556" s="0" t="n">
        <v>219</v>
      </c>
      <c r="T1556" s="0" t="n">
        <v>3</v>
      </c>
      <c r="U1556" s="0" t="n">
        <v>2</v>
      </c>
      <c r="V1556" s="0" t="inlineStr">
        <is>
          <t>계단식</t>
        </is>
      </c>
      <c r="W1556" s="0" t="inlineStr">
        <is>
          <t>118C</t>
        </is>
      </c>
      <c r="X1556" s="0" t="n">
        <v>37</v>
      </c>
      <c r="Y1556" s="0" t="n">
        <v>32</v>
      </c>
      <c r="Z1556" s="0" t="inlineStr">
        <is>
          <t>https://new.land.naver.com/complexes/111225?tab=detail&amp;rf=Y</t>
        </is>
      </c>
      <c r="AA1556" s="0" t="inlineStr">
        <is>
          <t>인천시 서구 청라동 156-1</t>
        </is>
      </c>
      <c r="AB1556" s="0" t="inlineStr">
        <is>
          <t>인천시</t>
        </is>
      </c>
      <c r="AC1556" s="0" t="inlineStr">
        <is>
          <t>서구</t>
        </is>
      </c>
      <c r="AD1556" s="0" t="inlineStr">
        <is>
          <t>청라동</t>
        </is>
      </c>
      <c r="AG1556" s="0" t="inlineStr">
        <is>
          <t>인천시 서구 청라커낼로 300</t>
        </is>
      </c>
      <c r="AH1556" s="0" t="n">
        <v>0</v>
      </c>
      <c r="AI1556" s="0" t="n">
        <v>312</v>
      </c>
      <c r="AJ1556" s="0" t="n">
        <v>21</v>
      </c>
      <c r="AK1556" s="0" t="n">
        <v>1649</v>
      </c>
      <c r="AL1556" s="0" t="n">
        <v>1.42</v>
      </c>
    </row>
    <row r="1557">
      <c r="A1557" s="0" t="inlineStr">
        <is>
          <t>[청라동]</t>
        </is>
      </c>
      <c r="B1557" s="0" t="n">
        <v>111225</v>
      </c>
      <c r="C1557" s="0" t="n">
        <v>4</v>
      </c>
      <c r="D1557" s="0" t="inlineStr">
        <is>
          <t>청라센트럴에일린의뜰</t>
        </is>
      </c>
      <c r="E1557" s="0" t="inlineStr">
        <is>
          <t>2018.09.</t>
        </is>
      </c>
      <c r="F1557" s="0" t="n">
        <v>1163</v>
      </c>
      <c r="G1557" s="0" t="n">
        <v>39.63</v>
      </c>
      <c r="H1557" s="0" t="n">
        <v>131.03</v>
      </c>
      <c r="I1557" s="0" t="n">
        <v>28.81</v>
      </c>
      <c r="J1557" s="0" t="n">
        <v>95.27</v>
      </c>
      <c r="K1557" s="0" t="n">
        <v>275</v>
      </c>
      <c r="T1557" s="0" t="n">
        <v>4</v>
      </c>
      <c r="U1557" s="0" t="n">
        <v>2</v>
      </c>
      <c r="V1557" s="0" t="inlineStr">
        <is>
          <t>계단식</t>
        </is>
      </c>
      <c r="W1557" s="0" t="n">
        <v>131</v>
      </c>
      <c r="X1557" s="0" t="n">
        <v>37</v>
      </c>
      <c r="Y1557" s="0" t="n">
        <v>32</v>
      </c>
      <c r="Z1557" s="0" t="inlineStr">
        <is>
          <t>https://new.land.naver.com/complexes/111225?tab=detail&amp;rf=Y</t>
        </is>
      </c>
      <c r="AA1557" s="0" t="inlineStr">
        <is>
          <t>인천시 서구 청라동 156-1</t>
        </is>
      </c>
      <c r="AB1557" s="0" t="inlineStr">
        <is>
          <t>인천시</t>
        </is>
      </c>
      <c r="AC1557" s="0" t="inlineStr">
        <is>
          <t>서구</t>
        </is>
      </c>
      <c r="AD1557" s="0" t="inlineStr">
        <is>
          <t>청라동</t>
        </is>
      </c>
      <c r="AG1557" s="0" t="inlineStr">
        <is>
          <t>인천시 서구 청라커낼로 300</t>
        </is>
      </c>
      <c r="AH1557" s="0" t="n">
        <v>0</v>
      </c>
      <c r="AI1557" s="0" t="n">
        <v>312</v>
      </c>
      <c r="AJ1557" s="0" t="n">
        <v>21</v>
      </c>
      <c r="AK1557" s="0" t="n">
        <v>1649</v>
      </c>
      <c r="AL1557" s="0" t="n">
        <v>1.42</v>
      </c>
    </row>
    <row r="1558">
      <c r="A1558" s="0" t="inlineStr">
        <is>
          <t>[청라동]</t>
        </is>
      </c>
      <c r="B1558" s="0" t="n">
        <v>100594</v>
      </c>
      <c r="C1558" s="0" t="n">
        <v>1</v>
      </c>
      <c r="D1558" s="0" t="inlineStr">
        <is>
          <t>청라푸르지오</t>
        </is>
      </c>
      <c r="E1558" s="0" t="inlineStr">
        <is>
          <t>2013.06.</t>
        </is>
      </c>
      <c r="F1558" s="0" t="n">
        <v>751</v>
      </c>
      <c r="G1558" s="0" t="n">
        <v>38.08</v>
      </c>
      <c r="H1558" s="0" t="n">
        <v>125.9</v>
      </c>
      <c r="I1558" s="0" t="n">
        <v>28.65</v>
      </c>
      <c r="J1558" s="0" t="n">
        <v>94.73999999999999</v>
      </c>
      <c r="K1558" s="0" t="n">
        <v>133</v>
      </c>
      <c r="T1558" s="0" t="n">
        <v>3</v>
      </c>
      <c r="U1558" s="0" t="n">
        <v>2</v>
      </c>
      <c r="V1558" s="0" t="inlineStr">
        <is>
          <t>계단식</t>
        </is>
      </c>
      <c r="W1558" s="0" t="inlineStr">
        <is>
          <t>125A</t>
        </is>
      </c>
      <c r="X1558" s="0" t="n">
        <v>57</v>
      </c>
      <c r="Y1558" s="0" t="n">
        <v>40</v>
      </c>
      <c r="Z1558" s="0" t="inlineStr">
        <is>
          <t>https://new.land.naver.com/complexes/100594?tab=detail&amp;rf=Y</t>
        </is>
      </c>
      <c r="AA1558" s="0" t="inlineStr">
        <is>
          <t>인천시 서구 청라동 150-1</t>
        </is>
      </c>
      <c r="AB1558" s="0" t="inlineStr">
        <is>
          <t>인천시</t>
        </is>
      </c>
      <c r="AC1558" s="0" t="inlineStr">
        <is>
          <t>서구</t>
        </is>
      </c>
      <c r="AD1558" s="0" t="inlineStr">
        <is>
          <t>청라동</t>
        </is>
      </c>
      <c r="AG1558" s="0" t="inlineStr">
        <is>
          <t>인천시 서구 크리스탈로102번길 25</t>
        </is>
      </c>
      <c r="AH1558" s="0" t="n">
        <v>0</v>
      </c>
      <c r="AI1558" s="0" t="n">
        <v>221</v>
      </c>
      <c r="AJ1558" s="0" t="n">
        <v>9</v>
      </c>
      <c r="AK1558" s="0" t="n">
        <v>1275</v>
      </c>
      <c r="AL1558" s="0" t="n">
        <v>1.7</v>
      </c>
    </row>
    <row r="1559">
      <c r="A1559" s="0" t="inlineStr">
        <is>
          <t>[청라동]</t>
        </is>
      </c>
      <c r="B1559" s="0" t="n">
        <v>100594</v>
      </c>
      <c r="C1559" s="0" t="n">
        <v>2</v>
      </c>
      <c r="D1559" s="0" t="inlineStr">
        <is>
          <t>청라푸르지오</t>
        </is>
      </c>
      <c r="E1559" s="0" t="inlineStr">
        <is>
          <t>2013.06.</t>
        </is>
      </c>
      <c r="F1559" s="0" t="n">
        <v>751</v>
      </c>
      <c r="G1559" s="0" t="n">
        <v>38.15</v>
      </c>
      <c r="H1559" s="0" t="n">
        <v>126.14</v>
      </c>
      <c r="I1559" s="0" t="n">
        <v>28.71</v>
      </c>
      <c r="J1559" s="0" t="n">
        <v>94.91</v>
      </c>
      <c r="K1559" s="0" t="n">
        <v>125</v>
      </c>
      <c r="T1559" s="0" t="n">
        <v>3</v>
      </c>
      <c r="U1559" s="0" t="n">
        <v>2</v>
      </c>
      <c r="V1559" s="0" t="inlineStr">
        <is>
          <t>계단식</t>
        </is>
      </c>
      <c r="W1559" s="0" t="inlineStr">
        <is>
          <t>126B</t>
        </is>
      </c>
      <c r="X1559" s="0" t="n">
        <v>57</v>
      </c>
      <c r="Y1559" s="0" t="n">
        <v>40</v>
      </c>
      <c r="Z1559" s="0" t="inlineStr">
        <is>
          <t>https://new.land.naver.com/complexes/100594?tab=detail&amp;rf=Y</t>
        </is>
      </c>
      <c r="AA1559" s="0" t="inlineStr">
        <is>
          <t>인천시 서구 청라동 150-1</t>
        </is>
      </c>
      <c r="AB1559" s="0" t="inlineStr">
        <is>
          <t>인천시</t>
        </is>
      </c>
      <c r="AC1559" s="0" t="inlineStr">
        <is>
          <t>서구</t>
        </is>
      </c>
      <c r="AD1559" s="0" t="inlineStr">
        <is>
          <t>청라동</t>
        </is>
      </c>
      <c r="AG1559" s="0" t="inlineStr">
        <is>
          <t>인천시 서구 크리스탈로102번길 25</t>
        </is>
      </c>
      <c r="AH1559" s="0" t="n">
        <v>0</v>
      </c>
      <c r="AI1559" s="0" t="n">
        <v>221</v>
      </c>
      <c r="AJ1559" s="0" t="n">
        <v>9</v>
      </c>
      <c r="AK1559" s="0" t="n">
        <v>1275</v>
      </c>
      <c r="AL1559" s="0" t="n">
        <v>1.7</v>
      </c>
    </row>
    <row r="1560">
      <c r="A1560" s="0" t="inlineStr">
        <is>
          <t>[청라동]</t>
        </is>
      </c>
      <c r="B1560" s="0" t="n">
        <v>100594</v>
      </c>
      <c r="C1560" s="0" t="n">
        <v>3</v>
      </c>
      <c r="D1560" s="0" t="inlineStr">
        <is>
          <t>청라푸르지오</t>
        </is>
      </c>
      <c r="E1560" s="0" t="inlineStr">
        <is>
          <t>2013.06.</t>
        </is>
      </c>
      <c r="F1560" s="0" t="n">
        <v>751</v>
      </c>
      <c r="G1560" s="0" t="n">
        <v>45.71</v>
      </c>
      <c r="H1560" s="0" t="n">
        <v>151.14</v>
      </c>
      <c r="I1560" s="0" t="n">
        <v>34.51</v>
      </c>
      <c r="J1560" s="0" t="n">
        <v>114.1</v>
      </c>
      <c r="K1560" s="0" t="n">
        <v>276</v>
      </c>
      <c r="T1560" s="0" t="n">
        <v>4</v>
      </c>
      <c r="U1560" s="0" t="n">
        <v>2</v>
      </c>
      <c r="V1560" s="0" t="inlineStr">
        <is>
          <t>계단식</t>
        </is>
      </c>
      <c r="W1560" s="0" t="n">
        <v>151</v>
      </c>
      <c r="X1560" s="0" t="n">
        <v>57</v>
      </c>
      <c r="Y1560" s="0" t="n">
        <v>40</v>
      </c>
      <c r="Z1560" s="0" t="inlineStr">
        <is>
          <t>https://new.land.naver.com/complexes/100594?tab=detail&amp;rf=Y</t>
        </is>
      </c>
      <c r="AA1560" s="0" t="inlineStr">
        <is>
          <t>인천시 서구 청라동 150-1</t>
        </is>
      </c>
      <c r="AB1560" s="0" t="inlineStr">
        <is>
          <t>인천시</t>
        </is>
      </c>
      <c r="AC1560" s="0" t="inlineStr">
        <is>
          <t>서구</t>
        </is>
      </c>
      <c r="AD1560" s="0" t="inlineStr">
        <is>
          <t>청라동</t>
        </is>
      </c>
      <c r="AG1560" s="0" t="inlineStr">
        <is>
          <t>인천시 서구 크리스탈로102번길 25</t>
        </is>
      </c>
      <c r="AH1560" s="0" t="n">
        <v>0</v>
      </c>
      <c r="AI1560" s="0" t="n">
        <v>221</v>
      </c>
      <c r="AJ1560" s="0" t="n">
        <v>9</v>
      </c>
      <c r="AK1560" s="0" t="n">
        <v>1275</v>
      </c>
      <c r="AL1560" s="0" t="n">
        <v>1.7</v>
      </c>
    </row>
    <row r="1561">
      <c r="A1561" s="0" t="inlineStr">
        <is>
          <t>[청라동]</t>
        </is>
      </c>
      <c r="B1561" s="0" t="n">
        <v>100594</v>
      </c>
      <c r="C1561" s="0" t="n">
        <v>4</v>
      </c>
      <c r="D1561" s="0" t="inlineStr">
        <is>
          <t>청라푸르지오</t>
        </is>
      </c>
      <c r="E1561" s="0" t="inlineStr">
        <is>
          <t>2013.06.</t>
        </is>
      </c>
      <c r="F1561" s="0" t="n">
        <v>751</v>
      </c>
      <c r="G1561" s="0" t="n">
        <v>47.74</v>
      </c>
      <c r="H1561" s="0" t="n">
        <v>157.83</v>
      </c>
      <c r="I1561" s="0" t="n">
        <v>36.39</v>
      </c>
      <c r="J1561" s="0" t="n">
        <v>120.31</v>
      </c>
      <c r="K1561" s="0" t="n">
        <v>108</v>
      </c>
      <c r="T1561" s="0" t="n">
        <v>4</v>
      </c>
      <c r="U1561" s="0" t="n">
        <v>2</v>
      </c>
      <c r="V1561" s="0" t="inlineStr">
        <is>
          <t>계단식</t>
        </is>
      </c>
      <c r="W1561" s="0" t="n">
        <v>157</v>
      </c>
      <c r="X1561" s="0" t="n">
        <v>57</v>
      </c>
      <c r="Y1561" s="0" t="n">
        <v>40</v>
      </c>
      <c r="Z1561" s="0" t="inlineStr">
        <is>
          <t>https://new.land.naver.com/complexes/100594?tab=detail&amp;rf=Y</t>
        </is>
      </c>
      <c r="AA1561" s="0" t="inlineStr">
        <is>
          <t>인천시 서구 청라동 150-1</t>
        </is>
      </c>
      <c r="AB1561" s="0" t="inlineStr">
        <is>
          <t>인천시</t>
        </is>
      </c>
      <c r="AC1561" s="0" t="inlineStr">
        <is>
          <t>서구</t>
        </is>
      </c>
      <c r="AD1561" s="0" t="inlineStr">
        <is>
          <t>청라동</t>
        </is>
      </c>
      <c r="AG1561" s="0" t="inlineStr">
        <is>
          <t>인천시 서구 크리스탈로102번길 25</t>
        </is>
      </c>
      <c r="AH1561" s="0" t="n">
        <v>0</v>
      </c>
      <c r="AI1561" s="0" t="n">
        <v>221</v>
      </c>
      <c r="AJ1561" s="0" t="n">
        <v>9</v>
      </c>
      <c r="AK1561" s="0" t="n">
        <v>1275</v>
      </c>
      <c r="AL1561" s="0" t="n">
        <v>1.7</v>
      </c>
    </row>
    <row r="1562">
      <c r="A1562" s="0" t="inlineStr">
        <is>
          <t>[청라동]</t>
        </is>
      </c>
      <c r="B1562" s="0" t="n">
        <v>100594</v>
      </c>
      <c r="C1562" s="0" t="n">
        <v>5</v>
      </c>
      <c r="D1562" s="0" t="inlineStr">
        <is>
          <t>청라푸르지오</t>
        </is>
      </c>
      <c r="E1562" s="0" t="inlineStr">
        <is>
          <t>2013.06.</t>
        </is>
      </c>
      <c r="F1562" s="0" t="n">
        <v>751</v>
      </c>
      <c r="G1562" s="0" t="n">
        <v>56.68</v>
      </c>
      <c r="H1562" s="0" t="n">
        <v>187.38</v>
      </c>
      <c r="I1562" s="0" t="n">
        <v>42.19</v>
      </c>
      <c r="J1562" s="0" t="n">
        <v>139.48</v>
      </c>
      <c r="K1562" s="0" t="n">
        <v>108</v>
      </c>
      <c r="T1562" s="0" t="n">
        <v>4</v>
      </c>
      <c r="U1562" s="0" t="n">
        <v>3</v>
      </c>
      <c r="V1562" s="0" t="inlineStr">
        <is>
          <t>계단식</t>
        </is>
      </c>
      <c r="W1562" s="0" t="n">
        <v>187</v>
      </c>
      <c r="X1562" s="0" t="n">
        <v>57</v>
      </c>
      <c r="Y1562" s="0" t="n">
        <v>40</v>
      </c>
      <c r="Z1562" s="0" t="inlineStr">
        <is>
          <t>https://new.land.naver.com/complexes/100594?tab=detail&amp;rf=Y</t>
        </is>
      </c>
      <c r="AA1562" s="0" t="inlineStr">
        <is>
          <t>인천시 서구 청라동 150-1</t>
        </is>
      </c>
      <c r="AB1562" s="0" t="inlineStr">
        <is>
          <t>인천시</t>
        </is>
      </c>
      <c r="AC1562" s="0" t="inlineStr">
        <is>
          <t>서구</t>
        </is>
      </c>
      <c r="AD1562" s="0" t="inlineStr">
        <is>
          <t>청라동</t>
        </is>
      </c>
      <c r="AG1562" s="0" t="inlineStr">
        <is>
          <t>인천시 서구 크리스탈로102번길 25</t>
        </is>
      </c>
      <c r="AH1562" s="0" t="n">
        <v>0</v>
      </c>
      <c r="AI1562" s="0" t="n">
        <v>221</v>
      </c>
      <c r="AJ1562" s="0" t="n">
        <v>9</v>
      </c>
      <c r="AK1562" s="0" t="n">
        <v>1275</v>
      </c>
      <c r="AL1562" s="0" t="n">
        <v>1.7</v>
      </c>
    </row>
    <row r="1563">
      <c r="A1563" s="0" t="inlineStr">
        <is>
          <t>[청라동]</t>
        </is>
      </c>
      <c r="B1563" s="0" t="n">
        <v>100594</v>
      </c>
      <c r="C1563" s="0" t="n">
        <v>6</v>
      </c>
      <c r="D1563" s="0" t="inlineStr">
        <is>
          <t>청라푸르지오</t>
        </is>
      </c>
      <c r="E1563" s="0" t="inlineStr">
        <is>
          <t>2013.06.</t>
        </is>
      </c>
      <c r="F1563" s="0" t="n">
        <v>751</v>
      </c>
      <c r="G1563" s="0" t="n">
        <v>114.6</v>
      </c>
      <c r="H1563" s="0" t="n">
        <v>378.87</v>
      </c>
      <c r="I1563" s="0" t="n">
        <v>85.64</v>
      </c>
      <c r="J1563" s="0" t="n">
        <v>283.11</v>
      </c>
      <c r="K1563" s="0" t="n">
        <v>1</v>
      </c>
      <c r="T1563" s="0" t="n">
        <v>6</v>
      </c>
      <c r="U1563" s="0" t="n">
        <v>4</v>
      </c>
      <c r="V1563" s="0" t="inlineStr">
        <is>
          <t>계단식</t>
        </is>
      </c>
      <c r="W1563" s="0" t="n">
        <v>378</v>
      </c>
      <c r="X1563" s="0" t="n">
        <v>57</v>
      </c>
      <c r="Y1563" s="0" t="n">
        <v>40</v>
      </c>
      <c r="Z1563" s="0" t="inlineStr">
        <is>
          <t>https://new.land.naver.com/complexes/100594?tab=detail&amp;rf=Y</t>
        </is>
      </c>
      <c r="AA1563" s="0" t="inlineStr">
        <is>
          <t>인천시 서구 청라동 150-1</t>
        </is>
      </c>
      <c r="AB1563" s="0" t="inlineStr">
        <is>
          <t>인천시</t>
        </is>
      </c>
      <c r="AC1563" s="0" t="inlineStr">
        <is>
          <t>서구</t>
        </is>
      </c>
      <c r="AD1563" s="0" t="inlineStr">
        <is>
          <t>청라동</t>
        </is>
      </c>
      <c r="AG1563" s="0" t="inlineStr">
        <is>
          <t>인천시 서구 크리스탈로102번길 25</t>
        </is>
      </c>
      <c r="AH1563" s="0" t="n">
        <v>0</v>
      </c>
      <c r="AI1563" s="0" t="n">
        <v>221</v>
      </c>
      <c r="AJ1563" s="0" t="n">
        <v>9</v>
      </c>
      <c r="AK1563" s="0" t="n">
        <v>1275</v>
      </c>
      <c r="AL1563" s="0" t="n">
        <v>1.7</v>
      </c>
    </row>
    <row r="1564">
      <c r="A1564" s="0" t="inlineStr">
        <is>
          <t>[청라동]</t>
        </is>
      </c>
      <c r="B1564" s="0" t="n">
        <v>27789</v>
      </c>
      <c r="C1564" s="0" t="n">
        <v>1</v>
      </c>
      <c r="D1564" s="0" t="inlineStr">
        <is>
          <t>청라제일풍경채</t>
        </is>
      </c>
      <c r="E1564" s="0" t="inlineStr">
        <is>
          <t>2012.04.</t>
        </is>
      </c>
      <c r="F1564" s="0" t="n">
        <v>1071</v>
      </c>
      <c r="G1564" s="0" t="n">
        <v>40.05</v>
      </c>
      <c r="H1564" s="0" t="n">
        <v>132.4</v>
      </c>
      <c r="I1564" s="0" t="n">
        <v>30.84</v>
      </c>
      <c r="J1564" s="0" t="n">
        <v>101.96</v>
      </c>
      <c r="K1564" s="0" t="n">
        <v>150</v>
      </c>
      <c r="T1564" s="0" t="n">
        <v>3</v>
      </c>
      <c r="U1564" s="0" t="n">
        <v>2</v>
      </c>
      <c r="V1564" s="0" t="inlineStr">
        <is>
          <t>계단식</t>
        </is>
      </c>
      <c r="W1564" s="0" t="inlineStr">
        <is>
          <t>132B</t>
        </is>
      </c>
      <c r="X1564" s="0" t="n">
        <v>25</v>
      </c>
      <c r="Y1564" s="0" t="n">
        <v>18</v>
      </c>
      <c r="Z1564" s="0" t="inlineStr">
        <is>
          <t>https://new.land.naver.com/complexes/27789?tab=detail&amp;rf=Y</t>
        </is>
      </c>
      <c r="AA1564" s="0" t="inlineStr">
        <is>
          <t>인천시 서구 청라동 115-1</t>
        </is>
      </c>
      <c r="AB1564" s="0" t="inlineStr">
        <is>
          <t>인천시</t>
        </is>
      </c>
      <c r="AC1564" s="0" t="inlineStr">
        <is>
          <t>서구</t>
        </is>
      </c>
      <c r="AD1564" s="0" t="inlineStr">
        <is>
          <t>청라동</t>
        </is>
      </c>
      <c r="AG1564" s="0" t="inlineStr">
        <is>
          <t>인천시 서구 청라한울로 95</t>
        </is>
      </c>
      <c r="AH1564" s="0" t="n">
        <v>0</v>
      </c>
      <c r="AI1564" s="0" t="n">
        <v>181</v>
      </c>
      <c r="AJ1564" s="0" t="n">
        <v>17</v>
      </c>
      <c r="AK1564" s="0" t="n">
        <v>1983</v>
      </c>
      <c r="AL1564" s="0" t="n">
        <v>1.85</v>
      </c>
    </row>
    <row r="1565">
      <c r="A1565" s="0" t="inlineStr">
        <is>
          <t>[청라동]</t>
        </is>
      </c>
      <c r="B1565" s="0" t="n">
        <v>27789</v>
      </c>
      <c r="C1565" s="0" t="n">
        <v>2</v>
      </c>
      <c r="D1565" s="0" t="inlineStr">
        <is>
          <t>청라제일풍경채</t>
        </is>
      </c>
      <c r="E1565" s="0" t="inlineStr">
        <is>
          <t>2012.04.</t>
        </is>
      </c>
      <c r="F1565" s="0" t="n">
        <v>1071</v>
      </c>
      <c r="G1565" s="0" t="n">
        <v>40.54</v>
      </c>
      <c r="H1565" s="0" t="n">
        <v>134.02</v>
      </c>
      <c r="I1565" s="0" t="n">
        <v>30.84</v>
      </c>
      <c r="J1565" s="0" t="n">
        <v>101.98</v>
      </c>
      <c r="K1565" s="0" t="n">
        <v>276</v>
      </c>
      <c r="T1565" s="0" t="n">
        <v>3</v>
      </c>
      <c r="U1565" s="0" t="n">
        <v>2</v>
      </c>
      <c r="V1565" s="0" t="inlineStr">
        <is>
          <t>계단식</t>
        </is>
      </c>
      <c r="W1565" s="0" t="inlineStr">
        <is>
          <t>134A</t>
        </is>
      </c>
      <c r="X1565" s="0" t="n">
        <v>25</v>
      </c>
      <c r="Y1565" s="0" t="n">
        <v>18</v>
      </c>
      <c r="Z1565" s="0" t="inlineStr">
        <is>
          <t>https://new.land.naver.com/complexes/27789?tab=detail&amp;rf=Y</t>
        </is>
      </c>
      <c r="AA1565" s="0" t="inlineStr">
        <is>
          <t>인천시 서구 청라동 115-1</t>
        </is>
      </c>
      <c r="AB1565" s="0" t="inlineStr">
        <is>
          <t>인천시</t>
        </is>
      </c>
      <c r="AC1565" s="0" t="inlineStr">
        <is>
          <t>서구</t>
        </is>
      </c>
      <c r="AD1565" s="0" t="inlineStr">
        <is>
          <t>청라동</t>
        </is>
      </c>
      <c r="AG1565" s="0" t="inlineStr">
        <is>
          <t>인천시 서구 청라한울로 95</t>
        </is>
      </c>
      <c r="AH1565" s="0" t="n">
        <v>0</v>
      </c>
      <c r="AI1565" s="0" t="n">
        <v>181</v>
      </c>
      <c r="AJ1565" s="0" t="n">
        <v>17</v>
      </c>
      <c r="AK1565" s="0" t="n">
        <v>1983</v>
      </c>
      <c r="AL1565" s="0" t="n">
        <v>1.85</v>
      </c>
    </row>
    <row r="1566">
      <c r="A1566" s="0" t="inlineStr">
        <is>
          <t>[청라동]</t>
        </is>
      </c>
      <c r="B1566" s="0" t="n">
        <v>27789</v>
      </c>
      <c r="C1566" s="0" t="n">
        <v>3</v>
      </c>
      <c r="D1566" s="0" t="inlineStr">
        <is>
          <t>청라제일풍경채</t>
        </is>
      </c>
      <c r="E1566" s="0" t="inlineStr">
        <is>
          <t>2012.04.</t>
        </is>
      </c>
      <c r="F1566" s="0" t="n">
        <v>1071</v>
      </c>
      <c r="G1566" s="0" t="n">
        <v>45.08</v>
      </c>
      <c r="H1566" s="0" t="n">
        <v>149.05</v>
      </c>
      <c r="I1566" s="0" t="n">
        <v>34.82</v>
      </c>
      <c r="J1566" s="0" t="n">
        <v>115.13</v>
      </c>
      <c r="K1566" s="0" t="n">
        <v>112</v>
      </c>
      <c r="T1566" s="0" t="n">
        <v>3</v>
      </c>
      <c r="U1566" s="0" t="n">
        <v>2</v>
      </c>
      <c r="V1566" s="0" t="inlineStr">
        <is>
          <t>계단식</t>
        </is>
      </c>
      <c r="W1566" s="0" t="inlineStr">
        <is>
          <t>149B</t>
        </is>
      </c>
      <c r="X1566" s="0" t="n">
        <v>25</v>
      </c>
      <c r="Y1566" s="0" t="n">
        <v>18</v>
      </c>
      <c r="Z1566" s="0" t="inlineStr">
        <is>
          <t>https://new.land.naver.com/complexes/27789?tab=detail&amp;rf=Y</t>
        </is>
      </c>
      <c r="AA1566" s="0" t="inlineStr">
        <is>
          <t>인천시 서구 청라동 115-1</t>
        </is>
      </c>
      <c r="AB1566" s="0" t="inlineStr">
        <is>
          <t>인천시</t>
        </is>
      </c>
      <c r="AC1566" s="0" t="inlineStr">
        <is>
          <t>서구</t>
        </is>
      </c>
      <c r="AD1566" s="0" t="inlineStr">
        <is>
          <t>청라동</t>
        </is>
      </c>
      <c r="AG1566" s="0" t="inlineStr">
        <is>
          <t>인천시 서구 청라한울로 95</t>
        </is>
      </c>
      <c r="AH1566" s="0" t="n">
        <v>0</v>
      </c>
      <c r="AI1566" s="0" t="n">
        <v>181</v>
      </c>
      <c r="AJ1566" s="0" t="n">
        <v>17</v>
      </c>
      <c r="AK1566" s="0" t="n">
        <v>1983</v>
      </c>
      <c r="AL1566" s="0" t="n">
        <v>1.85</v>
      </c>
    </row>
    <row r="1567">
      <c r="A1567" s="0" t="inlineStr">
        <is>
          <t>[청라동]</t>
        </is>
      </c>
      <c r="B1567" s="0" t="n">
        <v>27789</v>
      </c>
      <c r="C1567" s="0" t="n">
        <v>4</v>
      </c>
      <c r="D1567" s="0" t="inlineStr">
        <is>
          <t>청라제일풍경채</t>
        </is>
      </c>
      <c r="E1567" s="0" t="inlineStr">
        <is>
          <t>2012.04.</t>
        </is>
      </c>
      <c r="F1567" s="0" t="n">
        <v>1071</v>
      </c>
      <c r="G1567" s="0" t="n">
        <v>45.39</v>
      </c>
      <c r="H1567" s="0" t="n">
        <v>150.07</v>
      </c>
      <c r="I1567" s="0" t="n">
        <v>35.08</v>
      </c>
      <c r="J1567" s="0" t="n">
        <v>115.98</v>
      </c>
      <c r="K1567" s="0" t="n">
        <v>343</v>
      </c>
      <c r="T1567" s="0" t="n">
        <v>3</v>
      </c>
      <c r="U1567" s="0" t="n">
        <v>2</v>
      </c>
      <c r="V1567" s="0" t="inlineStr">
        <is>
          <t>계단식</t>
        </is>
      </c>
      <c r="W1567" s="0" t="inlineStr">
        <is>
          <t>150A</t>
        </is>
      </c>
      <c r="X1567" s="0" t="n">
        <v>25</v>
      </c>
      <c r="Y1567" s="0" t="n">
        <v>18</v>
      </c>
      <c r="Z1567" s="0" t="inlineStr">
        <is>
          <t>https://new.land.naver.com/complexes/27789?tab=detail&amp;rf=Y</t>
        </is>
      </c>
      <c r="AA1567" s="0" t="inlineStr">
        <is>
          <t>인천시 서구 청라동 115-1</t>
        </is>
      </c>
      <c r="AB1567" s="0" t="inlineStr">
        <is>
          <t>인천시</t>
        </is>
      </c>
      <c r="AC1567" s="0" t="inlineStr">
        <is>
          <t>서구</t>
        </is>
      </c>
      <c r="AD1567" s="0" t="inlineStr">
        <is>
          <t>청라동</t>
        </is>
      </c>
      <c r="AG1567" s="0" t="inlineStr">
        <is>
          <t>인천시 서구 청라한울로 95</t>
        </is>
      </c>
      <c r="AH1567" s="0" t="n">
        <v>0</v>
      </c>
      <c r="AI1567" s="0" t="n">
        <v>181</v>
      </c>
      <c r="AJ1567" s="0" t="n">
        <v>17</v>
      </c>
      <c r="AK1567" s="0" t="n">
        <v>1983</v>
      </c>
      <c r="AL1567" s="0" t="n">
        <v>1.85</v>
      </c>
    </row>
    <row r="1568">
      <c r="A1568" s="0" t="inlineStr">
        <is>
          <t>[청라동]</t>
        </is>
      </c>
      <c r="B1568" s="0" t="n">
        <v>27789</v>
      </c>
      <c r="C1568" s="0" t="n">
        <v>5</v>
      </c>
      <c r="D1568" s="0" t="inlineStr">
        <is>
          <t>청라제일풍경채</t>
        </is>
      </c>
      <c r="E1568" s="0" t="inlineStr">
        <is>
          <t>2012.04.</t>
        </is>
      </c>
      <c r="F1568" s="0" t="n">
        <v>1071</v>
      </c>
      <c r="G1568" s="0" t="n">
        <v>45.53</v>
      </c>
      <c r="H1568" s="0" t="n">
        <v>150.54</v>
      </c>
      <c r="I1568" s="0" t="n">
        <v>34.81</v>
      </c>
      <c r="J1568" s="0" t="n">
        <v>115.1</v>
      </c>
      <c r="K1568" s="0" t="n">
        <v>115</v>
      </c>
      <c r="T1568" s="0" t="n">
        <v>3</v>
      </c>
      <c r="U1568" s="0" t="n">
        <v>2</v>
      </c>
      <c r="V1568" s="0" t="inlineStr">
        <is>
          <t>계단식</t>
        </is>
      </c>
      <c r="W1568" s="0" t="inlineStr">
        <is>
          <t>150C</t>
        </is>
      </c>
      <c r="X1568" s="0" t="n">
        <v>25</v>
      </c>
      <c r="Y1568" s="0" t="n">
        <v>18</v>
      </c>
      <c r="Z1568" s="0" t="inlineStr">
        <is>
          <t>https://new.land.naver.com/complexes/27789?tab=detail&amp;rf=Y</t>
        </is>
      </c>
      <c r="AA1568" s="0" t="inlineStr">
        <is>
          <t>인천시 서구 청라동 115-1</t>
        </is>
      </c>
      <c r="AB1568" s="0" t="inlineStr">
        <is>
          <t>인천시</t>
        </is>
      </c>
      <c r="AC1568" s="0" t="inlineStr">
        <is>
          <t>서구</t>
        </is>
      </c>
      <c r="AD1568" s="0" t="inlineStr">
        <is>
          <t>청라동</t>
        </is>
      </c>
      <c r="AG1568" s="0" t="inlineStr">
        <is>
          <t>인천시 서구 청라한울로 95</t>
        </is>
      </c>
      <c r="AH1568" s="0" t="n">
        <v>0</v>
      </c>
      <c r="AI1568" s="0" t="n">
        <v>181</v>
      </c>
      <c r="AJ1568" s="0" t="n">
        <v>17</v>
      </c>
      <c r="AK1568" s="0" t="n">
        <v>1983</v>
      </c>
      <c r="AL1568" s="0" t="n">
        <v>1.85</v>
      </c>
    </row>
    <row r="1569">
      <c r="A1569" s="0" t="inlineStr">
        <is>
          <t>[청라동]</t>
        </is>
      </c>
      <c r="B1569" s="0" t="n">
        <v>27789</v>
      </c>
      <c r="C1569" s="0" t="n">
        <v>6</v>
      </c>
      <c r="D1569" s="0" t="inlineStr">
        <is>
          <t>청라제일풍경채</t>
        </is>
      </c>
      <c r="E1569" s="0" t="inlineStr">
        <is>
          <t>2012.04.</t>
        </is>
      </c>
      <c r="F1569" s="0" t="n">
        <v>1071</v>
      </c>
      <c r="G1569" s="0" t="n">
        <v>52.96</v>
      </c>
      <c r="H1569" s="0" t="n">
        <v>175.1</v>
      </c>
      <c r="I1569" s="0" t="n">
        <v>40.57</v>
      </c>
      <c r="J1569" s="0" t="n">
        <v>134.14</v>
      </c>
      <c r="K1569" s="0" t="n">
        <v>75</v>
      </c>
      <c r="T1569" s="0" t="n">
        <v>4</v>
      </c>
      <c r="U1569" s="0" t="n">
        <v>2</v>
      </c>
      <c r="V1569" s="0" t="inlineStr">
        <is>
          <t>계단식</t>
        </is>
      </c>
      <c r="W1569" s="0" t="n">
        <v>175</v>
      </c>
      <c r="X1569" s="0" t="n">
        <v>25</v>
      </c>
      <c r="Y1569" s="0" t="n">
        <v>18</v>
      </c>
      <c r="Z1569" s="0" t="inlineStr">
        <is>
          <t>https://new.land.naver.com/complexes/27789?tab=detail&amp;rf=Y</t>
        </is>
      </c>
      <c r="AA1569" s="0" t="inlineStr">
        <is>
          <t>인천시 서구 청라동 115-1</t>
        </is>
      </c>
      <c r="AB1569" s="0" t="inlineStr">
        <is>
          <t>인천시</t>
        </is>
      </c>
      <c r="AC1569" s="0" t="inlineStr">
        <is>
          <t>서구</t>
        </is>
      </c>
      <c r="AD1569" s="0" t="inlineStr">
        <is>
          <t>청라동</t>
        </is>
      </c>
      <c r="AG1569" s="0" t="inlineStr">
        <is>
          <t>인천시 서구 청라한울로 95</t>
        </is>
      </c>
      <c r="AH1569" s="0" t="n">
        <v>0</v>
      </c>
      <c r="AI1569" s="0" t="n">
        <v>181</v>
      </c>
      <c r="AJ1569" s="0" t="n">
        <v>17</v>
      </c>
      <c r="AK1569" s="0" t="n">
        <v>1983</v>
      </c>
      <c r="AL1569" s="0" t="n">
        <v>1.85</v>
      </c>
    </row>
    <row r="1570">
      <c r="A1570" s="0" t="inlineStr">
        <is>
          <t>[청라동]</t>
        </is>
      </c>
      <c r="B1570" s="0" t="n">
        <v>110450</v>
      </c>
      <c r="C1570" s="0" t="n">
        <v>1</v>
      </c>
      <c r="D1570" s="0" t="inlineStr">
        <is>
          <t>청라제일풍경채에듀&amp;파크2차</t>
        </is>
      </c>
      <c r="E1570" s="0" t="inlineStr">
        <is>
          <t>2017.12.</t>
        </is>
      </c>
      <c r="F1570" s="0" t="n">
        <v>1581</v>
      </c>
      <c r="G1570" s="0" t="n">
        <v>29.95</v>
      </c>
      <c r="H1570" s="0" t="n">
        <v>99.02</v>
      </c>
      <c r="I1570" s="0" t="n">
        <v>22.47</v>
      </c>
      <c r="J1570" s="0" t="n">
        <v>74.29000000000001</v>
      </c>
      <c r="K1570" s="0" t="n">
        <v>203</v>
      </c>
      <c r="T1570" s="0" t="n">
        <v>3</v>
      </c>
      <c r="U1570" s="0" t="n">
        <v>2</v>
      </c>
      <c r="V1570" s="0" t="inlineStr">
        <is>
          <t>계단식</t>
        </is>
      </c>
      <c r="W1570" s="0" t="inlineStr">
        <is>
          <t>99A</t>
        </is>
      </c>
      <c r="X1570" s="0" t="n">
        <v>30</v>
      </c>
      <c r="Y1570" s="0" t="n">
        <v>19</v>
      </c>
      <c r="Z1570" s="0" t="inlineStr">
        <is>
          <t>https://new.land.naver.com/complexes/110450?tab=detail&amp;rf=Y</t>
        </is>
      </c>
      <c r="AA1570" s="0" t="inlineStr">
        <is>
          <t>인천시 서구 청라동 149-2</t>
        </is>
      </c>
      <c r="AB1570" s="0" t="inlineStr">
        <is>
          <t>인천시</t>
        </is>
      </c>
      <c r="AC1570" s="0" t="inlineStr">
        <is>
          <t>서구</t>
        </is>
      </c>
      <c r="AD1570" s="0" t="inlineStr">
        <is>
          <t>청라동</t>
        </is>
      </c>
      <c r="AG1570" s="0" t="inlineStr">
        <is>
          <t>인천시 서구 청라한울로 96</t>
        </is>
      </c>
      <c r="AH1570" s="0" t="n">
        <v>0</v>
      </c>
      <c r="AI1570" s="0" t="n">
        <v>220</v>
      </c>
      <c r="AJ1570" s="0" t="n">
        <v>14</v>
      </c>
      <c r="AK1570" s="0" t="n">
        <v>2270</v>
      </c>
      <c r="AL1570" s="0" t="n">
        <v>1.44</v>
      </c>
    </row>
    <row r="1571">
      <c r="A1571" s="0" t="inlineStr">
        <is>
          <t>[청라동]</t>
        </is>
      </c>
      <c r="B1571" s="0" t="n">
        <v>110450</v>
      </c>
      <c r="C1571" s="0" t="n">
        <v>2</v>
      </c>
      <c r="D1571" s="0" t="inlineStr">
        <is>
          <t>청라제일풍경채에듀&amp;파크2차</t>
        </is>
      </c>
      <c r="E1571" s="0" t="inlineStr">
        <is>
          <t>2017.12.</t>
        </is>
      </c>
      <c r="F1571" s="0" t="n">
        <v>1581</v>
      </c>
      <c r="G1571" s="0" t="n">
        <v>34.26</v>
      </c>
      <c r="H1571" s="0" t="n">
        <v>113.28</v>
      </c>
      <c r="I1571" s="0" t="n">
        <v>25.7</v>
      </c>
      <c r="J1571" s="0" t="n">
        <v>84.98999999999999</v>
      </c>
      <c r="K1571" s="0" t="n">
        <v>788</v>
      </c>
      <c r="T1571" s="0" t="n">
        <v>3</v>
      </c>
      <c r="U1571" s="0" t="n">
        <v>2</v>
      </c>
      <c r="V1571" s="0" t="inlineStr">
        <is>
          <t>계단식</t>
        </is>
      </c>
      <c r="W1571" s="0" t="inlineStr">
        <is>
          <t>113A</t>
        </is>
      </c>
      <c r="X1571" s="0" t="n">
        <v>30</v>
      </c>
      <c r="Y1571" s="0" t="n">
        <v>19</v>
      </c>
      <c r="Z1571" s="0" t="inlineStr">
        <is>
          <t>https://new.land.naver.com/complexes/110450?tab=detail&amp;rf=Y</t>
        </is>
      </c>
      <c r="AA1571" s="0" t="inlineStr">
        <is>
          <t>인천시 서구 청라동 149-2</t>
        </is>
      </c>
      <c r="AB1571" s="0" t="inlineStr">
        <is>
          <t>인천시</t>
        </is>
      </c>
      <c r="AC1571" s="0" t="inlineStr">
        <is>
          <t>서구</t>
        </is>
      </c>
      <c r="AD1571" s="0" t="inlineStr">
        <is>
          <t>청라동</t>
        </is>
      </c>
      <c r="AG1571" s="0" t="inlineStr">
        <is>
          <t>인천시 서구 청라한울로 96</t>
        </is>
      </c>
      <c r="AH1571" s="0" t="n">
        <v>0</v>
      </c>
      <c r="AI1571" s="0" t="n">
        <v>220</v>
      </c>
      <c r="AJ1571" s="0" t="n">
        <v>14</v>
      </c>
      <c r="AK1571" s="0" t="n">
        <v>2270</v>
      </c>
      <c r="AL1571" s="0" t="n">
        <v>1.44</v>
      </c>
    </row>
    <row r="1572">
      <c r="A1572" s="0" t="inlineStr">
        <is>
          <t>[청라동]</t>
        </is>
      </c>
      <c r="B1572" s="0" t="n">
        <v>110450</v>
      </c>
      <c r="C1572" s="0" t="n">
        <v>3</v>
      </c>
      <c r="D1572" s="0" t="inlineStr">
        <is>
          <t>청라제일풍경채에듀&amp;파크2차</t>
        </is>
      </c>
      <c r="E1572" s="0" t="inlineStr">
        <is>
          <t>2017.12.</t>
        </is>
      </c>
      <c r="F1572" s="0" t="n">
        <v>1581</v>
      </c>
      <c r="G1572" s="0" t="n">
        <v>34.2</v>
      </c>
      <c r="H1572" s="0" t="n">
        <v>113.09</v>
      </c>
      <c r="I1572" s="0" t="n">
        <v>25.66</v>
      </c>
      <c r="J1572" s="0" t="n">
        <v>84.84</v>
      </c>
      <c r="K1572" s="0" t="n">
        <v>262</v>
      </c>
      <c r="T1572" s="0" t="n">
        <v>3</v>
      </c>
      <c r="U1572" s="0" t="n">
        <v>2</v>
      </c>
      <c r="V1572" s="0" t="inlineStr">
        <is>
          <t>계단식</t>
        </is>
      </c>
      <c r="W1572" s="0" t="inlineStr">
        <is>
          <t>113C</t>
        </is>
      </c>
      <c r="X1572" s="0" t="n">
        <v>30</v>
      </c>
      <c r="Y1572" s="0" t="n">
        <v>19</v>
      </c>
      <c r="Z1572" s="0" t="inlineStr">
        <is>
          <t>https://new.land.naver.com/complexes/110450?tab=detail&amp;rf=Y</t>
        </is>
      </c>
      <c r="AA1572" s="0" t="inlineStr">
        <is>
          <t>인천시 서구 청라동 149-2</t>
        </is>
      </c>
      <c r="AB1572" s="0" t="inlineStr">
        <is>
          <t>인천시</t>
        </is>
      </c>
      <c r="AC1572" s="0" t="inlineStr">
        <is>
          <t>서구</t>
        </is>
      </c>
      <c r="AD1572" s="0" t="inlineStr">
        <is>
          <t>청라동</t>
        </is>
      </c>
      <c r="AG1572" s="0" t="inlineStr">
        <is>
          <t>인천시 서구 청라한울로 96</t>
        </is>
      </c>
      <c r="AH1572" s="0" t="n">
        <v>0</v>
      </c>
      <c r="AI1572" s="0" t="n">
        <v>220</v>
      </c>
      <c r="AJ1572" s="0" t="n">
        <v>14</v>
      </c>
      <c r="AK1572" s="0" t="n">
        <v>2270</v>
      </c>
      <c r="AL1572" s="0" t="n">
        <v>1.44</v>
      </c>
    </row>
    <row r="1573">
      <c r="A1573" s="0" t="inlineStr">
        <is>
          <t>[청라동]</t>
        </is>
      </c>
      <c r="B1573" s="0" t="n">
        <v>110450</v>
      </c>
      <c r="C1573" s="0" t="n">
        <v>4</v>
      </c>
      <c r="D1573" s="0" t="inlineStr">
        <is>
          <t>청라제일풍경채에듀&amp;파크2차</t>
        </is>
      </c>
      <c r="E1573" s="0" t="inlineStr">
        <is>
          <t>2017.12.</t>
        </is>
      </c>
      <c r="F1573" s="0" t="n">
        <v>1581</v>
      </c>
      <c r="G1573" s="0" t="n">
        <v>34.24</v>
      </c>
      <c r="H1573" s="0" t="n">
        <v>113.21</v>
      </c>
      <c r="I1573" s="0" t="n">
        <v>25.69</v>
      </c>
      <c r="J1573" s="0" t="n">
        <v>84.93000000000001</v>
      </c>
      <c r="K1573" s="0" t="n">
        <v>159</v>
      </c>
      <c r="T1573" s="0" t="n">
        <v>3</v>
      </c>
      <c r="U1573" s="0" t="n">
        <v>2</v>
      </c>
      <c r="V1573" s="0" t="inlineStr">
        <is>
          <t>계단식</t>
        </is>
      </c>
      <c r="W1573" s="0" t="inlineStr">
        <is>
          <t>113B</t>
        </is>
      </c>
      <c r="X1573" s="0" t="n">
        <v>30</v>
      </c>
      <c r="Y1573" s="0" t="n">
        <v>19</v>
      </c>
      <c r="Z1573" s="0" t="inlineStr">
        <is>
          <t>https://new.land.naver.com/complexes/110450?tab=detail&amp;rf=Y</t>
        </is>
      </c>
      <c r="AA1573" s="0" t="inlineStr">
        <is>
          <t>인천시 서구 청라동 149-2</t>
        </is>
      </c>
      <c r="AB1573" s="0" t="inlineStr">
        <is>
          <t>인천시</t>
        </is>
      </c>
      <c r="AC1573" s="0" t="inlineStr">
        <is>
          <t>서구</t>
        </is>
      </c>
      <c r="AD1573" s="0" t="inlineStr">
        <is>
          <t>청라동</t>
        </is>
      </c>
      <c r="AG1573" s="0" t="inlineStr">
        <is>
          <t>인천시 서구 청라한울로 96</t>
        </is>
      </c>
      <c r="AH1573" s="0" t="n">
        <v>0</v>
      </c>
      <c r="AI1573" s="0" t="n">
        <v>220</v>
      </c>
      <c r="AJ1573" s="0" t="n">
        <v>14</v>
      </c>
      <c r="AK1573" s="0" t="n">
        <v>2270</v>
      </c>
      <c r="AL1573" s="0" t="n">
        <v>1.44</v>
      </c>
    </row>
    <row r="1574">
      <c r="A1574" s="0" t="inlineStr">
        <is>
          <t>[청라동]</t>
        </is>
      </c>
      <c r="B1574" s="0" t="n">
        <v>110450</v>
      </c>
      <c r="C1574" s="0" t="n">
        <v>5</v>
      </c>
      <c r="D1574" s="0" t="inlineStr">
        <is>
          <t>청라제일풍경채에듀&amp;파크2차</t>
        </is>
      </c>
      <c r="E1574" s="0" t="inlineStr">
        <is>
          <t>2017.12.</t>
        </is>
      </c>
      <c r="F1574" s="0" t="n">
        <v>1581</v>
      </c>
      <c r="G1574" s="0" t="n">
        <v>40.22</v>
      </c>
      <c r="H1574" s="0" t="n">
        <v>132.97</v>
      </c>
      <c r="I1574" s="0" t="n">
        <v>30.17</v>
      </c>
      <c r="J1574" s="0" t="n">
        <v>99.76000000000001</v>
      </c>
      <c r="K1574" s="0" t="n">
        <v>169</v>
      </c>
      <c r="T1574" s="0" t="n">
        <v>4</v>
      </c>
      <c r="U1574" s="0" t="n">
        <v>2</v>
      </c>
      <c r="V1574" s="0" t="inlineStr">
        <is>
          <t>계단식</t>
        </is>
      </c>
      <c r="W1574" s="0" t="inlineStr">
        <is>
          <t>132A</t>
        </is>
      </c>
      <c r="X1574" s="0" t="n">
        <v>30</v>
      </c>
      <c r="Y1574" s="0" t="n">
        <v>19</v>
      </c>
      <c r="Z1574" s="0" t="inlineStr">
        <is>
          <t>https://new.land.naver.com/complexes/110450?tab=detail&amp;rf=Y</t>
        </is>
      </c>
      <c r="AA1574" s="0" t="inlineStr">
        <is>
          <t>인천시 서구 청라동 149-2</t>
        </is>
      </c>
      <c r="AB1574" s="0" t="inlineStr">
        <is>
          <t>인천시</t>
        </is>
      </c>
      <c r="AC1574" s="0" t="inlineStr">
        <is>
          <t>서구</t>
        </is>
      </c>
      <c r="AD1574" s="0" t="inlineStr">
        <is>
          <t>청라동</t>
        </is>
      </c>
      <c r="AG1574" s="0" t="inlineStr">
        <is>
          <t>인천시 서구 청라한울로 96</t>
        </is>
      </c>
      <c r="AH1574" s="0" t="n">
        <v>0</v>
      </c>
      <c r="AI1574" s="0" t="n">
        <v>220</v>
      </c>
      <c r="AJ1574" s="0" t="n">
        <v>14</v>
      </c>
      <c r="AK1574" s="0" t="n">
        <v>2270</v>
      </c>
      <c r="AL1574" s="0" t="n">
        <v>1.44</v>
      </c>
    </row>
    <row r="1575">
      <c r="A1575" s="0" t="inlineStr">
        <is>
          <t>[청라동]</t>
        </is>
      </c>
      <c r="B1575" s="0" t="n">
        <v>113014</v>
      </c>
      <c r="C1575" s="0" t="n">
        <v>1</v>
      </c>
      <c r="D1575" s="0" t="inlineStr">
        <is>
          <t>청라국제업무단지센텀대광로제비앙</t>
        </is>
      </c>
      <c r="E1575" s="0" t="inlineStr">
        <is>
          <t>2018.12.</t>
        </is>
      </c>
      <c r="F1575" s="0" t="n">
        <v>674</v>
      </c>
      <c r="G1575" s="0" t="n">
        <v>32.05</v>
      </c>
      <c r="H1575" s="0" t="n">
        <v>105.96</v>
      </c>
      <c r="I1575" s="0" t="n">
        <v>25.08</v>
      </c>
      <c r="J1575" s="0" t="n">
        <v>82.91</v>
      </c>
      <c r="K1575" s="0" t="n">
        <v>461</v>
      </c>
      <c r="T1575" s="0" t="n">
        <v>3</v>
      </c>
      <c r="U1575" s="0" t="n">
        <v>2</v>
      </c>
      <c r="V1575" s="0" t="inlineStr">
        <is>
          <t>계단식</t>
        </is>
      </c>
      <c r="W1575" s="0" t="inlineStr">
        <is>
          <t>105A</t>
        </is>
      </c>
      <c r="X1575" s="0" t="n">
        <v>25</v>
      </c>
      <c r="Y1575" s="0" t="n">
        <v>15</v>
      </c>
      <c r="Z1575" s="0" t="inlineStr">
        <is>
          <t>https://new.land.naver.com/complexes/113014?tab=detail&amp;rf=Y</t>
        </is>
      </c>
      <c r="AA1575" s="0" t="inlineStr">
        <is>
          <t>인천시 서구 청라동 83-1</t>
        </is>
      </c>
      <c r="AB1575" s="0" t="inlineStr">
        <is>
          <t>인천시</t>
        </is>
      </c>
      <c r="AC1575" s="0" t="inlineStr">
        <is>
          <t>서구</t>
        </is>
      </c>
      <c r="AD1575" s="0" t="inlineStr">
        <is>
          <t>청라동</t>
        </is>
      </c>
      <c r="AG1575" s="0" t="inlineStr">
        <is>
          <t>인천시 서구 비지니스로 166</t>
        </is>
      </c>
      <c r="AH1575" s="0" t="n">
        <v>0</v>
      </c>
      <c r="AI1575" s="0" t="n">
        <v>181</v>
      </c>
      <c r="AJ1575" s="0" t="n">
        <v>15</v>
      </c>
      <c r="AK1575" s="0" t="n">
        <v>927</v>
      </c>
      <c r="AL1575" s="0" t="n">
        <v>1.38</v>
      </c>
    </row>
    <row r="1576">
      <c r="A1576" s="0" t="inlineStr">
        <is>
          <t>[청라동]</t>
        </is>
      </c>
      <c r="B1576" s="0" t="n">
        <v>113014</v>
      </c>
      <c r="C1576" s="0" t="n">
        <v>2</v>
      </c>
      <c r="D1576" s="0" t="inlineStr">
        <is>
          <t>청라국제업무단지센텀대광로제비앙</t>
        </is>
      </c>
      <c r="E1576" s="0" t="inlineStr">
        <is>
          <t>2018.12.</t>
        </is>
      </c>
      <c r="F1576" s="0" t="n">
        <v>674</v>
      </c>
      <c r="G1576" s="0" t="n">
        <v>32</v>
      </c>
      <c r="H1576" s="0" t="n">
        <v>105.8</v>
      </c>
      <c r="I1576" s="0" t="n">
        <v>25</v>
      </c>
      <c r="J1576" s="0" t="n">
        <v>82.67</v>
      </c>
      <c r="K1576" s="0" t="n">
        <v>171</v>
      </c>
      <c r="T1576" s="0" t="n">
        <v>3</v>
      </c>
      <c r="U1576" s="0" t="n">
        <v>2</v>
      </c>
      <c r="V1576" s="0" t="inlineStr">
        <is>
          <t>계단식</t>
        </is>
      </c>
      <c r="W1576" s="0" t="inlineStr">
        <is>
          <t>105B</t>
        </is>
      </c>
      <c r="X1576" s="0" t="n">
        <v>25</v>
      </c>
      <c r="Y1576" s="0" t="n">
        <v>15</v>
      </c>
      <c r="Z1576" s="0" t="inlineStr">
        <is>
          <t>https://new.land.naver.com/complexes/113014?tab=detail&amp;rf=Y</t>
        </is>
      </c>
      <c r="AA1576" s="0" t="inlineStr">
        <is>
          <t>인천시 서구 청라동 83-1</t>
        </is>
      </c>
      <c r="AB1576" s="0" t="inlineStr">
        <is>
          <t>인천시</t>
        </is>
      </c>
      <c r="AC1576" s="0" t="inlineStr">
        <is>
          <t>서구</t>
        </is>
      </c>
      <c r="AD1576" s="0" t="inlineStr">
        <is>
          <t>청라동</t>
        </is>
      </c>
      <c r="AG1576" s="0" t="inlineStr">
        <is>
          <t>인천시 서구 비지니스로 166</t>
        </is>
      </c>
      <c r="AH1576" s="0" t="n">
        <v>0</v>
      </c>
      <c r="AI1576" s="0" t="n">
        <v>181</v>
      </c>
      <c r="AJ1576" s="0" t="n">
        <v>15</v>
      </c>
      <c r="AK1576" s="0" t="n">
        <v>927</v>
      </c>
      <c r="AL1576" s="0" t="n">
        <v>1.38</v>
      </c>
    </row>
    <row r="1577">
      <c r="A1577" s="0" t="inlineStr">
        <is>
          <t>[청라동]</t>
        </is>
      </c>
      <c r="B1577" s="0" t="n">
        <v>113014</v>
      </c>
      <c r="C1577" s="0" t="n">
        <v>3</v>
      </c>
      <c r="D1577" s="0" t="inlineStr">
        <is>
          <t>청라국제업무단지센텀대광로제비앙</t>
        </is>
      </c>
      <c r="E1577" s="0" t="inlineStr">
        <is>
          <t>2018.12.</t>
        </is>
      </c>
      <c r="F1577" s="0" t="n">
        <v>674</v>
      </c>
      <c r="G1577" s="0" t="n">
        <v>31.99</v>
      </c>
      <c r="H1577" s="0" t="n">
        <v>105.78</v>
      </c>
      <c r="I1577" s="0" t="n">
        <v>25.05</v>
      </c>
      <c r="J1577" s="0" t="n">
        <v>82.81999999999999</v>
      </c>
      <c r="K1577" s="0" t="n">
        <v>42</v>
      </c>
      <c r="T1577" s="0" t="n">
        <v>3</v>
      </c>
      <c r="U1577" s="0" t="n">
        <v>2</v>
      </c>
      <c r="V1577" s="0" t="inlineStr">
        <is>
          <t>계단식</t>
        </is>
      </c>
      <c r="W1577" s="0" t="inlineStr">
        <is>
          <t>105C</t>
        </is>
      </c>
      <c r="X1577" s="0" t="n">
        <v>25</v>
      </c>
      <c r="Y1577" s="0" t="n">
        <v>15</v>
      </c>
      <c r="Z1577" s="0" t="inlineStr">
        <is>
          <t>https://new.land.naver.com/complexes/113014?tab=detail&amp;rf=Y</t>
        </is>
      </c>
      <c r="AA1577" s="0" t="inlineStr">
        <is>
          <t>인천시 서구 청라동 83-1</t>
        </is>
      </c>
      <c r="AB1577" s="0" t="inlineStr">
        <is>
          <t>인천시</t>
        </is>
      </c>
      <c r="AC1577" s="0" t="inlineStr">
        <is>
          <t>서구</t>
        </is>
      </c>
      <c r="AD1577" s="0" t="inlineStr">
        <is>
          <t>청라동</t>
        </is>
      </c>
      <c r="AG1577" s="0" t="inlineStr">
        <is>
          <t>인천시 서구 비지니스로 166</t>
        </is>
      </c>
      <c r="AH1577" s="0" t="n">
        <v>0</v>
      </c>
      <c r="AI1577" s="0" t="n">
        <v>181</v>
      </c>
      <c r="AJ1577" s="0" t="n">
        <v>15</v>
      </c>
      <c r="AK1577" s="0" t="n">
        <v>927</v>
      </c>
      <c r="AL1577" s="0" t="n">
        <v>1.38</v>
      </c>
    </row>
    <row r="1578">
      <c r="A1578" s="0" t="inlineStr">
        <is>
          <t>[청라동]</t>
        </is>
      </c>
      <c r="B1578" s="0" t="n">
        <v>27876</v>
      </c>
      <c r="C1578" s="0" t="n">
        <v>1</v>
      </c>
      <c r="D1578" s="0" t="inlineStr">
        <is>
          <t>청라반도유보라</t>
        </is>
      </c>
      <c r="E1578" s="0" t="inlineStr">
        <is>
          <t>2011.10.</t>
        </is>
      </c>
      <c r="F1578" s="0" t="n">
        <v>174</v>
      </c>
      <c r="G1578" s="0" t="n">
        <v>38.31</v>
      </c>
      <c r="H1578" s="0" t="n">
        <v>126.67</v>
      </c>
      <c r="I1578" s="0" t="n">
        <v>30.83</v>
      </c>
      <c r="J1578" s="0" t="n">
        <v>101.95</v>
      </c>
      <c r="K1578" s="0" t="n">
        <v>30</v>
      </c>
      <c r="T1578" s="0" t="n">
        <v>3</v>
      </c>
      <c r="U1578" s="0" t="n">
        <v>2</v>
      </c>
      <c r="V1578" s="0" t="inlineStr">
        <is>
          <t>계단식</t>
        </is>
      </c>
      <c r="W1578" s="0" t="inlineStr">
        <is>
          <t>126A</t>
        </is>
      </c>
      <c r="X1578" s="0" t="n">
        <v>15</v>
      </c>
      <c r="Y1578" s="0" t="n">
        <v>15</v>
      </c>
      <c r="Z1578" s="0" t="inlineStr">
        <is>
          <t>https://new.land.naver.com/complexes/27876?tab=detail&amp;rf=Y</t>
        </is>
      </c>
      <c r="AA1578" s="0" t="inlineStr">
        <is>
          <t>인천시 서구 청라동 103-26</t>
        </is>
      </c>
      <c r="AB1578" s="0" t="inlineStr">
        <is>
          <t>인천시</t>
        </is>
      </c>
      <c r="AC1578" s="0" t="inlineStr">
        <is>
          <t>서구</t>
        </is>
      </c>
      <c r="AD1578" s="0" t="inlineStr">
        <is>
          <t>청라동</t>
        </is>
      </c>
      <c r="AG1578" s="0" t="inlineStr">
        <is>
          <t>인천시 서구 솔빛로 55</t>
        </is>
      </c>
      <c r="AH1578" s="0" t="n">
        <v>0</v>
      </c>
      <c r="AI1578" s="0" t="n">
        <v>149</v>
      </c>
      <c r="AJ1578" s="0" t="n">
        <v>22</v>
      </c>
      <c r="AK1578" s="0" t="n">
        <v>325</v>
      </c>
      <c r="AL1578" s="0" t="n">
        <v>1.87</v>
      </c>
    </row>
    <row r="1579">
      <c r="A1579" s="0" t="inlineStr">
        <is>
          <t>[청라동]</t>
        </is>
      </c>
      <c r="B1579" s="0" t="n">
        <v>27876</v>
      </c>
      <c r="C1579" s="0" t="n">
        <v>2</v>
      </c>
      <c r="D1579" s="0" t="inlineStr">
        <is>
          <t>청라반도유보라</t>
        </is>
      </c>
      <c r="E1579" s="0" t="inlineStr">
        <is>
          <t>2011.10.</t>
        </is>
      </c>
      <c r="F1579" s="0" t="n">
        <v>174</v>
      </c>
      <c r="G1579" s="0" t="n">
        <v>38.58</v>
      </c>
      <c r="H1579" s="0" t="n">
        <v>127.56</v>
      </c>
      <c r="I1579" s="0" t="n">
        <v>30.83</v>
      </c>
      <c r="J1579" s="0" t="n">
        <v>101.95</v>
      </c>
      <c r="K1579" s="0" t="n">
        <v>58</v>
      </c>
      <c r="T1579" s="0" t="n">
        <v>3</v>
      </c>
      <c r="U1579" s="0" t="n">
        <v>2</v>
      </c>
      <c r="V1579" s="0" t="inlineStr">
        <is>
          <t>계단식</t>
        </is>
      </c>
      <c r="W1579" s="0" t="inlineStr">
        <is>
          <t>127B</t>
        </is>
      </c>
      <c r="X1579" s="0" t="n">
        <v>15</v>
      </c>
      <c r="Y1579" s="0" t="n">
        <v>15</v>
      </c>
      <c r="Z1579" s="0" t="inlineStr">
        <is>
          <t>https://new.land.naver.com/complexes/27876?tab=detail&amp;rf=Y</t>
        </is>
      </c>
      <c r="AA1579" s="0" t="inlineStr">
        <is>
          <t>인천시 서구 청라동 103-26</t>
        </is>
      </c>
      <c r="AB1579" s="0" t="inlineStr">
        <is>
          <t>인천시</t>
        </is>
      </c>
      <c r="AC1579" s="0" t="inlineStr">
        <is>
          <t>서구</t>
        </is>
      </c>
      <c r="AD1579" s="0" t="inlineStr">
        <is>
          <t>청라동</t>
        </is>
      </c>
      <c r="AG1579" s="0" t="inlineStr">
        <is>
          <t>인천시 서구 솔빛로 55</t>
        </is>
      </c>
      <c r="AH1579" s="0" t="n">
        <v>0</v>
      </c>
      <c r="AI1579" s="0" t="n">
        <v>149</v>
      </c>
      <c r="AJ1579" s="0" t="n">
        <v>22</v>
      </c>
      <c r="AK1579" s="0" t="n">
        <v>325</v>
      </c>
      <c r="AL1579" s="0" t="n">
        <v>1.87</v>
      </c>
    </row>
    <row r="1580">
      <c r="A1580" s="0" t="inlineStr">
        <is>
          <t>[청라동]</t>
        </is>
      </c>
      <c r="B1580" s="0" t="n">
        <v>27876</v>
      </c>
      <c r="C1580" s="0" t="n">
        <v>3</v>
      </c>
      <c r="D1580" s="0" t="inlineStr">
        <is>
          <t>청라반도유보라</t>
        </is>
      </c>
      <c r="E1580" s="0" t="inlineStr">
        <is>
          <t>2011.10.</t>
        </is>
      </c>
      <c r="F1580" s="0" t="n">
        <v>174</v>
      </c>
      <c r="G1580" s="0" t="n">
        <v>46.97</v>
      </c>
      <c r="H1580" s="0" t="n">
        <v>155.28</v>
      </c>
      <c r="I1580" s="0" t="n">
        <v>38.13</v>
      </c>
      <c r="J1580" s="0" t="n">
        <v>126.07</v>
      </c>
      <c r="K1580" s="0" t="n">
        <v>86</v>
      </c>
      <c r="T1580" s="0" t="n">
        <v>4</v>
      </c>
      <c r="U1580" s="0" t="n">
        <v>2</v>
      </c>
      <c r="V1580" s="0" t="inlineStr">
        <is>
          <t>계단식</t>
        </is>
      </c>
      <c r="W1580" s="0" t="n">
        <v>155</v>
      </c>
      <c r="X1580" s="0" t="n">
        <v>15</v>
      </c>
      <c r="Y1580" s="0" t="n">
        <v>15</v>
      </c>
      <c r="Z1580" s="0" t="inlineStr">
        <is>
          <t>https://new.land.naver.com/complexes/27876?tab=detail&amp;rf=Y</t>
        </is>
      </c>
      <c r="AA1580" s="0" t="inlineStr">
        <is>
          <t>인천시 서구 청라동 103-26</t>
        </is>
      </c>
      <c r="AB1580" s="0" t="inlineStr">
        <is>
          <t>인천시</t>
        </is>
      </c>
      <c r="AC1580" s="0" t="inlineStr">
        <is>
          <t>서구</t>
        </is>
      </c>
      <c r="AD1580" s="0" t="inlineStr">
        <is>
          <t>청라동</t>
        </is>
      </c>
      <c r="AG1580" s="0" t="inlineStr">
        <is>
          <t>인천시 서구 솔빛로 55</t>
        </is>
      </c>
      <c r="AH1580" s="0" t="n">
        <v>0</v>
      </c>
      <c r="AI1580" s="0" t="n">
        <v>149</v>
      </c>
      <c r="AJ1580" s="0" t="n">
        <v>22</v>
      </c>
      <c r="AK1580" s="0" t="n">
        <v>325</v>
      </c>
      <c r="AL1580" s="0" t="n">
        <v>1.87</v>
      </c>
    </row>
    <row r="1581">
      <c r="A1581" s="0" t="inlineStr">
        <is>
          <t>[청라동]</t>
        </is>
      </c>
      <c r="B1581" s="0" t="n">
        <v>27877</v>
      </c>
      <c r="C1581" s="0" t="n">
        <v>1</v>
      </c>
      <c r="D1581" s="0" t="inlineStr">
        <is>
          <t>청라하우스토리커낼뷰</t>
        </is>
      </c>
      <c r="E1581" s="0" t="inlineStr">
        <is>
          <t>2011.05.</t>
        </is>
      </c>
      <c r="F1581" s="0" t="n">
        <v>260</v>
      </c>
      <c r="G1581" s="0" t="n">
        <v>39.73</v>
      </c>
      <c r="H1581" s="0" t="n">
        <v>131.36</v>
      </c>
      <c r="I1581" s="0" t="n">
        <v>32.02</v>
      </c>
      <c r="J1581" s="0" t="n">
        <v>105.86</v>
      </c>
      <c r="K1581" s="0" t="n">
        <v>85</v>
      </c>
      <c r="T1581" s="0" t="n">
        <v>4</v>
      </c>
      <c r="U1581" s="0" t="n">
        <v>2</v>
      </c>
      <c r="V1581" s="0" t="inlineStr">
        <is>
          <t>계단식</t>
        </is>
      </c>
      <c r="W1581" s="0" t="inlineStr">
        <is>
          <t>131A</t>
        </is>
      </c>
      <c r="X1581" s="0" t="n">
        <v>15</v>
      </c>
      <c r="Y1581" s="0" t="n">
        <v>15</v>
      </c>
      <c r="Z1581" s="0" t="inlineStr">
        <is>
          <t>https://new.land.naver.com/complexes/27877?tab=detail&amp;rf=Y</t>
        </is>
      </c>
      <c r="AA1581" s="0" t="inlineStr">
        <is>
          <t>인천시 서구 청라동 155-2</t>
        </is>
      </c>
      <c r="AB1581" s="0" t="inlineStr">
        <is>
          <t>인천시</t>
        </is>
      </c>
      <c r="AC1581" s="0" t="inlineStr">
        <is>
          <t>서구</t>
        </is>
      </c>
      <c r="AD1581" s="0" t="inlineStr">
        <is>
          <t>청라동</t>
        </is>
      </c>
      <c r="AG1581" s="0" t="inlineStr">
        <is>
          <t>인천시 서구 청라루비로 106</t>
        </is>
      </c>
      <c r="AH1581" s="0" t="n">
        <v>0</v>
      </c>
      <c r="AI1581" s="0" t="n">
        <v>149</v>
      </c>
      <c r="AJ1581" s="0" t="n">
        <v>16</v>
      </c>
      <c r="AK1581" s="0" t="n">
        <v>436</v>
      </c>
      <c r="AL1581" s="0" t="n">
        <v>1.68</v>
      </c>
    </row>
    <row r="1582">
      <c r="A1582" s="0" t="inlineStr">
        <is>
          <t>[청라동]</t>
        </is>
      </c>
      <c r="B1582" s="0" t="n">
        <v>27877</v>
      </c>
      <c r="C1582" s="0" t="n">
        <v>2</v>
      </c>
      <c r="D1582" s="0" t="inlineStr">
        <is>
          <t>청라하우스토리커낼뷰</t>
        </is>
      </c>
      <c r="E1582" s="0" t="inlineStr">
        <is>
          <t>2011.05.</t>
        </is>
      </c>
      <c r="F1582" s="0" t="n">
        <v>260</v>
      </c>
      <c r="G1582" s="0" t="n">
        <v>39.73</v>
      </c>
      <c r="H1582" s="0" t="n">
        <v>131.36</v>
      </c>
      <c r="I1582" s="0" t="n">
        <v>32.02</v>
      </c>
      <c r="J1582" s="0" t="n">
        <v>105.86</v>
      </c>
      <c r="K1582" s="0" t="n">
        <v>29</v>
      </c>
      <c r="T1582" s="0" t="n">
        <v>4</v>
      </c>
      <c r="U1582" s="0" t="n">
        <v>2</v>
      </c>
      <c r="V1582" s="0" t="inlineStr">
        <is>
          <t>계단식</t>
        </is>
      </c>
      <c r="W1582" s="0" t="inlineStr">
        <is>
          <t>131B</t>
        </is>
      </c>
      <c r="X1582" s="0" t="n">
        <v>15</v>
      </c>
      <c r="Y1582" s="0" t="n">
        <v>15</v>
      </c>
      <c r="Z1582" s="0" t="inlineStr">
        <is>
          <t>https://new.land.naver.com/complexes/27877?tab=detail&amp;rf=Y</t>
        </is>
      </c>
      <c r="AA1582" s="0" t="inlineStr">
        <is>
          <t>인천시 서구 청라동 155-2</t>
        </is>
      </c>
      <c r="AB1582" s="0" t="inlineStr">
        <is>
          <t>인천시</t>
        </is>
      </c>
      <c r="AC1582" s="0" t="inlineStr">
        <is>
          <t>서구</t>
        </is>
      </c>
      <c r="AD1582" s="0" t="inlineStr">
        <is>
          <t>청라동</t>
        </is>
      </c>
      <c r="AG1582" s="0" t="inlineStr">
        <is>
          <t>인천시 서구 청라루비로 106</t>
        </is>
      </c>
      <c r="AH1582" s="0" t="n">
        <v>0</v>
      </c>
      <c r="AI1582" s="0" t="n">
        <v>149</v>
      </c>
      <c r="AJ1582" s="0" t="n">
        <v>16</v>
      </c>
      <c r="AK1582" s="0" t="n">
        <v>436</v>
      </c>
      <c r="AL1582" s="0" t="n">
        <v>1.68</v>
      </c>
    </row>
    <row r="1583">
      <c r="A1583" s="0" t="inlineStr">
        <is>
          <t>[청라동]</t>
        </is>
      </c>
      <c r="B1583" s="0" t="n">
        <v>27877</v>
      </c>
      <c r="C1583" s="0" t="n">
        <v>3</v>
      </c>
      <c r="D1583" s="0" t="inlineStr">
        <is>
          <t>청라하우스토리커낼뷰</t>
        </is>
      </c>
      <c r="E1583" s="0" t="inlineStr">
        <is>
          <t>2011.05.</t>
        </is>
      </c>
      <c r="F1583" s="0" t="n">
        <v>260</v>
      </c>
      <c r="G1583" s="0" t="n">
        <v>46.87</v>
      </c>
      <c r="H1583" s="0" t="n">
        <v>154.97</v>
      </c>
      <c r="I1583" s="0" t="n">
        <v>37.57</v>
      </c>
      <c r="J1583" s="0" t="n">
        <v>124.2</v>
      </c>
      <c r="K1583" s="0" t="n">
        <v>73</v>
      </c>
      <c r="T1583" s="0" t="n">
        <v>4</v>
      </c>
      <c r="U1583" s="0" t="n">
        <v>2</v>
      </c>
      <c r="V1583" s="0" t="inlineStr">
        <is>
          <t>계단식</t>
        </is>
      </c>
      <c r="W1583" s="0" t="inlineStr">
        <is>
          <t>154A</t>
        </is>
      </c>
      <c r="X1583" s="0" t="n">
        <v>15</v>
      </c>
      <c r="Y1583" s="0" t="n">
        <v>15</v>
      </c>
      <c r="Z1583" s="0" t="inlineStr">
        <is>
          <t>https://new.land.naver.com/complexes/27877?tab=detail&amp;rf=Y</t>
        </is>
      </c>
      <c r="AA1583" s="0" t="inlineStr">
        <is>
          <t>인천시 서구 청라동 155-2</t>
        </is>
      </c>
      <c r="AB1583" s="0" t="inlineStr">
        <is>
          <t>인천시</t>
        </is>
      </c>
      <c r="AC1583" s="0" t="inlineStr">
        <is>
          <t>서구</t>
        </is>
      </c>
      <c r="AD1583" s="0" t="inlineStr">
        <is>
          <t>청라동</t>
        </is>
      </c>
      <c r="AG1583" s="0" t="inlineStr">
        <is>
          <t>인천시 서구 청라루비로 106</t>
        </is>
      </c>
      <c r="AH1583" s="0" t="n">
        <v>0</v>
      </c>
      <c r="AI1583" s="0" t="n">
        <v>149</v>
      </c>
      <c r="AJ1583" s="0" t="n">
        <v>16</v>
      </c>
      <c r="AK1583" s="0" t="n">
        <v>436</v>
      </c>
      <c r="AL1583" s="0" t="n">
        <v>1.68</v>
      </c>
    </row>
    <row r="1584">
      <c r="A1584" s="0" t="inlineStr">
        <is>
          <t>[청라동]</t>
        </is>
      </c>
      <c r="B1584" s="0" t="n">
        <v>27877</v>
      </c>
      <c r="C1584" s="0" t="n">
        <v>4</v>
      </c>
      <c r="D1584" s="0" t="inlineStr">
        <is>
          <t>청라하우스토리커낼뷰</t>
        </is>
      </c>
      <c r="E1584" s="0" t="inlineStr">
        <is>
          <t>2011.05.</t>
        </is>
      </c>
      <c r="F1584" s="0" t="n">
        <v>260</v>
      </c>
      <c r="G1584" s="0" t="n">
        <v>46.87</v>
      </c>
      <c r="H1584" s="0" t="n">
        <v>154.97</v>
      </c>
      <c r="I1584" s="0" t="n">
        <v>37.57</v>
      </c>
      <c r="J1584" s="0" t="n">
        <v>124.2</v>
      </c>
      <c r="K1584" s="0" t="n">
        <v>73</v>
      </c>
      <c r="T1584" s="0" t="n">
        <v>4</v>
      </c>
      <c r="U1584" s="0" t="n">
        <v>2</v>
      </c>
      <c r="V1584" s="0" t="inlineStr">
        <is>
          <t>계단식</t>
        </is>
      </c>
      <c r="W1584" s="0" t="inlineStr">
        <is>
          <t>154B</t>
        </is>
      </c>
      <c r="X1584" s="0" t="n">
        <v>15</v>
      </c>
      <c r="Y1584" s="0" t="n">
        <v>15</v>
      </c>
      <c r="Z1584" s="0" t="inlineStr">
        <is>
          <t>https://new.land.naver.com/complexes/27877?tab=detail&amp;rf=Y</t>
        </is>
      </c>
      <c r="AA1584" s="0" t="inlineStr">
        <is>
          <t>인천시 서구 청라동 155-2</t>
        </is>
      </c>
      <c r="AB1584" s="0" t="inlineStr">
        <is>
          <t>인천시</t>
        </is>
      </c>
      <c r="AC1584" s="0" t="inlineStr">
        <is>
          <t>서구</t>
        </is>
      </c>
      <c r="AD1584" s="0" t="inlineStr">
        <is>
          <t>청라동</t>
        </is>
      </c>
      <c r="AG1584" s="0" t="inlineStr">
        <is>
          <t>인천시 서구 청라루비로 106</t>
        </is>
      </c>
      <c r="AH1584" s="0" t="n">
        <v>0</v>
      </c>
      <c r="AI1584" s="0" t="n">
        <v>149</v>
      </c>
      <c r="AJ1584" s="0" t="n">
        <v>16</v>
      </c>
      <c r="AK1584" s="0" t="n">
        <v>436</v>
      </c>
      <c r="AL1584" s="0" t="n">
        <v>1.68</v>
      </c>
    </row>
    <row r="1585">
      <c r="A1585" s="0" t="inlineStr">
        <is>
          <t>[청라동]</t>
        </is>
      </c>
      <c r="B1585" s="0" t="n">
        <v>27622</v>
      </c>
      <c r="C1585" s="0" t="n">
        <v>1</v>
      </c>
      <c r="D1585" s="0" t="inlineStr">
        <is>
          <t>호반베르디움(A14블럭)</t>
        </is>
      </c>
      <c r="E1585" s="0" t="inlineStr">
        <is>
          <t>2011.02.</t>
        </is>
      </c>
      <c r="F1585" s="0" t="n">
        <v>745</v>
      </c>
      <c r="G1585" s="0" t="n">
        <v>33.64</v>
      </c>
      <c r="H1585" s="0" t="n">
        <v>111.22</v>
      </c>
      <c r="I1585" s="0" t="n">
        <v>25.69</v>
      </c>
      <c r="J1585" s="0" t="n">
        <v>84.95</v>
      </c>
      <c r="K1585" s="0" t="n">
        <v>490</v>
      </c>
      <c r="T1585" s="0" t="n">
        <v>3</v>
      </c>
      <c r="U1585" s="0" t="n">
        <v>2</v>
      </c>
      <c r="V1585" s="0" t="inlineStr">
        <is>
          <t>계단식</t>
        </is>
      </c>
      <c r="W1585" s="0" t="inlineStr">
        <is>
          <t>111A</t>
        </is>
      </c>
      <c r="X1585" s="0" t="n">
        <v>30</v>
      </c>
      <c r="Y1585" s="0" t="n">
        <v>20</v>
      </c>
      <c r="Z1585" s="0" t="inlineStr">
        <is>
          <t>https://new.land.naver.com/complexes/27622?tab=detail&amp;rf=Y</t>
        </is>
      </c>
      <c r="AA1585" s="0" t="inlineStr">
        <is>
          <t>인천시 서구 청라동 116-6</t>
        </is>
      </c>
      <c r="AB1585" s="0" t="inlineStr">
        <is>
          <t>인천시</t>
        </is>
      </c>
      <c r="AC1585" s="0" t="inlineStr">
        <is>
          <t>서구</t>
        </is>
      </c>
      <c r="AD1585" s="0" t="inlineStr">
        <is>
          <t>청라동</t>
        </is>
      </c>
      <c r="AG1585" s="0" t="inlineStr">
        <is>
          <t>인천시 서구 청라라임로 109</t>
        </is>
      </c>
      <c r="AH1585" s="0" t="n">
        <v>0</v>
      </c>
      <c r="AI1585" s="0" t="n">
        <v>179</v>
      </c>
      <c r="AJ1585" s="0" t="n">
        <v>11</v>
      </c>
      <c r="AK1585" s="0" t="n">
        <v>949</v>
      </c>
      <c r="AL1585" s="0" t="n">
        <v>1.27</v>
      </c>
    </row>
    <row r="1586">
      <c r="A1586" s="0" t="inlineStr">
        <is>
          <t>[청라동]</t>
        </is>
      </c>
      <c r="B1586" s="0" t="n">
        <v>27622</v>
      </c>
      <c r="C1586" s="0" t="n">
        <v>2</v>
      </c>
      <c r="D1586" s="0" t="inlineStr">
        <is>
          <t>호반베르디움(A14블럭)</t>
        </is>
      </c>
      <c r="E1586" s="0" t="inlineStr">
        <is>
          <t>2011.02.</t>
        </is>
      </c>
      <c r="F1586" s="0" t="n">
        <v>745</v>
      </c>
      <c r="G1586" s="0" t="n">
        <v>33.99</v>
      </c>
      <c r="H1586" s="0" t="n">
        <v>112.37</v>
      </c>
      <c r="I1586" s="0" t="n">
        <v>25.7</v>
      </c>
      <c r="J1586" s="0" t="n">
        <v>84.98999999999999</v>
      </c>
      <c r="K1586" s="0" t="n">
        <v>255</v>
      </c>
      <c r="T1586" s="0" t="n">
        <v>3</v>
      </c>
      <c r="U1586" s="0" t="n">
        <v>2</v>
      </c>
      <c r="V1586" s="0" t="inlineStr">
        <is>
          <t>계단식</t>
        </is>
      </c>
      <c r="W1586" s="0" t="inlineStr">
        <is>
          <t>112B</t>
        </is>
      </c>
      <c r="X1586" s="0" t="n">
        <v>30</v>
      </c>
      <c r="Y1586" s="0" t="n">
        <v>20</v>
      </c>
      <c r="Z1586" s="0" t="inlineStr">
        <is>
          <t>https://new.land.naver.com/complexes/27622?tab=detail&amp;rf=Y</t>
        </is>
      </c>
      <c r="AA1586" s="0" t="inlineStr">
        <is>
          <t>인천시 서구 청라동 116-6</t>
        </is>
      </c>
      <c r="AB1586" s="0" t="inlineStr">
        <is>
          <t>인천시</t>
        </is>
      </c>
      <c r="AC1586" s="0" t="inlineStr">
        <is>
          <t>서구</t>
        </is>
      </c>
      <c r="AD1586" s="0" t="inlineStr">
        <is>
          <t>청라동</t>
        </is>
      </c>
      <c r="AG1586" s="0" t="inlineStr">
        <is>
          <t>인천시 서구 청라라임로 109</t>
        </is>
      </c>
      <c r="AH1586" s="0" t="n">
        <v>0</v>
      </c>
      <c r="AI1586" s="0" t="n">
        <v>179</v>
      </c>
      <c r="AJ1586" s="0" t="n">
        <v>11</v>
      </c>
      <c r="AK1586" s="0" t="n">
        <v>949</v>
      </c>
      <c r="AL1586" s="0" t="n">
        <v>1.27</v>
      </c>
    </row>
    <row r="1587">
      <c r="A1587" s="0" t="inlineStr">
        <is>
          <t>[청라동]</t>
        </is>
      </c>
      <c r="B1587" s="0" t="n">
        <v>27786</v>
      </c>
      <c r="C1587" s="0" t="n">
        <v>1</v>
      </c>
      <c r="D1587" s="0" t="inlineStr">
        <is>
          <t>청라SK VIEW</t>
        </is>
      </c>
      <c r="E1587" s="0" t="inlineStr">
        <is>
          <t>2011.12.</t>
        </is>
      </c>
      <c r="F1587" s="0" t="n">
        <v>879</v>
      </c>
      <c r="G1587" s="0" t="n">
        <v>38.42</v>
      </c>
      <c r="H1587" s="0" t="n">
        <v>127.02</v>
      </c>
      <c r="I1587" s="0" t="n">
        <v>30.72</v>
      </c>
      <c r="J1587" s="0" t="n">
        <v>101.58</v>
      </c>
      <c r="K1587" s="0" t="n">
        <v>192</v>
      </c>
      <c r="T1587" s="0" t="n">
        <v>3</v>
      </c>
      <c r="U1587" s="0" t="n">
        <v>2</v>
      </c>
      <c r="V1587" s="0" t="inlineStr">
        <is>
          <t>계단식</t>
        </is>
      </c>
      <c r="W1587" s="0" t="n">
        <v>127</v>
      </c>
      <c r="X1587" s="0" t="n">
        <v>30</v>
      </c>
      <c r="Y1587" s="0" t="n">
        <v>24</v>
      </c>
      <c r="Z1587" s="0" t="inlineStr">
        <is>
          <t>https://new.land.naver.com/complexes/27786?tab=detail&amp;rf=Y</t>
        </is>
      </c>
      <c r="AA1587" s="0" t="inlineStr">
        <is>
          <t>인천시 서구 청라동 103-16</t>
        </is>
      </c>
      <c r="AB1587" s="0" t="inlineStr">
        <is>
          <t>인천시</t>
        </is>
      </c>
      <c r="AC1587" s="0" t="inlineStr">
        <is>
          <t>서구</t>
        </is>
      </c>
      <c r="AD1587" s="0" t="inlineStr">
        <is>
          <t>청라동</t>
        </is>
      </c>
      <c r="AG1587" s="0" t="inlineStr">
        <is>
          <t>인천시 서구 솔빛로 93</t>
        </is>
      </c>
      <c r="AH1587" s="0" t="n">
        <v>0</v>
      </c>
      <c r="AI1587" s="0" t="n">
        <v>219</v>
      </c>
      <c r="AJ1587" s="0" t="n">
        <v>12</v>
      </c>
      <c r="AK1587" s="0" t="n">
        <v>1778</v>
      </c>
      <c r="AL1587" s="0" t="n">
        <v>2.02</v>
      </c>
    </row>
    <row r="1588">
      <c r="A1588" s="0" t="inlineStr">
        <is>
          <t>[청라동]</t>
        </is>
      </c>
      <c r="B1588" s="0" t="n">
        <v>27786</v>
      </c>
      <c r="C1588" s="0" t="n">
        <v>2</v>
      </c>
      <c r="D1588" s="0" t="inlineStr">
        <is>
          <t>청라SK VIEW</t>
        </is>
      </c>
      <c r="E1588" s="0" t="inlineStr">
        <is>
          <t>2011.12.</t>
        </is>
      </c>
      <c r="F1588" s="0" t="n">
        <v>879</v>
      </c>
      <c r="G1588" s="0" t="n">
        <v>39.69</v>
      </c>
      <c r="H1588" s="0" t="n">
        <v>131.23</v>
      </c>
      <c r="I1588" s="0" t="n">
        <v>30.74</v>
      </c>
      <c r="J1588" s="0" t="n">
        <v>101.64</v>
      </c>
      <c r="K1588" s="0" t="n">
        <v>92</v>
      </c>
      <c r="T1588" s="0" t="n">
        <v>3</v>
      </c>
      <c r="U1588" s="0" t="n">
        <v>2</v>
      </c>
      <c r="V1588" s="0" t="inlineStr">
        <is>
          <t>계단식</t>
        </is>
      </c>
      <c r="W1588" s="0" t="n">
        <v>131</v>
      </c>
      <c r="X1588" s="0" t="n">
        <v>30</v>
      </c>
      <c r="Y1588" s="0" t="n">
        <v>24</v>
      </c>
      <c r="Z1588" s="0" t="inlineStr">
        <is>
          <t>https://new.land.naver.com/complexes/27786?tab=detail&amp;rf=Y</t>
        </is>
      </c>
      <c r="AA1588" s="0" t="inlineStr">
        <is>
          <t>인천시 서구 청라동 103-16</t>
        </is>
      </c>
      <c r="AB1588" s="0" t="inlineStr">
        <is>
          <t>인천시</t>
        </is>
      </c>
      <c r="AC1588" s="0" t="inlineStr">
        <is>
          <t>서구</t>
        </is>
      </c>
      <c r="AD1588" s="0" t="inlineStr">
        <is>
          <t>청라동</t>
        </is>
      </c>
      <c r="AG1588" s="0" t="inlineStr">
        <is>
          <t>인천시 서구 솔빛로 93</t>
        </is>
      </c>
      <c r="AH1588" s="0" t="n">
        <v>0</v>
      </c>
      <c r="AI1588" s="0" t="n">
        <v>219</v>
      </c>
      <c r="AJ1588" s="0" t="n">
        <v>12</v>
      </c>
      <c r="AK1588" s="0" t="n">
        <v>1778</v>
      </c>
      <c r="AL1588" s="0" t="n">
        <v>2.02</v>
      </c>
    </row>
    <row r="1589">
      <c r="A1589" s="0" t="inlineStr">
        <is>
          <t>[청라동]</t>
        </is>
      </c>
      <c r="B1589" s="0" t="n">
        <v>27786</v>
      </c>
      <c r="C1589" s="0" t="n">
        <v>3</v>
      </c>
      <c r="D1589" s="0" t="inlineStr">
        <is>
          <t>청라SK VIEW</t>
        </is>
      </c>
      <c r="E1589" s="0" t="inlineStr">
        <is>
          <t>2011.12.</t>
        </is>
      </c>
      <c r="F1589" s="0" t="n">
        <v>879</v>
      </c>
      <c r="G1589" s="0" t="n">
        <v>44.33</v>
      </c>
      <c r="H1589" s="0" t="n">
        <v>146.56</v>
      </c>
      <c r="I1589" s="0" t="n">
        <v>34.79</v>
      </c>
      <c r="J1589" s="0" t="n">
        <v>115.02</v>
      </c>
      <c r="K1589" s="0" t="n">
        <v>200</v>
      </c>
      <c r="T1589" s="0" t="n">
        <v>4</v>
      </c>
      <c r="U1589" s="0" t="n">
        <v>2</v>
      </c>
      <c r="V1589" s="0" t="inlineStr">
        <is>
          <t>계단식</t>
        </is>
      </c>
      <c r="W1589" s="0" t="inlineStr">
        <is>
          <t>146A</t>
        </is>
      </c>
      <c r="X1589" s="0" t="n">
        <v>30</v>
      </c>
      <c r="Y1589" s="0" t="n">
        <v>24</v>
      </c>
      <c r="Z1589" s="0" t="inlineStr">
        <is>
          <t>https://new.land.naver.com/complexes/27786?tab=detail&amp;rf=Y</t>
        </is>
      </c>
      <c r="AA1589" s="0" t="inlineStr">
        <is>
          <t>인천시 서구 청라동 103-16</t>
        </is>
      </c>
      <c r="AB1589" s="0" t="inlineStr">
        <is>
          <t>인천시</t>
        </is>
      </c>
      <c r="AC1589" s="0" t="inlineStr">
        <is>
          <t>서구</t>
        </is>
      </c>
      <c r="AD1589" s="0" t="inlineStr">
        <is>
          <t>청라동</t>
        </is>
      </c>
      <c r="AG1589" s="0" t="inlineStr">
        <is>
          <t>인천시 서구 솔빛로 93</t>
        </is>
      </c>
      <c r="AH1589" s="0" t="n">
        <v>0</v>
      </c>
      <c r="AI1589" s="0" t="n">
        <v>219</v>
      </c>
      <c r="AJ1589" s="0" t="n">
        <v>12</v>
      </c>
      <c r="AK1589" s="0" t="n">
        <v>1778</v>
      </c>
      <c r="AL1589" s="0" t="n">
        <v>2.02</v>
      </c>
    </row>
    <row r="1590">
      <c r="A1590" s="0" t="inlineStr">
        <is>
          <t>[청라동]</t>
        </is>
      </c>
      <c r="B1590" s="0" t="n">
        <v>27786</v>
      </c>
      <c r="C1590" s="0" t="n">
        <v>4</v>
      </c>
      <c r="D1590" s="0" t="inlineStr">
        <is>
          <t>청라SK VIEW</t>
        </is>
      </c>
      <c r="E1590" s="0" t="inlineStr">
        <is>
          <t>2011.12.</t>
        </is>
      </c>
      <c r="F1590" s="0" t="n">
        <v>879</v>
      </c>
      <c r="G1590" s="0" t="n">
        <v>44.31</v>
      </c>
      <c r="H1590" s="0" t="n">
        <v>146.48</v>
      </c>
      <c r="I1590" s="0" t="n">
        <v>34.59</v>
      </c>
      <c r="J1590" s="0" t="n">
        <v>114.38</v>
      </c>
      <c r="K1590" s="0" t="n">
        <v>84</v>
      </c>
      <c r="T1590" s="0" t="n">
        <v>4</v>
      </c>
      <c r="U1590" s="0" t="n">
        <v>2</v>
      </c>
      <c r="V1590" s="0" t="inlineStr">
        <is>
          <t>계단식</t>
        </is>
      </c>
      <c r="W1590" s="0" t="inlineStr">
        <is>
          <t>146B</t>
        </is>
      </c>
      <c r="X1590" s="0" t="n">
        <v>30</v>
      </c>
      <c r="Y1590" s="0" t="n">
        <v>24</v>
      </c>
      <c r="Z1590" s="0" t="inlineStr">
        <is>
          <t>https://new.land.naver.com/complexes/27786?tab=detail&amp;rf=Y</t>
        </is>
      </c>
      <c r="AA1590" s="0" t="inlineStr">
        <is>
          <t>인천시 서구 청라동 103-16</t>
        </is>
      </c>
      <c r="AB1590" s="0" t="inlineStr">
        <is>
          <t>인천시</t>
        </is>
      </c>
      <c r="AC1590" s="0" t="inlineStr">
        <is>
          <t>서구</t>
        </is>
      </c>
      <c r="AD1590" s="0" t="inlineStr">
        <is>
          <t>청라동</t>
        </is>
      </c>
      <c r="AG1590" s="0" t="inlineStr">
        <is>
          <t>인천시 서구 솔빛로 93</t>
        </is>
      </c>
      <c r="AH1590" s="0" t="n">
        <v>0</v>
      </c>
      <c r="AI1590" s="0" t="n">
        <v>219</v>
      </c>
      <c r="AJ1590" s="0" t="n">
        <v>12</v>
      </c>
      <c r="AK1590" s="0" t="n">
        <v>1778</v>
      </c>
      <c r="AL1590" s="0" t="n">
        <v>2.02</v>
      </c>
    </row>
    <row r="1591">
      <c r="A1591" s="0" t="inlineStr">
        <is>
          <t>[청라동]</t>
        </is>
      </c>
      <c r="B1591" s="0" t="n">
        <v>27786</v>
      </c>
      <c r="C1591" s="0" t="n">
        <v>5</v>
      </c>
      <c r="D1591" s="0" t="inlineStr">
        <is>
          <t>청라SK VIEW</t>
        </is>
      </c>
      <c r="E1591" s="0" t="inlineStr">
        <is>
          <t>2011.12.</t>
        </is>
      </c>
      <c r="F1591" s="0" t="n">
        <v>879</v>
      </c>
      <c r="G1591" s="0" t="n">
        <v>45.98</v>
      </c>
      <c r="H1591" s="0" t="n">
        <v>152.01</v>
      </c>
      <c r="I1591" s="0" t="n">
        <v>35.35</v>
      </c>
      <c r="J1591" s="0" t="n">
        <v>116.86</v>
      </c>
      <c r="K1591" s="0" t="n">
        <v>44</v>
      </c>
      <c r="T1591" s="0" t="n">
        <v>4</v>
      </c>
      <c r="U1591" s="0" t="n">
        <v>2</v>
      </c>
      <c r="V1591" s="0" t="inlineStr">
        <is>
          <t>계단식</t>
        </is>
      </c>
      <c r="W1591" s="0" t="n">
        <v>152</v>
      </c>
      <c r="X1591" s="0" t="n">
        <v>30</v>
      </c>
      <c r="Y1591" s="0" t="n">
        <v>24</v>
      </c>
      <c r="Z1591" s="0" t="inlineStr">
        <is>
          <t>https://new.land.naver.com/complexes/27786?tab=detail&amp;rf=Y</t>
        </is>
      </c>
      <c r="AA1591" s="0" t="inlineStr">
        <is>
          <t>인천시 서구 청라동 103-16</t>
        </is>
      </c>
      <c r="AB1591" s="0" t="inlineStr">
        <is>
          <t>인천시</t>
        </is>
      </c>
      <c r="AC1591" s="0" t="inlineStr">
        <is>
          <t>서구</t>
        </is>
      </c>
      <c r="AD1591" s="0" t="inlineStr">
        <is>
          <t>청라동</t>
        </is>
      </c>
      <c r="AG1591" s="0" t="inlineStr">
        <is>
          <t>인천시 서구 솔빛로 93</t>
        </is>
      </c>
      <c r="AH1591" s="0" t="n">
        <v>0</v>
      </c>
      <c r="AI1591" s="0" t="n">
        <v>219</v>
      </c>
      <c r="AJ1591" s="0" t="n">
        <v>12</v>
      </c>
      <c r="AK1591" s="0" t="n">
        <v>1778</v>
      </c>
      <c r="AL1591" s="0" t="n">
        <v>2.02</v>
      </c>
    </row>
    <row r="1592">
      <c r="A1592" s="0" t="inlineStr">
        <is>
          <t>[청라동]</t>
        </is>
      </c>
      <c r="B1592" s="0" t="n">
        <v>27786</v>
      </c>
      <c r="C1592" s="0" t="n">
        <v>6</v>
      </c>
      <c r="D1592" s="0" t="inlineStr">
        <is>
          <t>청라SK VIEW</t>
        </is>
      </c>
      <c r="E1592" s="0" t="inlineStr">
        <is>
          <t>2011.12.</t>
        </is>
      </c>
      <c r="F1592" s="0" t="n">
        <v>879</v>
      </c>
      <c r="G1592" s="0" t="n">
        <v>48.06</v>
      </c>
      <c r="H1592" s="0" t="n">
        <v>158.89</v>
      </c>
      <c r="I1592" s="0" t="n">
        <v>37.95</v>
      </c>
      <c r="J1592" s="0" t="n">
        <v>125.48</v>
      </c>
      <c r="K1592" s="0" t="n">
        <v>90</v>
      </c>
      <c r="T1592" s="0" t="n">
        <v>4</v>
      </c>
      <c r="U1592" s="0" t="n">
        <v>2</v>
      </c>
      <c r="V1592" s="0" t="inlineStr">
        <is>
          <t>계단식</t>
        </is>
      </c>
      <c r="W1592" s="0" t="n">
        <v>158</v>
      </c>
      <c r="X1592" s="0" t="n">
        <v>30</v>
      </c>
      <c r="Y1592" s="0" t="n">
        <v>24</v>
      </c>
      <c r="Z1592" s="0" t="inlineStr">
        <is>
          <t>https://new.land.naver.com/complexes/27786?tab=detail&amp;rf=Y</t>
        </is>
      </c>
      <c r="AA1592" s="0" t="inlineStr">
        <is>
          <t>인천시 서구 청라동 103-16</t>
        </is>
      </c>
      <c r="AB1592" s="0" t="inlineStr">
        <is>
          <t>인천시</t>
        </is>
      </c>
      <c r="AC1592" s="0" t="inlineStr">
        <is>
          <t>서구</t>
        </is>
      </c>
      <c r="AD1592" s="0" t="inlineStr">
        <is>
          <t>청라동</t>
        </is>
      </c>
      <c r="AG1592" s="0" t="inlineStr">
        <is>
          <t>인천시 서구 솔빛로 93</t>
        </is>
      </c>
      <c r="AH1592" s="0" t="n">
        <v>0</v>
      </c>
      <c r="AI1592" s="0" t="n">
        <v>219</v>
      </c>
      <c r="AJ1592" s="0" t="n">
        <v>12</v>
      </c>
      <c r="AK1592" s="0" t="n">
        <v>1778</v>
      </c>
      <c r="AL1592" s="0" t="n">
        <v>2.02</v>
      </c>
    </row>
    <row r="1593">
      <c r="A1593" s="0" t="inlineStr">
        <is>
          <t>[청라동]</t>
        </is>
      </c>
      <c r="B1593" s="0" t="n">
        <v>27786</v>
      </c>
      <c r="C1593" s="0" t="n">
        <v>7</v>
      </c>
      <c r="D1593" s="0" t="inlineStr">
        <is>
          <t>청라SK VIEW</t>
        </is>
      </c>
      <c r="E1593" s="0" t="inlineStr">
        <is>
          <t>2011.12.</t>
        </is>
      </c>
      <c r="F1593" s="0" t="n">
        <v>879</v>
      </c>
      <c r="G1593" s="0" t="n">
        <v>48.77</v>
      </c>
      <c r="H1593" s="0" t="n">
        <v>161.25</v>
      </c>
      <c r="I1593" s="0" t="n">
        <v>38.34</v>
      </c>
      <c r="J1593" s="0" t="n">
        <v>126.77</v>
      </c>
      <c r="K1593" s="0" t="n">
        <v>90</v>
      </c>
      <c r="T1593" s="0" t="n">
        <v>4</v>
      </c>
      <c r="U1593" s="0" t="n">
        <v>2</v>
      </c>
      <c r="V1593" s="0" t="inlineStr">
        <is>
          <t>계단식</t>
        </is>
      </c>
      <c r="W1593" s="0" t="inlineStr">
        <is>
          <t>161A</t>
        </is>
      </c>
      <c r="X1593" s="0" t="n">
        <v>30</v>
      </c>
      <c r="Y1593" s="0" t="n">
        <v>24</v>
      </c>
      <c r="Z1593" s="0" t="inlineStr">
        <is>
          <t>https://new.land.naver.com/complexes/27786?tab=detail&amp;rf=Y</t>
        </is>
      </c>
      <c r="AA1593" s="0" t="inlineStr">
        <is>
          <t>인천시 서구 청라동 103-16</t>
        </is>
      </c>
      <c r="AB1593" s="0" t="inlineStr">
        <is>
          <t>인천시</t>
        </is>
      </c>
      <c r="AC1593" s="0" t="inlineStr">
        <is>
          <t>서구</t>
        </is>
      </c>
      <c r="AD1593" s="0" t="inlineStr">
        <is>
          <t>청라동</t>
        </is>
      </c>
      <c r="AG1593" s="0" t="inlineStr">
        <is>
          <t>인천시 서구 솔빛로 93</t>
        </is>
      </c>
      <c r="AH1593" s="0" t="n">
        <v>0</v>
      </c>
      <c r="AI1593" s="0" t="n">
        <v>219</v>
      </c>
      <c r="AJ1593" s="0" t="n">
        <v>12</v>
      </c>
      <c r="AK1593" s="0" t="n">
        <v>1778</v>
      </c>
      <c r="AL1593" s="0" t="n">
        <v>2.02</v>
      </c>
    </row>
    <row r="1594">
      <c r="A1594" s="0" t="inlineStr">
        <is>
          <t>[청라동]</t>
        </is>
      </c>
      <c r="B1594" s="0" t="n">
        <v>27786</v>
      </c>
      <c r="C1594" s="0" t="n">
        <v>8</v>
      </c>
      <c r="D1594" s="0" t="inlineStr">
        <is>
          <t>청라SK VIEW</t>
        </is>
      </c>
      <c r="E1594" s="0" t="inlineStr">
        <is>
          <t>2011.12.</t>
        </is>
      </c>
      <c r="F1594" s="0" t="n">
        <v>879</v>
      </c>
      <c r="G1594" s="0" t="n">
        <v>48.92</v>
      </c>
      <c r="H1594" s="0" t="n">
        <v>161.75</v>
      </c>
      <c r="I1594" s="0" t="n">
        <v>38.95</v>
      </c>
      <c r="J1594" s="0" t="n">
        <v>128.77</v>
      </c>
      <c r="K1594" s="0" t="n">
        <v>84</v>
      </c>
      <c r="T1594" s="0" t="n">
        <v>4</v>
      </c>
      <c r="U1594" s="0" t="n">
        <v>2</v>
      </c>
      <c r="V1594" s="0" t="inlineStr">
        <is>
          <t>계단식</t>
        </is>
      </c>
      <c r="W1594" s="0" t="inlineStr">
        <is>
          <t>161B</t>
        </is>
      </c>
      <c r="X1594" s="0" t="n">
        <v>30</v>
      </c>
      <c r="Y1594" s="0" t="n">
        <v>24</v>
      </c>
      <c r="Z1594" s="0" t="inlineStr">
        <is>
          <t>https://new.land.naver.com/complexes/27786?tab=detail&amp;rf=Y</t>
        </is>
      </c>
      <c r="AA1594" s="0" t="inlineStr">
        <is>
          <t>인천시 서구 청라동 103-16</t>
        </is>
      </c>
      <c r="AB1594" s="0" t="inlineStr">
        <is>
          <t>인천시</t>
        </is>
      </c>
      <c r="AC1594" s="0" t="inlineStr">
        <is>
          <t>서구</t>
        </is>
      </c>
      <c r="AD1594" s="0" t="inlineStr">
        <is>
          <t>청라동</t>
        </is>
      </c>
      <c r="AG1594" s="0" t="inlineStr">
        <is>
          <t>인천시 서구 솔빛로 93</t>
        </is>
      </c>
      <c r="AH1594" s="0" t="n">
        <v>0</v>
      </c>
      <c r="AI1594" s="0" t="n">
        <v>219</v>
      </c>
      <c r="AJ1594" s="0" t="n">
        <v>12</v>
      </c>
      <c r="AK1594" s="0" t="n">
        <v>1778</v>
      </c>
      <c r="AL1594" s="0" t="n">
        <v>2.02</v>
      </c>
    </row>
    <row r="1595">
      <c r="A1595" s="0" t="inlineStr">
        <is>
          <t>[청라동]</t>
        </is>
      </c>
      <c r="B1595" s="0" t="n">
        <v>27786</v>
      </c>
      <c r="C1595" s="0" t="n">
        <v>9</v>
      </c>
      <c r="D1595" s="0" t="inlineStr">
        <is>
          <t>청라SK VIEW</t>
        </is>
      </c>
      <c r="E1595" s="0" t="inlineStr">
        <is>
          <t>2011.12.</t>
        </is>
      </c>
      <c r="F1595" s="0" t="n">
        <v>879</v>
      </c>
      <c r="G1595" s="0" t="n">
        <v>82.52</v>
      </c>
      <c r="H1595" s="0" t="n">
        <v>272.8</v>
      </c>
      <c r="I1595" s="0" t="n">
        <v>64.41</v>
      </c>
      <c r="J1595" s="0" t="n">
        <v>212.95</v>
      </c>
      <c r="K1595" s="0" t="n">
        <v>3</v>
      </c>
      <c r="T1595" s="0" t="n">
        <v>4</v>
      </c>
      <c r="U1595" s="0" t="n">
        <v>2</v>
      </c>
      <c r="V1595" s="0" t="inlineStr">
        <is>
          <t>계단식</t>
        </is>
      </c>
      <c r="W1595" s="0" t="n">
        <v>272</v>
      </c>
      <c r="X1595" s="0" t="n">
        <v>30</v>
      </c>
      <c r="Y1595" s="0" t="n">
        <v>24</v>
      </c>
      <c r="Z1595" s="0" t="inlineStr">
        <is>
          <t>https://new.land.naver.com/complexes/27786?tab=detail&amp;rf=Y</t>
        </is>
      </c>
      <c r="AA1595" s="0" t="inlineStr">
        <is>
          <t>인천시 서구 청라동 103-16</t>
        </is>
      </c>
      <c r="AB1595" s="0" t="inlineStr">
        <is>
          <t>인천시</t>
        </is>
      </c>
      <c r="AC1595" s="0" t="inlineStr">
        <is>
          <t>서구</t>
        </is>
      </c>
      <c r="AD1595" s="0" t="inlineStr">
        <is>
          <t>청라동</t>
        </is>
      </c>
      <c r="AG1595" s="0" t="inlineStr">
        <is>
          <t>인천시 서구 솔빛로 93</t>
        </is>
      </c>
      <c r="AH1595" s="0" t="n">
        <v>0</v>
      </c>
      <c r="AI1595" s="0" t="n">
        <v>219</v>
      </c>
      <c r="AJ1595" s="0" t="n">
        <v>12</v>
      </c>
      <c r="AK1595" s="0" t="n">
        <v>1778</v>
      </c>
      <c r="AL1595" s="0" t="n">
        <v>2.02</v>
      </c>
    </row>
    <row r="1596">
      <c r="A1596" s="0" t="inlineStr">
        <is>
          <t>[청라동]</t>
        </is>
      </c>
      <c r="B1596" s="0" t="n">
        <v>27085</v>
      </c>
      <c r="C1596" s="0" t="n">
        <v>1</v>
      </c>
      <c r="D1596" s="0" t="inlineStr">
        <is>
          <t>호반베르디움(A20블록)</t>
        </is>
      </c>
      <c r="E1596" s="0" t="inlineStr">
        <is>
          <t>2011.10.</t>
        </is>
      </c>
      <c r="F1596" s="0" t="n">
        <v>620</v>
      </c>
      <c r="G1596" s="0" t="n">
        <v>34.42</v>
      </c>
      <c r="H1596" s="0" t="n">
        <v>113.81</v>
      </c>
      <c r="I1596" s="0" t="n">
        <v>25.66</v>
      </c>
      <c r="J1596" s="0" t="n">
        <v>84.83</v>
      </c>
      <c r="K1596" s="0" t="n">
        <v>168</v>
      </c>
      <c r="T1596" s="0" t="n">
        <v>3</v>
      </c>
      <c r="U1596" s="0" t="n">
        <v>2</v>
      </c>
      <c r="V1596" s="0" t="inlineStr">
        <is>
          <t>계단식</t>
        </is>
      </c>
      <c r="W1596" s="0" t="inlineStr">
        <is>
          <t>113B</t>
        </is>
      </c>
      <c r="X1596" s="0" t="n">
        <v>30</v>
      </c>
      <c r="Y1596" s="0" t="n">
        <v>28</v>
      </c>
      <c r="Z1596" s="0" t="inlineStr">
        <is>
          <t>https://new.land.naver.com/complexes/27085?tab=detail&amp;rf=Y</t>
        </is>
      </c>
      <c r="AA1596" s="0" t="inlineStr">
        <is>
          <t>인천시 서구 청라동 168-1</t>
        </is>
      </c>
      <c r="AB1596" s="0" t="inlineStr">
        <is>
          <t>인천시</t>
        </is>
      </c>
      <c r="AC1596" s="0" t="inlineStr">
        <is>
          <t>서구</t>
        </is>
      </c>
      <c r="AD1596" s="0" t="inlineStr">
        <is>
          <t>청라동</t>
        </is>
      </c>
      <c r="AG1596" s="0" t="inlineStr">
        <is>
          <t>인천시 서구 청라에메랄드로76번길 14</t>
        </is>
      </c>
      <c r="AH1596" s="0" t="n">
        <v>0</v>
      </c>
      <c r="AI1596" s="0" t="n">
        <v>179</v>
      </c>
      <c r="AJ1596" s="0" t="n">
        <v>9</v>
      </c>
      <c r="AK1596" s="0" t="n">
        <v>935</v>
      </c>
      <c r="AL1596" s="0" t="n">
        <v>1.51</v>
      </c>
    </row>
    <row r="1597">
      <c r="A1597" s="0" t="inlineStr">
        <is>
          <t>[청라동]</t>
        </is>
      </c>
      <c r="B1597" s="0" t="n">
        <v>27085</v>
      </c>
      <c r="C1597" s="0" t="n">
        <v>2</v>
      </c>
      <c r="D1597" s="0" t="inlineStr">
        <is>
          <t>호반베르디움(A20블록)</t>
        </is>
      </c>
      <c r="E1597" s="0" t="inlineStr">
        <is>
          <t>2011.10.</t>
        </is>
      </c>
      <c r="F1597" s="0" t="n">
        <v>620</v>
      </c>
      <c r="G1597" s="0" t="n">
        <v>34.33</v>
      </c>
      <c r="H1597" s="0" t="n">
        <v>113.52</v>
      </c>
      <c r="I1597" s="0" t="n">
        <v>25.66</v>
      </c>
      <c r="J1597" s="0" t="n">
        <v>84.83</v>
      </c>
      <c r="K1597" s="0" t="n">
        <v>168</v>
      </c>
      <c r="T1597" s="0" t="n">
        <v>3</v>
      </c>
      <c r="U1597" s="0" t="n">
        <v>2</v>
      </c>
      <c r="V1597" s="0" t="inlineStr">
        <is>
          <t>계단식</t>
        </is>
      </c>
      <c r="W1597" s="0" t="inlineStr">
        <is>
          <t>113C</t>
        </is>
      </c>
      <c r="X1597" s="0" t="n">
        <v>30</v>
      </c>
      <c r="Y1597" s="0" t="n">
        <v>28</v>
      </c>
      <c r="Z1597" s="0" t="inlineStr">
        <is>
          <t>https://new.land.naver.com/complexes/27085?tab=detail&amp;rf=Y</t>
        </is>
      </c>
      <c r="AA1597" s="0" t="inlineStr">
        <is>
          <t>인천시 서구 청라동 168-1</t>
        </is>
      </c>
      <c r="AB1597" s="0" t="inlineStr">
        <is>
          <t>인천시</t>
        </is>
      </c>
      <c r="AC1597" s="0" t="inlineStr">
        <is>
          <t>서구</t>
        </is>
      </c>
      <c r="AD1597" s="0" t="inlineStr">
        <is>
          <t>청라동</t>
        </is>
      </c>
      <c r="AG1597" s="0" t="inlineStr">
        <is>
          <t>인천시 서구 청라에메랄드로76번길 14</t>
        </is>
      </c>
      <c r="AH1597" s="0" t="n">
        <v>0</v>
      </c>
      <c r="AI1597" s="0" t="n">
        <v>179</v>
      </c>
      <c r="AJ1597" s="0" t="n">
        <v>9</v>
      </c>
      <c r="AK1597" s="0" t="n">
        <v>935</v>
      </c>
      <c r="AL1597" s="0" t="n">
        <v>1.51</v>
      </c>
    </row>
    <row r="1598">
      <c r="A1598" s="0" t="inlineStr">
        <is>
          <t>[청라동]</t>
        </is>
      </c>
      <c r="B1598" s="0" t="n">
        <v>27085</v>
      </c>
      <c r="C1598" s="0" t="n">
        <v>3</v>
      </c>
      <c r="D1598" s="0" t="inlineStr">
        <is>
          <t>호반베르디움(A20블록)</t>
        </is>
      </c>
      <c r="E1598" s="0" t="inlineStr">
        <is>
          <t>2011.10.</t>
        </is>
      </c>
      <c r="F1598" s="0" t="n">
        <v>620</v>
      </c>
      <c r="G1598" s="0" t="n">
        <v>34.53</v>
      </c>
      <c r="H1598" s="0" t="n">
        <v>114.18</v>
      </c>
      <c r="I1598" s="0" t="n">
        <v>25.66</v>
      </c>
      <c r="J1598" s="0" t="n">
        <v>84.84999999999999</v>
      </c>
      <c r="K1598" s="0" t="n">
        <v>226</v>
      </c>
      <c r="T1598" s="0" t="n">
        <v>3</v>
      </c>
      <c r="U1598" s="0" t="n">
        <v>2</v>
      </c>
      <c r="V1598" s="0" t="inlineStr">
        <is>
          <t>계단식</t>
        </is>
      </c>
      <c r="W1598" s="0" t="inlineStr">
        <is>
          <t>114A</t>
        </is>
      </c>
      <c r="X1598" s="0" t="n">
        <v>30</v>
      </c>
      <c r="Y1598" s="0" t="n">
        <v>28</v>
      </c>
      <c r="Z1598" s="0" t="inlineStr">
        <is>
          <t>https://new.land.naver.com/complexes/27085?tab=detail&amp;rf=Y</t>
        </is>
      </c>
      <c r="AA1598" s="0" t="inlineStr">
        <is>
          <t>인천시 서구 청라동 168-1</t>
        </is>
      </c>
      <c r="AB1598" s="0" t="inlineStr">
        <is>
          <t>인천시</t>
        </is>
      </c>
      <c r="AC1598" s="0" t="inlineStr">
        <is>
          <t>서구</t>
        </is>
      </c>
      <c r="AD1598" s="0" t="inlineStr">
        <is>
          <t>청라동</t>
        </is>
      </c>
      <c r="AG1598" s="0" t="inlineStr">
        <is>
          <t>인천시 서구 청라에메랄드로76번길 14</t>
        </is>
      </c>
      <c r="AH1598" s="0" t="n">
        <v>0</v>
      </c>
      <c r="AI1598" s="0" t="n">
        <v>179</v>
      </c>
      <c r="AJ1598" s="0" t="n">
        <v>9</v>
      </c>
      <c r="AK1598" s="0" t="n">
        <v>935</v>
      </c>
      <c r="AL1598" s="0" t="n">
        <v>1.51</v>
      </c>
    </row>
    <row r="1599">
      <c r="A1599" s="0" t="inlineStr">
        <is>
          <t>[청라동]</t>
        </is>
      </c>
      <c r="B1599" s="0" t="n">
        <v>27085</v>
      </c>
      <c r="C1599" s="0" t="n">
        <v>4</v>
      </c>
      <c r="D1599" s="0" t="inlineStr">
        <is>
          <t>호반베르디움(A20블록)</t>
        </is>
      </c>
      <c r="E1599" s="0" t="inlineStr">
        <is>
          <t>2011.10.</t>
        </is>
      </c>
      <c r="F1599" s="0" t="n">
        <v>620</v>
      </c>
      <c r="G1599" s="0" t="n">
        <v>34.6</v>
      </c>
      <c r="H1599" s="0" t="n">
        <v>114.41</v>
      </c>
      <c r="I1599" s="0" t="n">
        <v>25.68</v>
      </c>
      <c r="J1599" s="0" t="n">
        <v>84.92</v>
      </c>
      <c r="K1599" s="0" t="n">
        <v>58</v>
      </c>
      <c r="T1599" s="0" t="n">
        <v>3</v>
      </c>
      <c r="U1599" s="0" t="n">
        <v>2</v>
      </c>
      <c r="V1599" s="0" t="inlineStr">
        <is>
          <t>계단식</t>
        </is>
      </c>
      <c r="W1599" s="0" t="inlineStr">
        <is>
          <t>114D</t>
        </is>
      </c>
      <c r="X1599" s="0" t="n">
        <v>30</v>
      </c>
      <c r="Y1599" s="0" t="n">
        <v>28</v>
      </c>
      <c r="Z1599" s="0" t="inlineStr">
        <is>
          <t>https://new.land.naver.com/complexes/27085?tab=detail&amp;rf=Y</t>
        </is>
      </c>
      <c r="AA1599" s="0" t="inlineStr">
        <is>
          <t>인천시 서구 청라동 168-1</t>
        </is>
      </c>
      <c r="AB1599" s="0" t="inlineStr">
        <is>
          <t>인천시</t>
        </is>
      </c>
      <c r="AC1599" s="0" t="inlineStr">
        <is>
          <t>서구</t>
        </is>
      </c>
      <c r="AD1599" s="0" t="inlineStr">
        <is>
          <t>청라동</t>
        </is>
      </c>
      <c r="AG1599" s="0" t="inlineStr">
        <is>
          <t>인천시 서구 청라에메랄드로76번길 14</t>
        </is>
      </c>
      <c r="AH1599" s="0" t="n">
        <v>0</v>
      </c>
      <c r="AI1599" s="0" t="n">
        <v>179</v>
      </c>
      <c r="AJ1599" s="0" t="n">
        <v>9</v>
      </c>
      <c r="AK1599" s="0" t="n">
        <v>935</v>
      </c>
      <c r="AL1599" s="0" t="n">
        <v>1.51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2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8" sqref="A128:XFD12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가정동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루원지웰시티푸르지오</t>
        </is>
      </c>
      <c r="B6" s="16" t="inlineStr">
        <is>
          <t>'22.11.</t>
        </is>
      </c>
      <c r="C6" s="164" t="n">
        <v>778</v>
      </c>
      <c r="D6" s="161" t="n">
        <v>115</v>
      </c>
      <c r="E6" s="163" t="n">
        <v>35</v>
      </c>
      <c r="F6" s="161" t="n">
        <v>84.3</v>
      </c>
      <c r="G6" s="27" t="n">
        <v>26</v>
      </c>
      <c r="H6" s="164" t="n">
        <v>217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114A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루원지웰시티푸르지오</t>
        </is>
      </c>
      <c r="B7" s="16" t="inlineStr">
        <is>
          <t>'22.11.</t>
        </is>
      </c>
      <c r="C7" s="164" t="n">
        <v>778</v>
      </c>
      <c r="D7" s="161" t="n">
        <v>114.5</v>
      </c>
      <c r="E7" s="163" t="n">
        <v>35</v>
      </c>
      <c r="F7" s="161" t="n">
        <v>84.7</v>
      </c>
      <c r="G7" s="27" t="n">
        <v>26</v>
      </c>
      <c r="H7" s="164" t="n">
        <v>130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114F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루원지웰시티푸르지오</t>
        </is>
      </c>
      <c r="B8" s="16" t="inlineStr">
        <is>
          <t>'22.11.</t>
        </is>
      </c>
      <c r="C8" s="164" t="n">
        <v>778</v>
      </c>
      <c r="D8" s="161" t="n">
        <v>114.7</v>
      </c>
      <c r="E8" s="163" t="n">
        <v>35</v>
      </c>
      <c r="F8" s="161" t="n">
        <v>84.8</v>
      </c>
      <c r="G8" s="27" t="n">
        <v>26</v>
      </c>
      <c r="H8" s="164" t="n">
        <v>129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114B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루원지웰시티푸르지오</t>
        </is>
      </c>
      <c r="B9" s="16" t="inlineStr">
        <is>
          <t>'22.11.</t>
        </is>
      </c>
      <c r="C9" s="164" t="n">
        <v>778</v>
      </c>
      <c r="D9" s="161" t="n">
        <v>114.8</v>
      </c>
      <c r="E9" s="163" t="n">
        <v>35</v>
      </c>
      <c r="F9" s="161" t="n">
        <v>84.2</v>
      </c>
      <c r="G9" s="27" t="n">
        <v>25</v>
      </c>
      <c r="H9" s="164" t="n">
        <v>42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114E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루원지웰시티푸르지오</t>
        </is>
      </c>
      <c r="B10" s="16" t="inlineStr">
        <is>
          <t>'22.11.</t>
        </is>
      </c>
      <c r="C10" s="164" t="n">
        <v>778</v>
      </c>
      <c r="D10" s="161" t="n">
        <v>115.8</v>
      </c>
      <c r="E10" s="163" t="n">
        <v>35</v>
      </c>
      <c r="F10" s="161" t="n">
        <v>84.3</v>
      </c>
      <c r="G10" s="27" t="n">
        <v>26</v>
      </c>
      <c r="H10" s="164" t="n">
        <v>132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115C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루원지웰시티푸르지오</t>
        </is>
      </c>
      <c r="B11" s="16" t="inlineStr">
        <is>
          <t>'22.11.</t>
        </is>
      </c>
      <c r="C11" s="164" t="n">
        <v>778</v>
      </c>
      <c r="D11" s="161" t="n">
        <v>115.5</v>
      </c>
      <c r="E11" s="163" t="n">
        <v>35</v>
      </c>
      <c r="F11" s="161" t="n">
        <v>84.8</v>
      </c>
      <c r="G11" s="27" t="n">
        <v>26</v>
      </c>
      <c r="H11" s="164" t="n">
        <v>128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115D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루원시티2차 SK리더스뷰</t>
        </is>
      </c>
      <c r="B13" s="16" t="inlineStr">
        <is>
          <t>'23.01.</t>
        </is>
      </c>
      <c r="C13" s="164" t="n">
        <v>1789</v>
      </c>
      <c r="D13" s="161" t="n">
        <v>102.5</v>
      </c>
      <c r="E13" s="163" t="n">
        <v>31</v>
      </c>
      <c r="F13" s="161" t="n">
        <v>75.8</v>
      </c>
      <c r="G13" s="27" t="n">
        <v>23</v>
      </c>
      <c r="H13" s="164" t="n">
        <v>28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102A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루원시티2차 SK리더스뷰</t>
        </is>
      </c>
      <c r="B14" s="16" t="inlineStr">
        <is>
          <t>'23.01.</t>
        </is>
      </c>
      <c r="C14" s="164" t="n">
        <v>1789</v>
      </c>
      <c r="D14" s="161" t="n">
        <v>102.2</v>
      </c>
      <c r="E14" s="163" t="n">
        <v>31</v>
      </c>
      <c r="F14" s="161" t="n">
        <v>75.59999999999999</v>
      </c>
      <c r="G14" s="27" t="n">
        <v>23</v>
      </c>
      <c r="H14" s="164" t="n">
        <v>28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102B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루원시티2차 SK리더스뷰</t>
        </is>
      </c>
      <c r="B15" s="16" t="inlineStr">
        <is>
          <t>'23.01.</t>
        </is>
      </c>
      <c r="C15" s="164" t="n">
        <v>1789</v>
      </c>
      <c r="D15" s="161" t="n">
        <v>113.9</v>
      </c>
      <c r="E15" s="163" t="n">
        <v>34</v>
      </c>
      <c r="F15" s="161" t="n">
        <v>84.7</v>
      </c>
      <c r="G15" s="27" t="n">
        <v>26</v>
      </c>
      <c r="H15" s="164" t="n">
        <v>591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113A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루원시티2차 SK리더스뷰</t>
        </is>
      </c>
      <c r="B16" s="16" t="inlineStr">
        <is>
          <t>'23.01.</t>
        </is>
      </c>
      <c r="C16" s="164" t="n">
        <v>1789</v>
      </c>
      <c r="D16" s="161" t="n">
        <v>114.4</v>
      </c>
      <c r="E16" s="163" t="n">
        <v>35</v>
      </c>
      <c r="F16" s="161" t="n">
        <v>84.90000000000001</v>
      </c>
      <c r="G16" s="27" t="n">
        <v>26</v>
      </c>
      <c r="H16" s="164" t="n">
        <v>458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114D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루원시티2차 SK리더스뷰</t>
        </is>
      </c>
      <c r="B17" s="16" t="inlineStr">
        <is>
          <t>'23.01.</t>
        </is>
      </c>
      <c r="C17" s="164" t="n">
        <v>1789</v>
      </c>
      <c r="D17" s="161" t="n">
        <v>114.9</v>
      </c>
      <c r="E17" s="163" t="n">
        <v>35</v>
      </c>
      <c r="F17" s="161" t="n">
        <v>84.7</v>
      </c>
      <c r="G17" s="27" t="n">
        <v>26</v>
      </c>
      <c r="H17" s="164" t="n">
        <v>197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114E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루원시티2차 SK리더스뷰</t>
        </is>
      </c>
      <c r="B18" s="16" t="inlineStr">
        <is>
          <t>'23.01.</t>
        </is>
      </c>
      <c r="C18" s="164" t="n">
        <v>1789</v>
      </c>
      <c r="D18" s="161" t="n">
        <v>115.2</v>
      </c>
      <c r="E18" s="163" t="n">
        <v>35</v>
      </c>
      <c r="F18" s="161" t="n">
        <v>85</v>
      </c>
      <c r="G18" s="27" t="n">
        <v>26</v>
      </c>
      <c r="H18" s="164" t="n">
        <v>365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115C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루원시티2차 SK리더스뷰</t>
        </is>
      </c>
      <c r="B19" s="16" t="inlineStr">
        <is>
          <t>'23.01.</t>
        </is>
      </c>
      <c r="C19" s="164" t="n">
        <v>1789</v>
      </c>
      <c r="D19" s="161" t="n">
        <v>115</v>
      </c>
      <c r="E19" s="163" t="n">
        <v>35</v>
      </c>
      <c r="F19" s="161" t="n">
        <v>85</v>
      </c>
      <c r="G19" s="27" t="n">
        <v>26</v>
      </c>
      <c r="H19" s="164" t="n">
        <v>122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115B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루원더퍼스트</t>
        </is>
      </c>
      <c r="B21" s="16" t="inlineStr">
        <is>
          <t>'19.10.</t>
        </is>
      </c>
      <c r="C21" s="164" t="n">
        <v>616</v>
      </c>
      <c r="D21" s="161" t="n">
        <v>82.8</v>
      </c>
      <c r="E21" s="163" t="n">
        <v>25</v>
      </c>
      <c r="F21" s="161" t="n">
        <v>60</v>
      </c>
      <c r="G21" s="27" t="n">
        <v>18</v>
      </c>
      <c r="H21" s="164" t="n">
        <v>228</v>
      </c>
      <c r="I21" s="165" t="n">
        <v>50000</v>
      </c>
      <c r="J21" s="165" t="inlineStr">
        <is>
          <t>고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82A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루원더퍼스트</t>
        </is>
      </c>
      <c r="B22" s="16" t="inlineStr">
        <is>
          <t>'19.10.</t>
        </is>
      </c>
      <c r="C22" s="164" t="n">
        <v>616</v>
      </c>
      <c r="D22" s="161" t="n">
        <v>82.09999999999999</v>
      </c>
      <c r="E22" s="163" t="n">
        <v>25</v>
      </c>
      <c r="F22" s="161" t="n">
        <v>59.5</v>
      </c>
      <c r="G22" s="27" t="n">
        <v>18</v>
      </c>
      <c r="H22" s="164" t="n">
        <v>50</v>
      </c>
      <c r="I22" s="165" t="n">
        <v>53500</v>
      </c>
      <c r="J22" s="165" t="inlineStr">
        <is>
          <t>고</t>
        </is>
      </c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82C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루원더퍼스트</t>
        </is>
      </c>
      <c r="B23" s="16" t="inlineStr">
        <is>
          <t>'19.10.</t>
        </is>
      </c>
      <c r="C23" s="164" t="n">
        <v>616</v>
      </c>
      <c r="D23" s="161" t="n">
        <v>82.7</v>
      </c>
      <c r="E23" s="163" t="n">
        <v>25</v>
      </c>
      <c r="F23" s="161" t="n">
        <v>59.9</v>
      </c>
      <c r="G23" s="27" t="n">
        <v>18</v>
      </c>
      <c r="H23" s="164" t="n">
        <v>22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82B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루원더퍼스트</t>
        </is>
      </c>
      <c r="B24" s="16" t="inlineStr">
        <is>
          <t>'19.10.</t>
        </is>
      </c>
      <c r="C24" s="164" t="n">
        <v>616</v>
      </c>
      <c r="D24" s="161" t="n">
        <v>103.4</v>
      </c>
      <c r="E24" s="163" t="n">
        <v>31</v>
      </c>
      <c r="F24" s="161" t="n">
        <v>74.90000000000001</v>
      </c>
      <c r="G24" s="27" t="n">
        <v>23</v>
      </c>
      <c r="H24" s="164" t="n">
        <v>122</v>
      </c>
      <c r="I24" s="165" t="n">
        <v>60000</v>
      </c>
      <c r="J24" s="165" t="inlineStr">
        <is>
          <t>중</t>
        </is>
      </c>
      <c r="K24" s="165" t="n">
        <v>35000</v>
      </c>
      <c r="L24" s="165" t="inlineStr">
        <is>
          <t>고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103A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루원더퍼스트</t>
        </is>
      </c>
      <c r="B25" s="16" t="inlineStr">
        <is>
          <t>'19.10.</t>
        </is>
      </c>
      <c r="C25" s="164" t="n">
        <v>616</v>
      </c>
      <c r="D25" s="161" t="n">
        <v>103.4</v>
      </c>
      <c r="E25" s="163" t="n">
        <v>31</v>
      </c>
      <c r="F25" s="161" t="n">
        <v>74.90000000000001</v>
      </c>
      <c r="G25" s="27" t="n">
        <v>23</v>
      </c>
      <c r="H25" s="164" t="n">
        <v>59</v>
      </c>
      <c r="I25" s="165" t="n">
        <v>60000</v>
      </c>
      <c r="J25" s="165" t="inlineStr">
        <is>
          <t>중</t>
        </is>
      </c>
      <c r="K25" s="165" t="n">
        <v>35000</v>
      </c>
      <c r="L25" s="165" t="inlineStr">
        <is>
          <t>고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103B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루원더퍼스트</t>
        </is>
      </c>
      <c r="B26" s="16" t="inlineStr">
        <is>
          <t>'19.10.</t>
        </is>
      </c>
      <c r="C26" s="164" t="n">
        <v>616</v>
      </c>
      <c r="D26" s="161" t="n">
        <v>117.3</v>
      </c>
      <c r="E26" s="163" t="n">
        <v>35</v>
      </c>
      <c r="F26" s="161" t="n">
        <v>84.90000000000001</v>
      </c>
      <c r="G26" s="27" t="n">
        <v>26</v>
      </c>
      <c r="H26" s="164" t="n">
        <v>135</v>
      </c>
      <c r="I26" s="165" t="n">
        <v>65000</v>
      </c>
      <c r="J26" s="165" t="inlineStr">
        <is>
          <t>5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117A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하나2차</t>
        </is>
      </c>
      <c r="B28" s="16" t="inlineStr">
        <is>
          <t>'92.02.</t>
        </is>
      </c>
      <c r="C28" s="164" t="n">
        <v>495</v>
      </c>
      <c r="D28" s="161" t="n">
        <v>70.2</v>
      </c>
      <c r="E28" s="163" t="n">
        <v>21</v>
      </c>
      <c r="F28" s="161" t="n">
        <v>56.1</v>
      </c>
      <c r="G28" s="27" t="n">
        <v>17</v>
      </c>
      <c r="H28" s="164" t="n">
        <v>60</v>
      </c>
      <c r="I28" s="165" t="n">
        <v>21000</v>
      </c>
      <c r="J28" s="165" t="inlineStr">
        <is>
          <t>중</t>
        </is>
      </c>
      <c r="K28" s="165" t="n">
        <v>16000</v>
      </c>
      <c r="L28" s="165" t="inlineStr">
        <is>
          <t>7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복</t>
        </is>
      </c>
      <c r="T28" s="8" t="n">
        <v>70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하나2차</t>
        </is>
      </c>
      <c r="B29" s="16" t="inlineStr">
        <is>
          <t>'92.02.</t>
        </is>
      </c>
      <c r="C29" s="164" t="n">
        <v>495</v>
      </c>
      <c r="D29" s="161" t="n">
        <v>73.90000000000001</v>
      </c>
      <c r="E29" s="163" t="n">
        <v>22</v>
      </c>
      <c r="F29" s="161" t="n">
        <v>59.8</v>
      </c>
      <c r="G29" s="27" t="n">
        <v>18</v>
      </c>
      <c r="H29" s="164" t="n">
        <v>60</v>
      </c>
      <c r="I29" s="165" t="n">
        <v>22000</v>
      </c>
      <c r="J29" s="165" t="inlineStr">
        <is>
          <t>9</t>
        </is>
      </c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2</v>
      </c>
      <c r="R29" s="113" t="n">
        <v>1</v>
      </c>
      <c r="S29" s="113" t="inlineStr">
        <is>
          <t>복</t>
        </is>
      </c>
      <c r="T29" s="8" t="n">
        <v>73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하나2차</t>
        </is>
      </c>
      <c r="B30" s="16" t="inlineStr">
        <is>
          <t>'92.02.</t>
        </is>
      </c>
      <c r="C30" s="164" t="n">
        <v>495</v>
      </c>
      <c r="D30" s="161" t="n">
        <v>82.40000000000001</v>
      </c>
      <c r="E30" s="163" t="n">
        <v>25</v>
      </c>
      <c r="F30" s="161" t="n">
        <v>57.8</v>
      </c>
      <c r="G30" s="27" t="n">
        <v>17</v>
      </c>
      <c r="H30" s="164" t="n">
        <v>120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2</v>
      </c>
      <c r="R30" s="113" t="n">
        <v>1</v>
      </c>
      <c r="S30" s="113" t="inlineStr">
        <is>
          <t>복</t>
        </is>
      </c>
      <c r="T30" s="8" t="n">
        <v>82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하나2차</t>
        </is>
      </c>
      <c r="B31" s="16" t="inlineStr">
        <is>
          <t>'92.02.</t>
        </is>
      </c>
      <c r="C31" s="164" t="n">
        <v>495</v>
      </c>
      <c r="D31" s="161" t="n">
        <v>87.3</v>
      </c>
      <c r="E31" s="163" t="n">
        <v>26</v>
      </c>
      <c r="F31" s="161" t="n">
        <v>69.5</v>
      </c>
      <c r="G31" s="27" t="n">
        <v>21</v>
      </c>
      <c r="H31" s="164" t="n">
        <v>45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1</v>
      </c>
      <c r="S31" s="113" t="inlineStr">
        <is>
          <t>복</t>
        </is>
      </c>
      <c r="T31" s="8" t="n">
        <v>87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하나2차</t>
        </is>
      </c>
      <c r="B32" s="16" t="inlineStr">
        <is>
          <t>'92.02.</t>
        </is>
      </c>
      <c r="C32" s="164" t="n">
        <v>495</v>
      </c>
      <c r="D32" s="161" t="n">
        <v>96.09999999999999</v>
      </c>
      <c r="E32" s="163" t="n">
        <v>29</v>
      </c>
      <c r="F32" s="161" t="n">
        <v>80.2</v>
      </c>
      <c r="G32" s="27" t="n">
        <v>24</v>
      </c>
      <c r="H32" s="164" t="n">
        <v>90</v>
      </c>
      <c r="I32" s="165" t="n">
        <v>28000</v>
      </c>
      <c r="J32" s="165" t="inlineStr">
        <is>
          <t>8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1</v>
      </c>
      <c r="S32" s="113" t="inlineStr">
        <is>
          <t>계</t>
        </is>
      </c>
      <c r="T32" s="8" t="n">
        <v>96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하나2차</t>
        </is>
      </c>
      <c r="B33" s="16" t="inlineStr">
        <is>
          <t>'92.02.</t>
        </is>
      </c>
      <c r="C33" s="164" t="n">
        <v>495</v>
      </c>
      <c r="D33" s="161" t="n">
        <v>102.2</v>
      </c>
      <c r="E33" s="163" t="n">
        <v>31</v>
      </c>
      <c r="F33" s="161" t="n">
        <v>85</v>
      </c>
      <c r="G33" s="27" t="n">
        <v>26</v>
      </c>
      <c r="H33" s="164" t="n">
        <v>120</v>
      </c>
      <c r="I33" s="165" t="n">
        <v>30000</v>
      </c>
      <c r="J33" s="165" t="inlineStr">
        <is>
          <t>15</t>
        </is>
      </c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n">
        <v>102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1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2" t="n"/>
      <c r="P34" s="162" t="n"/>
      <c r="Q34" s="163" t="n"/>
      <c r="R34" s="163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0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동우2차</t>
        </is>
      </c>
      <c r="B35" s="16" t="inlineStr">
        <is>
          <t>'88.02.</t>
        </is>
      </c>
      <c r="C35" s="164" t="n">
        <v>252</v>
      </c>
      <c r="D35" s="161" t="n">
        <v>46.3</v>
      </c>
      <c r="E35" s="163" t="n">
        <v>14</v>
      </c>
      <c r="F35" s="161" t="n">
        <v>40.9</v>
      </c>
      <c r="G35" s="27" t="n">
        <v>12</v>
      </c>
      <c r="H35" s="164" t="n">
        <v>180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2</v>
      </c>
      <c r="R35" s="113" t="n">
        <v>1</v>
      </c>
      <c r="S35" s="113" t="inlineStr">
        <is>
          <t>계</t>
        </is>
      </c>
      <c r="T35" s="8" t="n">
        <v>46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동우2차</t>
        </is>
      </c>
      <c r="B36" s="16" t="inlineStr">
        <is>
          <t>'88.02.</t>
        </is>
      </c>
      <c r="C36" s="164" t="n">
        <v>252</v>
      </c>
      <c r="D36" s="161" t="n">
        <v>51.4</v>
      </c>
      <c r="E36" s="163" t="n">
        <v>16</v>
      </c>
      <c r="F36" s="161" t="n">
        <v>46</v>
      </c>
      <c r="G36" s="27" t="n">
        <v>14</v>
      </c>
      <c r="H36" s="164" t="n">
        <v>72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2</v>
      </c>
      <c r="R36" s="113" t="n">
        <v>1</v>
      </c>
      <c r="S36" s="113" t="inlineStr">
        <is>
          <t>계</t>
        </is>
      </c>
      <c r="T36" s="8" t="n">
        <v>51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LH웨스턴블루힐</t>
        </is>
      </c>
      <c r="B38" s="16" t="inlineStr">
        <is>
          <t>'15.09.</t>
        </is>
      </c>
      <c r="C38" s="164" t="n">
        <v>1243</v>
      </c>
      <c r="D38" s="161" t="n">
        <v>83.40000000000001</v>
      </c>
      <c r="E38" s="163" t="n">
        <v>25</v>
      </c>
      <c r="F38" s="161" t="n">
        <v>60</v>
      </c>
      <c r="G38" s="27" t="n">
        <v>18</v>
      </c>
      <c r="H38" s="164" t="n">
        <v>152</v>
      </c>
      <c r="I38" s="165" t="n">
        <v>49000</v>
      </c>
      <c r="J38" s="165" t="inlineStr">
        <is>
          <t>중</t>
        </is>
      </c>
      <c r="K38" s="165" t="n">
        <v>29000</v>
      </c>
      <c r="L38" s="165" t="inlineStr">
        <is>
          <t>중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83A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LH웨스턴블루힐</t>
        </is>
      </c>
      <c r="B39" s="16" t="inlineStr">
        <is>
          <t>'15.09.</t>
        </is>
      </c>
      <c r="C39" s="164" t="n">
        <v>1243</v>
      </c>
      <c r="D39" s="161" t="n">
        <v>83.40000000000001</v>
      </c>
      <c r="E39" s="163" t="n">
        <v>25</v>
      </c>
      <c r="F39" s="161" t="n">
        <v>60</v>
      </c>
      <c r="G39" s="27" t="n">
        <v>18</v>
      </c>
      <c r="H39" s="164" t="n">
        <v>24</v>
      </c>
      <c r="I39" s="165" t="n">
        <v>49000</v>
      </c>
      <c r="J39" s="165" t="inlineStr">
        <is>
          <t>중</t>
        </is>
      </c>
      <c r="K39" s="165" t="n">
        <v>29000</v>
      </c>
      <c r="L39" s="165" t="inlineStr">
        <is>
          <t>중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83B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LH웨스턴블루힐</t>
        </is>
      </c>
      <c r="B40" s="16" t="inlineStr">
        <is>
          <t>'15.09.</t>
        </is>
      </c>
      <c r="C40" s="164" t="n">
        <v>1243</v>
      </c>
      <c r="D40" s="161" t="n">
        <v>104.3</v>
      </c>
      <c r="E40" s="163" t="n">
        <v>32</v>
      </c>
      <c r="F40" s="161" t="n">
        <v>75</v>
      </c>
      <c r="G40" s="27" t="n">
        <v>23</v>
      </c>
      <c r="H40" s="164" t="n">
        <v>121</v>
      </c>
      <c r="I40" s="165" t="n">
        <v>51000</v>
      </c>
      <c r="J40" s="165" t="inlineStr">
        <is>
          <t>고</t>
        </is>
      </c>
      <c r="K40" s="165" t="n">
        <v>29000</v>
      </c>
      <c r="L40" s="165" t="inlineStr">
        <is>
          <t>고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104B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LH웨스턴블루힐</t>
        </is>
      </c>
      <c r="B41" s="16" t="inlineStr">
        <is>
          <t>'15.09.</t>
        </is>
      </c>
      <c r="C41" s="164" t="n">
        <v>1243</v>
      </c>
      <c r="D41" s="161" t="n">
        <v>104.3</v>
      </c>
      <c r="E41" s="163" t="n">
        <v>32</v>
      </c>
      <c r="F41" s="161" t="n">
        <v>75</v>
      </c>
      <c r="G41" s="27" t="n">
        <v>23</v>
      </c>
      <c r="H41" s="164" t="n">
        <v>114</v>
      </c>
      <c r="I41" s="165" t="n">
        <v>51000</v>
      </c>
      <c r="J41" s="165" t="inlineStr">
        <is>
          <t>고</t>
        </is>
      </c>
      <c r="K41" s="165" t="n">
        <v>29000</v>
      </c>
      <c r="L41" s="165" t="inlineStr">
        <is>
          <t>고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104A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LH웨스턴블루힐</t>
        </is>
      </c>
      <c r="B42" s="16" t="inlineStr">
        <is>
          <t>'15.09.</t>
        </is>
      </c>
      <c r="C42" s="164" t="n">
        <v>1243</v>
      </c>
      <c r="D42" s="161" t="n">
        <v>118.2</v>
      </c>
      <c r="E42" s="163" t="n">
        <v>36</v>
      </c>
      <c r="F42" s="161" t="n">
        <v>85</v>
      </c>
      <c r="G42" s="27" t="n">
        <v>26</v>
      </c>
      <c r="H42" s="164" t="n">
        <v>202</v>
      </c>
      <c r="I42" s="165" t="n">
        <v>59000</v>
      </c>
      <c r="J42" s="165" t="inlineStr">
        <is>
          <t>중</t>
        </is>
      </c>
      <c r="K42" s="165" t="n">
        <v>33000</v>
      </c>
      <c r="L42" s="165" t="inlineStr">
        <is>
          <t>고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118A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LH웨스턴블루힐</t>
        </is>
      </c>
      <c r="B43" s="16" t="inlineStr">
        <is>
          <t>'15.09.</t>
        </is>
      </c>
      <c r="C43" s="164" t="n">
        <v>1243</v>
      </c>
      <c r="D43" s="161" t="n">
        <v>118.2</v>
      </c>
      <c r="E43" s="163" t="n">
        <v>36</v>
      </c>
      <c r="F43" s="161" t="n">
        <v>85</v>
      </c>
      <c r="G43" s="27" t="n">
        <v>26</v>
      </c>
      <c r="H43" s="164" t="n">
        <v>26</v>
      </c>
      <c r="I43" s="165" t="n">
        <v>59000</v>
      </c>
      <c r="J43" s="165" t="inlineStr">
        <is>
          <t>중</t>
        </is>
      </c>
      <c r="K43" s="165" t="n">
        <v>33000</v>
      </c>
      <c r="L43" s="165" t="inlineStr">
        <is>
          <t>고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118C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LH웨스턴블루힐</t>
        </is>
      </c>
      <c r="B44" s="16" t="inlineStr">
        <is>
          <t>'15.09.</t>
        </is>
      </c>
      <c r="C44" s="164" t="n">
        <v>1243</v>
      </c>
      <c r="D44" s="161" t="n">
        <v>118.2</v>
      </c>
      <c r="E44" s="163" t="n">
        <v>36</v>
      </c>
      <c r="F44" s="161" t="n">
        <v>85</v>
      </c>
      <c r="G44" s="27" t="n">
        <v>26</v>
      </c>
      <c r="H44" s="164" t="n">
        <v>23</v>
      </c>
      <c r="I44" s="165" t="n">
        <v>59000</v>
      </c>
      <c r="J44" s="165" t="inlineStr">
        <is>
          <t>중</t>
        </is>
      </c>
      <c r="K44" s="165" t="n">
        <v>33000</v>
      </c>
      <c r="L44" s="165" t="inlineStr">
        <is>
          <t>고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118B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포레나루원시티</t>
        </is>
      </c>
      <c r="B46" s="16" t="inlineStr">
        <is>
          <t>'22.12.</t>
        </is>
      </c>
      <c r="C46" s="164" t="n">
        <v>1128</v>
      </c>
      <c r="D46" s="161" t="n">
        <v>78.90000000000001</v>
      </c>
      <c r="E46" s="163" t="n">
        <v>24</v>
      </c>
      <c r="F46" s="161" t="n">
        <v>59.8</v>
      </c>
      <c r="G46" s="27" t="n">
        <v>18</v>
      </c>
      <c r="H46" s="164" t="n">
        <v>44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78B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포레나루원시티</t>
        </is>
      </c>
      <c r="B47" s="16" t="inlineStr">
        <is>
          <t>'22.12.</t>
        </is>
      </c>
      <c r="C47" s="164" t="n">
        <v>1128</v>
      </c>
      <c r="D47" s="161" t="n">
        <v>78.5</v>
      </c>
      <c r="E47" s="163" t="n">
        <v>24</v>
      </c>
      <c r="F47" s="161" t="n">
        <v>59.3</v>
      </c>
      <c r="G47" s="27" t="n">
        <v>18</v>
      </c>
      <c r="H47" s="164" t="n">
        <v>19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78C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포레나루원시티</t>
        </is>
      </c>
      <c r="B48" s="16" t="inlineStr">
        <is>
          <t>'22.12.</t>
        </is>
      </c>
      <c r="C48" s="164" t="n">
        <v>1128</v>
      </c>
      <c r="D48" s="161" t="n">
        <v>79</v>
      </c>
      <c r="E48" s="163" t="n">
        <v>24</v>
      </c>
      <c r="F48" s="161" t="n">
        <v>59.8</v>
      </c>
      <c r="G48" s="27" t="n">
        <v>18</v>
      </c>
      <c r="H48" s="164" t="n">
        <v>285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79A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포레나루원시티</t>
        </is>
      </c>
      <c r="B49" s="16" t="inlineStr">
        <is>
          <t>'22.12.</t>
        </is>
      </c>
      <c r="C49" s="164" t="n">
        <v>1128</v>
      </c>
      <c r="D49" s="161" t="n">
        <v>101.8</v>
      </c>
      <c r="E49" s="163" t="n">
        <v>31</v>
      </c>
      <c r="F49" s="161" t="n">
        <v>76.7</v>
      </c>
      <c r="G49" s="27" t="n">
        <v>23</v>
      </c>
      <c r="H49" s="164" t="n">
        <v>115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n">
        <v>101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포레나루원시티</t>
        </is>
      </c>
      <c r="B50" s="16" t="inlineStr">
        <is>
          <t>'22.12.</t>
        </is>
      </c>
      <c r="C50" s="164" t="n">
        <v>1128</v>
      </c>
      <c r="D50" s="161" t="n">
        <v>110.4</v>
      </c>
      <c r="E50" s="163" t="n">
        <v>33</v>
      </c>
      <c r="F50" s="161" t="n">
        <v>84.59999999999999</v>
      </c>
      <c r="G50" s="27" t="n">
        <v>26</v>
      </c>
      <c r="H50" s="164" t="n">
        <v>334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110A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포레나루원시티</t>
        </is>
      </c>
      <c r="B51" s="16" t="inlineStr">
        <is>
          <t>'22.12.</t>
        </is>
      </c>
      <c r="C51" s="164" t="n">
        <v>1128</v>
      </c>
      <c r="D51" s="161" t="n">
        <v>111.5</v>
      </c>
      <c r="E51" s="163" t="n">
        <v>34</v>
      </c>
      <c r="F51" s="161" t="n">
        <v>84.59999999999999</v>
      </c>
      <c r="G51" s="27" t="n">
        <v>26</v>
      </c>
      <c r="H51" s="164" t="n">
        <v>172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111C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포레나루원시티</t>
        </is>
      </c>
      <c r="B52" s="16" t="inlineStr">
        <is>
          <t>'22.12.</t>
        </is>
      </c>
      <c r="C52" s="164" t="n">
        <v>1128</v>
      </c>
      <c r="D52" s="161" t="n">
        <v>111</v>
      </c>
      <c r="E52" s="163" t="n">
        <v>34</v>
      </c>
      <c r="F52" s="161" t="n">
        <v>84.7</v>
      </c>
      <c r="G52" s="27" t="n">
        <v>26</v>
      </c>
      <c r="H52" s="164" t="n">
        <v>155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111B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포레나루원시티</t>
        </is>
      </c>
      <c r="B53" s="16" t="inlineStr">
        <is>
          <t>'22.12.</t>
        </is>
      </c>
      <c r="C53" s="164" t="n">
        <v>1128</v>
      </c>
      <c r="D53" s="161" t="n">
        <v>116.3</v>
      </c>
      <c r="E53" s="163" t="n">
        <v>35</v>
      </c>
      <c r="F53" s="161" t="n">
        <v>84.90000000000001</v>
      </c>
      <c r="G53" s="27" t="n">
        <v>26</v>
      </c>
      <c r="H53" s="164" t="n">
        <v>4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116D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n"/>
      <c r="B54" s="113" t="n"/>
      <c r="C54" s="10" t="n"/>
      <c r="D54" s="13" t="n"/>
      <c r="E54" s="20" t="n"/>
      <c r="F54" s="161" t="n"/>
      <c r="G54" s="13" t="n"/>
      <c r="H54" s="13" t="n"/>
      <c r="I54" s="13" t="n"/>
      <c r="J54" s="13" t="n"/>
      <c r="K54" s="13" t="n"/>
      <c r="L54" s="13" t="n"/>
      <c r="M54" s="13" t="n"/>
      <c r="N54" s="13" t="n"/>
      <c r="O54" s="162" t="n"/>
      <c r="P54" s="162" t="n"/>
      <c r="Q54" s="163" t="n"/>
      <c r="R54" s="163" t="n"/>
      <c r="S54" s="13" t="n"/>
      <c r="T54" s="70" t="n"/>
      <c r="U54" s="13" t="n"/>
      <c r="W54" s="107">
        <f>$A$4&amp;" "&amp;A55&amp;"("&amp;B55&amp;","&amp;C55&amp;"^)"</f>
        <v/>
      </c>
      <c r="X54" s="108" t="n"/>
      <c r="Y54" s="108" t="n"/>
      <c r="Z54" s="108" t="n"/>
      <c r="AA54" s="108" t="n"/>
      <c r="AB54" s="108" t="n"/>
      <c r="AC54" s="108" t="n"/>
      <c r="AD54" s="108" t="n"/>
      <c r="AE54" s="108" t="n"/>
      <c r="AF54" s="109" t="n"/>
      <c r="AH54" s="36">
        <f>IF(A54="","",A54)</f>
        <v/>
      </c>
      <c r="AI54" s="160">
        <f>IF(E54="","",E54)</f>
        <v/>
      </c>
      <c r="AJ54" s="113" t="n"/>
      <c r="AK54" s="113" t="n"/>
      <c r="AL54" s="113" t="n"/>
      <c r="AM54" s="113" t="n"/>
      <c r="AN54" s="113" t="n"/>
      <c r="AO54" s="113" t="n"/>
      <c r="AP54" s="113" t="n"/>
      <c r="AQ54" s="113" t="n"/>
      <c r="AR54" s="113" t="n"/>
      <c r="AS54" s="113" t="n"/>
      <c r="AT54" s="113" t="n"/>
      <c r="AU54" s="113" t="n"/>
      <c r="AV54" s="113" t="n"/>
    </row>
    <row r="55">
      <c r="A55" s="13" t="inlineStr">
        <is>
          <t>하나1차</t>
        </is>
      </c>
      <c r="B55" s="16" t="inlineStr">
        <is>
          <t>'89.11.</t>
        </is>
      </c>
      <c r="C55" s="164" t="n">
        <v>252</v>
      </c>
      <c r="D55" s="161" t="n">
        <v>75.5</v>
      </c>
      <c r="E55" s="163" t="n">
        <v>23</v>
      </c>
      <c r="F55" s="161" t="n">
        <v>59.6</v>
      </c>
      <c r="G55" s="27" t="n">
        <v>18</v>
      </c>
      <c r="H55" s="164" t="n">
        <v>156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1</v>
      </c>
      <c r="S55" s="113" t="inlineStr">
        <is>
          <t>계</t>
        </is>
      </c>
      <c r="T55" s="8" t="n">
        <v>75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하나1차</t>
        </is>
      </c>
      <c r="B56" s="16" t="inlineStr">
        <is>
          <t>'89.11.</t>
        </is>
      </c>
      <c r="C56" s="164" t="n">
        <v>252</v>
      </c>
      <c r="D56" s="161" t="n">
        <v>103.7</v>
      </c>
      <c r="E56" s="163" t="n">
        <v>31</v>
      </c>
      <c r="F56" s="161" t="n">
        <v>83.8</v>
      </c>
      <c r="G56" s="27" t="n">
        <v>25</v>
      </c>
      <c r="H56" s="164" t="n">
        <v>96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1</v>
      </c>
      <c r="S56" s="113" t="inlineStr">
        <is>
          <t>계</t>
        </is>
      </c>
      <c r="T56" s="8" t="n">
        <v>103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n"/>
      <c r="B57" s="113" t="n"/>
      <c r="C57" s="10" t="n"/>
      <c r="D57" s="13" t="n"/>
      <c r="E57" s="20" t="n"/>
      <c r="F57" s="161" t="n"/>
      <c r="G57" s="13" t="n"/>
      <c r="H57" s="13" t="n"/>
      <c r="I57" s="13" t="n"/>
      <c r="J57" s="13" t="n"/>
      <c r="K57" s="13" t="n"/>
      <c r="L57" s="13" t="n"/>
      <c r="M57" s="13" t="n"/>
      <c r="N57" s="13" t="n"/>
      <c r="O57" s="162" t="n"/>
      <c r="P57" s="162" t="n"/>
      <c r="Q57" s="163" t="n"/>
      <c r="R57" s="163" t="n"/>
      <c r="S57" s="13" t="n"/>
      <c r="T57" s="70" t="n"/>
      <c r="U57" s="13" t="n"/>
      <c r="W57" s="107">
        <f>$A$4&amp;" "&amp;A58&amp;"("&amp;B58&amp;","&amp;C58&amp;"^)"</f>
        <v/>
      </c>
      <c r="X57" s="108" t="n"/>
      <c r="Y57" s="108" t="n"/>
      <c r="Z57" s="108" t="n"/>
      <c r="AA57" s="108" t="n"/>
      <c r="AB57" s="108" t="n"/>
      <c r="AC57" s="108" t="n"/>
      <c r="AD57" s="108" t="n"/>
      <c r="AE57" s="108" t="n"/>
      <c r="AF57" s="109" t="n"/>
      <c r="AH57" s="36">
        <f>IF(A57="","",A57)</f>
        <v/>
      </c>
      <c r="AI57" s="160">
        <f>IF(E57="","",E57)</f>
        <v/>
      </c>
      <c r="AJ57" s="113" t="n"/>
      <c r="AK57" s="113" t="n"/>
      <c r="AL57" s="113" t="n"/>
      <c r="AM57" s="113" t="n"/>
      <c r="AN57" s="113" t="n"/>
      <c r="AO57" s="113" t="n"/>
      <c r="AP57" s="113" t="n"/>
      <c r="AQ57" s="113" t="n"/>
      <c r="AR57" s="113" t="n"/>
      <c r="AS57" s="113" t="n"/>
      <c r="AT57" s="113" t="n"/>
      <c r="AU57" s="113" t="n"/>
      <c r="AV57" s="113" t="n"/>
    </row>
    <row r="58">
      <c r="A58" s="13" t="inlineStr">
        <is>
          <t>한국</t>
        </is>
      </c>
      <c r="B58" s="16" t="inlineStr">
        <is>
          <t>'92.12.</t>
        </is>
      </c>
      <c r="C58" s="164" t="n">
        <v>620</v>
      </c>
      <c r="D58" s="161" t="n">
        <v>102</v>
      </c>
      <c r="E58" s="163" t="n">
        <v>31</v>
      </c>
      <c r="F58" s="161" t="n">
        <v>84.09999999999999</v>
      </c>
      <c r="G58" s="27" t="n">
        <v>25</v>
      </c>
      <c r="H58" s="164" t="n">
        <v>464</v>
      </c>
      <c r="I58" s="165" t="n">
        <v>32000</v>
      </c>
      <c r="J58" s="165" t="inlineStr">
        <is>
          <t>고</t>
        </is>
      </c>
      <c r="K58" s="165" t="n">
        <v>25000</v>
      </c>
      <c r="L58" s="165" t="inlineStr">
        <is>
          <t>6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n">
        <v>102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한국</t>
        </is>
      </c>
      <c r="B59" s="16" t="inlineStr">
        <is>
          <t>'92.12.</t>
        </is>
      </c>
      <c r="C59" s="164" t="n">
        <v>620</v>
      </c>
      <c r="D59" s="161" t="n">
        <v>148.2</v>
      </c>
      <c r="E59" s="163" t="n">
        <v>45</v>
      </c>
      <c r="F59" s="161" t="n">
        <v>126.8</v>
      </c>
      <c r="G59" s="27" t="n">
        <v>38</v>
      </c>
      <c r="H59" s="164" t="n">
        <v>116</v>
      </c>
      <c r="I59" s="165" t="n">
        <v>40000</v>
      </c>
      <c r="J59" s="165" t="inlineStr">
        <is>
          <t>19</t>
        </is>
      </c>
      <c r="K59" s="165" t="n">
        <v>26000</v>
      </c>
      <c r="L59" s="165" t="inlineStr">
        <is>
          <t>14</t>
        </is>
      </c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n">
        <v>148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한국</t>
        </is>
      </c>
      <c r="B60" s="16" t="inlineStr">
        <is>
          <t>'92.12.</t>
        </is>
      </c>
      <c r="C60" s="164" t="n">
        <v>620</v>
      </c>
      <c r="D60" s="161" t="n">
        <v>177.3</v>
      </c>
      <c r="E60" s="163" t="n">
        <v>54</v>
      </c>
      <c r="F60" s="161" t="n">
        <v>153</v>
      </c>
      <c r="G60" s="27" t="n">
        <v>46</v>
      </c>
      <c r="H60" s="164" t="n">
        <v>40</v>
      </c>
      <c r="I60" s="165" t="n">
        <v>40000</v>
      </c>
      <c r="J60" s="165" t="inlineStr">
        <is>
          <t>7</t>
        </is>
      </c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4</v>
      </c>
      <c r="R60" s="113" t="n">
        <v>2</v>
      </c>
      <c r="S60" s="113" t="inlineStr">
        <is>
          <t>계</t>
        </is>
      </c>
      <c r="T60" s="8" t="n">
        <v>177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n"/>
      <c r="B61" s="113" t="n"/>
      <c r="C61" s="10" t="n"/>
      <c r="D61" s="13" t="n"/>
      <c r="E61" s="20" t="n"/>
      <c r="F61" s="161" t="n"/>
      <c r="G61" s="13" t="n"/>
      <c r="H61" s="13" t="n"/>
      <c r="I61" s="13" t="n"/>
      <c r="J61" s="13" t="n"/>
      <c r="K61" s="13" t="n"/>
      <c r="L61" s="13" t="n"/>
      <c r="M61" s="13" t="n"/>
      <c r="N61" s="13" t="n"/>
      <c r="O61" s="162" t="n"/>
      <c r="P61" s="162" t="n"/>
      <c r="Q61" s="163" t="n"/>
      <c r="R61" s="163" t="n"/>
      <c r="S61" s="13" t="n"/>
      <c r="T61" s="70" t="n"/>
      <c r="U61" s="13" t="n"/>
      <c r="W61" s="107">
        <f>$A$4&amp;" "&amp;A62&amp;"("&amp;B62&amp;","&amp;C62&amp;"^)"</f>
        <v/>
      </c>
      <c r="X61" s="108" t="n"/>
      <c r="Y61" s="108" t="n"/>
      <c r="Z61" s="108" t="n"/>
      <c r="AA61" s="108" t="n"/>
      <c r="AB61" s="108" t="n"/>
      <c r="AC61" s="108" t="n"/>
      <c r="AD61" s="108" t="n"/>
      <c r="AE61" s="108" t="n"/>
      <c r="AF61" s="109" t="n"/>
      <c r="AH61" s="36">
        <f>IF(A61="","",A61)</f>
        <v/>
      </c>
      <c r="AI61" s="160">
        <f>IF(E61="","",E61)</f>
        <v/>
      </c>
      <c r="AJ61" s="113" t="n"/>
      <c r="AK61" s="113" t="n"/>
      <c r="AL61" s="113" t="n"/>
      <c r="AM61" s="113" t="n"/>
      <c r="AN61" s="113" t="n"/>
      <c r="AO61" s="113" t="n"/>
      <c r="AP61" s="113" t="n"/>
      <c r="AQ61" s="113" t="n"/>
      <c r="AR61" s="113" t="n"/>
      <c r="AS61" s="113" t="n"/>
      <c r="AT61" s="113" t="n"/>
      <c r="AU61" s="113" t="n"/>
      <c r="AV61" s="113" t="n"/>
    </row>
    <row r="62">
      <c r="A62" s="13" t="inlineStr">
        <is>
          <t>한신그랜드힐빌리지</t>
        </is>
      </c>
      <c r="B62" s="16" t="inlineStr">
        <is>
          <t>'92.02.</t>
        </is>
      </c>
      <c r="C62" s="164" t="n">
        <v>920</v>
      </c>
      <c r="D62" s="161" t="n">
        <v>84.7</v>
      </c>
      <c r="E62" s="163" t="n">
        <v>26</v>
      </c>
      <c r="F62" s="161" t="n">
        <v>72</v>
      </c>
      <c r="G62" s="27" t="n">
        <v>22</v>
      </c>
      <c r="H62" s="164" t="n">
        <v>456</v>
      </c>
      <c r="I62" s="165" t="n">
        <v>45000</v>
      </c>
      <c r="J62" s="165" t="inlineStr">
        <is>
          <t>고</t>
        </is>
      </c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1</v>
      </c>
      <c r="S62" s="113" t="inlineStr">
        <is>
          <t>계</t>
        </is>
      </c>
      <c r="T62" s="8" t="n">
        <v>84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한신그랜드힐빌리지</t>
        </is>
      </c>
      <c r="B63" s="16" t="inlineStr">
        <is>
          <t>'92.02.</t>
        </is>
      </c>
      <c r="C63" s="164" t="n">
        <v>920</v>
      </c>
      <c r="D63" s="161" t="n">
        <v>98.3</v>
      </c>
      <c r="E63" s="163" t="n">
        <v>30</v>
      </c>
      <c r="F63" s="161" t="n">
        <v>84.5</v>
      </c>
      <c r="G63" s="27" t="n">
        <v>26</v>
      </c>
      <c r="H63" s="164" t="n">
        <v>448</v>
      </c>
      <c r="I63" s="165" t="n">
        <v>47000</v>
      </c>
      <c r="J63" s="165" t="inlineStr">
        <is>
          <t>고</t>
        </is>
      </c>
      <c r="K63" s="165" t="n">
        <v>20000</v>
      </c>
      <c r="L63" s="165" t="inlineStr">
        <is>
          <t>고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n">
        <v>98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한신그랜드힐빌리지</t>
        </is>
      </c>
      <c r="B64" s="16" t="inlineStr">
        <is>
          <t>'92.02.</t>
        </is>
      </c>
      <c r="C64" s="164" t="n">
        <v>920</v>
      </c>
      <c r="D64" s="161" t="n">
        <v>106.3</v>
      </c>
      <c r="E64" s="163" t="n">
        <v>32</v>
      </c>
      <c r="F64" s="161" t="n">
        <v>91.8</v>
      </c>
      <c r="G64" s="27" t="n">
        <v>28</v>
      </c>
      <c r="H64" s="164" t="n">
        <v>16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n">
        <v>106</v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n"/>
      <c r="B65" s="113" t="n"/>
      <c r="C65" s="10" t="n"/>
      <c r="D65" s="13" t="n"/>
      <c r="E65" s="20" t="n"/>
      <c r="F65" s="161" t="n"/>
      <c r="G65" s="13" t="n"/>
      <c r="H65" s="13" t="n"/>
      <c r="I65" s="13" t="n"/>
      <c r="J65" s="13" t="n"/>
      <c r="K65" s="13" t="n"/>
      <c r="L65" s="13" t="n"/>
      <c r="M65" s="13" t="n"/>
      <c r="N65" s="13" t="n"/>
      <c r="O65" s="162" t="n"/>
      <c r="P65" s="162" t="n"/>
      <c r="Q65" s="163" t="n"/>
      <c r="R65" s="163" t="n"/>
      <c r="S65" s="13" t="n"/>
      <c r="T65" s="70" t="n"/>
      <c r="U65" s="13" t="n"/>
      <c r="W65" s="107">
        <f>$A$4&amp;" "&amp;A66&amp;"("&amp;B66&amp;","&amp;C66&amp;"^)"</f>
        <v/>
      </c>
      <c r="X65" s="108" t="n"/>
      <c r="Y65" s="108" t="n"/>
      <c r="Z65" s="108" t="n"/>
      <c r="AA65" s="108" t="n"/>
      <c r="AB65" s="108" t="n"/>
      <c r="AC65" s="108" t="n"/>
      <c r="AD65" s="108" t="n"/>
      <c r="AE65" s="108" t="n"/>
      <c r="AF65" s="109" t="n"/>
      <c r="AH65" s="36">
        <f>IF(A65="","",A65)</f>
        <v/>
      </c>
      <c r="AI65" s="160">
        <f>IF(E65="","",E65)</f>
        <v/>
      </c>
      <c r="AJ65" s="113" t="n"/>
      <c r="AK65" s="113" t="n"/>
      <c r="AL65" s="113" t="n"/>
      <c r="AM65" s="113" t="n"/>
      <c r="AN65" s="113" t="n"/>
      <c r="AO65" s="113" t="n"/>
      <c r="AP65" s="113" t="n"/>
      <c r="AQ65" s="113" t="n"/>
      <c r="AR65" s="113" t="n"/>
      <c r="AS65" s="113" t="n"/>
      <c r="AT65" s="113" t="n"/>
      <c r="AU65" s="113" t="n"/>
      <c r="AV65" s="113" t="n"/>
    </row>
    <row r="66">
      <c r="A66" s="13" t="inlineStr">
        <is>
          <t>루원제일풍경채</t>
        </is>
      </c>
      <c r="B66" s="16" t="inlineStr">
        <is>
          <t>'18.01.</t>
        </is>
      </c>
      <c r="C66" s="164" t="n">
        <v>900</v>
      </c>
      <c r="D66" s="161" t="n">
        <v>99.2</v>
      </c>
      <c r="E66" s="163" t="n">
        <v>30</v>
      </c>
      <c r="F66" s="161" t="n">
        <v>74.8</v>
      </c>
      <c r="G66" s="27" t="n">
        <v>23</v>
      </c>
      <c r="H66" s="164" t="n">
        <v>314</v>
      </c>
      <c r="I66" s="165" t="n">
        <v>58000</v>
      </c>
      <c r="J66" s="165" t="inlineStr">
        <is>
          <t>중</t>
        </is>
      </c>
      <c r="K66" s="165" t="n">
        <v>35000</v>
      </c>
      <c r="L66" s="165" t="inlineStr">
        <is>
          <t>중</t>
        </is>
      </c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99A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루원제일풍경채</t>
        </is>
      </c>
      <c r="B67" s="16" t="inlineStr">
        <is>
          <t>'18.01.</t>
        </is>
      </c>
      <c r="C67" s="164" t="n">
        <v>900</v>
      </c>
      <c r="D67" s="161" t="n">
        <v>99.09999999999999</v>
      </c>
      <c r="E67" s="163" t="n">
        <v>30</v>
      </c>
      <c r="F67" s="161" t="n">
        <v>74.59999999999999</v>
      </c>
      <c r="G67" s="27" t="n">
        <v>23</v>
      </c>
      <c r="H67" s="164" t="n">
        <v>100</v>
      </c>
      <c r="I67" s="165" t="n">
        <v>68000</v>
      </c>
      <c r="J67" s="165" t="inlineStr">
        <is>
          <t>중</t>
        </is>
      </c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99B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루원제일풍경채</t>
        </is>
      </c>
      <c r="B68" s="16" t="inlineStr">
        <is>
          <t>'18.01.</t>
        </is>
      </c>
      <c r="C68" s="164" t="n">
        <v>900</v>
      </c>
      <c r="D68" s="161" t="n">
        <v>110.8</v>
      </c>
      <c r="E68" s="163" t="n">
        <v>34</v>
      </c>
      <c r="F68" s="161" t="n">
        <v>84.40000000000001</v>
      </c>
      <c r="G68" s="27" t="n">
        <v>26</v>
      </c>
      <c r="H68" s="164" t="n">
        <v>150</v>
      </c>
      <c r="I68" s="165" t="n">
        <v>66000</v>
      </c>
      <c r="J68" s="165" t="inlineStr">
        <is>
          <t>15</t>
        </is>
      </c>
      <c r="K68" s="165" t="n">
        <v>33000</v>
      </c>
      <c r="L68" s="165" t="inlineStr">
        <is>
          <t>고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110B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루원제일풍경채</t>
        </is>
      </c>
      <c r="B69" s="16" t="inlineStr">
        <is>
          <t>'18.01.</t>
        </is>
      </c>
      <c r="C69" s="164" t="n">
        <v>900</v>
      </c>
      <c r="D69" s="161" t="n">
        <v>111</v>
      </c>
      <c r="E69" s="163" t="n">
        <v>34</v>
      </c>
      <c r="F69" s="161" t="n">
        <v>84.3</v>
      </c>
      <c r="G69" s="27" t="n">
        <v>25</v>
      </c>
      <c r="H69" s="164" t="n">
        <v>336</v>
      </c>
      <c r="I69" s="165" t="n">
        <v>65000</v>
      </c>
      <c r="J69" s="165" t="inlineStr">
        <is>
          <t>고</t>
        </is>
      </c>
      <c r="K69" s="165" t="n">
        <v>36000</v>
      </c>
      <c r="L69" s="165" t="inlineStr">
        <is>
          <t>중</t>
        </is>
      </c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111A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n"/>
      <c r="B70" s="113" t="n"/>
      <c r="C70" s="10" t="n"/>
      <c r="D70" s="13" t="n"/>
      <c r="E70" s="20" t="n"/>
      <c r="F70" s="161" t="n"/>
      <c r="G70" s="13" t="n"/>
      <c r="H70" s="13" t="n"/>
      <c r="I70" s="13" t="n"/>
      <c r="J70" s="13" t="n"/>
      <c r="K70" s="13" t="n"/>
      <c r="L70" s="13" t="n"/>
      <c r="M70" s="13" t="n"/>
      <c r="N70" s="13" t="n"/>
      <c r="O70" s="162" t="n"/>
      <c r="P70" s="162" t="n"/>
      <c r="Q70" s="163" t="n"/>
      <c r="R70" s="163" t="n"/>
      <c r="S70" s="13" t="n"/>
      <c r="T70" s="70" t="n"/>
      <c r="U70" s="13" t="n"/>
      <c r="W70" s="107">
        <f>$A$4&amp;" "&amp;A71&amp;"("&amp;B71&amp;","&amp;C71&amp;"^)"</f>
        <v/>
      </c>
      <c r="X70" s="108" t="n"/>
      <c r="Y70" s="108" t="n"/>
      <c r="Z70" s="108" t="n"/>
      <c r="AA70" s="108" t="n"/>
      <c r="AB70" s="108" t="n"/>
      <c r="AC70" s="108" t="n"/>
      <c r="AD70" s="108" t="n"/>
      <c r="AE70" s="108" t="n"/>
      <c r="AF70" s="109" t="n"/>
      <c r="AH70" s="36">
        <f>IF(A70="","",A70)</f>
        <v/>
      </c>
      <c r="AI70" s="160">
        <f>IF(E70="","",E70)</f>
        <v/>
      </c>
      <c r="AJ70" s="113" t="n"/>
      <c r="AK70" s="113" t="n"/>
      <c r="AL70" s="113" t="n"/>
      <c r="AM70" s="113" t="n"/>
      <c r="AN70" s="113" t="n"/>
      <c r="AO70" s="113" t="n"/>
      <c r="AP70" s="113" t="n"/>
      <c r="AQ70" s="113" t="n"/>
      <c r="AR70" s="113" t="n"/>
      <c r="AS70" s="113" t="n"/>
      <c r="AT70" s="113" t="n"/>
      <c r="AU70" s="113" t="n"/>
      <c r="AV70" s="113" t="n"/>
    </row>
    <row r="71">
      <c r="A71" s="13" t="inlineStr">
        <is>
          <t>루원호반베르디움더센트럴</t>
        </is>
      </c>
      <c r="B71" s="16" t="inlineStr">
        <is>
          <t>'18.01.</t>
        </is>
      </c>
      <c r="C71" s="164" t="n">
        <v>980</v>
      </c>
      <c r="D71" s="161" t="n">
        <v>99.59999999999999</v>
      </c>
      <c r="E71" s="163" t="n">
        <v>30</v>
      </c>
      <c r="F71" s="161" t="n">
        <v>73.2</v>
      </c>
      <c r="G71" s="27" t="n">
        <v>22</v>
      </c>
      <c r="H71" s="164" t="n">
        <v>443</v>
      </c>
      <c r="I71" s="165" t="n">
        <v>60000</v>
      </c>
      <c r="J71" s="165" t="inlineStr">
        <is>
          <t>고</t>
        </is>
      </c>
      <c r="K71" s="165" t="n">
        <v>35000</v>
      </c>
      <c r="L71" s="165" t="inlineStr">
        <is>
          <t>중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99A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루원호반베르디움더센트럴</t>
        </is>
      </c>
      <c r="B72" s="16" t="inlineStr">
        <is>
          <t>'18.01.</t>
        </is>
      </c>
      <c r="C72" s="164" t="n">
        <v>980</v>
      </c>
      <c r="D72" s="161" t="n">
        <v>100.9</v>
      </c>
      <c r="E72" s="163" t="n">
        <v>31</v>
      </c>
      <c r="F72" s="161" t="n">
        <v>73.2</v>
      </c>
      <c r="G72" s="27" t="n">
        <v>22</v>
      </c>
      <c r="H72" s="164" t="n">
        <v>150</v>
      </c>
      <c r="I72" s="165" t="n">
        <v>63000</v>
      </c>
      <c r="J72" s="165" t="inlineStr">
        <is>
          <t>중</t>
        </is>
      </c>
      <c r="K72" s="165" t="n">
        <v>34000</v>
      </c>
      <c r="L72" s="165" t="inlineStr">
        <is>
          <t>중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100B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루원호반베르디움더센트럴</t>
        </is>
      </c>
      <c r="B73" s="16" t="inlineStr">
        <is>
          <t>'18.01.</t>
        </is>
      </c>
      <c r="C73" s="164" t="n">
        <v>980</v>
      </c>
      <c r="D73" s="161" t="n">
        <v>112.7</v>
      </c>
      <c r="E73" s="163" t="n">
        <v>34</v>
      </c>
      <c r="F73" s="161" t="n">
        <v>84.59999999999999</v>
      </c>
      <c r="G73" s="27" t="n">
        <v>26</v>
      </c>
      <c r="H73" s="164" t="n">
        <v>387</v>
      </c>
      <c r="I73" s="165" t="n">
        <v>65000</v>
      </c>
      <c r="J73" s="165" t="inlineStr">
        <is>
          <t>중</t>
        </is>
      </c>
      <c r="K73" s="165" t="n">
        <v>36000</v>
      </c>
      <c r="L73" s="165" t="inlineStr">
        <is>
          <t>고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4</v>
      </c>
      <c r="R73" s="113" t="n">
        <v>2</v>
      </c>
      <c r="S73" s="113" t="inlineStr">
        <is>
          <t>계</t>
        </is>
      </c>
      <c r="T73" s="8" t="n">
        <v>112</v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n"/>
      <c r="B74" s="113" t="n"/>
      <c r="C74" s="10" t="n"/>
      <c r="D74" s="13" t="n"/>
      <c r="E74" s="20" t="n"/>
      <c r="F74" s="161" t="n"/>
      <c r="G74" s="13" t="n"/>
      <c r="H74" s="13" t="n"/>
      <c r="I74" s="13" t="n"/>
      <c r="J74" s="13" t="n"/>
      <c r="K74" s="13" t="n"/>
      <c r="L74" s="13" t="n"/>
      <c r="M74" s="13" t="n"/>
      <c r="N74" s="13" t="n"/>
      <c r="O74" s="162" t="n"/>
      <c r="P74" s="162" t="n"/>
      <c r="Q74" s="163" t="n"/>
      <c r="R74" s="163" t="n"/>
      <c r="S74" s="13" t="n"/>
      <c r="T74" s="70" t="n"/>
      <c r="U74" s="13" t="n"/>
      <c r="W74" s="107">
        <f>$A$4&amp;" "&amp;A75&amp;"("&amp;B75&amp;","&amp;C75&amp;"^)"</f>
        <v/>
      </c>
      <c r="X74" s="108" t="n"/>
      <c r="Y74" s="108" t="n"/>
      <c r="Z74" s="108" t="n"/>
      <c r="AA74" s="108" t="n"/>
      <c r="AB74" s="108" t="n"/>
      <c r="AC74" s="108" t="n"/>
      <c r="AD74" s="108" t="n"/>
      <c r="AE74" s="108" t="n"/>
      <c r="AF74" s="109" t="n"/>
      <c r="AH74" s="36">
        <f>IF(A74="","",A74)</f>
        <v/>
      </c>
      <c r="AI74" s="160">
        <f>IF(E74="","",E74)</f>
        <v/>
      </c>
      <c r="AJ74" s="113" t="n"/>
      <c r="AK74" s="113" t="n"/>
      <c r="AL74" s="113" t="n"/>
      <c r="AM74" s="113" t="n"/>
      <c r="AN74" s="113" t="n"/>
      <c r="AO74" s="113" t="n"/>
      <c r="AP74" s="113" t="n"/>
      <c r="AQ74" s="113" t="n"/>
      <c r="AR74" s="113" t="n"/>
      <c r="AS74" s="113" t="n"/>
      <c r="AT74" s="113" t="n"/>
      <c r="AU74" s="113" t="n"/>
      <c r="AV74" s="113" t="n"/>
    </row>
    <row r="75">
      <c r="A75" s="13" t="inlineStr">
        <is>
          <t>루원시티대성베르힐Ⅱ 더센트로</t>
        </is>
      </c>
      <c r="B75" s="16" t="inlineStr">
        <is>
          <t>'23.04.</t>
        </is>
      </c>
      <c r="C75" s="164" t="n">
        <v>1059</v>
      </c>
      <c r="D75" s="161" t="n">
        <v>110.6</v>
      </c>
      <c r="E75" s="163" t="n">
        <v>33</v>
      </c>
      <c r="F75" s="161" t="n">
        <v>84.8</v>
      </c>
      <c r="G75" s="27" t="n">
        <v>26</v>
      </c>
      <c r="H75" s="164" t="n">
        <v>403</v>
      </c>
      <c r="I75" s="165" t="n"/>
      <c r="J75" s="165" t="n"/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110A</t>
        </is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루원시티대성베르힐Ⅱ 더센트로</t>
        </is>
      </c>
      <c r="B76" s="16" t="inlineStr">
        <is>
          <t>'23.04.</t>
        </is>
      </c>
      <c r="C76" s="164" t="n">
        <v>1059</v>
      </c>
      <c r="D76" s="161" t="n">
        <v>110.8</v>
      </c>
      <c r="E76" s="163" t="n">
        <v>34</v>
      </c>
      <c r="F76" s="161" t="n">
        <v>84.7</v>
      </c>
      <c r="G76" s="27" t="n">
        <v>26</v>
      </c>
      <c r="H76" s="164" t="n">
        <v>305</v>
      </c>
      <c r="I76" s="165" t="n"/>
      <c r="J76" s="165" t="n"/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110C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루원시티대성베르힐Ⅱ 더센트로</t>
        </is>
      </c>
      <c r="B77" s="16" t="inlineStr">
        <is>
          <t>'23.04.</t>
        </is>
      </c>
      <c r="C77" s="164" t="n">
        <v>1059</v>
      </c>
      <c r="D77" s="161" t="n">
        <v>111.5</v>
      </c>
      <c r="E77" s="163" t="n">
        <v>34</v>
      </c>
      <c r="F77" s="161" t="n">
        <v>84.59999999999999</v>
      </c>
      <c r="G77" s="27" t="n">
        <v>26</v>
      </c>
      <c r="H77" s="164" t="n">
        <v>161</v>
      </c>
      <c r="I77" s="165" t="n"/>
      <c r="J77" s="165" t="n"/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111B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루원시티대성베르힐Ⅱ 더센트로</t>
        </is>
      </c>
      <c r="B78" s="16" t="inlineStr">
        <is>
          <t>'23.04.</t>
        </is>
      </c>
      <c r="C78" s="164" t="n">
        <v>1059</v>
      </c>
      <c r="D78" s="161" t="n">
        <v>132.3</v>
      </c>
      <c r="E78" s="163" t="n">
        <v>40</v>
      </c>
      <c r="F78" s="161" t="n">
        <v>101.5</v>
      </c>
      <c r="G78" s="27" t="n">
        <v>31</v>
      </c>
      <c r="H78" s="164" t="n">
        <v>164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n">
        <v>132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루원시티대성베르힐Ⅱ 더센트로</t>
        </is>
      </c>
      <c r="B79" s="16" t="inlineStr">
        <is>
          <t>'23.04.</t>
        </is>
      </c>
      <c r="C79" s="164" t="n">
        <v>1059</v>
      </c>
      <c r="D79" s="161" t="n">
        <v>209.8</v>
      </c>
      <c r="E79" s="163" t="n">
        <v>63</v>
      </c>
      <c r="F79" s="161" t="n">
        <v>159.1</v>
      </c>
      <c r="G79" s="27" t="n">
        <v>48</v>
      </c>
      <c r="H79" s="164" t="n">
        <v>10</v>
      </c>
      <c r="I79" s="165" t="n"/>
      <c r="J79" s="165" t="n"/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6</v>
      </c>
      <c r="R79" s="113" t="n">
        <v>4</v>
      </c>
      <c r="S79" s="113" t="inlineStr">
        <is>
          <t>계</t>
        </is>
      </c>
      <c r="T79" s="8" t="inlineStr">
        <is>
          <t>209A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루원시티대성베르힐Ⅱ 더센트로</t>
        </is>
      </c>
      <c r="B80" s="16" t="inlineStr">
        <is>
          <t>'23.04.</t>
        </is>
      </c>
      <c r="C80" s="164" t="n">
        <v>1059</v>
      </c>
      <c r="D80" s="161" t="n">
        <v>210.5</v>
      </c>
      <c r="E80" s="163" t="n">
        <v>64</v>
      </c>
      <c r="F80" s="161" t="n">
        <v>159.2</v>
      </c>
      <c r="G80" s="27" t="n">
        <v>48</v>
      </c>
      <c r="H80" s="164" t="n">
        <v>8</v>
      </c>
      <c r="I80" s="165" t="n"/>
      <c r="J80" s="165" t="n"/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6</v>
      </c>
      <c r="R80" s="113" t="n">
        <v>4</v>
      </c>
      <c r="S80" s="113" t="inlineStr">
        <is>
          <t>계</t>
        </is>
      </c>
      <c r="T80" s="8" t="inlineStr">
        <is>
          <t>210C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루원시티대성베르힐Ⅱ 더센트로</t>
        </is>
      </c>
      <c r="B81" s="16" t="inlineStr">
        <is>
          <t>'23.04.</t>
        </is>
      </c>
      <c r="C81" s="164" t="n">
        <v>1059</v>
      </c>
      <c r="D81" s="161" t="n">
        <v>210.9</v>
      </c>
      <c r="E81" s="163" t="n">
        <v>64</v>
      </c>
      <c r="F81" s="161" t="n">
        <v>159.3</v>
      </c>
      <c r="G81" s="27" t="n">
        <v>48</v>
      </c>
      <c r="H81" s="164" t="n">
        <v>4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4</v>
      </c>
      <c r="R81" s="113" t="n">
        <v>4</v>
      </c>
      <c r="S81" s="113" t="inlineStr">
        <is>
          <t>계</t>
        </is>
      </c>
      <c r="T81" s="8" t="inlineStr">
        <is>
          <t>210B</t>
        </is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루원시티대성베르힐Ⅱ 더센트로</t>
        </is>
      </c>
      <c r="B82" s="16" t="inlineStr">
        <is>
          <t>'23.04.</t>
        </is>
      </c>
      <c r="C82" s="164" t="n">
        <v>1059</v>
      </c>
      <c r="D82" s="161" t="n">
        <v>226</v>
      </c>
      <c r="E82" s="163" t="n">
        <v>68</v>
      </c>
      <c r="F82" s="161" t="n">
        <v>170.3</v>
      </c>
      <c r="G82" s="27" t="n">
        <v>52</v>
      </c>
      <c r="H82" s="164" t="n">
        <v>4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5</v>
      </c>
      <c r="R82" s="113" t="n">
        <v>4</v>
      </c>
      <c r="S82" s="113" t="inlineStr">
        <is>
          <t>계</t>
        </is>
      </c>
      <c r="T82" s="8" t="n">
        <v>225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n"/>
      <c r="B83" s="113" t="n"/>
      <c r="C83" s="10" t="n"/>
      <c r="D83" s="13" t="n"/>
      <c r="E83" s="20" t="n"/>
      <c r="F83" s="161" t="n"/>
      <c r="G83" s="13" t="n"/>
      <c r="H83" s="13" t="n"/>
      <c r="I83" s="13" t="n"/>
      <c r="J83" s="13" t="n"/>
      <c r="K83" s="13" t="n"/>
      <c r="L83" s="13" t="n"/>
      <c r="M83" s="13" t="n"/>
      <c r="N83" s="13" t="n"/>
      <c r="O83" s="162" t="n"/>
      <c r="P83" s="162" t="n"/>
      <c r="Q83" s="163" t="n"/>
      <c r="R83" s="163" t="n"/>
      <c r="S83" s="13" t="n"/>
      <c r="T83" s="70" t="n"/>
      <c r="U83" s="13" t="n"/>
      <c r="W83" s="107">
        <f>$A$4&amp;" "&amp;A84&amp;"("&amp;B84&amp;","&amp;C84&amp;"^)"</f>
        <v/>
      </c>
      <c r="X83" s="108" t="n"/>
      <c r="Y83" s="108" t="n"/>
      <c r="Z83" s="108" t="n"/>
      <c r="AA83" s="108" t="n"/>
      <c r="AB83" s="108" t="n"/>
      <c r="AC83" s="108" t="n"/>
      <c r="AD83" s="108" t="n"/>
      <c r="AE83" s="108" t="n"/>
      <c r="AF83" s="109" t="n"/>
      <c r="AH83" s="36">
        <f>IF(A83="","",A83)</f>
        <v/>
      </c>
      <c r="AI83" s="160">
        <f>IF(E83="","",E83)</f>
        <v/>
      </c>
      <c r="AJ83" s="113" t="n"/>
      <c r="AK83" s="113" t="n"/>
      <c r="AL83" s="113" t="n"/>
      <c r="AM83" s="113" t="n"/>
      <c r="AN83" s="113" t="n"/>
      <c r="AO83" s="113" t="n"/>
      <c r="AP83" s="113" t="n"/>
      <c r="AQ83" s="113" t="n"/>
      <c r="AR83" s="113" t="n"/>
      <c r="AS83" s="113" t="n"/>
      <c r="AT83" s="113" t="n"/>
      <c r="AU83" s="113" t="n"/>
      <c r="AV83" s="113" t="n"/>
    </row>
    <row r="84">
      <c r="A84" s="13" t="inlineStr">
        <is>
          <t>루원시티프라디움</t>
        </is>
      </c>
      <c r="B84" s="16" t="inlineStr">
        <is>
          <t>'18.03.</t>
        </is>
      </c>
      <c r="C84" s="164" t="n">
        <v>1598</v>
      </c>
      <c r="D84" s="161" t="n">
        <v>112.6</v>
      </c>
      <c r="E84" s="163" t="n">
        <v>34</v>
      </c>
      <c r="F84" s="161" t="n">
        <v>85</v>
      </c>
      <c r="G84" s="27" t="n">
        <v>26</v>
      </c>
      <c r="H84" s="164" t="n">
        <v>642</v>
      </c>
      <c r="I84" s="165" t="n">
        <v>65000</v>
      </c>
      <c r="J84" s="165" t="inlineStr">
        <is>
          <t>고</t>
        </is>
      </c>
      <c r="K84" s="165" t="n">
        <v>35000</v>
      </c>
      <c r="L84" s="165" t="inlineStr">
        <is>
          <t>12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112A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루원시티프라디움</t>
        </is>
      </c>
      <c r="B85" s="16" t="inlineStr">
        <is>
          <t>'18.03.</t>
        </is>
      </c>
      <c r="C85" s="164" t="n">
        <v>1598</v>
      </c>
      <c r="D85" s="161" t="n">
        <v>112.7</v>
      </c>
      <c r="E85" s="163" t="n">
        <v>34</v>
      </c>
      <c r="F85" s="161" t="n">
        <v>85</v>
      </c>
      <c r="G85" s="27" t="n">
        <v>26</v>
      </c>
      <c r="H85" s="164" t="n">
        <v>92</v>
      </c>
      <c r="I85" s="165" t="n">
        <v>66000</v>
      </c>
      <c r="J85" s="165" t="inlineStr">
        <is>
          <t>고</t>
        </is>
      </c>
      <c r="K85" s="165" t="n">
        <v>37000</v>
      </c>
      <c r="L85" s="165" t="inlineStr">
        <is>
          <t>고</t>
        </is>
      </c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112D</t>
        </is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루원시티프라디움</t>
        </is>
      </c>
      <c r="B86" s="16" t="inlineStr">
        <is>
          <t>'18.03.</t>
        </is>
      </c>
      <c r="C86" s="164" t="n">
        <v>1598</v>
      </c>
      <c r="D86" s="161" t="n">
        <v>113.5</v>
      </c>
      <c r="E86" s="163" t="n">
        <v>34</v>
      </c>
      <c r="F86" s="161" t="n">
        <v>85</v>
      </c>
      <c r="G86" s="27" t="n">
        <v>26</v>
      </c>
      <c r="H86" s="164" t="n">
        <v>368</v>
      </c>
      <c r="I86" s="165" t="n">
        <v>65000</v>
      </c>
      <c r="J86" s="165" t="inlineStr">
        <is>
          <t>중</t>
        </is>
      </c>
      <c r="K86" s="165" t="n">
        <v>40000</v>
      </c>
      <c r="L86" s="165" t="inlineStr">
        <is>
          <t>고</t>
        </is>
      </c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113B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루원시티프라디움</t>
        </is>
      </c>
      <c r="B87" s="16" t="inlineStr">
        <is>
          <t>'18.03.</t>
        </is>
      </c>
      <c r="C87" s="164" t="n">
        <v>1598</v>
      </c>
      <c r="D87" s="161" t="n">
        <v>113.1</v>
      </c>
      <c r="E87" s="163" t="n">
        <v>34</v>
      </c>
      <c r="F87" s="161" t="n">
        <v>85</v>
      </c>
      <c r="G87" s="27" t="n">
        <v>26</v>
      </c>
      <c r="H87" s="164" t="n">
        <v>368</v>
      </c>
      <c r="I87" s="165" t="n"/>
      <c r="J87" s="165" t="n"/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inlineStr">
        <is>
          <t>113C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루원시티프라디움</t>
        </is>
      </c>
      <c r="B88" s="16" t="inlineStr">
        <is>
          <t>'18.03.</t>
        </is>
      </c>
      <c r="C88" s="164" t="n">
        <v>1598</v>
      </c>
      <c r="D88" s="161" t="n">
        <v>124.5</v>
      </c>
      <c r="E88" s="163" t="n">
        <v>38</v>
      </c>
      <c r="F88" s="161" t="n">
        <v>94.5</v>
      </c>
      <c r="G88" s="27" t="n">
        <v>29</v>
      </c>
      <c r="H88" s="164" t="n">
        <v>28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124TA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루원시티프라디움</t>
        </is>
      </c>
      <c r="B89" s="16" t="inlineStr">
        <is>
          <t>'18.03.</t>
        </is>
      </c>
      <c r="C89" s="164" t="n">
        <v>1598</v>
      </c>
      <c r="D89" s="161" t="n">
        <v>124.2</v>
      </c>
      <c r="E89" s="163" t="n">
        <v>38</v>
      </c>
      <c r="F89" s="161" t="n">
        <v>94</v>
      </c>
      <c r="G89" s="27" t="n">
        <v>28</v>
      </c>
      <c r="H89" s="164" t="n">
        <v>4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124TC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루원시티프라디움</t>
        </is>
      </c>
      <c r="B90" s="16" t="inlineStr">
        <is>
          <t>'18.03.</t>
        </is>
      </c>
      <c r="C90" s="164" t="n">
        <v>1598</v>
      </c>
      <c r="D90" s="161" t="n">
        <v>125.8</v>
      </c>
      <c r="E90" s="163" t="n">
        <v>38</v>
      </c>
      <c r="F90" s="161" t="n">
        <v>95.2</v>
      </c>
      <c r="G90" s="27" t="n">
        <v>29</v>
      </c>
      <c r="H90" s="164" t="n">
        <v>16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125T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루원시티프라디움</t>
        </is>
      </c>
      <c r="B91" s="16" t="inlineStr">
        <is>
          <t>'18.03.</t>
        </is>
      </c>
      <c r="C91" s="164" t="n">
        <v>1598</v>
      </c>
      <c r="D91" s="161" t="n">
        <v>125.5</v>
      </c>
      <c r="E91" s="163" t="n">
        <v>38</v>
      </c>
      <c r="F91" s="161" t="n">
        <v>94.5</v>
      </c>
      <c r="G91" s="27" t="n">
        <v>29</v>
      </c>
      <c r="H91" s="164" t="n">
        <v>16</v>
      </c>
      <c r="I91" s="165" t="n"/>
      <c r="J91" s="165" t="n"/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125TB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루원시티프라디움</t>
        </is>
      </c>
      <c r="B92" s="16" t="inlineStr">
        <is>
          <t>'18.03.</t>
        </is>
      </c>
      <c r="C92" s="164" t="n">
        <v>1598</v>
      </c>
      <c r="D92" s="161" t="n">
        <v>139.9</v>
      </c>
      <c r="E92" s="163" t="n">
        <v>42</v>
      </c>
      <c r="F92" s="161" t="n">
        <v>106.3</v>
      </c>
      <c r="G92" s="27" t="n">
        <v>32</v>
      </c>
      <c r="H92" s="164" t="n">
        <v>16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139TA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루원시티프라디움</t>
        </is>
      </c>
      <c r="B93" s="16" t="inlineStr">
        <is>
          <t>'18.03.</t>
        </is>
      </c>
      <c r="C93" s="164" t="n">
        <v>1598</v>
      </c>
      <c r="D93" s="161" t="n">
        <v>140.2</v>
      </c>
      <c r="E93" s="163" t="n">
        <v>42</v>
      </c>
      <c r="F93" s="161" t="n">
        <v>107.3</v>
      </c>
      <c r="G93" s="27" t="n">
        <v>32</v>
      </c>
      <c r="H93" s="164" t="n">
        <v>28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140TA1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루원시티프라디움</t>
        </is>
      </c>
      <c r="B94" s="16" t="inlineStr">
        <is>
          <t>'18.03.</t>
        </is>
      </c>
      <c r="C94" s="164" t="n">
        <v>1598</v>
      </c>
      <c r="D94" s="161" t="n">
        <v>140.6</v>
      </c>
      <c r="E94" s="163" t="n">
        <v>43</v>
      </c>
      <c r="F94" s="161" t="n">
        <v>107</v>
      </c>
      <c r="G94" s="27" t="n">
        <v>32</v>
      </c>
      <c r="H94" s="164" t="n">
        <v>4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140TB1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루원시티프라디움</t>
        </is>
      </c>
      <c r="B95" s="16" t="inlineStr">
        <is>
          <t>'18.03.</t>
        </is>
      </c>
      <c r="C95" s="164" t="n">
        <v>1598</v>
      </c>
      <c r="D95" s="161" t="n">
        <v>141.4</v>
      </c>
      <c r="E95" s="163" t="n">
        <v>43</v>
      </c>
      <c r="F95" s="161" t="n">
        <v>107.9</v>
      </c>
      <c r="G95" s="27" t="n">
        <v>33</v>
      </c>
      <c r="H95" s="164" t="n">
        <v>16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141TB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n"/>
      <c r="B96" s="113" t="n"/>
      <c r="C96" s="10" t="n"/>
      <c r="D96" s="13" t="n"/>
      <c r="E96" s="20" t="n"/>
      <c r="F96" s="161" t="n"/>
      <c r="G96" s="13" t="n"/>
      <c r="H96" s="13" t="n"/>
      <c r="I96" s="13" t="n"/>
      <c r="J96" s="13" t="n"/>
      <c r="K96" s="13" t="n"/>
      <c r="L96" s="13" t="n"/>
      <c r="M96" s="13" t="n"/>
      <c r="N96" s="13" t="n"/>
      <c r="O96" s="162" t="n"/>
      <c r="P96" s="162" t="n"/>
      <c r="Q96" s="163" t="n"/>
      <c r="R96" s="163" t="n"/>
      <c r="S96" s="13" t="n"/>
      <c r="T96" s="70" t="n"/>
      <c r="U96" s="13" t="n"/>
      <c r="W96" s="107">
        <f>$A$4&amp;" "&amp;A97&amp;"("&amp;B97&amp;","&amp;C97&amp;"^)"</f>
        <v/>
      </c>
      <c r="X96" s="108" t="n"/>
      <c r="Y96" s="108" t="n"/>
      <c r="Z96" s="108" t="n"/>
      <c r="AA96" s="108" t="n"/>
      <c r="AB96" s="108" t="n"/>
      <c r="AC96" s="108" t="n"/>
      <c r="AD96" s="108" t="n"/>
      <c r="AE96" s="108" t="n"/>
      <c r="AF96" s="109" t="n"/>
      <c r="AH96" s="36">
        <f>IF(A96="","",A96)</f>
        <v/>
      </c>
      <c r="AI96" s="160">
        <f>IF(E96="","",E96)</f>
        <v/>
      </c>
      <c r="AJ96" s="113" t="n"/>
      <c r="AK96" s="113" t="n"/>
      <c r="AL96" s="113" t="n"/>
      <c r="AM96" s="113" t="n"/>
      <c r="AN96" s="113" t="n"/>
      <c r="AO96" s="113" t="n"/>
      <c r="AP96" s="113" t="n"/>
      <c r="AQ96" s="113" t="n"/>
      <c r="AR96" s="113" t="n"/>
      <c r="AS96" s="113" t="n"/>
      <c r="AT96" s="113" t="n"/>
      <c r="AU96" s="113" t="n"/>
      <c r="AV96" s="113" t="n"/>
    </row>
    <row r="97">
      <c r="A97" s="13" t="inlineStr">
        <is>
          <t>뉴서울</t>
        </is>
      </c>
      <c r="B97" s="16" t="inlineStr">
        <is>
          <t>'90.12.</t>
        </is>
      </c>
      <c r="C97" s="164" t="n">
        <v>555</v>
      </c>
      <c r="D97" s="161" t="n">
        <v>81.3</v>
      </c>
      <c r="E97" s="163" t="n">
        <v>25</v>
      </c>
      <c r="F97" s="161" t="n">
        <v>57.2</v>
      </c>
      <c r="G97" s="27" t="n">
        <v>17</v>
      </c>
      <c r="H97" s="164" t="n">
        <v>345</v>
      </c>
      <c r="I97" s="165" t="n">
        <v>20000</v>
      </c>
      <c r="J97" s="165" t="inlineStr">
        <is>
          <t>12</t>
        </is>
      </c>
      <c r="K97" s="165" t="n">
        <v>17000</v>
      </c>
      <c r="L97" s="165" t="inlineStr">
        <is>
          <t>14</t>
        </is>
      </c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2</v>
      </c>
      <c r="R97" s="113" t="n">
        <v>1</v>
      </c>
      <c r="S97" s="113" t="inlineStr">
        <is>
          <t>복</t>
        </is>
      </c>
      <c r="T97" s="8" t="n">
        <v>81</v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뉴서울</t>
        </is>
      </c>
      <c r="B98" s="16" t="inlineStr">
        <is>
          <t>'90.12.</t>
        </is>
      </c>
      <c r="C98" s="164" t="n">
        <v>555</v>
      </c>
      <c r="D98" s="161" t="n">
        <v>97.90000000000001</v>
      </c>
      <c r="E98" s="163" t="n">
        <v>30</v>
      </c>
      <c r="F98" s="161" t="n">
        <v>68.90000000000001</v>
      </c>
      <c r="G98" s="27" t="n">
        <v>21</v>
      </c>
      <c r="H98" s="164" t="n">
        <v>150</v>
      </c>
      <c r="I98" s="165" t="n">
        <v>28000</v>
      </c>
      <c r="J98" s="165" t="inlineStr">
        <is>
          <t>중</t>
        </is>
      </c>
      <c r="K98" s="165" t="n">
        <v>22000</v>
      </c>
      <c r="L98" s="165" t="inlineStr">
        <is>
          <t>중</t>
        </is>
      </c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3</v>
      </c>
      <c r="R98" s="113" t="n">
        <v>1</v>
      </c>
      <c r="S98" s="113" t="inlineStr">
        <is>
          <t>복</t>
        </is>
      </c>
      <c r="T98" s="8" t="n">
        <v>97</v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뉴서울</t>
        </is>
      </c>
      <c r="B99" s="16" t="inlineStr">
        <is>
          <t>'90.12.</t>
        </is>
      </c>
      <c r="C99" s="164" t="n">
        <v>555</v>
      </c>
      <c r="D99" s="161" t="n">
        <v>99.59999999999999</v>
      </c>
      <c r="E99" s="163" t="n">
        <v>30</v>
      </c>
      <c r="F99" s="161" t="n">
        <v>70.09999999999999</v>
      </c>
      <c r="G99" s="27" t="n">
        <v>21</v>
      </c>
      <c r="H99" s="164" t="n">
        <v>30</v>
      </c>
      <c r="I99" s="165" t="n">
        <v>27000</v>
      </c>
      <c r="J99" s="165" t="inlineStr">
        <is>
          <t>7</t>
        </is>
      </c>
      <c r="K99" s="165" t="n"/>
      <c r="L99" s="165" t="n"/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2</v>
      </c>
      <c r="R99" s="113" t="n">
        <v>1</v>
      </c>
      <c r="S99" s="113" t="inlineStr">
        <is>
          <t>복</t>
        </is>
      </c>
      <c r="T99" s="8" t="n">
        <v>99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뉴서울</t>
        </is>
      </c>
      <c r="B100" s="16" t="inlineStr">
        <is>
          <t>'90.12.</t>
        </is>
      </c>
      <c r="C100" s="164" t="n">
        <v>555</v>
      </c>
      <c r="D100" s="161" t="n">
        <v>120</v>
      </c>
      <c r="E100" s="163" t="n">
        <v>36</v>
      </c>
      <c r="F100" s="161" t="n">
        <v>84.5</v>
      </c>
      <c r="G100" s="27" t="n">
        <v>26</v>
      </c>
      <c r="H100" s="164" t="n">
        <v>30</v>
      </c>
      <c r="I100" s="165" t="n">
        <v>34000</v>
      </c>
      <c r="J100" s="165" t="inlineStr">
        <is>
          <t>고</t>
        </is>
      </c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복</t>
        </is>
      </c>
      <c r="T100" s="8" t="n">
        <v>120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n"/>
      <c r="B101" s="113" t="n"/>
      <c r="C101" s="10" t="n"/>
      <c r="D101" s="13" t="n"/>
      <c r="E101" s="20" t="n"/>
      <c r="F101" s="161" t="n"/>
      <c r="G101" s="13" t="n"/>
      <c r="H101" s="13" t="n"/>
      <c r="I101" s="13" t="n"/>
      <c r="J101" s="13" t="n"/>
      <c r="K101" s="13" t="n"/>
      <c r="L101" s="13" t="n"/>
      <c r="M101" s="13" t="n"/>
      <c r="N101" s="13" t="n"/>
      <c r="O101" s="162" t="n"/>
      <c r="P101" s="162" t="n"/>
      <c r="Q101" s="163" t="n"/>
      <c r="R101" s="163" t="n"/>
      <c r="S101" s="13" t="n"/>
      <c r="T101" s="70" t="n"/>
      <c r="U101" s="13" t="n"/>
      <c r="W101" s="107">
        <f>$A$4&amp;" "&amp;A102&amp;"("&amp;B102&amp;","&amp;C102&amp;"^)"</f>
        <v/>
      </c>
      <c r="X101" s="108" t="n"/>
      <c r="Y101" s="108" t="n"/>
      <c r="Z101" s="108" t="n"/>
      <c r="AA101" s="108" t="n"/>
      <c r="AB101" s="108" t="n"/>
      <c r="AC101" s="108" t="n"/>
      <c r="AD101" s="108" t="n"/>
      <c r="AE101" s="108" t="n"/>
      <c r="AF101" s="109" t="n"/>
      <c r="AH101" s="36">
        <f>IF(A101="","",A101)</f>
        <v/>
      </c>
      <c r="AI101" s="160">
        <f>IF(E101="","",E101)</f>
        <v/>
      </c>
      <c r="AJ101" s="113" t="n"/>
      <c r="AK101" s="113" t="n"/>
      <c r="AL101" s="113" t="n"/>
      <c r="AM101" s="113" t="n"/>
      <c r="AN101" s="113" t="n"/>
      <c r="AO101" s="113" t="n"/>
      <c r="AP101" s="113" t="n"/>
      <c r="AQ101" s="113" t="n"/>
      <c r="AR101" s="113" t="n"/>
      <c r="AS101" s="113" t="n"/>
      <c r="AT101" s="113" t="n"/>
      <c r="AU101" s="113" t="n"/>
      <c r="AV101" s="113" t="n"/>
    </row>
    <row r="102">
      <c r="A102" s="13" t="inlineStr">
        <is>
          <t>하나3차</t>
        </is>
      </c>
      <c r="B102" s="16" t="inlineStr">
        <is>
          <t>'93.10.</t>
        </is>
      </c>
      <c r="C102" s="164" t="n">
        <v>274</v>
      </c>
      <c r="D102" s="161" t="n">
        <v>82.8</v>
      </c>
      <c r="E102" s="163" t="n">
        <v>25</v>
      </c>
      <c r="F102" s="161" t="n">
        <v>59.9</v>
      </c>
      <c r="G102" s="27" t="n">
        <v>18</v>
      </c>
      <c r="H102" s="164" t="n">
        <v>108</v>
      </c>
      <c r="I102" s="165" t="n"/>
      <c r="J102" s="165" t="n"/>
      <c r="K102" s="165" t="n"/>
      <c r="L102" s="165" t="n"/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1</v>
      </c>
      <c r="S102" s="113" t="inlineStr">
        <is>
          <t>복</t>
        </is>
      </c>
      <c r="T102" s="8" t="n">
        <v>82</v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하나3차</t>
        </is>
      </c>
      <c r="B103" s="16" t="inlineStr">
        <is>
          <t>'93.10.</t>
        </is>
      </c>
      <c r="C103" s="164" t="n">
        <v>274</v>
      </c>
      <c r="D103" s="161" t="n">
        <v>92.09999999999999</v>
      </c>
      <c r="E103" s="163" t="n">
        <v>28</v>
      </c>
      <c r="F103" s="161" t="n">
        <v>66.7</v>
      </c>
      <c r="G103" s="27" t="n">
        <v>20</v>
      </c>
      <c r="H103" s="164" t="n">
        <v>18</v>
      </c>
      <c r="I103" s="165" t="n"/>
      <c r="J103" s="165" t="n"/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1</v>
      </c>
      <c r="S103" s="113" t="inlineStr">
        <is>
          <t>복</t>
        </is>
      </c>
      <c r="T103" s="8" t="n">
        <v>92</v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하나3차</t>
        </is>
      </c>
      <c r="B104" s="16" t="inlineStr">
        <is>
          <t>'93.10.</t>
        </is>
      </c>
      <c r="C104" s="164" t="n">
        <v>274</v>
      </c>
      <c r="D104" s="161" t="n">
        <v>103.3</v>
      </c>
      <c r="E104" s="163" t="n">
        <v>31</v>
      </c>
      <c r="F104" s="161" t="n">
        <v>82.7</v>
      </c>
      <c r="G104" s="27" t="n">
        <v>25</v>
      </c>
      <c r="H104" s="164" t="n">
        <v>70</v>
      </c>
      <c r="I104" s="165" t="n"/>
      <c r="J104" s="165" t="n"/>
      <c r="K104" s="165" t="n"/>
      <c r="L104" s="165" t="n"/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n">
        <v>103</v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하나3차</t>
        </is>
      </c>
      <c r="B105" s="16" t="inlineStr">
        <is>
          <t>'93.10.</t>
        </is>
      </c>
      <c r="C105" s="164" t="n">
        <v>274</v>
      </c>
      <c r="D105" s="161" t="n">
        <v>111.5</v>
      </c>
      <c r="E105" s="163" t="n">
        <v>34</v>
      </c>
      <c r="F105" s="161" t="n">
        <v>80.7</v>
      </c>
      <c r="G105" s="27" t="n">
        <v>24</v>
      </c>
      <c r="H105" s="164" t="n">
        <v>18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복</t>
        </is>
      </c>
      <c r="T105" s="8" t="n">
        <v>111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하나3차</t>
        </is>
      </c>
      <c r="B106" s="16" t="inlineStr">
        <is>
          <t>'93.10.</t>
        </is>
      </c>
      <c r="C106" s="164" t="n">
        <v>274</v>
      </c>
      <c r="D106" s="161" t="n">
        <v>124.8</v>
      </c>
      <c r="E106" s="163" t="n">
        <v>38</v>
      </c>
      <c r="F106" s="161" t="n">
        <v>102</v>
      </c>
      <c r="G106" s="27" t="n">
        <v>31</v>
      </c>
      <c r="H106" s="164" t="n">
        <v>26</v>
      </c>
      <c r="I106" s="165" t="n"/>
      <c r="J106" s="165" t="n"/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4</v>
      </c>
      <c r="R106" s="113" t="n">
        <v>2</v>
      </c>
      <c r="S106" s="113" t="inlineStr">
        <is>
          <t>계</t>
        </is>
      </c>
      <c r="T106" s="8" t="n">
        <v>124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하나3차</t>
        </is>
      </c>
      <c r="B107" s="16" t="inlineStr">
        <is>
          <t>'93.10.</t>
        </is>
      </c>
      <c r="C107" s="164" t="n">
        <v>274</v>
      </c>
      <c r="D107" s="161" t="n">
        <v>158.7</v>
      </c>
      <c r="E107" s="163" t="n">
        <v>48</v>
      </c>
      <c r="F107" s="161" t="n">
        <v>131.6</v>
      </c>
      <c r="G107" s="27" t="n">
        <v>40</v>
      </c>
      <c r="H107" s="164" t="n">
        <v>34</v>
      </c>
      <c r="I107" s="165" t="n"/>
      <c r="J107" s="165" t="n"/>
      <c r="K107" s="165" t="n"/>
      <c r="L107" s="165" t="n"/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4</v>
      </c>
      <c r="R107" s="113" t="n">
        <v>2</v>
      </c>
      <c r="S107" s="113" t="inlineStr">
        <is>
          <t>계</t>
        </is>
      </c>
      <c r="T107" s="8" t="n">
        <v>158</v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n"/>
      <c r="B108" s="113" t="n"/>
      <c r="C108" s="10" t="n"/>
      <c r="D108" s="13" t="n"/>
      <c r="E108" s="20" t="n"/>
      <c r="F108" s="161" t="n"/>
      <c r="G108" s="13" t="n"/>
      <c r="H108" s="13" t="n"/>
      <c r="I108" s="13" t="n"/>
      <c r="J108" s="13" t="n"/>
      <c r="K108" s="13" t="n"/>
      <c r="L108" s="13" t="n"/>
      <c r="M108" s="13" t="n"/>
      <c r="N108" s="13" t="n"/>
      <c r="O108" s="162" t="n"/>
      <c r="P108" s="162" t="n"/>
      <c r="Q108" s="163" t="n"/>
      <c r="R108" s="163" t="n"/>
      <c r="S108" s="13" t="n"/>
      <c r="T108" s="70" t="n"/>
      <c r="U108" s="13" t="n"/>
      <c r="W108" s="107">
        <f>$A$4&amp;" "&amp;A109&amp;"("&amp;B109&amp;","&amp;C109&amp;"^)"</f>
        <v/>
      </c>
      <c r="X108" s="108" t="n"/>
      <c r="Y108" s="108" t="n"/>
      <c r="Z108" s="108" t="n"/>
      <c r="AA108" s="108" t="n"/>
      <c r="AB108" s="108" t="n"/>
      <c r="AC108" s="108" t="n"/>
      <c r="AD108" s="108" t="n"/>
      <c r="AE108" s="108" t="n"/>
      <c r="AF108" s="109" t="n"/>
      <c r="AH108" s="36">
        <f>IF(A108="","",A108)</f>
        <v/>
      </c>
      <c r="AI108" s="160">
        <f>IF(E108="","",E108)</f>
        <v/>
      </c>
      <c r="AJ108" s="113" t="n"/>
      <c r="AK108" s="113" t="n"/>
      <c r="AL108" s="113" t="n"/>
      <c r="AM108" s="113" t="n"/>
      <c r="AN108" s="113" t="n"/>
      <c r="AO108" s="113" t="n"/>
      <c r="AP108" s="113" t="n"/>
      <c r="AQ108" s="113" t="n"/>
      <c r="AR108" s="113" t="n"/>
      <c r="AS108" s="113" t="n"/>
      <c r="AT108" s="113" t="n"/>
      <c r="AU108" s="113" t="n"/>
      <c r="AV108" s="113" t="n"/>
    </row>
    <row r="109">
      <c r="A109" s="13" t="inlineStr">
        <is>
          <t>동우1차</t>
        </is>
      </c>
      <c r="B109" s="16" t="inlineStr">
        <is>
          <t>'88.01.</t>
        </is>
      </c>
      <c r="C109" s="164" t="n">
        <v>474</v>
      </c>
      <c r="D109" s="161" t="n">
        <v>43.4</v>
      </c>
      <c r="E109" s="163" t="n">
        <v>13</v>
      </c>
      <c r="F109" s="161" t="n">
        <v>38</v>
      </c>
      <c r="G109" s="27" t="n">
        <v>11</v>
      </c>
      <c r="H109" s="164" t="n">
        <v>294</v>
      </c>
      <c r="I109" s="165" t="n">
        <v>20000</v>
      </c>
      <c r="J109" s="165" t="inlineStr">
        <is>
          <t>5</t>
        </is>
      </c>
      <c r="K109" s="165" t="n">
        <v>3000</v>
      </c>
      <c r="L109" s="165" t="inlineStr">
        <is>
          <t>6</t>
        </is>
      </c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2</v>
      </c>
      <c r="R109" s="113" t="n">
        <v>1</v>
      </c>
      <c r="S109" s="113" t="inlineStr">
        <is>
          <t>계</t>
        </is>
      </c>
      <c r="T109" s="8" t="n">
        <v>43</v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동우1차</t>
        </is>
      </c>
      <c r="B110" s="16" t="inlineStr">
        <is>
          <t>'88.01.</t>
        </is>
      </c>
      <c r="C110" s="164" t="n">
        <v>474</v>
      </c>
      <c r="D110" s="161" t="n">
        <v>51.4</v>
      </c>
      <c r="E110" s="163" t="n">
        <v>16</v>
      </c>
      <c r="F110" s="161" t="n">
        <v>46</v>
      </c>
      <c r="G110" s="27" t="n">
        <v>14</v>
      </c>
      <c r="H110" s="164" t="n">
        <v>60</v>
      </c>
      <c r="I110" s="165" t="n">
        <v>25000</v>
      </c>
      <c r="J110" s="165" t="inlineStr">
        <is>
          <t>고</t>
        </is>
      </c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3</v>
      </c>
      <c r="R110" s="113" t="n">
        <v>1</v>
      </c>
      <c r="S110" s="113" t="inlineStr">
        <is>
          <t>계</t>
        </is>
      </c>
      <c r="T110" s="8" t="inlineStr">
        <is>
          <t>51A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동우1차</t>
        </is>
      </c>
      <c r="B111" s="16" t="inlineStr">
        <is>
          <t>'88.01.</t>
        </is>
      </c>
      <c r="C111" s="164" t="n">
        <v>474</v>
      </c>
      <c r="D111" s="161" t="n">
        <v>52.5</v>
      </c>
      <c r="E111" s="163" t="n">
        <v>16</v>
      </c>
      <c r="F111" s="161" t="n">
        <v>47.1</v>
      </c>
      <c r="G111" s="27" t="n">
        <v>14</v>
      </c>
      <c r="H111" s="164" t="n">
        <v>120</v>
      </c>
      <c r="I111" s="165" t="n">
        <v>26000</v>
      </c>
      <c r="J111" s="165" t="inlineStr">
        <is>
          <t>6</t>
        </is>
      </c>
      <c r="K111" s="165" t="n"/>
      <c r="L111" s="165" t="n"/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3</v>
      </c>
      <c r="R111" s="113" t="n">
        <v>1</v>
      </c>
      <c r="S111" s="113" t="inlineStr">
        <is>
          <t>계</t>
        </is>
      </c>
      <c r="T111" s="8" t="inlineStr">
        <is>
          <t>52B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n"/>
      <c r="B112" s="113" t="n"/>
      <c r="C112" s="10" t="n"/>
      <c r="D112" s="13" t="n"/>
      <c r="E112" s="20" t="n"/>
      <c r="F112" s="161" t="n"/>
      <c r="G112" s="13" t="n"/>
      <c r="H112" s="13" t="n"/>
      <c r="I112" s="13" t="n"/>
      <c r="J112" s="13" t="n"/>
      <c r="K112" s="13" t="n"/>
      <c r="L112" s="13" t="n"/>
      <c r="M112" s="13" t="n"/>
      <c r="N112" s="13" t="n"/>
      <c r="O112" s="162" t="n"/>
      <c r="P112" s="162" t="n"/>
      <c r="Q112" s="163" t="n"/>
      <c r="R112" s="163" t="n"/>
      <c r="S112" s="13" t="n"/>
      <c r="T112" s="70" t="n"/>
      <c r="U112" s="13" t="n"/>
      <c r="W112" s="107">
        <f>$A$4&amp;" "&amp;A113&amp;"("&amp;B113&amp;","&amp;C113&amp;"^)"</f>
        <v/>
      </c>
      <c r="X112" s="108" t="n"/>
      <c r="Y112" s="108" t="n"/>
      <c r="Z112" s="108" t="n"/>
      <c r="AA112" s="108" t="n"/>
      <c r="AB112" s="108" t="n"/>
      <c r="AC112" s="108" t="n"/>
      <c r="AD112" s="108" t="n"/>
      <c r="AE112" s="108" t="n"/>
      <c r="AF112" s="109" t="n"/>
      <c r="AH112" s="36">
        <f>IF(A112="","",A112)</f>
        <v/>
      </c>
      <c r="AI112" s="160">
        <f>IF(E112="","",E112)</f>
        <v/>
      </c>
      <c r="AJ112" s="113" t="n"/>
      <c r="AK112" s="113" t="n"/>
      <c r="AL112" s="113" t="n"/>
      <c r="AM112" s="113" t="n"/>
      <c r="AN112" s="113" t="n"/>
      <c r="AO112" s="113" t="n"/>
      <c r="AP112" s="113" t="n"/>
      <c r="AQ112" s="113" t="n"/>
      <c r="AR112" s="113" t="n"/>
      <c r="AS112" s="113" t="n"/>
      <c r="AT112" s="113" t="n"/>
      <c r="AU112" s="113" t="n"/>
      <c r="AV112" s="113" t="n"/>
    </row>
    <row r="113">
      <c r="A113" s="13" t="inlineStr">
        <is>
          <t>루원시티SK리더스뷰(주)</t>
        </is>
      </c>
      <c r="B113" s="16" t="inlineStr">
        <is>
          <t>'22.01.</t>
        </is>
      </c>
      <c r="C113" s="164" t="n">
        <v>2378</v>
      </c>
      <c r="D113" s="161" t="n">
        <v>100.3</v>
      </c>
      <c r="E113" s="163" t="n">
        <v>30</v>
      </c>
      <c r="F113" s="161" t="n">
        <v>75.8</v>
      </c>
      <c r="G113" s="27" t="n">
        <v>23</v>
      </c>
      <c r="H113" s="164" t="n">
        <v>174</v>
      </c>
      <c r="I113" s="165" t="n"/>
      <c r="J113" s="165" t="n"/>
      <c r="K113" s="165" t="n"/>
      <c r="L113" s="165" t="n"/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n">
        <v>100</v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루원시티SK리더스뷰(주)</t>
        </is>
      </c>
      <c r="B114" s="16" t="inlineStr">
        <is>
          <t>'22.01.</t>
        </is>
      </c>
      <c r="C114" s="164" t="n">
        <v>2378</v>
      </c>
      <c r="D114" s="161" t="n">
        <v>111.5</v>
      </c>
      <c r="E114" s="163" t="n">
        <v>34</v>
      </c>
      <c r="F114" s="161" t="n">
        <v>84.8</v>
      </c>
      <c r="G114" s="27" t="n">
        <v>26</v>
      </c>
      <c r="H114" s="164" t="n">
        <v>882</v>
      </c>
      <c r="I114" s="165" t="n"/>
      <c r="J114" s="165" t="n"/>
      <c r="K114" s="165" t="n"/>
      <c r="L114" s="165" t="n"/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inlineStr">
        <is>
          <t>111A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루원시티SK리더스뷰(주)</t>
        </is>
      </c>
      <c r="B115" s="16" t="inlineStr">
        <is>
          <t>'22.01.</t>
        </is>
      </c>
      <c r="C115" s="164" t="n">
        <v>2378</v>
      </c>
      <c r="D115" s="161" t="n">
        <v>112</v>
      </c>
      <c r="E115" s="163" t="n">
        <v>34</v>
      </c>
      <c r="F115" s="161" t="n">
        <v>84.59999999999999</v>
      </c>
      <c r="G115" s="27" t="n">
        <v>26</v>
      </c>
      <c r="H115" s="164" t="n">
        <v>348</v>
      </c>
      <c r="I115" s="165" t="n"/>
      <c r="J115" s="165" t="n"/>
      <c r="K115" s="165" t="n"/>
      <c r="L115" s="165" t="n"/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112D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루원시티SK리더스뷰(주)</t>
        </is>
      </c>
      <c r="B116" s="16" t="inlineStr">
        <is>
          <t>'22.01.</t>
        </is>
      </c>
      <c r="C116" s="164" t="n">
        <v>2378</v>
      </c>
      <c r="D116" s="161" t="n">
        <v>112.5</v>
      </c>
      <c r="E116" s="163" t="n">
        <v>34</v>
      </c>
      <c r="F116" s="161" t="n">
        <v>84.59999999999999</v>
      </c>
      <c r="G116" s="27" t="n">
        <v>26</v>
      </c>
      <c r="H116" s="164" t="n">
        <v>348</v>
      </c>
      <c r="I116" s="165" t="n"/>
      <c r="J116" s="165" t="n"/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inlineStr">
        <is>
          <t>112E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루원시티SK리더스뷰(주)</t>
        </is>
      </c>
      <c r="B117" s="16" t="inlineStr">
        <is>
          <t>'22.01.</t>
        </is>
      </c>
      <c r="C117" s="164" t="n">
        <v>2378</v>
      </c>
      <c r="D117" s="161" t="n">
        <v>112.8</v>
      </c>
      <c r="E117" s="163" t="n">
        <v>34</v>
      </c>
      <c r="F117" s="161" t="n">
        <v>84.90000000000001</v>
      </c>
      <c r="G117" s="27" t="n">
        <v>26</v>
      </c>
      <c r="H117" s="164" t="n">
        <v>292</v>
      </c>
      <c r="I117" s="165" t="n"/>
      <c r="J117" s="165" t="n"/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2</v>
      </c>
      <c r="S117" s="113" t="inlineStr">
        <is>
          <t>계</t>
        </is>
      </c>
      <c r="T117" s="8" t="inlineStr">
        <is>
          <t>112C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루원시티SK리더스뷰(주)</t>
        </is>
      </c>
      <c r="B118" s="16" t="inlineStr">
        <is>
          <t>'22.01.</t>
        </is>
      </c>
      <c r="C118" s="164" t="n">
        <v>2378</v>
      </c>
      <c r="D118" s="161" t="n">
        <v>112.4</v>
      </c>
      <c r="E118" s="163" t="n">
        <v>34</v>
      </c>
      <c r="F118" s="161" t="n">
        <v>84.8</v>
      </c>
      <c r="G118" s="27" t="n">
        <v>26</v>
      </c>
      <c r="H118" s="164" t="n">
        <v>156</v>
      </c>
      <c r="I118" s="165" t="n"/>
      <c r="J118" s="165" t="n"/>
      <c r="K118" s="165" t="n"/>
      <c r="L118" s="165" t="n"/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2</v>
      </c>
      <c r="S118" s="113" t="inlineStr">
        <is>
          <t>계</t>
        </is>
      </c>
      <c r="T118" s="8" t="inlineStr">
        <is>
          <t>112B</t>
        </is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루원시티SK리더스뷰(주)</t>
        </is>
      </c>
      <c r="B119" s="16" t="inlineStr">
        <is>
          <t>'22.01.</t>
        </is>
      </c>
      <c r="C119" s="164" t="n">
        <v>2378</v>
      </c>
      <c r="D119" s="161" t="n">
        <v>116.1</v>
      </c>
      <c r="E119" s="163" t="n">
        <v>35</v>
      </c>
      <c r="F119" s="161" t="n">
        <v>85</v>
      </c>
      <c r="G119" s="27" t="n">
        <v>26</v>
      </c>
      <c r="H119" s="164" t="n">
        <v>7</v>
      </c>
      <c r="I119" s="165" t="n"/>
      <c r="J119" s="165" t="n"/>
      <c r="K119" s="165" t="n"/>
      <c r="L119" s="165" t="n"/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2</v>
      </c>
      <c r="S119" s="113" t="inlineStr">
        <is>
          <t>계</t>
        </is>
      </c>
      <c r="T119" s="8" t="inlineStr">
        <is>
          <t>116F</t>
        </is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루원시티SK리더스뷰(주)</t>
        </is>
      </c>
      <c r="B120" s="16" t="inlineStr">
        <is>
          <t>'22.01.</t>
        </is>
      </c>
      <c r="C120" s="164" t="n">
        <v>2378</v>
      </c>
      <c r="D120" s="161" t="n">
        <v>116.1</v>
      </c>
      <c r="E120" s="163" t="n">
        <v>35</v>
      </c>
      <c r="F120" s="161" t="n">
        <v>85</v>
      </c>
      <c r="G120" s="27" t="n">
        <v>26</v>
      </c>
      <c r="H120" s="164" t="n">
        <v>7</v>
      </c>
      <c r="I120" s="165" t="n"/>
      <c r="J120" s="165" t="n"/>
      <c r="K120" s="165" t="n"/>
      <c r="L120" s="165" t="n"/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3</v>
      </c>
      <c r="R120" s="113" t="n">
        <v>2</v>
      </c>
      <c r="S120" s="113" t="inlineStr">
        <is>
          <t>계</t>
        </is>
      </c>
      <c r="T120" s="8" t="inlineStr">
        <is>
          <t>116G</t>
        </is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루원시티SK리더스뷰(주)</t>
        </is>
      </c>
      <c r="B121" s="16" t="inlineStr">
        <is>
          <t>'22.01.</t>
        </is>
      </c>
      <c r="C121" s="164" t="n">
        <v>2378</v>
      </c>
      <c r="D121" s="161" t="n">
        <v>132</v>
      </c>
      <c r="E121" s="163" t="n">
        <v>40</v>
      </c>
      <c r="F121" s="161" t="n">
        <v>100.9</v>
      </c>
      <c r="G121" s="27" t="n">
        <v>31</v>
      </c>
      <c r="H121" s="164" t="n">
        <v>80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4</v>
      </c>
      <c r="R121" s="113" t="n">
        <v>2</v>
      </c>
      <c r="S121" s="113" t="inlineStr">
        <is>
          <t>계</t>
        </is>
      </c>
      <c r="T121" s="8" t="inlineStr">
        <is>
          <t>131A</t>
        </is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루원시티SK리더스뷰(주)</t>
        </is>
      </c>
      <c r="B122" s="16" t="inlineStr">
        <is>
          <t>'22.01.</t>
        </is>
      </c>
      <c r="C122" s="164" t="n">
        <v>2378</v>
      </c>
      <c r="D122" s="161" t="n">
        <v>132.6</v>
      </c>
      <c r="E122" s="163" t="n">
        <v>40</v>
      </c>
      <c r="F122" s="161" t="n">
        <v>100.9</v>
      </c>
      <c r="G122" s="27" t="n">
        <v>31</v>
      </c>
      <c r="H122" s="164" t="n">
        <v>82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4</v>
      </c>
      <c r="R122" s="113" t="n">
        <v>2</v>
      </c>
      <c r="S122" s="113" t="inlineStr">
        <is>
          <t>계</t>
        </is>
      </c>
      <c r="T122" s="8" t="inlineStr">
        <is>
          <t>132B</t>
        </is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루원시티SK리더스뷰(주)</t>
        </is>
      </c>
      <c r="B123" s="16" t="inlineStr">
        <is>
          <t>'22.01.</t>
        </is>
      </c>
      <c r="C123" s="164" t="n">
        <v>2378</v>
      </c>
      <c r="D123" s="161" t="n">
        <v>139.6</v>
      </c>
      <c r="E123" s="163" t="n">
        <v>42</v>
      </c>
      <c r="F123" s="161" t="n">
        <v>102.8</v>
      </c>
      <c r="G123" s="27" t="n">
        <v>31</v>
      </c>
      <c r="H123" s="164" t="n">
        <v>2</v>
      </c>
      <c r="I123" s="165" t="n"/>
      <c r="J123" s="165" t="n"/>
      <c r="K123" s="165" t="n"/>
      <c r="L123" s="165" t="n"/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4</v>
      </c>
      <c r="R123" s="113" t="n">
        <v>2</v>
      </c>
      <c r="S123" s="113" t="inlineStr">
        <is>
          <t>계</t>
        </is>
      </c>
      <c r="T123" s="8" t="inlineStr">
        <is>
          <t>139P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n"/>
      <c r="B124" s="113" t="n"/>
      <c r="C124" s="10" t="n"/>
      <c r="D124" s="13" t="n"/>
      <c r="E124" s="20" t="n"/>
      <c r="F124" s="161" t="n"/>
      <c r="G124" s="13" t="n"/>
      <c r="H124" s="13" t="n"/>
      <c r="I124" s="13" t="n"/>
      <c r="J124" s="13" t="n"/>
      <c r="K124" s="13" t="n"/>
      <c r="L124" s="13" t="n"/>
      <c r="M124" s="13" t="n"/>
      <c r="N124" s="13" t="n"/>
      <c r="O124" s="162" t="n"/>
      <c r="P124" s="162" t="n"/>
      <c r="Q124" s="163" t="n"/>
      <c r="R124" s="163" t="n"/>
      <c r="S124" s="13" t="n"/>
      <c r="T124" s="70" t="n"/>
      <c r="U124" s="13" t="n"/>
      <c r="W124" s="107">
        <f>$A$4&amp;" "&amp;A125&amp;"("&amp;B125&amp;","&amp;C125&amp;"^)"</f>
        <v/>
      </c>
      <c r="X124" s="108" t="n"/>
      <c r="Y124" s="108" t="n"/>
      <c r="Z124" s="108" t="n"/>
      <c r="AA124" s="108" t="n"/>
      <c r="AB124" s="108" t="n"/>
      <c r="AC124" s="108" t="n"/>
      <c r="AD124" s="108" t="n"/>
      <c r="AE124" s="108" t="n"/>
      <c r="AF124" s="109" t="n"/>
      <c r="AH124" s="36">
        <f>IF(A124="","",A124)</f>
        <v/>
      </c>
      <c r="AI124" s="160">
        <f>IF(E124="","",E124)</f>
        <v/>
      </c>
      <c r="AJ124" s="113" t="n"/>
      <c r="AK124" s="113" t="n"/>
      <c r="AL124" s="113" t="n"/>
      <c r="AM124" s="113" t="n"/>
      <c r="AN124" s="113" t="n"/>
      <c r="AO124" s="113" t="n"/>
      <c r="AP124" s="113" t="n"/>
      <c r="AQ124" s="113" t="n"/>
      <c r="AR124" s="113" t="n"/>
      <c r="AS124" s="113" t="n"/>
      <c r="AT124" s="113" t="n"/>
      <c r="AU124" s="113" t="n"/>
      <c r="AV124" s="113" t="n"/>
    </row>
    <row r="125">
      <c r="A125" s="13" t="inlineStr">
        <is>
          <t>루원시티린스트라우스</t>
        </is>
      </c>
      <c r="B125" s="16" t="inlineStr">
        <is>
          <t>'23.06.</t>
        </is>
      </c>
      <c r="C125" s="164" t="n">
        <v>1412</v>
      </c>
      <c r="D125" s="161" t="n">
        <v>121.8</v>
      </c>
      <c r="E125" s="163" t="n">
        <v>37</v>
      </c>
      <c r="F125" s="161" t="n">
        <v>84.8</v>
      </c>
      <c r="G125" s="27" t="n">
        <v>26</v>
      </c>
      <c r="H125" s="164" t="n">
        <v>593</v>
      </c>
      <c r="I125" s="165" t="n"/>
      <c r="J125" s="165" t="n"/>
      <c r="K125" s="165" t="n"/>
      <c r="L125" s="165" t="n"/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2</v>
      </c>
      <c r="S125" s="113" t="inlineStr">
        <is>
          <t>계</t>
        </is>
      </c>
      <c r="T125" s="8" t="inlineStr">
        <is>
          <t>121A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루원시티린스트라우스</t>
        </is>
      </c>
      <c r="B126" s="16" t="inlineStr">
        <is>
          <t>'23.06.</t>
        </is>
      </c>
      <c r="C126" s="164" t="n">
        <v>1412</v>
      </c>
      <c r="D126" s="161" t="n">
        <v>121.6</v>
      </c>
      <c r="E126" s="163" t="n">
        <v>37</v>
      </c>
      <c r="F126" s="161" t="n">
        <v>84.7</v>
      </c>
      <c r="G126" s="27" t="n">
        <v>26</v>
      </c>
      <c r="H126" s="164" t="n">
        <v>276</v>
      </c>
      <c r="I126" s="165" t="n"/>
      <c r="J126" s="165" t="n"/>
      <c r="K126" s="165" t="n"/>
      <c r="L126" s="165" t="n"/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3</v>
      </c>
      <c r="R126" s="113" t="n">
        <v>2</v>
      </c>
      <c r="S126" s="113" t="inlineStr">
        <is>
          <t>계</t>
        </is>
      </c>
      <c r="T126" s="8" t="inlineStr">
        <is>
          <t>121C</t>
        </is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루원시티린스트라우스</t>
        </is>
      </c>
      <c r="B127" s="16" t="inlineStr">
        <is>
          <t>'23.06.</t>
        </is>
      </c>
      <c r="C127" s="164" t="n">
        <v>1412</v>
      </c>
      <c r="D127" s="161" t="n">
        <v>121.7</v>
      </c>
      <c r="E127" s="163" t="n">
        <v>37</v>
      </c>
      <c r="F127" s="161" t="n">
        <v>84.59999999999999</v>
      </c>
      <c r="G127" s="27" t="n">
        <v>26</v>
      </c>
      <c r="H127" s="164" t="n">
        <v>45</v>
      </c>
      <c r="I127" s="165" t="n"/>
      <c r="J127" s="165" t="n"/>
      <c r="K127" s="165" t="n"/>
      <c r="L127" s="165" t="n"/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3</v>
      </c>
      <c r="R127" s="113" t="n">
        <v>2</v>
      </c>
      <c r="S127" s="113" t="inlineStr">
        <is>
          <t>계</t>
        </is>
      </c>
      <c r="T127" s="8" t="inlineStr">
        <is>
          <t>121D</t>
        </is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inlineStr">
        <is>
          <t>루원시티린스트라우스</t>
        </is>
      </c>
      <c r="B128" s="16" t="inlineStr">
        <is>
          <t>'23.06.</t>
        </is>
      </c>
      <c r="C128" s="164" t="n">
        <v>1412</v>
      </c>
      <c r="D128" s="161" t="n">
        <v>122.3</v>
      </c>
      <c r="E128" s="163" t="n">
        <v>37</v>
      </c>
      <c r="F128" s="161" t="n">
        <v>84.8</v>
      </c>
      <c r="G128" s="27" t="n">
        <v>26</v>
      </c>
      <c r="H128" s="164" t="n">
        <v>498</v>
      </c>
      <c r="I128" s="165" t="n"/>
      <c r="J128" s="165" t="n"/>
      <c r="K128" s="165" t="n"/>
      <c r="L128" s="165" t="n"/>
      <c r="M128" s="166">
        <f>I128-K128</f>
        <v/>
      </c>
      <c r="N128" s="7">
        <f>IF(ISERROR(K128/I128),"",K128/I128)</f>
        <v/>
      </c>
      <c r="O128" s="162">
        <f>I128/E128</f>
        <v/>
      </c>
      <c r="P128" s="162">
        <f>K128/E128</f>
        <v/>
      </c>
      <c r="Q128" s="113" t="n">
        <v>3</v>
      </c>
      <c r="R128" s="113" t="n">
        <v>2</v>
      </c>
      <c r="S128" s="113" t="inlineStr">
        <is>
          <t>계</t>
        </is>
      </c>
      <c r="T128" s="8" t="inlineStr">
        <is>
          <t>122B</t>
        </is>
      </c>
      <c r="U128" s="13" t="n"/>
      <c r="W128" s="161">
        <f>D128</f>
        <v/>
      </c>
      <c r="X128" s="163">
        <f>E128</f>
        <v/>
      </c>
      <c r="Y128" s="159">
        <f>H128</f>
        <v/>
      </c>
      <c r="Z128" s="166">
        <f>I128</f>
        <v/>
      </c>
      <c r="AA128" s="166">
        <f>K128</f>
        <v/>
      </c>
      <c r="AB128" s="166">
        <f>M128</f>
        <v/>
      </c>
      <c r="AC128" s="7">
        <f>N128</f>
        <v/>
      </c>
      <c r="AD128" s="162">
        <f>O128</f>
        <v/>
      </c>
      <c r="AE128" s="113">
        <f>S128</f>
        <v/>
      </c>
      <c r="AF128" s="113">
        <f>Q128&amp;"/"&amp;R128</f>
        <v/>
      </c>
      <c r="AH128" s="36">
        <f>IF(A128="","",A128)</f>
        <v/>
      </c>
      <c r="AI128" s="163">
        <f>IF(E128="","",E128)</f>
        <v/>
      </c>
      <c r="AJ128" s="113">
        <f>IF(AI128="","",$AJ$2)</f>
        <v/>
      </c>
      <c r="AK128" s="113" t="inlineStr">
        <is>
          <t>A</t>
        </is>
      </c>
      <c r="AL128" s="113" t="inlineStr">
        <is>
          <t>A+</t>
        </is>
      </c>
      <c r="AM128" s="113" t="inlineStr">
        <is>
          <t>B+</t>
        </is>
      </c>
      <c r="AN128" s="113">
        <f>IF(AI128="","",$AN$2)</f>
        <v/>
      </c>
      <c r="AO128" s="113">
        <f>IF(N128="","",IF(N128&gt;=$AO$1/100,"O","X"))</f>
        <v/>
      </c>
      <c r="AP128" s="113">
        <f>IF(I128="","",IF(I128&lt;=$AP$1,"O","X"))</f>
        <v/>
      </c>
      <c r="AQ128" s="113">
        <f>IF(O128="","",IF(O128&lt;=$AQ$1,"O","X"))</f>
        <v/>
      </c>
      <c r="AR128" s="113">
        <f>IF(M128="","",IF(M128&lt;=$AR$1,"O","X"))</f>
        <v/>
      </c>
      <c r="AS128" s="113" t="inlineStr">
        <is>
          <t>X</t>
        </is>
      </c>
      <c r="AT128" s="113">
        <f>IF(OR(F128="",AI128=""),"",IF(AND((F128&lt;=85),(AI128&gt;=15)),"O","X"))</f>
        <v/>
      </c>
      <c r="AU128" s="113">
        <f>IF(C128="","",IF(C128&gt;=$AU$1,"O","X"))</f>
        <v/>
      </c>
      <c r="AV128" s="113">
        <f>IF(AO128="","",IF(AND(AO128="O",AP128="O",AR128="O",AT128="O",AU128="O"),"후보","X"))</f>
        <v/>
      </c>
    </row>
  </sheetData>
  <mergeCells count="1">
    <mergeCell ref="AJ1:AN1"/>
  </mergeCells>
  <conditionalFormatting sqref="AV4:AV6">
    <cfRule type="expression" priority="2086" dxfId="17">
      <formula>AV4="X"</formula>
    </cfRule>
    <cfRule type="expression" priority="2087" dxfId="16">
      <formula>AV4="후보"</formula>
    </cfRule>
  </conditionalFormatting>
  <conditionalFormatting sqref="AC1:AC2 AC4:AC6 N4:N5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1:N2">
    <cfRule type="cellIs" priority="2081" operator="greaterThan" dxfId="13">
      <formula>0.9</formula>
    </cfRule>
    <cfRule type="cellIs" priority="2082" operator="greaterThan" dxfId="12">
      <formula>0.85</formula>
    </cfRule>
  </conditionalFormatting>
  <conditionalFormatting sqref="N6">
    <cfRule type="cellIs" priority="2079" operator="greaterThan" dxfId="13">
      <formula>0.9</formula>
    </cfRule>
    <cfRule type="cellIs" priority="2080" operator="greaterThan" dxfId="12">
      <formula>0.85</formula>
    </cfRule>
  </conditionalFormatting>
  <conditionalFormatting sqref="E6">
    <cfRule type="expression" priority="2075" dxfId="3">
      <formula>AND(IF(OR($Q6=1,$Q6=2),1,0),IF($X6&lt;=20,1,0))</formula>
    </cfRule>
    <cfRule type="expression" priority="2076" dxfId="2">
      <formula>AND(IF($Q6=2,1,0),IF($X6&lt;30,1,0))</formula>
    </cfRule>
    <cfRule type="expression" priority="2077" dxfId="1">
      <formula>AND(IF($Q6=3,1,0),IF($X6&lt;30,1,0))</formula>
    </cfRule>
    <cfRule type="expression" priority="2078" dxfId="0">
      <formula>AND(IF($Q6=3,1,IF($Q6=4,1,0)),IF($F6&lt;=85,1,0))</formula>
    </cfRule>
  </conditionalFormatting>
  <conditionalFormatting sqref="X6">
    <cfRule type="expression" priority="2071" dxfId="3">
      <formula>AND(IF(OR($Q6=1,$Q6=2),1,0),IF($X6&lt;=20,1,0))</formula>
    </cfRule>
    <cfRule type="expression" priority="2072" dxfId="2">
      <formula>AND(IF($Q6=2,1,0),IF($X6&lt;30,1,0))</formula>
    </cfRule>
    <cfRule type="expression" priority="2073" dxfId="1">
      <formula>AND(IF($Q6=3,1,0),IF($X6&lt;30,1,0))</formula>
    </cfRule>
    <cfRule type="expression" priority="2074" dxfId="0">
      <formula>AND(IF($Q6=3,1,IF($Q6=4,1,0)),IF($F6&lt;=85,1,0))</formula>
    </cfRule>
  </conditionalFormatting>
  <conditionalFormatting sqref="AI6">
    <cfRule type="expression" priority="2067" dxfId="3">
      <formula>AND(IF(OR($Q6=1,$Q6=2),1,0),IF($X6&lt;=20,1,0))</formula>
    </cfRule>
    <cfRule type="expression" priority="2068" dxfId="2">
      <formula>AND(IF($Q6=2,1,0),IF($X6&lt;30,1,0))</formula>
    </cfRule>
    <cfRule type="expression" priority="2069" dxfId="1">
      <formula>AND(IF($Q6=3,1,0),IF($X6&lt;30,1,0))</formula>
    </cfRule>
    <cfRule type="expression" priority="2070" dxfId="0">
      <formula>AND(IF($Q6=3,1,IF($Q6=4,1,0)),IF($F6&lt;=85,1,0))</formula>
    </cfRule>
  </conditionalFormatting>
  <conditionalFormatting sqref="AV7">
    <cfRule type="expression" priority="2065" dxfId="17">
      <formula>AV7="X"</formula>
    </cfRule>
    <cfRule type="expression" priority="2066" dxfId="16">
      <formula>AV7="후보"</formula>
    </cfRule>
  </conditionalFormatting>
  <conditionalFormatting sqref="AC7">
    <cfRule type="cellIs" priority="2062" operator="greaterThan" dxfId="13">
      <formula>0.9</formula>
    </cfRule>
    <cfRule type="cellIs" priority="2063" operator="greaterThan" dxfId="12">
      <formula>0.85</formula>
    </cfRule>
  </conditionalFormatting>
  <conditionalFormatting sqref="N7">
    <cfRule type="cellIs" priority="2060" operator="greaterThan" dxfId="13">
      <formula>0.9</formula>
    </cfRule>
    <cfRule type="cellIs" priority="2061" operator="greaterThan" dxfId="12">
      <formula>0.85</formula>
    </cfRule>
  </conditionalFormatting>
  <conditionalFormatting sqref="E7">
    <cfRule type="expression" priority="2056" dxfId="3">
      <formula>AND(IF(OR($Q7=1,$Q7=2),1,0),IF($X7&lt;=20,1,0))</formula>
    </cfRule>
    <cfRule type="expression" priority="2057" dxfId="2">
      <formula>AND(IF($Q7=2,1,0),IF($X7&lt;30,1,0))</formula>
    </cfRule>
    <cfRule type="expression" priority="2058" dxfId="1">
      <formula>AND(IF($Q7=3,1,0),IF($X7&lt;30,1,0))</formula>
    </cfRule>
    <cfRule type="expression" priority="2059" dxfId="0">
      <formula>AND(IF($Q7=3,1,IF($Q7=4,1,0)),IF($F7&lt;=85,1,0))</formula>
    </cfRule>
  </conditionalFormatting>
  <conditionalFormatting sqref="X7">
    <cfRule type="expression" priority="2052" dxfId="3">
      <formula>AND(IF(OR($Q7=1,$Q7=2),1,0),IF($X7&lt;=20,1,0))</formula>
    </cfRule>
    <cfRule type="expression" priority="2053" dxfId="2">
      <formula>AND(IF($Q7=2,1,0),IF($X7&lt;30,1,0))</formula>
    </cfRule>
    <cfRule type="expression" priority="2054" dxfId="1">
      <formula>AND(IF($Q7=3,1,0),IF($X7&lt;30,1,0))</formula>
    </cfRule>
    <cfRule type="expression" priority="2055" dxfId="0">
      <formula>AND(IF($Q7=3,1,IF($Q7=4,1,0)),IF($F7&lt;=85,1,0))</formula>
    </cfRule>
  </conditionalFormatting>
  <conditionalFormatting sqref="AI7">
    <cfRule type="expression" priority="2048" dxfId="3">
      <formula>AND(IF(OR($Q7=1,$Q7=2),1,0),IF($X7&lt;=20,1,0))</formula>
    </cfRule>
    <cfRule type="expression" priority="2049" dxfId="2">
      <formula>AND(IF($Q7=2,1,0),IF($X7&lt;30,1,0))</formula>
    </cfRule>
    <cfRule type="expression" priority="2050" dxfId="1">
      <formula>AND(IF($Q7=3,1,0),IF($X7&lt;30,1,0))</formula>
    </cfRule>
    <cfRule type="expression" priority="2051" dxfId="0">
      <formula>AND(IF($Q7=3,1,IF($Q7=4,1,0)),IF($F7&lt;=85,1,0))</formula>
    </cfRule>
  </conditionalFormatting>
  <conditionalFormatting sqref="AV8">
    <cfRule type="expression" priority="2046" dxfId="17">
      <formula>AV8="X"</formula>
    </cfRule>
    <cfRule type="expression" priority="2047" dxfId="16">
      <formula>AV8="후보"</formula>
    </cfRule>
  </conditionalFormatting>
  <conditionalFormatting sqref="AC8">
    <cfRule type="cellIs" priority="2043" operator="greaterThan" dxfId="13">
      <formula>0.9</formula>
    </cfRule>
    <cfRule type="cellIs" priority="2044" operator="greaterThan" dxfId="12">
      <formula>0.85</formula>
    </cfRule>
  </conditionalFormatting>
  <conditionalFormatting sqref="N8">
    <cfRule type="cellIs" priority="2041" operator="greaterThan" dxfId="13">
      <formula>0.9</formula>
    </cfRule>
    <cfRule type="cellIs" priority="2042" operator="greaterThan" dxfId="12">
      <formula>0.85</formula>
    </cfRule>
  </conditionalFormatting>
  <conditionalFormatting sqref="E8">
    <cfRule type="expression" priority="2037" dxfId="3">
      <formula>AND(IF(OR($Q8=1,$Q8=2),1,0),IF($X8&lt;=20,1,0))</formula>
    </cfRule>
    <cfRule type="expression" priority="2038" dxfId="2">
      <formula>AND(IF($Q8=2,1,0),IF($X8&lt;30,1,0))</formula>
    </cfRule>
    <cfRule type="expression" priority="2039" dxfId="1">
      <formula>AND(IF($Q8=3,1,0),IF($X8&lt;30,1,0))</formula>
    </cfRule>
    <cfRule type="expression" priority="2040" dxfId="0">
      <formula>AND(IF($Q8=3,1,IF($Q8=4,1,0)),IF($F8&lt;=85,1,0))</formula>
    </cfRule>
  </conditionalFormatting>
  <conditionalFormatting sqref="X8">
    <cfRule type="expression" priority="2033" dxfId="3">
      <formula>AND(IF(OR($Q8=1,$Q8=2),1,0),IF($X8&lt;=20,1,0))</formula>
    </cfRule>
    <cfRule type="expression" priority="2034" dxfId="2">
      <formula>AND(IF($Q8=2,1,0),IF($X8&lt;30,1,0))</formula>
    </cfRule>
    <cfRule type="expression" priority="2035" dxfId="1">
      <formula>AND(IF($Q8=3,1,0),IF($X8&lt;30,1,0))</formula>
    </cfRule>
    <cfRule type="expression" priority="2036" dxfId="0">
      <formula>AND(IF($Q8=3,1,IF($Q8=4,1,0)),IF($F8&lt;=85,1,0))</formula>
    </cfRule>
  </conditionalFormatting>
  <conditionalFormatting sqref="AI8">
    <cfRule type="expression" priority="2029" dxfId="3">
      <formula>AND(IF(OR($Q8=1,$Q8=2),1,0),IF($X8&lt;=20,1,0))</formula>
    </cfRule>
    <cfRule type="expression" priority="2030" dxfId="2">
      <formula>AND(IF($Q8=2,1,0),IF($X8&lt;30,1,0))</formula>
    </cfRule>
    <cfRule type="expression" priority="2031" dxfId="1">
      <formula>AND(IF($Q8=3,1,0),IF($X8&lt;30,1,0))</formula>
    </cfRule>
    <cfRule type="expression" priority="2032" dxfId="0">
      <formula>AND(IF($Q8=3,1,IF($Q8=4,1,0)),IF($F8&lt;=85,1,0))</formula>
    </cfRule>
  </conditionalFormatting>
  <conditionalFormatting sqref="AV9">
    <cfRule type="expression" priority="2027" dxfId="17">
      <formula>AV9="X"</formula>
    </cfRule>
    <cfRule type="expression" priority="2028" dxfId="16">
      <formula>AV9="후보"</formula>
    </cfRule>
  </conditionalFormatting>
  <conditionalFormatting sqref="AC9">
    <cfRule type="cellIs" priority="2024" operator="greaterThan" dxfId="13">
      <formula>0.9</formula>
    </cfRule>
    <cfRule type="cellIs" priority="2025" operator="greaterThan" dxfId="12">
      <formula>0.85</formula>
    </cfRule>
  </conditionalFormatting>
  <conditionalFormatting sqref="N9">
    <cfRule type="cellIs" priority="2022" operator="greaterThan" dxfId="13">
      <formula>0.9</formula>
    </cfRule>
    <cfRule type="cellIs" priority="2023" operator="greaterThan" dxfId="12">
      <formula>0.85</formula>
    </cfRule>
  </conditionalFormatting>
  <conditionalFormatting sqref="E9">
    <cfRule type="expression" priority="2018" dxfId="3">
      <formula>AND(IF(OR($Q9=1,$Q9=2),1,0),IF($X9&lt;=20,1,0))</formula>
    </cfRule>
    <cfRule type="expression" priority="2019" dxfId="2">
      <formula>AND(IF($Q9=2,1,0),IF($X9&lt;30,1,0))</formula>
    </cfRule>
    <cfRule type="expression" priority="2020" dxfId="1">
      <formula>AND(IF($Q9=3,1,0),IF($X9&lt;30,1,0))</formula>
    </cfRule>
    <cfRule type="expression" priority="2021" dxfId="0">
      <formula>AND(IF($Q9=3,1,IF($Q9=4,1,0)),IF($F9&lt;=85,1,0))</formula>
    </cfRule>
  </conditionalFormatting>
  <conditionalFormatting sqref="X9">
    <cfRule type="expression" priority="2014" dxfId="3">
      <formula>AND(IF(OR($Q9=1,$Q9=2),1,0),IF($X9&lt;=20,1,0))</formula>
    </cfRule>
    <cfRule type="expression" priority="2015" dxfId="2">
      <formula>AND(IF($Q9=2,1,0),IF($X9&lt;30,1,0))</formula>
    </cfRule>
    <cfRule type="expression" priority="2016" dxfId="1">
      <formula>AND(IF($Q9=3,1,0),IF($X9&lt;30,1,0))</formula>
    </cfRule>
    <cfRule type="expression" priority="2017" dxfId="0">
      <formula>AND(IF($Q9=3,1,IF($Q9=4,1,0)),IF($F9&lt;=85,1,0))</formula>
    </cfRule>
  </conditionalFormatting>
  <conditionalFormatting sqref="AI9">
    <cfRule type="expression" priority="2010" dxfId="3">
      <formula>AND(IF(OR($Q9=1,$Q9=2),1,0),IF($X9&lt;=20,1,0))</formula>
    </cfRule>
    <cfRule type="expression" priority="2011" dxfId="2">
      <formula>AND(IF($Q9=2,1,0),IF($X9&lt;30,1,0))</formula>
    </cfRule>
    <cfRule type="expression" priority="2012" dxfId="1">
      <formula>AND(IF($Q9=3,1,0),IF($X9&lt;30,1,0))</formula>
    </cfRule>
    <cfRule type="expression" priority="2013" dxfId="0">
      <formula>AND(IF($Q9=3,1,IF($Q9=4,1,0)),IF($F9&lt;=85,1,0))</formula>
    </cfRule>
  </conditionalFormatting>
  <conditionalFormatting sqref="AV10">
    <cfRule type="expression" priority="2008" dxfId="17">
      <formula>AV10="X"</formula>
    </cfRule>
    <cfRule type="expression" priority="2009" dxfId="16">
      <formula>AV10="후보"</formula>
    </cfRule>
  </conditionalFormatting>
  <conditionalFormatting sqref="AC10">
    <cfRule type="cellIs" priority="2005" operator="greaterThan" dxfId="13">
      <formula>0.9</formula>
    </cfRule>
    <cfRule type="cellIs" priority="2006" operator="greaterThan" dxfId="12">
      <formula>0.85</formula>
    </cfRule>
  </conditionalFormatting>
  <conditionalFormatting sqref="N10">
    <cfRule type="cellIs" priority="2003" operator="greaterThan" dxfId="13">
      <formula>0.9</formula>
    </cfRule>
    <cfRule type="cellIs" priority="2004" operator="greaterThan" dxfId="12">
      <formula>0.85</formula>
    </cfRule>
  </conditionalFormatting>
  <conditionalFormatting sqref="E10">
    <cfRule type="expression" priority="1999" dxfId="3">
      <formula>AND(IF(OR($Q10=1,$Q10=2),1,0),IF($X10&lt;=20,1,0))</formula>
    </cfRule>
    <cfRule type="expression" priority="2000" dxfId="2">
      <formula>AND(IF($Q10=2,1,0),IF($X10&lt;30,1,0))</formula>
    </cfRule>
    <cfRule type="expression" priority="2001" dxfId="1">
      <formula>AND(IF($Q10=3,1,0),IF($X10&lt;30,1,0))</formula>
    </cfRule>
    <cfRule type="expression" priority="2002" dxfId="0">
      <formula>AND(IF($Q10=3,1,IF($Q10=4,1,0)),IF($F10&lt;=85,1,0))</formula>
    </cfRule>
  </conditionalFormatting>
  <conditionalFormatting sqref="X10">
    <cfRule type="expression" priority="1995" dxfId="3">
      <formula>AND(IF(OR($Q10=1,$Q10=2),1,0),IF($X10&lt;=20,1,0))</formula>
    </cfRule>
    <cfRule type="expression" priority="1996" dxfId="2">
      <formula>AND(IF($Q10=2,1,0),IF($X10&lt;30,1,0))</formula>
    </cfRule>
    <cfRule type="expression" priority="1997" dxfId="1">
      <formula>AND(IF($Q10=3,1,0),IF($X10&lt;30,1,0))</formula>
    </cfRule>
    <cfRule type="expression" priority="1998" dxfId="0">
      <formula>AND(IF($Q10=3,1,IF($Q10=4,1,0)),IF($F10&lt;=85,1,0))</formula>
    </cfRule>
  </conditionalFormatting>
  <conditionalFormatting sqref="AI10">
    <cfRule type="expression" priority="1991" dxfId="3">
      <formula>AND(IF(OR($Q10=1,$Q10=2),1,0),IF($X10&lt;=20,1,0))</formula>
    </cfRule>
    <cfRule type="expression" priority="1992" dxfId="2">
      <formula>AND(IF($Q10=2,1,0),IF($X10&lt;30,1,0))</formula>
    </cfRule>
    <cfRule type="expression" priority="1993" dxfId="1">
      <formula>AND(IF($Q10=3,1,0),IF($X10&lt;30,1,0))</formula>
    </cfRule>
    <cfRule type="expression" priority="1994" dxfId="0">
      <formula>AND(IF($Q10=3,1,IF($Q10=4,1,0)),IF($F10&lt;=85,1,0))</formula>
    </cfRule>
  </conditionalFormatting>
  <conditionalFormatting sqref="AV11">
    <cfRule type="expression" priority="1989" dxfId="17">
      <formula>AV11="X"</formula>
    </cfRule>
    <cfRule type="expression" priority="1990" dxfId="16">
      <formula>AV11="후보"</formula>
    </cfRule>
  </conditionalFormatting>
  <conditionalFormatting sqref="AC11">
    <cfRule type="cellIs" priority="1986" operator="greaterThan" dxfId="13">
      <formula>0.9</formula>
    </cfRule>
    <cfRule type="cellIs" priority="1987" operator="greaterThan" dxfId="12">
      <formula>0.85</formula>
    </cfRule>
  </conditionalFormatting>
  <conditionalFormatting sqref="N11">
    <cfRule type="cellIs" priority="1984" operator="greaterThan" dxfId="13">
      <formula>0.9</formula>
    </cfRule>
    <cfRule type="cellIs" priority="1985" operator="greaterThan" dxfId="12">
      <formula>0.85</formula>
    </cfRule>
  </conditionalFormatting>
  <conditionalFormatting sqref="E11">
    <cfRule type="expression" priority="1980" dxfId="3">
      <formula>AND(IF(OR($Q11=1,$Q11=2),1,0),IF($X11&lt;=20,1,0))</formula>
    </cfRule>
    <cfRule type="expression" priority="1981" dxfId="2">
      <formula>AND(IF($Q11=2,1,0),IF($X11&lt;30,1,0))</formula>
    </cfRule>
    <cfRule type="expression" priority="1982" dxfId="1">
      <formula>AND(IF($Q11=3,1,0),IF($X11&lt;30,1,0))</formula>
    </cfRule>
    <cfRule type="expression" priority="1983" dxfId="0">
      <formula>AND(IF($Q11=3,1,IF($Q11=4,1,0)),IF($F11&lt;=85,1,0))</formula>
    </cfRule>
  </conditionalFormatting>
  <conditionalFormatting sqref="X11">
    <cfRule type="expression" priority="1976" dxfId="3">
      <formula>AND(IF(OR($Q11=1,$Q11=2),1,0),IF($X11&lt;=20,1,0))</formula>
    </cfRule>
    <cfRule type="expression" priority="1977" dxfId="2">
      <formula>AND(IF($Q11=2,1,0),IF($X11&lt;30,1,0))</formula>
    </cfRule>
    <cfRule type="expression" priority="1978" dxfId="1">
      <formula>AND(IF($Q11=3,1,0),IF($X11&lt;30,1,0))</formula>
    </cfRule>
    <cfRule type="expression" priority="1979" dxfId="0">
      <formula>AND(IF($Q11=3,1,IF($Q11=4,1,0)),IF($F11&lt;=85,1,0))</formula>
    </cfRule>
  </conditionalFormatting>
  <conditionalFormatting sqref="AI11">
    <cfRule type="expression" priority="1972" dxfId="3">
      <formula>AND(IF(OR($Q11=1,$Q11=2),1,0),IF($X11&lt;=20,1,0))</formula>
    </cfRule>
    <cfRule type="expression" priority="1973" dxfId="2">
      <formula>AND(IF($Q11=2,1,0),IF($X11&lt;30,1,0))</formula>
    </cfRule>
    <cfRule type="expression" priority="1974" dxfId="1">
      <formula>AND(IF($Q11=3,1,0),IF($X11&lt;30,1,0))</formula>
    </cfRule>
    <cfRule type="expression" priority="1975" dxfId="0">
      <formula>AND(IF($Q11=3,1,IF($Q11=4,1,0)),IF($F11&lt;=85,1,0))</formula>
    </cfRule>
  </conditionalFormatting>
  <conditionalFormatting sqref="AV12">
    <cfRule type="expression" priority="1970" dxfId="17">
      <formula>AV12="X"</formula>
    </cfRule>
    <cfRule type="expression" priority="1971" dxfId="16">
      <formula>AV12="후보"</formula>
    </cfRule>
  </conditionalFormatting>
  <conditionalFormatting sqref="AC12 N12">
    <cfRule type="cellIs" priority="1967" operator="greaterThan" dxfId="13">
      <formula>0.9</formula>
    </cfRule>
    <cfRule type="cellIs" priority="1968" operator="greaterThan" dxfId="12">
      <formula>0.85</formula>
    </cfRule>
  </conditionalFormatting>
  <conditionalFormatting sqref="AV13">
    <cfRule type="expression" priority="1965" dxfId="17">
      <formula>AV13="X"</formula>
    </cfRule>
    <cfRule type="expression" priority="1966" dxfId="16">
      <formula>AV13="후보"</formula>
    </cfRule>
  </conditionalFormatting>
  <conditionalFormatting sqref="AC13">
    <cfRule type="cellIs" priority="1962" operator="greaterThan" dxfId="13">
      <formula>0.9</formula>
    </cfRule>
    <cfRule type="cellIs" priority="1963" operator="greaterThan" dxfId="12">
      <formula>0.85</formula>
    </cfRule>
  </conditionalFormatting>
  <conditionalFormatting sqref="N13">
    <cfRule type="cellIs" priority="1960" operator="greaterThan" dxfId="13">
      <formula>0.9</formula>
    </cfRule>
    <cfRule type="cellIs" priority="1961" operator="greaterThan" dxfId="12">
      <formula>0.85</formula>
    </cfRule>
  </conditionalFormatting>
  <conditionalFormatting sqref="E13">
    <cfRule type="expression" priority="1956" dxfId="3">
      <formula>AND(IF(OR($Q13=1,$Q13=2),1,0),IF($X13&lt;=20,1,0))</formula>
    </cfRule>
    <cfRule type="expression" priority="1957" dxfId="2">
      <formula>AND(IF($Q13=2,1,0),IF($X13&lt;30,1,0))</formula>
    </cfRule>
    <cfRule type="expression" priority="1958" dxfId="1">
      <formula>AND(IF($Q13=3,1,0),IF($X13&lt;30,1,0))</formula>
    </cfRule>
    <cfRule type="expression" priority="1959" dxfId="0">
      <formula>AND(IF($Q13=3,1,IF($Q13=4,1,0)),IF($F13&lt;=85,1,0))</formula>
    </cfRule>
  </conditionalFormatting>
  <conditionalFormatting sqref="X13">
    <cfRule type="expression" priority="1952" dxfId="3">
      <formula>AND(IF(OR($Q13=1,$Q13=2),1,0),IF($X13&lt;=20,1,0))</formula>
    </cfRule>
    <cfRule type="expression" priority="1953" dxfId="2">
      <formula>AND(IF($Q13=2,1,0),IF($X13&lt;30,1,0))</formula>
    </cfRule>
    <cfRule type="expression" priority="1954" dxfId="1">
      <formula>AND(IF($Q13=3,1,0),IF($X13&lt;30,1,0))</formula>
    </cfRule>
    <cfRule type="expression" priority="1955" dxfId="0">
      <formula>AND(IF($Q13=3,1,IF($Q13=4,1,0)),IF($F13&lt;=85,1,0))</formula>
    </cfRule>
  </conditionalFormatting>
  <conditionalFormatting sqref="AI13">
    <cfRule type="expression" priority="1948" dxfId="3">
      <formula>AND(IF(OR($Q13=1,$Q13=2),1,0),IF($X13&lt;=20,1,0))</formula>
    </cfRule>
    <cfRule type="expression" priority="1949" dxfId="2">
      <formula>AND(IF($Q13=2,1,0),IF($X13&lt;30,1,0))</formula>
    </cfRule>
    <cfRule type="expression" priority="1950" dxfId="1">
      <formula>AND(IF($Q13=3,1,0),IF($X13&lt;30,1,0))</formula>
    </cfRule>
    <cfRule type="expression" priority="1951" dxfId="0">
      <formula>AND(IF($Q13=3,1,IF($Q13=4,1,0)),IF($F13&lt;=85,1,0))</formula>
    </cfRule>
  </conditionalFormatting>
  <conditionalFormatting sqref="AV14">
    <cfRule type="expression" priority="1946" dxfId="17">
      <formula>AV14="X"</formula>
    </cfRule>
    <cfRule type="expression" priority="1947" dxfId="16">
      <formula>AV14="후보"</formula>
    </cfRule>
  </conditionalFormatting>
  <conditionalFormatting sqref="AC14">
    <cfRule type="cellIs" priority="1943" operator="greaterThan" dxfId="13">
      <formula>0.9</formula>
    </cfRule>
    <cfRule type="cellIs" priority="1944" operator="greaterThan" dxfId="12">
      <formula>0.85</formula>
    </cfRule>
  </conditionalFormatting>
  <conditionalFormatting sqref="N14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E14">
    <cfRule type="expression" priority="1937" dxfId="3">
      <formula>AND(IF(OR($Q14=1,$Q14=2),1,0),IF($X14&lt;=20,1,0))</formula>
    </cfRule>
    <cfRule type="expression" priority="1938" dxfId="2">
      <formula>AND(IF($Q14=2,1,0),IF($X14&lt;30,1,0))</formula>
    </cfRule>
    <cfRule type="expression" priority="1939" dxfId="1">
      <formula>AND(IF($Q14=3,1,0),IF($X14&lt;30,1,0))</formula>
    </cfRule>
    <cfRule type="expression" priority="1940" dxfId="0">
      <formula>AND(IF($Q14=3,1,IF($Q14=4,1,0)),IF($F14&lt;=85,1,0))</formula>
    </cfRule>
  </conditionalFormatting>
  <conditionalFormatting sqref="X14">
    <cfRule type="expression" priority="1933" dxfId="3">
      <formula>AND(IF(OR($Q14=1,$Q14=2),1,0),IF($X14&lt;=20,1,0))</formula>
    </cfRule>
    <cfRule type="expression" priority="1934" dxfId="2">
      <formula>AND(IF($Q14=2,1,0),IF($X14&lt;30,1,0))</formula>
    </cfRule>
    <cfRule type="expression" priority="1935" dxfId="1">
      <formula>AND(IF($Q14=3,1,0),IF($X14&lt;30,1,0))</formula>
    </cfRule>
    <cfRule type="expression" priority="1936" dxfId="0">
      <formula>AND(IF($Q14=3,1,IF($Q14=4,1,0)),IF($F14&lt;=85,1,0))</formula>
    </cfRule>
  </conditionalFormatting>
  <conditionalFormatting sqref="AI14">
    <cfRule type="expression" priority="1929" dxfId="3">
      <formula>AND(IF(OR($Q14=1,$Q14=2),1,0),IF($X14&lt;=20,1,0))</formula>
    </cfRule>
    <cfRule type="expression" priority="1930" dxfId="2">
      <formula>AND(IF($Q14=2,1,0),IF($X14&lt;30,1,0))</formula>
    </cfRule>
    <cfRule type="expression" priority="1931" dxfId="1">
      <formula>AND(IF($Q14=3,1,0),IF($X14&lt;30,1,0))</formula>
    </cfRule>
    <cfRule type="expression" priority="1932" dxfId="0">
      <formula>AND(IF($Q14=3,1,IF($Q14=4,1,0)),IF($F14&lt;=85,1,0))</formula>
    </cfRule>
  </conditionalFormatting>
  <conditionalFormatting sqref="AV15">
    <cfRule type="expression" priority="1927" dxfId="17">
      <formula>AV15="X"</formula>
    </cfRule>
    <cfRule type="expression" priority="1928" dxfId="16">
      <formula>AV15="후보"</formula>
    </cfRule>
  </conditionalFormatting>
  <conditionalFormatting sqref="AC15">
    <cfRule type="cellIs" priority="1924" operator="greaterThan" dxfId="13">
      <formula>0.9</formula>
    </cfRule>
    <cfRule type="cellIs" priority="1925" operator="greaterThan" dxfId="12">
      <formula>0.85</formula>
    </cfRule>
  </conditionalFormatting>
  <conditionalFormatting sqref="N15">
    <cfRule type="cellIs" priority="1922" operator="greaterThan" dxfId="13">
      <formula>0.9</formula>
    </cfRule>
    <cfRule type="cellIs" priority="1923" operator="greaterThan" dxfId="12">
      <formula>0.85</formula>
    </cfRule>
  </conditionalFormatting>
  <conditionalFormatting sqref="E15">
    <cfRule type="expression" priority="1918" dxfId="3">
      <formula>AND(IF(OR($Q15=1,$Q15=2),1,0),IF($X15&lt;=20,1,0))</formula>
    </cfRule>
    <cfRule type="expression" priority="1919" dxfId="2">
      <formula>AND(IF($Q15=2,1,0),IF($X15&lt;30,1,0))</formula>
    </cfRule>
    <cfRule type="expression" priority="1920" dxfId="1">
      <formula>AND(IF($Q15=3,1,0),IF($X15&lt;30,1,0))</formula>
    </cfRule>
    <cfRule type="expression" priority="1921" dxfId="0">
      <formula>AND(IF($Q15=3,1,IF($Q15=4,1,0)),IF($F15&lt;=85,1,0))</formula>
    </cfRule>
  </conditionalFormatting>
  <conditionalFormatting sqref="X15">
    <cfRule type="expression" priority="1914" dxfId="3">
      <formula>AND(IF(OR($Q15=1,$Q15=2),1,0),IF($X15&lt;=20,1,0))</formula>
    </cfRule>
    <cfRule type="expression" priority="1915" dxfId="2">
      <formula>AND(IF($Q15=2,1,0),IF($X15&lt;30,1,0))</formula>
    </cfRule>
    <cfRule type="expression" priority="1916" dxfId="1">
      <formula>AND(IF($Q15=3,1,0),IF($X15&lt;30,1,0))</formula>
    </cfRule>
    <cfRule type="expression" priority="1917" dxfId="0">
      <formula>AND(IF($Q15=3,1,IF($Q15=4,1,0)),IF($F15&lt;=85,1,0))</formula>
    </cfRule>
  </conditionalFormatting>
  <conditionalFormatting sqref="AI15">
    <cfRule type="expression" priority="1910" dxfId="3">
      <formula>AND(IF(OR($Q15=1,$Q15=2),1,0),IF($X15&lt;=20,1,0))</formula>
    </cfRule>
    <cfRule type="expression" priority="1911" dxfId="2">
      <formula>AND(IF($Q15=2,1,0),IF($X15&lt;30,1,0))</formula>
    </cfRule>
    <cfRule type="expression" priority="1912" dxfId="1">
      <formula>AND(IF($Q15=3,1,0),IF($X15&lt;30,1,0))</formula>
    </cfRule>
    <cfRule type="expression" priority="1913" dxfId="0">
      <formula>AND(IF($Q15=3,1,IF($Q15=4,1,0)),IF($F15&lt;=85,1,0))</formula>
    </cfRule>
  </conditionalFormatting>
  <conditionalFormatting sqref="AV16">
    <cfRule type="expression" priority="1908" dxfId="17">
      <formula>AV16="X"</formula>
    </cfRule>
    <cfRule type="expression" priority="1909" dxfId="16">
      <formula>AV16="후보"</formula>
    </cfRule>
  </conditionalFormatting>
  <conditionalFormatting sqref="AC16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16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16">
    <cfRule type="expression" priority="1899" dxfId="3">
      <formula>AND(IF(OR($Q16=1,$Q16=2),1,0),IF($X16&lt;=20,1,0))</formula>
    </cfRule>
    <cfRule type="expression" priority="1900" dxfId="2">
      <formula>AND(IF($Q16=2,1,0),IF($X16&lt;30,1,0))</formula>
    </cfRule>
    <cfRule type="expression" priority="1901" dxfId="1">
      <formula>AND(IF($Q16=3,1,0),IF($X16&lt;30,1,0))</formula>
    </cfRule>
    <cfRule type="expression" priority="1902" dxfId="0">
      <formula>AND(IF($Q16=3,1,IF($Q16=4,1,0)),IF($F16&lt;=85,1,0))</formula>
    </cfRule>
  </conditionalFormatting>
  <conditionalFormatting sqref="X16">
    <cfRule type="expression" priority="1895" dxfId="3">
      <formula>AND(IF(OR($Q16=1,$Q16=2),1,0),IF($X16&lt;=20,1,0))</formula>
    </cfRule>
    <cfRule type="expression" priority="1896" dxfId="2">
      <formula>AND(IF($Q16=2,1,0),IF($X16&lt;30,1,0))</formula>
    </cfRule>
    <cfRule type="expression" priority="1897" dxfId="1">
      <formula>AND(IF($Q16=3,1,0),IF($X16&lt;30,1,0))</formula>
    </cfRule>
    <cfRule type="expression" priority="1898" dxfId="0">
      <formula>AND(IF($Q16=3,1,IF($Q16=4,1,0)),IF($F16&lt;=85,1,0))</formula>
    </cfRule>
  </conditionalFormatting>
  <conditionalFormatting sqref="AI16">
    <cfRule type="expression" priority="1891" dxfId="3">
      <formula>AND(IF(OR($Q16=1,$Q16=2),1,0),IF($X16&lt;=20,1,0))</formula>
    </cfRule>
    <cfRule type="expression" priority="1892" dxfId="2">
      <formula>AND(IF($Q16=2,1,0),IF($X16&lt;30,1,0))</formula>
    </cfRule>
    <cfRule type="expression" priority="1893" dxfId="1">
      <formula>AND(IF($Q16=3,1,0),IF($X16&lt;30,1,0))</formula>
    </cfRule>
    <cfRule type="expression" priority="1894" dxfId="0">
      <formula>AND(IF($Q16=3,1,IF($Q16=4,1,0)),IF($F16&lt;=85,1,0))</formula>
    </cfRule>
  </conditionalFormatting>
  <conditionalFormatting sqref="AV17">
    <cfRule type="expression" priority="1889" dxfId="17">
      <formula>AV17="X"</formula>
    </cfRule>
    <cfRule type="expression" priority="1890" dxfId="16">
      <formula>AV17="후보"</formula>
    </cfRule>
  </conditionalFormatting>
  <conditionalFormatting sqref="AC17">
    <cfRule type="cellIs" priority="1886" operator="greaterThan" dxfId="13">
      <formula>0.9</formula>
    </cfRule>
    <cfRule type="cellIs" priority="1887" operator="greaterThan" dxfId="12">
      <formula>0.85</formula>
    </cfRule>
  </conditionalFormatting>
  <conditionalFormatting sqref="N17">
    <cfRule type="cellIs" priority="1884" operator="greaterThan" dxfId="13">
      <formula>0.9</formula>
    </cfRule>
    <cfRule type="cellIs" priority="1885" operator="greaterThan" dxfId="12">
      <formula>0.85</formula>
    </cfRule>
  </conditionalFormatting>
  <conditionalFormatting sqref="E17">
    <cfRule type="expression" priority="1880" dxfId="3">
      <formula>AND(IF(OR($Q17=1,$Q17=2),1,0),IF($X17&lt;=20,1,0))</formula>
    </cfRule>
    <cfRule type="expression" priority="1881" dxfId="2">
      <formula>AND(IF($Q17=2,1,0),IF($X17&lt;30,1,0))</formula>
    </cfRule>
    <cfRule type="expression" priority="1882" dxfId="1">
      <formula>AND(IF($Q17=3,1,0),IF($X17&lt;30,1,0))</formula>
    </cfRule>
    <cfRule type="expression" priority="1883" dxfId="0">
      <formula>AND(IF($Q17=3,1,IF($Q17=4,1,0)),IF($F17&lt;=85,1,0))</formula>
    </cfRule>
  </conditionalFormatting>
  <conditionalFormatting sqref="X17">
    <cfRule type="expression" priority="1876" dxfId="3">
      <formula>AND(IF(OR($Q17=1,$Q17=2),1,0),IF($X17&lt;=20,1,0))</formula>
    </cfRule>
    <cfRule type="expression" priority="1877" dxfId="2">
      <formula>AND(IF($Q17=2,1,0),IF($X17&lt;30,1,0))</formula>
    </cfRule>
    <cfRule type="expression" priority="1878" dxfId="1">
      <formula>AND(IF($Q17=3,1,0),IF($X17&lt;30,1,0))</formula>
    </cfRule>
    <cfRule type="expression" priority="1879" dxfId="0">
      <formula>AND(IF($Q17=3,1,IF($Q17=4,1,0)),IF($F17&lt;=85,1,0))</formula>
    </cfRule>
  </conditionalFormatting>
  <conditionalFormatting sqref="AI17">
    <cfRule type="expression" priority="1872" dxfId="3">
      <formula>AND(IF(OR($Q17=1,$Q17=2),1,0),IF($X17&lt;=20,1,0))</formula>
    </cfRule>
    <cfRule type="expression" priority="1873" dxfId="2">
      <formula>AND(IF($Q17=2,1,0),IF($X17&lt;30,1,0))</formula>
    </cfRule>
    <cfRule type="expression" priority="1874" dxfId="1">
      <formula>AND(IF($Q17=3,1,0),IF($X17&lt;30,1,0))</formula>
    </cfRule>
    <cfRule type="expression" priority="1875" dxfId="0">
      <formula>AND(IF($Q17=3,1,IF($Q17=4,1,0)),IF($F17&lt;=85,1,0))</formula>
    </cfRule>
  </conditionalFormatting>
  <conditionalFormatting sqref="AV18">
    <cfRule type="expression" priority="1870" dxfId="17">
      <formula>AV18="X"</formula>
    </cfRule>
    <cfRule type="expression" priority="1871" dxfId="16">
      <formula>AV18="후보"</formula>
    </cfRule>
  </conditionalFormatting>
  <conditionalFormatting sqref="AC18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18">
    <cfRule type="cellIs" priority="1865" operator="greaterThan" dxfId="13">
      <formula>0.9</formula>
    </cfRule>
    <cfRule type="cellIs" priority="1866" operator="greaterThan" dxfId="12">
      <formula>0.85</formula>
    </cfRule>
  </conditionalFormatting>
  <conditionalFormatting sqref="E18">
    <cfRule type="expression" priority="1861" dxfId="3">
      <formula>AND(IF(OR($Q18=1,$Q18=2),1,0),IF($X18&lt;=20,1,0))</formula>
    </cfRule>
    <cfRule type="expression" priority="1862" dxfId="2">
      <formula>AND(IF($Q18=2,1,0),IF($X18&lt;30,1,0))</formula>
    </cfRule>
    <cfRule type="expression" priority="1863" dxfId="1">
      <formula>AND(IF($Q18=3,1,0),IF($X18&lt;30,1,0))</formula>
    </cfRule>
    <cfRule type="expression" priority="1864" dxfId="0">
      <formula>AND(IF($Q18=3,1,IF($Q18=4,1,0)),IF($F18&lt;=85,1,0))</formula>
    </cfRule>
  </conditionalFormatting>
  <conditionalFormatting sqref="X18">
    <cfRule type="expression" priority="1857" dxfId="3">
      <formula>AND(IF(OR($Q18=1,$Q18=2),1,0),IF($X18&lt;=20,1,0))</formula>
    </cfRule>
    <cfRule type="expression" priority="1858" dxfId="2">
      <formula>AND(IF($Q18=2,1,0),IF($X18&lt;30,1,0))</formula>
    </cfRule>
    <cfRule type="expression" priority="1859" dxfId="1">
      <formula>AND(IF($Q18=3,1,0),IF($X18&lt;30,1,0))</formula>
    </cfRule>
    <cfRule type="expression" priority="1860" dxfId="0">
      <formula>AND(IF($Q18=3,1,IF($Q18=4,1,0)),IF($F18&lt;=85,1,0))</formula>
    </cfRule>
  </conditionalFormatting>
  <conditionalFormatting sqref="AI18">
    <cfRule type="expression" priority="1853" dxfId="3">
      <formula>AND(IF(OR($Q18=1,$Q18=2),1,0),IF($X18&lt;=20,1,0))</formula>
    </cfRule>
    <cfRule type="expression" priority="1854" dxfId="2">
      <formula>AND(IF($Q18=2,1,0),IF($X18&lt;30,1,0))</formula>
    </cfRule>
    <cfRule type="expression" priority="1855" dxfId="1">
      <formula>AND(IF($Q18=3,1,0),IF($X18&lt;30,1,0))</formula>
    </cfRule>
    <cfRule type="expression" priority="1856" dxfId="0">
      <formula>AND(IF($Q18=3,1,IF($Q18=4,1,0)),IF($F18&lt;=85,1,0))</formula>
    </cfRule>
  </conditionalFormatting>
  <conditionalFormatting sqref="AV19">
    <cfRule type="expression" priority="1851" dxfId="17">
      <formula>AV19="X"</formula>
    </cfRule>
    <cfRule type="expression" priority="1852" dxfId="16">
      <formula>AV19="후보"</formula>
    </cfRule>
  </conditionalFormatting>
  <conditionalFormatting sqref="AC19">
    <cfRule type="cellIs" priority="1848" operator="greaterThan" dxfId="13">
      <formula>0.9</formula>
    </cfRule>
    <cfRule type="cellIs" priority="1849" operator="greaterThan" dxfId="12">
      <formula>0.85</formula>
    </cfRule>
  </conditionalFormatting>
  <conditionalFormatting sqref="N19">
    <cfRule type="cellIs" priority="1846" operator="greaterThan" dxfId="13">
      <formula>0.9</formula>
    </cfRule>
    <cfRule type="cellIs" priority="1847" operator="greaterThan" dxfId="12">
      <formula>0.85</formula>
    </cfRule>
  </conditionalFormatting>
  <conditionalFormatting sqref="E19">
    <cfRule type="expression" priority="1842" dxfId="3">
      <formula>AND(IF(OR($Q19=1,$Q19=2),1,0),IF($X19&lt;=20,1,0))</formula>
    </cfRule>
    <cfRule type="expression" priority="1843" dxfId="2">
      <formula>AND(IF($Q19=2,1,0),IF($X19&lt;30,1,0))</formula>
    </cfRule>
    <cfRule type="expression" priority="1844" dxfId="1">
      <formula>AND(IF($Q19=3,1,0),IF($X19&lt;30,1,0))</formula>
    </cfRule>
    <cfRule type="expression" priority="1845" dxfId="0">
      <formula>AND(IF($Q19=3,1,IF($Q19=4,1,0)),IF($F19&lt;=85,1,0))</formula>
    </cfRule>
  </conditionalFormatting>
  <conditionalFormatting sqref="X19">
    <cfRule type="expression" priority="1838" dxfId="3">
      <formula>AND(IF(OR($Q19=1,$Q19=2),1,0),IF($X19&lt;=20,1,0))</formula>
    </cfRule>
    <cfRule type="expression" priority="1839" dxfId="2">
      <formula>AND(IF($Q19=2,1,0),IF($X19&lt;30,1,0))</formula>
    </cfRule>
    <cfRule type="expression" priority="1840" dxfId="1">
      <formula>AND(IF($Q19=3,1,0),IF($X19&lt;30,1,0))</formula>
    </cfRule>
    <cfRule type="expression" priority="1841" dxfId="0">
      <formula>AND(IF($Q19=3,1,IF($Q19=4,1,0)),IF($F19&lt;=85,1,0))</formula>
    </cfRule>
  </conditionalFormatting>
  <conditionalFormatting sqref="AI19">
    <cfRule type="expression" priority="1834" dxfId="3">
      <formula>AND(IF(OR($Q19=1,$Q19=2),1,0),IF($X19&lt;=20,1,0))</formula>
    </cfRule>
    <cfRule type="expression" priority="1835" dxfId="2">
      <formula>AND(IF($Q19=2,1,0),IF($X19&lt;30,1,0))</formula>
    </cfRule>
    <cfRule type="expression" priority="1836" dxfId="1">
      <formula>AND(IF($Q19=3,1,0),IF($X19&lt;30,1,0))</formula>
    </cfRule>
    <cfRule type="expression" priority="1837" dxfId="0">
      <formula>AND(IF($Q19=3,1,IF($Q19=4,1,0)),IF($F19&lt;=85,1,0))</formula>
    </cfRule>
  </conditionalFormatting>
  <conditionalFormatting sqref="AV20">
    <cfRule type="expression" priority="1832" dxfId="17">
      <formula>AV20="X"</formula>
    </cfRule>
    <cfRule type="expression" priority="1833" dxfId="16">
      <formula>AV20="후보"</formula>
    </cfRule>
  </conditionalFormatting>
  <conditionalFormatting sqref="AC20 N20">
    <cfRule type="cellIs" priority="1829" operator="greaterThan" dxfId="13">
      <formula>0.9</formula>
    </cfRule>
    <cfRule type="cellIs" priority="1830" operator="greaterThan" dxfId="12">
      <formula>0.85</formula>
    </cfRule>
  </conditionalFormatting>
  <conditionalFormatting sqref="AV21">
    <cfRule type="expression" priority="1827" dxfId="17">
      <formula>AV21="X"</formula>
    </cfRule>
    <cfRule type="expression" priority="1828" dxfId="16">
      <formula>AV21="후보"</formula>
    </cfRule>
  </conditionalFormatting>
  <conditionalFormatting sqref="AC21">
    <cfRule type="cellIs" priority="1824" operator="greaterThan" dxfId="13">
      <formula>0.9</formula>
    </cfRule>
    <cfRule type="cellIs" priority="1825" operator="greaterThan" dxfId="12">
      <formula>0.85</formula>
    </cfRule>
  </conditionalFormatting>
  <conditionalFormatting sqref="N21">
    <cfRule type="cellIs" priority="1822" operator="greaterThan" dxfId="13">
      <formula>0.9</formula>
    </cfRule>
    <cfRule type="cellIs" priority="1823" operator="greaterThan" dxfId="12">
      <formula>0.85</formula>
    </cfRule>
  </conditionalFormatting>
  <conditionalFormatting sqref="E21">
    <cfRule type="expression" priority="1818" dxfId="3">
      <formula>AND(IF(OR($Q21=1,$Q21=2),1,0),IF($X21&lt;=20,1,0))</formula>
    </cfRule>
    <cfRule type="expression" priority="1819" dxfId="2">
      <formula>AND(IF($Q21=2,1,0),IF($X21&lt;30,1,0))</formula>
    </cfRule>
    <cfRule type="expression" priority="1820" dxfId="1">
      <formula>AND(IF($Q21=3,1,0),IF($X21&lt;30,1,0))</formula>
    </cfRule>
    <cfRule type="expression" priority="1821" dxfId="0">
      <formula>AND(IF($Q21=3,1,IF($Q21=4,1,0)),IF($F21&lt;=85,1,0))</formula>
    </cfRule>
  </conditionalFormatting>
  <conditionalFormatting sqref="X21">
    <cfRule type="expression" priority="1814" dxfId="3">
      <formula>AND(IF(OR($Q21=1,$Q21=2),1,0),IF($X21&lt;=20,1,0))</formula>
    </cfRule>
    <cfRule type="expression" priority="1815" dxfId="2">
      <formula>AND(IF($Q21=2,1,0),IF($X21&lt;30,1,0))</formula>
    </cfRule>
    <cfRule type="expression" priority="1816" dxfId="1">
      <formula>AND(IF($Q21=3,1,0),IF($X21&lt;30,1,0))</formula>
    </cfRule>
    <cfRule type="expression" priority="1817" dxfId="0">
      <formula>AND(IF($Q21=3,1,IF($Q21=4,1,0)),IF($F21&lt;=85,1,0))</formula>
    </cfRule>
  </conditionalFormatting>
  <conditionalFormatting sqref="AI21">
    <cfRule type="expression" priority="1810" dxfId="3">
      <formula>AND(IF(OR($Q21=1,$Q21=2),1,0),IF($X21&lt;=20,1,0))</formula>
    </cfRule>
    <cfRule type="expression" priority="1811" dxfId="2">
      <formula>AND(IF($Q21=2,1,0),IF($X21&lt;30,1,0))</formula>
    </cfRule>
    <cfRule type="expression" priority="1812" dxfId="1">
      <formula>AND(IF($Q21=3,1,0),IF($X21&lt;30,1,0))</formula>
    </cfRule>
    <cfRule type="expression" priority="1813" dxfId="0">
      <formula>AND(IF($Q21=3,1,IF($Q21=4,1,0)),IF($F21&lt;=85,1,0))</formula>
    </cfRule>
  </conditionalFormatting>
  <conditionalFormatting sqref="AV22">
    <cfRule type="expression" priority="1808" dxfId="17">
      <formula>AV22="X"</formula>
    </cfRule>
    <cfRule type="expression" priority="1809" dxfId="16">
      <formula>AV22="후보"</formula>
    </cfRule>
  </conditionalFormatting>
  <conditionalFormatting sqref="AC22">
    <cfRule type="cellIs" priority="1805" operator="greaterThan" dxfId="13">
      <formula>0.9</formula>
    </cfRule>
    <cfRule type="cellIs" priority="1806" operator="greaterThan" dxfId="12">
      <formula>0.85</formula>
    </cfRule>
  </conditionalFormatting>
  <conditionalFormatting sqref="N22">
    <cfRule type="cellIs" priority="1803" operator="greaterThan" dxfId="13">
      <formula>0.9</formula>
    </cfRule>
    <cfRule type="cellIs" priority="1804" operator="greaterThan" dxfId="12">
      <formula>0.85</formula>
    </cfRule>
  </conditionalFormatting>
  <conditionalFormatting sqref="E22">
    <cfRule type="expression" priority="1799" dxfId="3">
      <formula>AND(IF(OR($Q22=1,$Q22=2),1,0),IF($X22&lt;=20,1,0))</formula>
    </cfRule>
    <cfRule type="expression" priority="1800" dxfId="2">
      <formula>AND(IF($Q22=2,1,0),IF($X22&lt;30,1,0))</formula>
    </cfRule>
    <cfRule type="expression" priority="1801" dxfId="1">
      <formula>AND(IF($Q22=3,1,0),IF($X22&lt;30,1,0))</formula>
    </cfRule>
    <cfRule type="expression" priority="1802" dxfId="0">
      <formula>AND(IF($Q22=3,1,IF($Q22=4,1,0)),IF($F22&lt;=85,1,0))</formula>
    </cfRule>
  </conditionalFormatting>
  <conditionalFormatting sqref="X22">
    <cfRule type="expression" priority="1795" dxfId="3">
      <formula>AND(IF(OR($Q22=1,$Q22=2),1,0),IF($X22&lt;=20,1,0))</formula>
    </cfRule>
    <cfRule type="expression" priority="1796" dxfId="2">
      <formula>AND(IF($Q22=2,1,0),IF($X22&lt;30,1,0))</formula>
    </cfRule>
    <cfRule type="expression" priority="1797" dxfId="1">
      <formula>AND(IF($Q22=3,1,0),IF($X22&lt;30,1,0))</formula>
    </cfRule>
    <cfRule type="expression" priority="1798" dxfId="0">
      <formula>AND(IF($Q22=3,1,IF($Q22=4,1,0)),IF($F22&lt;=85,1,0))</formula>
    </cfRule>
  </conditionalFormatting>
  <conditionalFormatting sqref="AI22">
    <cfRule type="expression" priority="1791" dxfId="3">
      <formula>AND(IF(OR($Q22=1,$Q22=2),1,0),IF($X22&lt;=20,1,0))</formula>
    </cfRule>
    <cfRule type="expression" priority="1792" dxfId="2">
      <formula>AND(IF($Q22=2,1,0),IF($X22&lt;30,1,0))</formula>
    </cfRule>
    <cfRule type="expression" priority="1793" dxfId="1">
      <formula>AND(IF($Q22=3,1,0),IF($X22&lt;30,1,0))</formula>
    </cfRule>
    <cfRule type="expression" priority="1794" dxfId="0">
      <formula>AND(IF($Q22=3,1,IF($Q22=4,1,0)),IF($F22&lt;=85,1,0))</formula>
    </cfRule>
  </conditionalFormatting>
  <conditionalFormatting sqref="AV23">
    <cfRule type="expression" priority="1789" dxfId="17">
      <formula>AV23="X"</formula>
    </cfRule>
    <cfRule type="expression" priority="1790" dxfId="16">
      <formula>AV23="후보"</formula>
    </cfRule>
  </conditionalFormatting>
  <conditionalFormatting sqref="AC23">
    <cfRule type="cellIs" priority="1786" operator="greaterThan" dxfId="13">
      <formula>0.9</formula>
    </cfRule>
    <cfRule type="cellIs" priority="1787" operator="greaterThan" dxfId="12">
      <formula>0.85</formula>
    </cfRule>
  </conditionalFormatting>
  <conditionalFormatting sqref="N23">
    <cfRule type="cellIs" priority="1784" operator="greaterThan" dxfId="13">
      <formula>0.9</formula>
    </cfRule>
    <cfRule type="cellIs" priority="1785" operator="greaterThan" dxfId="12">
      <formula>0.85</formula>
    </cfRule>
  </conditionalFormatting>
  <conditionalFormatting sqref="E23">
    <cfRule type="expression" priority="1780" dxfId="3">
      <formula>AND(IF(OR($Q23=1,$Q23=2),1,0),IF($X23&lt;=20,1,0))</formula>
    </cfRule>
    <cfRule type="expression" priority="1781" dxfId="2">
      <formula>AND(IF($Q23=2,1,0),IF($X23&lt;30,1,0))</formula>
    </cfRule>
    <cfRule type="expression" priority="1782" dxfId="1">
      <formula>AND(IF($Q23=3,1,0),IF($X23&lt;30,1,0))</formula>
    </cfRule>
    <cfRule type="expression" priority="1783" dxfId="0">
      <formula>AND(IF($Q23=3,1,IF($Q23=4,1,0)),IF($F23&lt;=85,1,0))</formula>
    </cfRule>
  </conditionalFormatting>
  <conditionalFormatting sqref="X23">
    <cfRule type="expression" priority="1776" dxfId="3">
      <formula>AND(IF(OR($Q23=1,$Q23=2),1,0),IF($X23&lt;=20,1,0))</formula>
    </cfRule>
    <cfRule type="expression" priority="1777" dxfId="2">
      <formula>AND(IF($Q23=2,1,0),IF($X23&lt;30,1,0))</formula>
    </cfRule>
    <cfRule type="expression" priority="1778" dxfId="1">
      <formula>AND(IF($Q23=3,1,0),IF($X23&lt;30,1,0))</formula>
    </cfRule>
    <cfRule type="expression" priority="1779" dxfId="0">
      <formula>AND(IF($Q23=3,1,IF($Q23=4,1,0)),IF($F23&lt;=85,1,0))</formula>
    </cfRule>
  </conditionalFormatting>
  <conditionalFormatting sqref="AI23">
    <cfRule type="expression" priority="1772" dxfId="3">
      <formula>AND(IF(OR($Q23=1,$Q23=2),1,0),IF($X23&lt;=20,1,0))</formula>
    </cfRule>
    <cfRule type="expression" priority="1773" dxfId="2">
      <formula>AND(IF($Q23=2,1,0),IF($X23&lt;30,1,0))</formula>
    </cfRule>
    <cfRule type="expression" priority="1774" dxfId="1">
      <formula>AND(IF($Q23=3,1,0),IF($X23&lt;30,1,0))</formula>
    </cfRule>
    <cfRule type="expression" priority="1775" dxfId="0">
      <formula>AND(IF($Q23=3,1,IF($Q23=4,1,0)),IF($F23&lt;=85,1,0))</formula>
    </cfRule>
  </conditionalFormatting>
  <conditionalFormatting sqref="AV24">
    <cfRule type="expression" priority="1770" dxfId="17">
      <formula>AV24="X"</formula>
    </cfRule>
    <cfRule type="expression" priority="1771" dxfId="16">
      <formula>AV24="후보"</formula>
    </cfRule>
  </conditionalFormatting>
  <conditionalFormatting sqref="AC24">
    <cfRule type="cellIs" priority="1767" operator="greaterThan" dxfId="13">
      <formula>0.9</formula>
    </cfRule>
    <cfRule type="cellIs" priority="1768" operator="greaterThan" dxfId="12">
      <formula>0.85</formula>
    </cfRule>
  </conditionalFormatting>
  <conditionalFormatting sqref="N24">
    <cfRule type="cellIs" priority="1765" operator="greaterThan" dxfId="13">
      <formula>0.9</formula>
    </cfRule>
    <cfRule type="cellIs" priority="1766" operator="greaterThan" dxfId="12">
      <formula>0.85</formula>
    </cfRule>
  </conditionalFormatting>
  <conditionalFormatting sqref="E24">
    <cfRule type="expression" priority="1761" dxfId="3">
      <formula>AND(IF(OR($Q24=1,$Q24=2),1,0),IF($X24&lt;=20,1,0))</formula>
    </cfRule>
    <cfRule type="expression" priority="1762" dxfId="2">
      <formula>AND(IF($Q24=2,1,0),IF($X24&lt;30,1,0))</formula>
    </cfRule>
    <cfRule type="expression" priority="1763" dxfId="1">
      <formula>AND(IF($Q24=3,1,0),IF($X24&lt;30,1,0))</formula>
    </cfRule>
    <cfRule type="expression" priority="1764" dxfId="0">
      <formula>AND(IF($Q24=3,1,IF($Q24=4,1,0)),IF($F24&lt;=85,1,0))</formula>
    </cfRule>
  </conditionalFormatting>
  <conditionalFormatting sqref="X24">
    <cfRule type="expression" priority="1757" dxfId="3">
      <formula>AND(IF(OR($Q24=1,$Q24=2),1,0),IF($X24&lt;=20,1,0))</formula>
    </cfRule>
    <cfRule type="expression" priority="1758" dxfId="2">
      <formula>AND(IF($Q24=2,1,0),IF($X24&lt;30,1,0))</formula>
    </cfRule>
    <cfRule type="expression" priority="1759" dxfId="1">
      <formula>AND(IF($Q24=3,1,0),IF($X24&lt;30,1,0))</formula>
    </cfRule>
    <cfRule type="expression" priority="1760" dxfId="0">
      <formula>AND(IF($Q24=3,1,IF($Q24=4,1,0)),IF($F24&lt;=85,1,0))</formula>
    </cfRule>
  </conditionalFormatting>
  <conditionalFormatting sqref="AI24">
    <cfRule type="expression" priority="1753" dxfId="3">
      <formula>AND(IF(OR($Q24=1,$Q24=2),1,0),IF($X24&lt;=20,1,0))</formula>
    </cfRule>
    <cfRule type="expression" priority="1754" dxfId="2">
      <formula>AND(IF($Q24=2,1,0),IF($X24&lt;30,1,0))</formula>
    </cfRule>
    <cfRule type="expression" priority="1755" dxfId="1">
      <formula>AND(IF($Q24=3,1,0),IF($X24&lt;30,1,0))</formula>
    </cfRule>
    <cfRule type="expression" priority="1756" dxfId="0">
      <formula>AND(IF($Q24=3,1,IF($Q24=4,1,0)),IF($F24&lt;=85,1,0))</formula>
    </cfRule>
  </conditionalFormatting>
  <conditionalFormatting sqref="AV25">
    <cfRule type="expression" priority="1751" dxfId="17">
      <formula>AV25="X"</formula>
    </cfRule>
    <cfRule type="expression" priority="1752" dxfId="16">
      <formula>AV25="후보"</formula>
    </cfRule>
  </conditionalFormatting>
  <conditionalFormatting sqref="AC25">
    <cfRule type="cellIs" priority="1748" operator="greaterThan" dxfId="13">
      <formula>0.9</formula>
    </cfRule>
    <cfRule type="cellIs" priority="1749" operator="greaterThan" dxfId="12">
      <formula>0.85</formula>
    </cfRule>
  </conditionalFormatting>
  <conditionalFormatting sqref="N25">
    <cfRule type="cellIs" priority="1746" operator="greaterThan" dxfId="13">
      <formula>0.9</formula>
    </cfRule>
    <cfRule type="cellIs" priority="1747" operator="greaterThan" dxfId="12">
      <formula>0.85</formula>
    </cfRule>
  </conditionalFormatting>
  <conditionalFormatting sqref="E25">
    <cfRule type="expression" priority="1742" dxfId="3">
      <formula>AND(IF(OR($Q25=1,$Q25=2),1,0),IF($X25&lt;=20,1,0))</formula>
    </cfRule>
    <cfRule type="expression" priority="1743" dxfId="2">
      <formula>AND(IF($Q25=2,1,0),IF($X25&lt;30,1,0))</formula>
    </cfRule>
    <cfRule type="expression" priority="1744" dxfId="1">
      <formula>AND(IF($Q25=3,1,0),IF($X25&lt;30,1,0))</formula>
    </cfRule>
    <cfRule type="expression" priority="1745" dxfId="0">
      <formula>AND(IF($Q25=3,1,IF($Q25=4,1,0)),IF($F25&lt;=85,1,0))</formula>
    </cfRule>
  </conditionalFormatting>
  <conditionalFormatting sqref="X25">
    <cfRule type="expression" priority="1738" dxfId="3">
      <formula>AND(IF(OR($Q25=1,$Q25=2),1,0),IF($X25&lt;=20,1,0))</formula>
    </cfRule>
    <cfRule type="expression" priority="1739" dxfId="2">
      <formula>AND(IF($Q25=2,1,0),IF($X25&lt;30,1,0))</formula>
    </cfRule>
    <cfRule type="expression" priority="1740" dxfId="1">
      <formula>AND(IF($Q25=3,1,0),IF($X25&lt;30,1,0))</formula>
    </cfRule>
    <cfRule type="expression" priority="1741" dxfId="0">
      <formula>AND(IF($Q25=3,1,IF($Q25=4,1,0)),IF($F25&lt;=85,1,0))</formula>
    </cfRule>
  </conditionalFormatting>
  <conditionalFormatting sqref="AI25">
    <cfRule type="expression" priority="1734" dxfId="3">
      <formula>AND(IF(OR($Q25=1,$Q25=2),1,0),IF($X25&lt;=20,1,0))</formula>
    </cfRule>
    <cfRule type="expression" priority="1735" dxfId="2">
      <formula>AND(IF($Q25=2,1,0),IF($X25&lt;30,1,0))</formula>
    </cfRule>
    <cfRule type="expression" priority="1736" dxfId="1">
      <formula>AND(IF($Q25=3,1,0),IF($X25&lt;30,1,0))</formula>
    </cfRule>
    <cfRule type="expression" priority="1737" dxfId="0">
      <formula>AND(IF($Q25=3,1,IF($Q25=4,1,0)),IF($F25&lt;=85,1,0))</formula>
    </cfRule>
  </conditionalFormatting>
  <conditionalFormatting sqref="AV26">
    <cfRule type="expression" priority="1732" dxfId="17">
      <formula>AV26="X"</formula>
    </cfRule>
    <cfRule type="expression" priority="1733" dxfId="16">
      <formula>AV26="후보"</formula>
    </cfRule>
  </conditionalFormatting>
  <conditionalFormatting sqref="AC26">
    <cfRule type="cellIs" priority="1729" operator="greaterThan" dxfId="13">
      <formula>0.9</formula>
    </cfRule>
    <cfRule type="cellIs" priority="1730" operator="greaterThan" dxfId="12">
      <formula>0.85</formula>
    </cfRule>
  </conditionalFormatting>
  <conditionalFormatting sqref="N26">
    <cfRule type="cellIs" priority="1727" operator="greaterThan" dxfId="13">
      <formula>0.9</formula>
    </cfRule>
    <cfRule type="cellIs" priority="1728" operator="greaterThan" dxfId="12">
      <formula>0.85</formula>
    </cfRule>
  </conditionalFormatting>
  <conditionalFormatting sqref="E26">
    <cfRule type="expression" priority="1723" dxfId="3">
      <formula>AND(IF(OR($Q26=1,$Q26=2),1,0),IF($X26&lt;=20,1,0))</formula>
    </cfRule>
    <cfRule type="expression" priority="1724" dxfId="2">
      <formula>AND(IF($Q26=2,1,0),IF($X26&lt;30,1,0))</formula>
    </cfRule>
    <cfRule type="expression" priority="1725" dxfId="1">
      <formula>AND(IF($Q26=3,1,0),IF($X26&lt;30,1,0))</formula>
    </cfRule>
    <cfRule type="expression" priority="1726" dxfId="0">
      <formula>AND(IF($Q26=3,1,IF($Q26=4,1,0)),IF($F26&lt;=85,1,0))</formula>
    </cfRule>
  </conditionalFormatting>
  <conditionalFormatting sqref="X26">
    <cfRule type="expression" priority="1719" dxfId="3">
      <formula>AND(IF(OR($Q26=1,$Q26=2),1,0),IF($X26&lt;=20,1,0))</formula>
    </cfRule>
    <cfRule type="expression" priority="1720" dxfId="2">
      <formula>AND(IF($Q26=2,1,0),IF($X26&lt;30,1,0))</formula>
    </cfRule>
    <cfRule type="expression" priority="1721" dxfId="1">
      <formula>AND(IF($Q26=3,1,0),IF($X26&lt;30,1,0))</formula>
    </cfRule>
    <cfRule type="expression" priority="1722" dxfId="0">
      <formula>AND(IF($Q26=3,1,IF($Q26=4,1,0)),IF($F26&lt;=85,1,0))</formula>
    </cfRule>
  </conditionalFormatting>
  <conditionalFormatting sqref="AI26">
    <cfRule type="expression" priority="1715" dxfId="3">
      <formula>AND(IF(OR($Q26=1,$Q26=2),1,0),IF($X26&lt;=20,1,0))</formula>
    </cfRule>
    <cfRule type="expression" priority="1716" dxfId="2">
      <formula>AND(IF($Q26=2,1,0),IF($X26&lt;30,1,0))</formula>
    </cfRule>
    <cfRule type="expression" priority="1717" dxfId="1">
      <formula>AND(IF($Q26=3,1,0),IF($X26&lt;30,1,0))</formula>
    </cfRule>
    <cfRule type="expression" priority="1718" dxfId="0">
      <formula>AND(IF($Q26=3,1,IF($Q26=4,1,0)),IF($F26&lt;=85,1,0))</formula>
    </cfRule>
  </conditionalFormatting>
  <conditionalFormatting sqref="AV27">
    <cfRule type="expression" priority="1713" dxfId="17">
      <formula>AV27="X"</formula>
    </cfRule>
    <cfRule type="expression" priority="1714" dxfId="16">
      <formula>AV27="후보"</formula>
    </cfRule>
  </conditionalFormatting>
  <conditionalFormatting sqref="AC27 N27">
    <cfRule type="cellIs" priority="1710" operator="greaterThan" dxfId="13">
      <formula>0.9</formula>
    </cfRule>
    <cfRule type="cellIs" priority="1711" operator="greaterThan" dxfId="12">
      <formula>0.85</formula>
    </cfRule>
  </conditionalFormatting>
  <conditionalFormatting sqref="AV28">
    <cfRule type="expression" priority="1708" dxfId="17">
      <formula>AV28="X"</formula>
    </cfRule>
    <cfRule type="expression" priority="1709" dxfId="16">
      <formula>AV28="후보"</formula>
    </cfRule>
  </conditionalFormatting>
  <conditionalFormatting sqref="AC28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28">
    <cfRule type="cellIs" priority="1703" operator="greaterThan" dxfId="13">
      <formula>0.9</formula>
    </cfRule>
    <cfRule type="cellIs" priority="1704" operator="greaterThan" dxfId="12">
      <formula>0.85</formula>
    </cfRule>
  </conditionalFormatting>
  <conditionalFormatting sqref="E28">
    <cfRule type="expression" priority="1699" dxfId="3">
      <formula>AND(IF(OR($Q28=1,$Q28=2),1,0),IF($X28&lt;=20,1,0))</formula>
    </cfRule>
    <cfRule type="expression" priority="1700" dxfId="2">
      <formula>AND(IF($Q28=2,1,0),IF($X28&lt;30,1,0))</formula>
    </cfRule>
    <cfRule type="expression" priority="1701" dxfId="1">
      <formula>AND(IF($Q28=3,1,0),IF($X28&lt;30,1,0))</formula>
    </cfRule>
    <cfRule type="expression" priority="1702" dxfId="0">
      <formula>AND(IF($Q28=3,1,IF($Q28=4,1,0)),IF($F28&lt;=85,1,0))</formula>
    </cfRule>
  </conditionalFormatting>
  <conditionalFormatting sqref="X28">
    <cfRule type="expression" priority="1695" dxfId="3">
      <formula>AND(IF(OR($Q28=1,$Q28=2),1,0),IF($X28&lt;=20,1,0))</formula>
    </cfRule>
    <cfRule type="expression" priority="1696" dxfId="2">
      <formula>AND(IF($Q28=2,1,0),IF($X28&lt;30,1,0))</formula>
    </cfRule>
    <cfRule type="expression" priority="1697" dxfId="1">
      <formula>AND(IF($Q28=3,1,0),IF($X28&lt;30,1,0))</formula>
    </cfRule>
    <cfRule type="expression" priority="1698" dxfId="0">
      <formula>AND(IF($Q28=3,1,IF($Q28=4,1,0)),IF($F28&lt;=85,1,0))</formula>
    </cfRule>
  </conditionalFormatting>
  <conditionalFormatting sqref="AI28">
    <cfRule type="expression" priority="1691" dxfId="3">
      <formula>AND(IF(OR($Q28=1,$Q28=2),1,0),IF($X28&lt;=20,1,0))</formula>
    </cfRule>
    <cfRule type="expression" priority="1692" dxfId="2">
      <formula>AND(IF($Q28=2,1,0),IF($X28&lt;30,1,0))</formula>
    </cfRule>
    <cfRule type="expression" priority="1693" dxfId="1">
      <formula>AND(IF($Q28=3,1,0),IF($X28&lt;30,1,0))</formula>
    </cfRule>
    <cfRule type="expression" priority="1694" dxfId="0">
      <formula>AND(IF($Q28=3,1,IF($Q28=4,1,0)),IF($F28&lt;=85,1,0))</formula>
    </cfRule>
  </conditionalFormatting>
  <conditionalFormatting sqref="AV29">
    <cfRule type="expression" priority="1689" dxfId="17">
      <formula>AV29="X"</formula>
    </cfRule>
    <cfRule type="expression" priority="1690" dxfId="16">
      <formula>AV29="후보"</formula>
    </cfRule>
  </conditionalFormatting>
  <conditionalFormatting sqref="AC29">
    <cfRule type="cellIs" priority="1686" operator="greaterThan" dxfId="13">
      <formula>0.9</formula>
    </cfRule>
    <cfRule type="cellIs" priority="1687" operator="greaterThan" dxfId="12">
      <formula>0.85</formula>
    </cfRule>
  </conditionalFormatting>
  <conditionalFormatting sqref="N29">
    <cfRule type="cellIs" priority="1684" operator="greaterThan" dxfId="13">
      <formula>0.9</formula>
    </cfRule>
    <cfRule type="cellIs" priority="1685" operator="greaterThan" dxfId="12">
      <formula>0.85</formula>
    </cfRule>
  </conditionalFormatting>
  <conditionalFormatting sqref="E29">
    <cfRule type="expression" priority="1680" dxfId="3">
      <formula>AND(IF(OR($Q29=1,$Q29=2),1,0),IF($X29&lt;=20,1,0))</formula>
    </cfRule>
    <cfRule type="expression" priority="1681" dxfId="2">
      <formula>AND(IF($Q29=2,1,0),IF($X29&lt;30,1,0))</formula>
    </cfRule>
    <cfRule type="expression" priority="1682" dxfId="1">
      <formula>AND(IF($Q29=3,1,0),IF($X29&lt;30,1,0))</formula>
    </cfRule>
    <cfRule type="expression" priority="1683" dxfId="0">
      <formula>AND(IF($Q29=3,1,IF($Q29=4,1,0)),IF($F29&lt;=85,1,0))</formula>
    </cfRule>
  </conditionalFormatting>
  <conditionalFormatting sqref="X29">
    <cfRule type="expression" priority="1676" dxfId="3">
      <formula>AND(IF(OR($Q29=1,$Q29=2),1,0),IF($X29&lt;=20,1,0))</formula>
    </cfRule>
    <cfRule type="expression" priority="1677" dxfId="2">
      <formula>AND(IF($Q29=2,1,0),IF($X29&lt;30,1,0))</formula>
    </cfRule>
    <cfRule type="expression" priority="1678" dxfId="1">
      <formula>AND(IF($Q29=3,1,0),IF($X29&lt;30,1,0))</formula>
    </cfRule>
    <cfRule type="expression" priority="1679" dxfId="0">
      <formula>AND(IF($Q29=3,1,IF($Q29=4,1,0)),IF($F29&lt;=85,1,0))</formula>
    </cfRule>
  </conditionalFormatting>
  <conditionalFormatting sqref="AI29">
    <cfRule type="expression" priority="1672" dxfId="3">
      <formula>AND(IF(OR($Q29=1,$Q29=2),1,0),IF($X29&lt;=20,1,0))</formula>
    </cfRule>
    <cfRule type="expression" priority="1673" dxfId="2">
      <formula>AND(IF($Q29=2,1,0),IF($X29&lt;30,1,0))</formula>
    </cfRule>
    <cfRule type="expression" priority="1674" dxfId="1">
      <formula>AND(IF($Q29=3,1,0),IF($X29&lt;30,1,0))</formula>
    </cfRule>
    <cfRule type="expression" priority="1675" dxfId="0">
      <formula>AND(IF($Q29=3,1,IF($Q29=4,1,0)),IF($F29&lt;=85,1,0))</formula>
    </cfRule>
  </conditionalFormatting>
  <conditionalFormatting sqref="AV30">
    <cfRule type="expression" priority="1670" dxfId="17">
      <formula>AV30="X"</formula>
    </cfRule>
    <cfRule type="expression" priority="1671" dxfId="16">
      <formula>AV30="후보"</formula>
    </cfRule>
  </conditionalFormatting>
  <conditionalFormatting sqref="AC30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N30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E30">
    <cfRule type="expression" priority="1661" dxfId="3">
      <formula>AND(IF(OR($Q30=1,$Q30=2),1,0),IF($X30&lt;=20,1,0))</formula>
    </cfRule>
    <cfRule type="expression" priority="1662" dxfId="2">
      <formula>AND(IF($Q30=2,1,0),IF($X30&lt;30,1,0))</formula>
    </cfRule>
    <cfRule type="expression" priority="1663" dxfId="1">
      <formula>AND(IF($Q30=3,1,0),IF($X30&lt;30,1,0))</formula>
    </cfRule>
    <cfRule type="expression" priority="1664" dxfId="0">
      <formula>AND(IF($Q30=3,1,IF($Q30=4,1,0)),IF($F30&lt;=85,1,0))</formula>
    </cfRule>
  </conditionalFormatting>
  <conditionalFormatting sqref="X30">
    <cfRule type="expression" priority="1657" dxfId="3">
      <formula>AND(IF(OR($Q30=1,$Q30=2),1,0),IF($X30&lt;=20,1,0))</formula>
    </cfRule>
    <cfRule type="expression" priority="1658" dxfId="2">
      <formula>AND(IF($Q30=2,1,0),IF($X30&lt;30,1,0))</formula>
    </cfRule>
    <cfRule type="expression" priority="1659" dxfId="1">
      <formula>AND(IF($Q30=3,1,0),IF($X30&lt;30,1,0))</formula>
    </cfRule>
    <cfRule type="expression" priority="1660" dxfId="0">
      <formula>AND(IF($Q30=3,1,IF($Q30=4,1,0)),IF($F30&lt;=85,1,0))</formula>
    </cfRule>
  </conditionalFormatting>
  <conditionalFormatting sqref="AI30">
    <cfRule type="expression" priority="1653" dxfId="3">
      <formula>AND(IF(OR($Q30=1,$Q30=2),1,0),IF($X30&lt;=20,1,0))</formula>
    </cfRule>
    <cfRule type="expression" priority="1654" dxfId="2">
      <formula>AND(IF($Q30=2,1,0),IF($X30&lt;30,1,0))</formula>
    </cfRule>
    <cfRule type="expression" priority="1655" dxfId="1">
      <formula>AND(IF($Q30=3,1,0),IF($X30&lt;30,1,0))</formula>
    </cfRule>
    <cfRule type="expression" priority="1656" dxfId="0">
      <formula>AND(IF($Q30=3,1,IF($Q30=4,1,0)),IF($F30&lt;=85,1,0))</formula>
    </cfRule>
  </conditionalFormatting>
  <conditionalFormatting sqref="AV31">
    <cfRule type="expression" priority="1651" dxfId="17">
      <formula>AV31="X"</formula>
    </cfRule>
    <cfRule type="expression" priority="1652" dxfId="16">
      <formula>AV31="후보"</formula>
    </cfRule>
  </conditionalFormatting>
  <conditionalFormatting sqref="AC31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N31">
    <cfRule type="cellIs" priority="1646" operator="greaterThan" dxfId="13">
      <formula>0.9</formula>
    </cfRule>
    <cfRule type="cellIs" priority="1647" operator="greaterThan" dxfId="12">
      <formula>0.85</formula>
    </cfRule>
  </conditionalFormatting>
  <conditionalFormatting sqref="E31">
    <cfRule type="expression" priority="1642" dxfId="3">
      <formula>AND(IF(OR($Q31=1,$Q31=2),1,0),IF($X31&lt;=20,1,0))</formula>
    </cfRule>
    <cfRule type="expression" priority="1643" dxfId="2">
      <formula>AND(IF($Q31=2,1,0),IF($X31&lt;30,1,0))</formula>
    </cfRule>
    <cfRule type="expression" priority="1644" dxfId="1">
      <formula>AND(IF($Q31=3,1,0),IF($X31&lt;30,1,0))</formula>
    </cfRule>
    <cfRule type="expression" priority="1645" dxfId="0">
      <formula>AND(IF($Q31=3,1,IF($Q31=4,1,0)),IF($F31&lt;=85,1,0))</formula>
    </cfRule>
  </conditionalFormatting>
  <conditionalFormatting sqref="X31">
    <cfRule type="expression" priority="1638" dxfId="3">
      <formula>AND(IF(OR($Q31=1,$Q31=2),1,0),IF($X31&lt;=20,1,0))</formula>
    </cfRule>
    <cfRule type="expression" priority="1639" dxfId="2">
      <formula>AND(IF($Q31=2,1,0),IF($X31&lt;30,1,0))</formula>
    </cfRule>
    <cfRule type="expression" priority="1640" dxfId="1">
      <formula>AND(IF($Q31=3,1,0),IF($X31&lt;30,1,0))</formula>
    </cfRule>
    <cfRule type="expression" priority="1641" dxfId="0">
      <formula>AND(IF($Q31=3,1,IF($Q31=4,1,0)),IF($F31&lt;=85,1,0))</formula>
    </cfRule>
  </conditionalFormatting>
  <conditionalFormatting sqref="AI31">
    <cfRule type="expression" priority="1634" dxfId="3">
      <formula>AND(IF(OR($Q31=1,$Q31=2),1,0),IF($X31&lt;=20,1,0))</formula>
    </cfRule>
    <cfRule type="expression" priority="1635" dxfId="2">
      <formula>AND(IF($Q31=2,1,0),IF($X31&lt;30,1,0))</formula>
    </cfRule>
    <cfRule type="expression" priority="1636" dxfId="1">
      <formula>AND(IF($Q31=3,1,0),IF($X31&lt;30,1,0))</formula>
    </cfRule>
    <cfRule type="expression" priority="1637" dxfId="0">
      <formula>AND(IF($Q31=3,1,IF($Q31=4,1,0)),IF($F31&lt;=85,1,0))</formula>
    </cfRule>
  </conditionalFormatting>
  <conditionalFormatting sqref="AV32">
    <cfRule type="expression" priority="1632" dxfId="17">
      <formula>AV32="X"</formula>
    </cfRule>
    <cfRule type="expression" priority="1633" dxfId="16">
      <formula>AV32="후보"</formula>
    </cfRule>
  </conditionalFormatting>
  <conditionalFormatting sqref="AC32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N32">
    <cfRule type="cellIs" priority="1627" operator="greaterThan" dxfId="13">
      <formula>0.9</formula>
    </cfRule>
    <cfRule type="cellIs" priority="1628" operator="greaterThan" dxfId="12">
      <formula>0.85</formula>
    </cfRule>
  </conditionalFormatting>
  <conditionalFormatting sqref="E32">
    <cfRule type="expression" priority="1623" dxfId="3">
      <formula>AND(IF(OR($Q32=1,$Q32=2),1,0),IF($X32&lt;=20,1,0))</formula>
    </cfRule>
    <cfRule type="expression" priority="1624" dxfId="2">
      <formula>AND(IF($Q32=2,1,0),IF($X32&lt;30,1,0))</formula>
    </cfRule>
    <cfRule type="expression" priority="1625" dxfId="1">
      <formula>AND(IF($Q32=3,1,0),IF($X32&lt;30,1,0))</formula>
    </cfRule>
    <cfRule type="expression" priority="1626" dxfId="0">
      <formula>AND(IF($Q32=3,1,IF($Q32=4,1,0)),IF($F32&lt;=85,1,0))</formula>
    </cfRule>
  </conditionalFormatting>
  <conditionalFormatting sqref="X32">
    <cfRule type="expression" priority="1619" dxfId="3">
      <formula>AND(IF(OR($Q32=1,$Q32=2),1,0),IF($X32&lt;=20,1,0))</formula>
    </cfRule>
    <cfRule type="expression" priority="1620" dxfId="2">
      <formula>AND(IF($Q32=2,1,0),IF($X32&lt;30,1,0))</formula>
    </cfRule>
    <cfRule type="expression" priority="1621" dxfId="1">
      <formula>AND(IF($Q32=3,1,0),IF($X32&lt;30,1,0))</formula>
    </cfRule>
    <cfRule type="expression" priority="1622" dxfId="0">
      <formula>AND(IF($Q32=3,1,IF($Q32=4,1,0)),IF($F32&lt;=85,1,0))</formula>
    </cfRule>
  </conditionalFormatting>
  <conditionalFormatting sqref="AI32">
    <cfRule type="expression" priority="1615" dxfId="3">
      <formula>AND(IF(OR($Q32=1,$Q32=2),1,0),IF($X32&lt;=20,1,0))</formula>
    </cfRule>
    <cfRule type="expression" priority="1616" dxfId="2">
      <formula>AND(IF($Q32=2,1,0),IF($X32&lt;30,1,0))</formula>
    </cfRule>
    <cfRule type="expression" priority="1617" dxfId="1">
      <formula>AND(IF($Q32=3,1,0),IF($X32&lt;30,1,0))</formula>
    </cfRule>
    <cfRule type="expression" priority="1618" dxfId="0">
      <formula>AND(IF($Q32=3,1,IF($Q32=4,1,0)),IF($F32&lt;=85,1,0))</formula>
    </cfRule>
  </conditionalFormatting>
  <conditionalFormatting sqref="AV33">
    <cfRule type="expression" priority="1613" dxfId="17">
      <formula>AV33="X"</formula>
    </cfRule>
    <cfRule type="expression" priority="1614" dxfId="16">
      <formula>AV33="후보"</formula>
    </cfRule>
  </conditionalFormatting>
  <conditionalFormatting sqref="AC33">
    <cfRule type="cellIs" priority="1610" operator="greaterThan" dxfId="13">
      <formula>0.9</formula>
    </cfRule>
    <cfRule type="cellIs" priority="1611" operator="greaterThan" dxfId="12">
      <formula>0.85</formula>
    </cfRule>
  </conditionalFormatting>
  <conditionalFormatting sqref="N33">
    <cfRule type="cellIs" priority="1608" operator="greaterThan" dxfId="13">
      <formula>0.9</formula>
    </cfRule>
    <cfRule type="cellIs" priority="1609" operator="greaterThan" dxfId="12">
      <formula>0.85</formula>
    </cfRule>
  </conditionalFormatting>
  <conditionalFormatting sqref="E33">
    <cfRule type="expression" priority="1604" dxfId="3">
      <formula>AND(IF(OR($Q33=1,$Q33=2),1,0),IF($X33&lt;=20,1,0))</formula>
    </cfRule>
    <cfRule type="expression" priority="1605" dxfId="2">
      <formula>AND(IF($Q33=2,1,0),IF($X33&lt;30,1,0))</formula>
    </cfRule>
    <cfRule type="expression" priority="1606" dxfId="1">
      <formula>AND(IF($Q33=3,1,0),IF($X33&lt;30,1,0))</formula>
    </cfRule>
    <cfRule type="expression" priority="1607" dxfId="0">
      <formula>AND(IF($Q33=3,1,IF($Q33=4,1,0)),IF($F33&lt;=85,1,0))</formula>
    </cfRule>
  </conditionalFormatting>
  <conditionalFormatting sqref="X33">
    <cfRule type="expression" priority="1600" dxfId="3">
      <formula>AND(IF(OR($Q33=1,$Q33=2),1,0),IF($X33&lt;=20,1,0))</formula>
    </cfRule>
    <cfRule type="expression" priority="1601" dxfId="2">
      <formula>AND(IF($Q33=2,1,0),IF($X33&lt;30,1,0))</formula>
    </cfRule>
    <cfRule type="expression" priority="1602" dxfId="1">
      <formula>AND(IF($Q33=3,1,0),IF($X33&lt;30,1,0))</formula>
    </cfRule>
    <cfRule type="expression" priority="1603" dxfId="0">
      <formula>AND(IF($Q33=3,1,IF($Q33=4,1,0)),IF($F33&lt;=85,1,0))</formula>
    </cfRule>
  </conditionalFormatting>
  <conditionalFormatting sqref="AI33">
    <cfRule type="expression" priority="1596" dxfId="3">
      <formula>AND(IF(OR($Q33=1,$Q33=2),1,0),IF($X33&lt;=20,1,0))</formula>
    </cfRule>
    <cfRule type="expression" priority="1597" dxfId="2">
      <formula>AND(IF($Q33=2,1,0),IF($X33&lt;30,1,0))</formula>
    </cfRule>
    <cfRule type="expression" priority="1598" dxfId="1">
      <formula>AND(IF($Q33=3,1,0),IF($X33&lt;30,1,0))</formula>
    </cfRule>
    <cfRule type="expression" priority="1599" dxfId="0">
      <formula>AND(IF($Q33=3,1,IF($Q33=4,1,0)),IF($F33&lt;=85,1,0))</formula>
    </cfRule>
  </conditionalFormatting>
  <conditionalFormatting sqref="AV34">
    <cfRule type="expression" priority="1594" dxfId="17">
      <formula>AV34="X"</formula>
    </cfRule>
    <cfRule type="expression" priority="1595" dxfId="16">
      <formula>AV34="후보"</formula>
    </cfRule>
  </conditionalFormatting>
  <conditionalFormatting sqref="AC34 N34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AV35">
    <cfRule type="expression" priority="1589" dxfId="17">
      <formula>AV35="X"</formula>
    </cfRule>
    <cfRule type="expression" priority="1590" dxfId="16">
      <formula>AV35="후보"</formula>
    </cfRule>
  </conditionalFormatting>
  <conditionalFormatting sqref="AC35">
    <cfRule type="cellIs" priority="1586" operator="greaterThan" dxfId="13">
      <formula>0.9</formula>
    </cfRule>
    <cfRule type="cellIs" priority="1587" operator="greaterThan" dxfId="12">
      <formula>0.85</formula>
    </cfRule>
  </conditionalFormatting>
  <conditionalFormatting sqref="N35">
    <cfRule type="cellIs" priority="1584" operator="greaterThan" dxfId="13">
      <formula>0.9</formula>
    </cfRule>
    <cfRule type="cellIs" priority="1585" operator="greaterThan" dxfId="12">
      <formula>0.85</formula>
    </cfRule>
  </conditionalFormatting>
  <conditionalFormatting sqref="E35">
    <cfRule type="expression" priority="1580" dxfId="3">
      <formula>AND(IF(OR($Q35=1,$Q35=2),1,0),IF($X35&lt;=20,1,0))</formula>
    </cfRule>
    <cfRule type="expression" priority="1581" dxfId="2">
      <formula>AND(IF($Q35=2,1,0),IF($X35&lt;30,1,0))</formula>
    </cfRule>
    <cfRule type="expression" priority="1582" dxfId="1">
      <formula>AND(IF($Q35=3,1,0),IF($X35&lt;30,1,0))</formula>
    </cfRule>
    <cfRule type="expression" priority="1583" dxfId="0">
      <formula>AND(IF($Q35=3,1,IF($Q35=4,1,0)),IF($F35&lt;=85,1,0))</formula>
    </cfRule>
  </conditionalFormatting>
  <conditionalFormatting sqref="X35">
    <cfRule type="expression" priority="1576" dxfId="3">
      <formula>AND(IF(OR($Q35=1,$Q35=2),1,0),IF($X35&lt;=20,1,0))</formula>
    </cfRule>
    <cfRule type="expression" priority="1577" dxfId="2">
      <formula>AND(IF($Q35=2,1,0),IF($X35&lt;30,1,0))</formula>
    </cfRule>
    <cfRule type="expression" priority="1578" dxfId="1">
      <formula>AND(IF($Q35=3,1,0),IF($X35&lt;30,1,0))</formula>
    </cfRule>
    <cfRule type="expression" priority="1579" dxfId="0">
      <formula>AND(IF($Q35=3,1,IF($Q35=4,1,0)),IF($F35&lt;=85,1,0))</formula>
    </cfRule>
  </conditionalFormatting>
  <conditionalFormatting sqref="AI35">
    <cfRule type="expression" priority="1572" dxfId="3">
      <formula>AND(IF(OR($Q35=1,$Q35=2),1,0),IF($X35&lt;=20,1,0))</formula>
    </cfRule>
    <cfRule type="expression" priority="1573" dxfId="2">
      <formula>AND(IF($Q35=2,1,0),IF($X35&lt;30,1,0))</formula>
    </cfRule>
    <cfRule type="expression" priority="1574" dxfId="1">
      <formula>AND(IF($Q35=3,1,0),IF($X35&lt;30,1,0))</formula>
    </cfRule>
    <cfRule type="expression" priority="1575" dxfId="0">
      <formula>AND(IF($Q35=3,1,IF($Q35=4,1,0)),IF($F35&lt;=85,1,0))</formula>
    </cfRule>
  </conditionalFormatting>
  <conditionalFormatting sqref="AV36">
    <cfRule type="expression" priority="1570" dxfId="17">
      <formula>AV36="X"</formula>
    </cfRule>
    <cfRule type="expression" priority="1571" dxfId="16">
      <formula>AV36="후보"</formula>
    </cfRule>
  </conditionalFormatting>
  <conditionalFormatting sqref="AC36">
    <cfRule type="cellIs" priority="1567" operator="greaterThan" dxfId="13">
      <formula>0.9</formula>
    </cfRule>
    <cfRule type="cellIs" priority="1568" operator="greaterThan" dxfId="12">
      <formula>0.85</formula>
    </cfRule>
  </conditionalFormatting>
  <conditionalFormatting sqref="N36">
    <cfRule type="cellIs" priority="1565" operator="greaterThan" dxfId="13">
      <formula>0.9</formula>
    </cfRule>
    <cfRule type="cellIs" priority="1566" operator="greaterThan" dxfId="12">
      <formula>0.85</formula>
    </cfRule>
  </conditionalFormatting>
  <conditionalFormatting sqref="E36">
    <cfRule type="expression" priority="1561" dxfId="3">
      <formula>AND(IF(OR($Q36=1,$Q36=2),1,0),IF($X36&lt;=20,1,0))</formula>
    </cfRule>
    <cfRule type="expression" priority="1562" dxfId="2">
      <formula>AND(IF($Q36=2,1,0),IF($X36&lt;30,1,0))</formula>
    </cfRule>
    <cfRule type="expression" priority="1563" dxfId="1">
      <formula>AND(IF($Q36=3,1,0),IF($X36&lt;30,1,0))</formula>
    </cfRule>
    <cfRule type="expression" priority="1564" dxfId="0">
      <formula>AND(IF($Q36=3,1,IF($Q36=4,1,0)),IF($F36&lt;=85,1,0))</formula>
    </cfRule>
  </conditionalFormatting>
  <conditionalFormatting sqref="X36">
    <cfRule type="expression" priority="1557" dxfId="3">
      <formula>AND(IF(OR($Q36=1,$Q36=2),1,0),IF($X36&lt;=20,1,0))</formula>
    </cfRule>
    <cfRule type="expression" priority="1558" dxfId="2">
      <formula>AND(IF($Q36=2,1,0),IF($X36&lt;30,1,0))</formula>
    </cfRule>
    <cfRule type="expression" priority="1559" dxfId="1">
      <formula>AND(IF($Q36=3,1,0),IF($X36&lt;30,1,0))</formula>
    </cfRule>
    <cfRule type="expression" priority="1560" dxfId="0">
      <formula>AND(IF($Q36=3,1,IF($Q36=4,1,0)),IF($F36&lt;=85,1,0))</formula>
    </cfRule>
  </conditionalFormatting>
  <conditionalFormatting sqref="AI36">
    <cfRule type="expression" priority="1553" dxfId="3">
      <formula>AND(IF(OR($Q36=1,$Q36=2),1,0),IF($X36&lt;=20,1,0))</formula>
    </cfRule>
    <cfRule type="expression" priority="1554" dxfId="2">
      <formula>AND(IF($Q36=2,1,0),IF($X36&lt;30,1,0))</formula>
    </cfRule>
    <cfRule type="expression" priority="1555" dxfId="1">
      <formula>AND(IF($Q36=3,1,0),IF($X36&lt;30,1,0))</formula>
    </cfRule>
    <cfRule type="expression" priority="1556" dxfId="0">
      <formula>AND(IF($Q36=3,1,IF($Q36=4,1,0)),IF($F36&lt;=85,1,0))</formula>
    </cfRule>
  </conditionalFormatting>
  <conditionalFormatting sqref="AV37">
    <cfRule type="expression" priority="1551" dxfId="17">
      <formula>AV37="X"</formula>
    </cfRule>
    <cfRule type="expression" priority="1552" dxfId="16">
      <formula>AV37="후보"</formula>
    </cfRule>
  </conditionalFormatting>
  <conditionalFormatting sqref="AC37 N37">
    <cfRule type="cellIs" priority="1548" operator="greaterThan" dxfId="13">
      <formula>0.9</formula>
    </cfRule>
    <cfRule type="cellIs" priority="1549" operator="greaterThan" dxfId="12">
      <formula>0.85</formula>
    </cfRule>
  </conditionalFormatting>
  <conditionalFormatting sqref="AV38">
    <cfRule type="expression" priority="1546" dxfId="17">
      <formula>AV38="X"</formula>
    </cfRule>
    <cfRule type="expression" priority="1547" dxfId="16">
      <formula>AV38="후보"</formula>
    </cfRule>
  </conditionalFormatting>
  <conditionalFormatting sqref="AC38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38">
    <cfRule type="cellIs" priority="1541" operator="greaterThan" dxfId="13">
      <formula>0.9</formula>
    </cfRule>
    <cfRule type="cellIs" priority="1542" operator="greaterThan" dxfId="12">
      <formula>0.85</formula>
    </cfRule>
  </conditionalFormatting>
  <conditionalFormatting sqref="E38">
    <cfRule type="expression" priority="1537" dxfId="3">
      <formula>AND(IF(OR($Q38=1,$Q38=2),1,0),IF($X38&lt;=20,1,0))</formula>
    </cfRule>
    <cfRule type="expression" priority="1538" dxfId="2">
      <formula>AND(IF($Q38=2,1,0),IF($X38&lt;30,1,0))</formula>
    </cfRule>
    <cfRule type="expression" priority="1539" dxfId="1">
      <formula>AND(IF($Q38=3,1,0),IF($X38&lt;30,1,0))</formula>
    </cfRule>
    <cfRule type="expression" priority="1540" dxfId="0">
      <formula>AND(IF($Q38=3,1,IF($Q38=4,1,0)),IF($F38&lt;=85,1,0))</formula>
    </cfRule>
  </conditionalFormatting>
  <conditionalFormatting sqref="X38">
    <cfRule type="expression" priority="1533" dxfId="3">
      <formula>AND(IF(OR($Q38=1,$Q38=2),1,0),IF($X38&lt;=20,1,0))</formula>
    </cfRule>
    <cfRule type="expression" priority="1534" dxfId="2">
      <formula>AND(IF($Q38=2,1,0),IF($X38&lt;30,1,0))</formula>
    </cfRule>
    <cfRule type="expression" priority="1535" dxfId="1">
      <formula>AND(IF($Q38=3,1,0),IF($X38&lt;30,1,0))</formula>
    </cfRule>
    <cfRule type="expression" priority="1536" dxfId="0">
      <formula>AND(IF($Q38=3,1,IF($Q38=4,1,0)),IF($F38&lt;=85,1,0))</formula>
    </cfRule>
  </conditionalFormatting>
  <conditionalFormatting sqref="AI38">
    <cfRule type="expression" priority="1529" dxfId="3">
      <formula>AND(IF(OR($Q38=1,$Q38=2),1,0),IF($X38&lt;=20,1,0))</formula>
    </cfRule>
    <cfRule type="expression" priority="1530" dxfId="2">
      <formula>AND(IF($Q38=2,1,0),IF($X38&lt;30,1,0))</formula>
    </cfRule>
    <cfRule type="expression" priority="1531" dxfId="1">
      <formula>AND(IF($Q38=3,1,0),IF($X38&lt;30,1,0))</formula>
    </cfRule>
    <cfRule type="expression" priority="1532" dxfId="0">
      <formula>AND(IF($Q38=3,1,IF($Q38=4,1,0)),IF($F38&lt;=85,1,0))</formula>
    </cfRule>
  </conditionalFormatting>
  <conditionalFormatting sqref="AV39">
    <cfRule type="expression" priority="1527" dxfId="17">
      <formula>AV39="X"</formula>
    </cfRule>
    <cfRule type="expression" priority="1528" dxfId="16">
      <formula>AV39="후보"</formula>
    </cfRule>
  </conditionalFormatting>
  <conditionalFormatting sqref="AC39">
    <cfRule type="cellIs" priority="1524" operator="greaterThan" dxfId="13">
      <formula>0.9</formula>
    </cfRule>
    <cfRule type="cellIs" priority="1525" operator="greaterThan" dxfId="12">
      <formula>0.85</formula>
    </cfRule>
  </conditionalFormatting>
  <conditionalFormatting sqref="N39">
    <cfRule type="cellIs" priority="1522" operator="greaterThan" dxfId="13">
      <formula>0.9</formula>
    </cfRule>
    <cfRule type="cellIs" priority="1523" operator="greaterThan" dxfId="12">
      <formula>0.85</formula>
    </cfRule>
  </conditionalFormatting>
  <conditionalFormatting sqref="E39">
    <cfRule type="expression" priority="1518" dxfId="3">
      <formula>AND(IF(OR($Q39=1,$Q39=2),1,0),IF($X39&lt;=20,1,0))</formula>
    </cfRule>
    <cfRule type="expression" priority="1519" dxfId="2">
      <formula>AND(IF($Q39=2,1,0),IF($X39&lt;30,1,0))</formula>
    </cfRule>
    <cfRule type="expression" priority="1520" dxfId="1">
      <formula>AND(IF($Q39=3,1,0),IF($X39&lt;30,1,0))</formula>
    </cfRule>
    <cfRule type="expression" priority="1521" dxfId="0">
      <formula>AND(IF($Q39=3,1,IF($Q39=4,1,0)),IF($F39&lt;=85,1,0))</formula>
    </cfRule>
  </conditionalFormatting>
  <conditionalFormatting sqref="X39">
    <cfRule type="expression" priority="1514" dxfId="3">
      <formula>AND(IF(OR($Q39=1,$Q39=2),1,0),IF($X39&lt;=20,1,0))</formula>
    </cfRule>
    <cfRule type="expression" priority="1515" dxfId="2">
      <formula>AND(IF($Q39=2,1,0),IF($X39&lt;30,1,0))</formula>
    </cfRule>
    <cfRule type="expression" priority="1516" dxfId="1">
      <formula>AND(IF($Q39=3,1,0),IF($X39&lt;30,1,0))</formula>
    </cfRule>
    <cfRule type="expression" priority="1517" dxfId="0">
      <formula>AND(IF($Q39=3,1,IF($Q39=4,1,0)),IF($F39&lt;=85,1,0))</formula>
    </cfRule>
  </conditionalFormatting>
  <conditionalFormatting sqref="AI39">
    <cfRule type="expression" priority="1510" dxfId="3">
      <formula>AND(IF(OR($Q39=1,$Q39=2),1,0),IF($X39&lt;=20,1,0))</formula>
    </cfRule>
    <cfRule type="expression" priority="1511" dxfId="2">
      <formula>AND(IF($Q39=2,1,0),IF($X39&lt;30,1,0))</formula>
    </cfRule>
    <cfRule type="expression" priority="1512" dxfId="1">
      <formula>AND(IF($Q39=3,1,0),IF($X39&lt;30,1,0))</formula>
    </cfRule>
    <cfRule type="expression" priority="1513" dxfId="0">
      <formula>AND(IF($Q39=3,1,IF($Q39=4,1,0)),IF($F39&lt;=85,1,0))</formula>
    </cfRule>
  </conditionalFormatting>
  <conditionalFormatting sqref="AV40">
    <cfRule type="expression" priority="1508" dxfId="17">
      <formula>AV40="X"</formula>
    </cfRule>
    <cfRule type="expression" priority="1509" dxfId="16">
      <formula>AV40="후보"</formula>
    </cfRule>
  </conditionalFormatting>
  <conditionalFormatting sqref="AC40">
    <cfRule type="cellIs" priority="1505" operator="greaterThan" dxfId="13">
      <formula>0.9</formula>
    </cfRule>
    <cfRule type="cellIs" priority="1506" operator="greaterThan" dxfId="12">
      <formula>0.85</formula>
    </cfRule>
  </conditionalFormatting>
  <conditionalFormatting sqref="N40">
    <cfRule type="cellIs" priority="1503" operator="greaterThan" dxfId="13">
      <formula>0.9</formula>
    </cfRule>
    <cfRule type="cellIs" priority="1504" operator="greaterThan" dxfId="12">
      <formula>0.85</formula>
    </cfRule>
  </conditionalFormatting>
  <conditionalFormatting sqref="E40">
    <cfRule type="expression" priority="1499" dxfId="3">
      <formula>AND(IF(OR($Q40=1,$Q40=2),1,0),IF($X40&lt;=20,1,0))</formula>
    </cfRule>
    <cfRule type="expression" priority="1500" dxfId="2">
      <formula>AND(IF($Q40=2,1,0),IF($X40&lt;30,1,0))</formula>
    </cfRule>
    <cfRule type="expression" priority="1501" dxfId="1">
      <formula>AND(IF($Q40=3,1,0),IF($X40&lt;30,1,0))</formula>
    </cfRule>
    <cfRule type="expression" priority="1502" dxfId="0">
      <formula>AND(IF($Q40=3,1,IF($Q40=4,1,0)),IF($F40&lt;=85,1,0))</formula>
    </cfRule>
  </conditionalFormatting>
  <conditionalFormatting sqref="X40">
    <cfRule type="expression" priority="1495" dxfId="3">
      <formula>AND(IF(OR($Q40=1,$Q40=2),1,0),IF($X40&lt;=20,1,0))</formula>
    </cfRule>
    <cfRule type="expression" priority="1496" dxfId="2">
      <formula>AND(IF($Q40=2,1,0),IF($X40&lt;30,1,0))</formula>
    </cfRule>
    <cfRule type="expression" priority="1497" dxfId="1">
      <formula>AND(IF($Q40=3,1,0),IF($X40&lt;30,1,0))</formula>
    </cfRule>
    <cfRule type="expression" priority="1498" dxfId="0">
      <formula>AND(IF($Q40=3,1,IF($Q40=4,1,0)),IF($F40&lt;=85,1,0))</formula>
    </cfRule>
  </conditionalFormatting>
  <conditionalFormatting sqref="AI40">
    <cfRule type="expression" priority="1491" dxfId="3">
      <formula>AND(IF(OR($Q40=1,$Q40=2),1,0),IF($X40&lt;=20,1,0))</formula>
    </cfRule>
    <cfRule type="expression" priority="1492" dxfId="2">
      <formula>AND(IF($Q40=2,1,0),IF($X40&lt;30,1,0))</formula>
    </cfRule>
    <cfRule type="expression" priority="1493" dxfId="1">
      <formula>AND(IF($Q40=3,1,0),IF($X40&lt;30,1,0))</formula>
    </cfRule>
    <cfRule type="expression" priority="1494" dxfId="0">
      <formula>AND(IF($Q40=3,1,IF($Q40=4,1,0)),IF($F40&lt;=85,1,0))</formula>
    </cfRule>
  </conditionalFormatting>
  <conditionalFormatting sqref="AV41">
    <cfRule type="expression" priority="1489" dxfId="17">
      <formula>AV41="X"</formula>
    </cfRule>
    <cfRule type="expression" priority="1490" dxfId="16">
      <formula>AV41="후보"</formula>
    </cfRule>
  </conditionalFormatting>
  <conditionalFormatting sqref="AC41">
    <cfRule type="cellIs" priority="1486" operator="greaterThan" dxfId="13">
      <formula>0.9</formula>
    </cfRule>
    <cfRule type="cellIs" priority="1487" operator="greaterThan" dxfId="12">
      <formula>0.85</formula>
    </cfRule>
  </conditionalFormatting>
  <conditionalFormatting sqref="N41">
    <cfRule type="cellIs" priority="1484" operator="greaterThan" dxfId="13">
      <formula>0.9</formula>
    </cfRule>
    <cfRule type="cellIs" priority="1485" operator="greaterThan" dxfId="12">
      <formula>0.85</formula>
    </cfRule>
  </conditionalFormatting>
  <conditionalFormatting sqref="E41">
    <cfRule type="expression" priority="1480" dxfId="3">
      <formula>AND(IF(OR($Q41=1,$Q41=2),1,0),IF($X41&lt;=20,1,0))</formula>
    </cfRule>
    <cfRule type="expression" priority="1481" dxfId="2">
      <formula>AND(IF($Q41=2,1,0),IF($X41&lt;30,1,0))</formula>
    </cfRule>
    <cfRule type="expression" priority="1482" dxfId="1">
      <formula>AND(IF($Q41=3,1,0),IF($X41&lt;30,1,0))</formula>
    </cfRule>
    <cfRule type="expression" priority="1483" dxfId="0">
      <formula>AND(IF($Q41=3,1,IF($Q41=4,1,0)),IF($F41&lt;=85,1,0))</formula>
    </cfRule>
  </conditionalFormatting>
  <conditionalFormatting sqref="X41">
    <cfRule type="expression" priority="1476" dxfId="3">
      <formula>AND(IF(OR($Q41=1,$Q41=2),1,0),IF($X41&lt;=20,1,0))</formula>
    </cfRule>
    <cfRule type="expression" priority="1477" dxfId="2">
      <formula>AND(IF($Q41=2,1,0),IF($X41&lt;30,1,0))</formula>
    </cfRule>
    <cfRule type="expression" priority="1478" dxfId="1">
      <formula>AND(IF($Q41=3,1,0),IF($X41&lt;30,1,0))</formula>
    </cfRule>
    <cfRule type="expression" priority="1479" dxfId="0">
      <formula>AND(IF($Q41=3,1,IF($Q41=4,1,0)),IF($F41&lt;=85,1,0))</formula>
    </cfRule>
  </conditionalFormatting>
  <conditionalFormatting sqref="AI41">
    <cfRule type="expression" priority="1472" dxfId="3">
      <formula>AND(IF(OR($Q41=1,$Q41=2),1,0),IF($X41&lt;=20,1,0))</formula>
    </cfRule>
    <cfRule type="expression" priority="1473" dxfId="2">
      <formula>AND(IF($Q41=2,1,0),IF($X41&lt;30,1,0))</formula>
    </cfRule>
    <cfRule type="expression" priority="1474" dxfId="1">
      <formula>AND(IF($Q41=3,1,0),IF($X41&lt;30,1,0))</formula>
    </cfRule>
    <cfRule type="expression" priority="1475" dxfId="0">
      <formula>AND(IF($Q41=3,1,IF($Q41=4,1,0)),IF($F41&lt;=85,1,0))</formula>
    </cfRule>
  </conditionalFormatting>
  <conditionalFormatting sqref="AV42">
    <cfRule type="expression" priority="1470" dxfId="17">
      <formula>AV42="X"</formula>
    </cfRule>
    <cfRule type="expression" priority="1471" dxfId="16">
      <formula>AV42="후보"</formula>
    </cfRule>
  </conditionalFormatting>
  <conditionalFormatting sqref="AC42">
    <cfRule type="cellIs" priority="1467" operator="greaterThan" dxfId="13">
      <formula>0.9</formula>
    </cfRule>
    <cfRule type="cellIs" priority="1468" operator="greaterThan" dxfId="12">
      <formula>0.85</formula>
    </cfRule>
  </conditionalFormatting>
  <conditionalFormatting sqref="N42">
    <cfRule type="cellIs" priority="1465" operator="greaterThan" dxfId="13">
      <formula>0.9</formula>
    </cfRule>
    <cfRule type="cellIs" priority="1466" operator="greaterThan" dxfId="12">
      <formula>0.85</formula>
    </cfRule>
  </conditionalFormatting>
  <conditionalFormatting sqref="E42">
    <cfRule type="expression" priority="1461" dxfId="3">
      <formula>AND(IF(OR($Q42=1,$Q42=2),1,0),IF($X42&lt;=20,1,0))</formula>
    </cfRule>
    <cfRule type="expression" priority="1462" dxfId="2">
      <formula>AND(IF($Q42=2,1,0),IF($X42&lt;30,1,0))</formula>
    </cfRule>
    <cfRule type="expression" priority="1463" dxfId="1">
      <formula>AND(IF($Q42=3,1,0),IF($X42&lt;30,1,0))</formula>
    </cfRule>
    <cfRule type="expression" priority="1464" dxfId="0">
      <formula>AND(IF($Q42=3,1,IF($Q42=4,1,0)),IF($F42&lt;=85,1,0))</formula>
    </cfRule>
  </conditionalFormatting>
  <conditionalFormatting sqref="X42">
    <cfRule type="expression" priority="1457" dxfId="3">
      <formula>AND(IF(OR($Q42=1,$Q42=2),1,0),IF($X42&lt;=20,1,0))</formula>
    </cfRule>
    <cfRule type="expression" priority="1458" dxfId="2">
      <formula>AND(IF($Q42=2,1,0),IF($X42&lt;30,1,0))</formula>
    </cfRule>
    <cfRule type="expression" priority="1459" dxfId="1">
      <formula>AND(IF($Q42=3,1,0),IF($X42&lt;30,1,0))</formula>
    </cfRule>
    <cfRule type="expression" priority="1460" dxfId="0">
      <formula>AND(IF($Q42=3,1,IF($Q42=4,1,0)),IF($F42&lt;=85,1,0))</formula>
    </cfRule>
  </conditionalFormatting>
  <conditionalFormatting sqref="AI42">
    <cfRule type="expression" priority="1453" dxfId="3">
      <formula>AND(IF(OR($Q42=1,$Q42=2),1,0),IF($X42&lt;=20,1,0))</formula>
    </cfRule>
    <cfRule type="expression" priority="1454" dxfId="2">
      <formula>AND(IF($Q42=2,1,0),IF($X42&lt;30,1,0))</formula>
    </cfRule>
    <cfRule type="expression" priority="1455" dxfId="1">
      <formula>AND(IF($Q42=3,1,0),IF($X42&lt;30,1,0))</formula>
    </cfRule>
    <cfRule type="expression" priority="1456" dxfId="0">
      <formula>AND(IF($Q42=3,1,IF($Q42=4,1,0)),IF($F42&lt;=85,1,0))</formula>
    </cfRule>
  </conditionalFormatting>
  <conditionalFormatting sqref="AV43">
    <cfRule type="expression" priority="1451" dxfId="17">
      <formula>AV43="X"</formula>
    </cfRule>
    <cfRule type="expression" priority="1452" dxfId="16">
      <formula>AV43="후보"</formula>
    </cfRule>
  </conditionalFormatting>
  <conditionalFormatting sqref="AC43">
    <cfRule type="cellIs" priority="1448" operator="greaterThan" dxfId="13">
      <formula>0.9</formula>
    </cfRule>
    <cfRule type="cellIs" priority="1449" operator="greaterThan" dxfId="12">
      <formula>0.85</formula>
    </cfRule>
  </conditionalFormatting>
  <conditionalFormatting sqref="N43">
    <cfRule type="cellIs" priority="1446" operator="greaterThan" dxfId="13">
      <formula>0.9</formula>
    </cfRule>
    <cfRule type="cellIs" priority="1447" operator="greaterThan" dxfId="12">
      <formula>0.85</formula>
    </cfRule>
  </conditionalFormatting>
  <conditionalFormatting sqref="E43">
    <cfRule type="expression" priority="1442" dxfId="3">
      <formula>AND(IF(OR($Q43=1,$Q43=2),1,0),IF($X43&lt;=20,1,0))</formula>
    </cfRule>
    <cfRule type="expression" priority="1443" dxfId="2">
      <formula>AND(IF($Q43=2,1,0),IF($X43&lt;30,1,0))</formula>
    </cfRule>
    <cfRule type="expression" priority="1444" dxfId="1">
      <formula>AND(IF($Q43=3,1,0),IF($X43&lt;30,1,0))</formula>
    </cfRule>
    <cfRule type="expression" priority="1445" dxfId="0">
      <formula>AND(IF($Q43=3,1,IF($Q43=4,1,0)),IF($F43&lt;=85,1,0))</formula>
    </cfRule>
  </conditionalFormatting>
  <conditionalFormatting sqref="X43">
    <cfRule type="expression" priority="1438" dxfId="3">
      <formula>AND(IF(OR($Q43=1,$Q43=2),1,0),IF($X43&lt;=20,1,0))</formula>
    </cfRule>
    <cfRule type="expression" priority="1439" dxfId="2">
      <formula>AND(IF($Q43=2,1,0),IF($X43&lt;30,1,0))</formula>
    </cfRule>
    <cfRule type="expression" priority="1440" dxfId="1">
      <formula>AND(IF($Q43=3,1,0),IF($X43&lt;30,1,0))</formula>
    </cfRule>
    <cfRule type="expression" priority="1441" dxfId="0">
      <formula>AND(IF($Q43=3,1,IF($Q43=4,1,0)),IF($F43&lt;=85,1,0))</formula>
    </cfRule>
  </conditionalFormatting>
  <conditionalFormatting sqref="AI43">
    <cfRule type="expression" priority="1434" dxfId="3">
      <formula>AND(IF(OR($Q43=1,$Q43=2),1,0),IF($X43&lt;=20,1,0))</formula>
    </cfRule>
    <cfRule type="expression" priority="1435" dxfId="2">
      <formula>AND(IF($Q43=2,1,0),IF($X43&lt;30,1,0))</formula>
    </cfRule>
    <cfRule type="expression" priority="1436" dxfId="1">
      <formula>AND(IF($Q43=3,1,0),IF($X43&lt;30,1,0))</formula>
    </cfRule>
    <cfRule type="expression" priority="1437" dxfId="0">
      <formula>AND(IF($Q43=3,1,IF($Q43=4,1,0)),IF($F43&lt;=85,1,0))</formula>
    </cfRule>
  </conditionalFormatting>
  <conditionalFormatting sqref="AV44">
    <cfRule type="expression" priority="1432" dxfId="17">
      <formula>AV44="X"</formula>
    </cfRule>
    <cfRule type="expression" priority="1433" dxfId="16">
      <formula>AV44="후보"</formula>
    </cfRule>
  </conditionalFormatting>
  <conditionalFormatting sqref="AC44">
    <cfRule type="cellIs" priority="1429" operator="greaterThan" dxfId="13">
      <formula>0.9</formula>
    </cfRule>
    <cfRule type="cellIs" priority="1430" operator="greaterThan" dxfId="12">
      <formula>0.85</formula>
    </cfRule>
  </conditionalFormatting>
  <conditionalFormatting sqref="N44">
    <cfRule type="cellIs" priority="1427" operator="greaterThan" dxfId="13">
      <formula>0.9</formula>
    </cfRule>
    <cfRule type="cellIs" priority="1428" operator="greaterThan" dxfId="12">
      <formula>0.85</formula>
    </cfRule>
  </conditionalFormatting>
  <conditionalFormatting sqref="E44">
    <cfRule type="expression" priority="1423" dxfId="3">
      <formula>AND(IF(OR($Q44=1,$Q44=2),1,0),IF($X44&lt;=20,1,0))</formula>
    </cfRule>
    <cfRule type="expression" priority="1424" dxfId="2">
      <formula>AND(IF($Q44=2,1,0),IF($X44&lt;30,1,0))</formula>
    </cfRule>
    <cfRule type="expression" priority="1425" dxfId="1">
      <formula>AND(IF($Q44=3,1,0),IF($X44&lt;30,1,0))</formula>
    </cfRule>
    <cfRule type="expression" priority="1426" dxfId="0">
      <formula>AND(IF($Q44=3,1,IF($Q44=4,1,0)),IF($F44&lt;=85,1,0))</formula>
    </cfRule>
  </conditionalFormatting>
  <conditionalFormatting sqref="X44">
    <cfRule type="expression" priority="1419" dxfId="3">
      <formula>AND(IF(OR($Q44=1,$Q44=2),1,0),IF($X44&lt;=20,1,0))</formula>
    </cfRule>
    <cfRule type="expression" priority="1420" dxfId="2">
      <formula>AND(IF($Q44=2,1,0),IF($X44&lt;30,1,0))</formula>
    </cfRule>
    <cfRule type="expression" priority="1421" dxfId="1">
      <formula>AND(IF($Q44=3,1,0),IF($X44&lt;30,1,0))</formula>
    </cfRule>
    <cfRule type="expression" priority="1422" dxfId="0">
      <formula>AND(IF($Q44=3,1,IF($Q44=4,1,0)),IF($F44&lt;=85,1,0))</formula>
    </cfRule>
  </conditionalFormatting>
  <conditionalFormatting sqref="AI44">
    <cfRule type="expression" priority="1415" dxfId="3">
      <formula>AND(IF(OR($Q44=1,$Q44=2),1,0),IF($X44&lt;=20,1,0))</formula>
    </cfRule>
    <cfRule type="expression" priority="1416" dxfId="2">
      <formula>AND(IF($Q44=2,1,0),IF($X44&lt;30,1,0))</formula>
    </cfRule>
    <cfRule type="expression" priority="1417" dxfId="1">
      <formula>AND(IF($Q44=3,1,0),IF($X44&lt;30,1,0))</formula>
    </cfRule>
    <cfRule type="expression" priority="1418" dxfId="0">
      <formula>AND(IF($Q44=3,1,IF($Q44=4,1,0)),IF($F44&lt;=85,1,0))</formula>
    </cfRule>
  </conditionalFormatting>
  <conditionalFormatting sqref="AV45">
    <cfRule type="expression" priority="1413" dxfId="17">
      <formula>AV45="X"</formula>
    </cfRule>
    <cfRule type="expression" priority="1414" dxfId="16">
      <formula>AV45="후보"</formula>
    </cfRule>
  </conditionalFormatting>
  <conditionalFormatting sqref="AC45 N45">
    <cfRule type="cellIs" priority="1410" operator="greaterThan" dxfId="13">
      <formula>0.9</formula>
    </cfRule>
    <cfRule type="cellIs" priority="1411" operator="greaterThan" dxfId="12">
      <formula>0.85</formula>
    </cfRule>
  </conditionalFormatting>
  <conditionalFormatting sqref="AV46">
    <cfRule type="expression" priority="1408" dxfId="17">
      <formula>AV46="X"</formula>
    </cfRule>
    <cfRule type="expression" priority="1409" dxfId="16">
      <formula>AV46="후보"</formula>
    </cfRule>
  </conditionalFormatting>
  <conditionalFormatting sqref="AC46">
    <cfRule type="cellIs" priority="1405" operator="greaterThan" dxfId="13">
      <formula>0.9</formula>
    </cfRule>
    <cfRule type="cellIs" priority="1406" operator="greaterThan" dxfId="12">
      <formula>0.85</formula>
    </cfRule>
  </conditionalFormatting>
  <conditionalFormatting sqref="N46">
    <cfRule type="cellIs" priority="1403" operator="greaterThan" dxfId="13">
      <formula>0.9</formula>
    </cfRule>
    <cfRule type="cellIs" priority="1404" operator="greaterThan" dxfId="12">
      <formula>0.85</formula>
    </cfRule>
  </conditionalFormatting>
  <conditionalFormatting sqref="E46">
    <cfRule type="expression" priority="1399" dxfId="3">
      <formula>AND(IF(OR($Q46=1,$Q46=2),1,0),IF($X46&lt;=20,1,0))</formula>
    </cfRule>
    <cfRule type="expression" priority="1400" dxfId="2">
      <formula>AND(IF($Q46=2,1,0),IF($X46&lt;30,1,0))</formula>
    </cfRule>
    <cfRule type="expression" priority="1401" dxfId="1">
      <formula>AND(IF($Q46=3,1,0),IF($X46&lt;30,1,0))</formula>
    </cfRule>
    <cfRule type="expression" priority="1402" dxfId="0">
      <formula>AND(IF($Q46=3,1,IF($Q46=4,1,0)),IF($F46&lt;=85,1,0))</formula>
    </cfRule>
  </conditionalFormatting>
  <conditionalFormatting sqref="X46">
    <cfRule type="expression" priority="1395" dxfId="3">
      <formula>AND(IF(OR($Q46=1,$Q46=2),1,0),IF($X46&lt;=20,1,0))</formula>
    </cfRule>
    <cfRule type="expression" priority="1396" dxfId="2">
      <formula>AND(IF($Q46=2,1,0),IF($X46&lt;30,1,0))</formula>
    </cfRule>
    <cfRule type="expression" priority="1397" dxfId="1">
      <formula>AND(IF($Q46=3,1,0),IF($X46&lt;30,1,0))</formula>
    </cfRule>
    <cfRule type="expression" priority="1398" dxfId="0">
      <formula>AND(IF($Q46=3,1,IF($Q46=4,1,0)),IF($F46&lt;=85,1,0))</formula>
    </cfRule>
  </conditionalFormatting>
  <conditionalFormatting sqref="AI46">
    <cfRule type="expression" priority="1391" dxfId="3">
      <formula>AND(IF(OR($Q46=1,$Q46=2),1,0),IF($X46&lt;=20,1,0))</formula>
    </cfRule>
    <cfRule type="expression" priority="1392" dxfId="2">
      <formula>AND(IF($Q46=2,1,0),IF($X46&lt;30,1,0))</formula>
    </cfRule>
    <cfRule type="expression" priority="1393" dxfId="1">
      <formula>AND(IF($Q46=3,1,0),IF($X46&lt;30,1,0))</formula>
    </cfRule>
    <cfRule type="expression" priority="1394" dxfId="0">
      <formula>AND(IF($Q46=3,1,IF($Q46=4,1,0)),IF($F46&lt;=85,1,0))</formula>
    </cfRule>
  </conditionalFormatting>
  <conditionalFormatting sqref="AV47">
    <cfRule type="expression" priority="1389" dxfId="17">
      <formula>AV47="X"</formula>
    </cfRule>
    <cfRule type="expression" priority="1390" dxfId="16">
      <formula>AV47="후보"</formula>
    </cfRule>
  </conditionalFormatting>
  <conditionalFormatting sqref="AC47">
    <cfRule type="cellIs" priority="1386" operator="greaterThan" dxfId="13">
      <formula>0.9</formula>
    </cfRule>
    <cfRule type="cellIs" priority="1387" operator="greaterThan" dxfId="12">
      <formula>0.85</formula>
    </cfRule>
  </conditionalFormatting>
  <conditionalFormatting sqref="N47">
    <cfRule type="cellIs" priority="1384" operator="greaterThan" dxfId="13">
      <formula>0.9</formula>
    </cfRule>
    <cfRule type="cellIs" priority="1385" operator="greaterThan" dxfId="12">
      <formula>0.85</formula>
    </cfRule>
  </conditionalFormatting>
  <conditionalFormatting sqref="E47">
    <cfRule type="expression" priority="1380" dxfId="3">
      <formula>AND(IF(OR($Q47=1,$Q47=2),1,0),IF($X47&lt;=20,1,0))</formula>
    </cfRule>
    <cfRule type="expression" priority="1381" dxfId="2">
      <formula>AND(IF($Q47=2,1,0),IF($X47&lt;30,1,0))</formula>
    </cfRule>
    <cfRule type="expression" priority="1382" dxfId="1">
      <formula>AND(IF($Q47=3,1,0),IF($X47&lt;30,1,0))</formula>
    </cfRule>
    <cfRule type="expression" priority="1383" dxfId="0">
      <formula>AND(IF($Q47=3,1,IF($Q47=4,1,0)),IF($F47&lt;=85,1,0))</formula>
    </cfRule>
  </conditionalFormatting>
  <conditionalFormatting sqref="X47">
    <cfRule type="expression" priority="1376" dxfId="3">
      <formula>AND(IF(OR($Q47=1,$Q47=2),1,0),IF($X47&lt;=20,1,0))</formula>
    </cfRule>
    <cfRule type="expression" priority="1377" dxfId="2">
      <formula>AND(IF($Q47=2,1,0),IF($X47&lt;30,1,0))</formula>
    </cfRule>
    <cfRule type="expression" priority="1378" dxfId="1">
      <formula>AND(IF($Q47=3,1,0),IF($X47&lt;30,1,0))</formula>
    </cfRule>
    <cfRule type="expression" priority="1379" dxfId="0">
      <formula>AND(IF($Q47=3,1,IF($Q47=4,1,0)),IF($F47&lt;=85,1,0))</formula>
    </cfRule>
  </conditionalFormatting>
  <conditionalFormatting sqref="AI47">
    <cfRule type="expression" priority="1372" dxfId="3">
      <formula>AND(IF(OR($Q47=1,$Q47=2),1,0),IF($X47&lt;=20,1,0))</formula>
    </cfRule>
    <cfRule type="expression" priority="1373" dxfId="2">
      <formula>AND(IF($Q47=2,1,0),IF($X47&lt;30,1,0))</formula>
    </cfRule>
    <cfRule type="expression" priority="1374" dxfId="1">
      <formula>AND(IF($Q47=3,1,0),IF($X47&lt;30,1,0))</formula>
    </cfRule>
    <cfRule type="expression" priority="1375" dxfId="0">
      <formula>AND(IF($Q47=3,1,IF($Q47=4,1,0)),IF($F47&lt;=85,1,0))</formula>
    </cfRule>
  </conditionalFormatting>
  <conditionalFormatting sqref="AV48">
    <cfRule type="expression" priority="1370" dxfId="17">
      <formula>AV48="X"</formula>
    </cfRule>
    <cfRule type="expression" priority="1371" dxfId="16">
      <formula>AV48="후보"</formula>
    </cfRule>
  </conditionalFormatting>
  <conditionalFormatting sqref="AC48">
    <cfRule type="cellIs" priority="1367" operator="greaterThan" dxfId="13">
      <formula>0.9</formula>
    </cfRule>
    <cfRule type="cellIs" priority="1368" operator="greaterThan" dxfId="12">
      <formula>0.85</formula>
    </cfRule>
  </conditionalFormatting>
  <conditionalFormatting sqref="N48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E48">
    <cfRule type="expression" priority="1361" dxfId="3">
      <formula>AND(IF(OR($Q48=1,$Q48=2),1,0),IF($X48&lt;=20,1,0))</formula>
    </cfRule>
    <cfRule type="expression" priority="1362" dxfId="2">
      <formula>AND(IF($Q48=2,1,0),IF($X48&lt;30,1,0))</formula>
    </cfRule>
    <cfRule type="expression" priority="1363" dxfId="1">
      <formula>AND(IF($Q48=3,1,0),IF($X48&lt;30,1,0))</formula>
    </cfRule>
    <cfRule type="expression" priority="1364" dxfId="0">
      <formula>AND(IF($Q48=3,1,IF($Q48=4,1,0)),IF($F48&lt;=85,1,0))</formula>
    </cfRule>
  </conditionalFormatting>
  <conditionalFormatting sqref="X48">
    <cfRule type="expression" priority="1357" dxfId="3">
      <formula>AND(IF(OR($Q48=1,$Q48=2),1,0),IF($X48&lt;=20,1,0))</formula>
    </cfRule>
    <cfRule type="expression" priority="1358" dxfId="2">
      <formula>AND(IF($Q48=2,1,0),IF($X48&lt;30,1,0))</formula>
    </cfRule>
    <cfRule type="expression" priority="1359" dxfId="1">
      <formula>AND(IF($Q48=3,1,0),IF($X48&lt;30,1,0))</formula>
    </cfRule>
    <cfRule type="expression" priority="1360" dxfId="0">
      <formula>AND(IF($Q48=3,1,IF($Q48=4,1,0)),IF($F48&lt;=85,1,0))</formula>
    </cfRule>
  </conditionalFormatting>
  <conditionalFormatting sqref="AI48">
    <cfRule type="expression" priority="1353" dxfId="3">
      <formula>AND(IF(OR($Q48=1,$Q48=2),1,0),IF($X48&lt;=20,1,0))</formula>
    </cfRule>
    <cfRule type="expression" priority="1354" dxfId="2">
      <formula>AND(IF($Q48=2,1,0),IF($X48&lt;30,1,0))</formula>
    </cfRule>
    <cfRule type="expression" priority="1355" dxfId="1">
      <formula>AND(IF($Q48=3,1,0),IF($X48&lt;30,1,0))</formula>
    </cfRule>
    <cfRule type="expression" priority="1356" dxfId="0">
      <formula>AND(IF($Q48=3,1,IF($Q48=4,1,0)),IF($F48&lt;=85,1,0))</formula>
    </cfRule>
  </conditionalFormatting>
  <conditionalFormatting sqref="AV49">
    <cfRule type="expression" priority="1351" dxfId="17">
      <formula>AV49="X"</formula>
    </cfRule>
    <cfRule type="expression" priority="1352" dxfId="16">
      <formula>AV49="후보"</formula>
    </cfRule>
  </conditionalFormatting>
  <conditionalFormatting sqref="AC49">
    <cfRule type="cellIs" priority="1348" operator="greaterThan" dxfId="13">
      <formula>0.9</formula>
    </cfRule>
    <cfRule type="cellIs" priority="1349" operator="greaterThan" dxfId="12">
      <formula>0.85</formula>
    </cfRule>
  </conditionalFormatting>
  <conditionalFormatting sqref="N49">
    <cfRule type="cellIs" priority="1346" operator="greaterThan" dxfId="13">
      <formula>0.9</formula>
    </cfRule>
    <cfRule type="cellIs" priority="1347" operator="greaterThan" dxfId="12">
      <formula>0.85</formula>
    </cfRule>
  </conditionalFormatting>
  <conditionalFormatting sqref="E49">
    <cfRule type="expression" priority="1342" dxfId="3">
      <formula>AND(IF(OR($Q49=1,$Q49=2),1,0),IF($X49&lt;=20,1,0))</formula>
    </cfRule>
    <cfRule type="expression" priority="1343" dxfId="2">
      <formula>AND(IF($Q49=2,1,0),IF($X49&lt;30,1,0))</formula>
    </cfRule>
    <cfRule type="expression" priority="1344" dxfId="1">
      <formula>AND(IF($Q49=3,1,0),IF($X49&lt;30,1,0))</formula>
    </cfRule>
    <cfRule type="expression" priority="1345" dxfId="0">
      <formula>AND(IF($Q49=3,1,IF($Q49=4,1,0)),IF($F49&lt;=85,1,0))</formula>
    </cfRule>
  </conditionalFormatting>
  <conditionalFormatting sqref="X49">
    <cfRule type="expression" priority="1338" dxfId="3">
      <formula>AND(IF(OR($Q49=1,$Q49=2),1,0),IF($X49&lt;=20,1,0))</formula>
    </cfRule>
    <cfRule type="expression" priority="1339" dxfId="2">
      <formula>AND(IF($Q49=2,1,0),IF($X49&lt;30,1,0))</formula>
    </cfRule>
    <cfRule type="expression" priority="1340" dxfId="1">
      <formula>AND(IF($Q49=3,1,0),IF($X49&lt;30,1,0))</formula>
    </cfRule>
    <cfRule type="expression" priority="1341" dxfId="0">
      <formula>AND(IF($Q49=3,1,IF($Q49=4,1,0)),IF($F49&lt;=85,1,0))</formula>
    </cfRule>
  </conditionalFormatting>
  <conditionalFormatting sqref="AI49">
    <cfRule type="expression" priority="1334" dxfId="3">
      <formula>AND(IF(OR($Q49=1,$Q49=2),1,0),IF($X49&lt;=20,1,0))</formula>
    </cfRule>
    <cfRule type="expression" priority="1335" dxfId="2">
      <formula>AND(IF($Q49=2,1,0),IF($X49&lt;30,1,0))</formula>
    </cfRule>
    <cfRule type="expression" priority="1336" dxfId="1">
      <formula>AND(IF($Q49=3,1,0),IF($X49&lt;30,1,0))</formula>
    </cfRule>
    <cfRule type="expression" priority="1337" dxfId="0">
      <formula>AND(IF($Q49=3,1,IF($Q49=4,1,0)),IF($F49&lt;=85,1,0))</formula>
    </cfRule>
  </conditionalFormatting>
  <conditionalFormatting sqref="AV50">
    <cfRule type="expression" priority="1332" dxfId="17">
      <formula>AV50="X"</formula>
    </cfRule>
    <cfRule type="expression" priority="1333" dxfId="16">
      <formula>AV50="후보"</formula>
    </cfRule>
  </conditionalFormatting>
  <conditionalFormatting sqref="AC50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50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50">
    <cfRule type="expression" priority="1323" dxfId="3">
      <formula>AND(IF(OR($Q50=1,$Q50=2),1,0),IF($X50&lt;=20,1,0))</formula>
    </cfRule>
    <cfRule type="expression" priority="1324" dxfId="2">
      <formula>AND(IF($Q50=2,1,0),IF($X50&lt;30,1,0))</formula>
    </cfRule>
    <cfRule type="expression" priority="1325" dxfId="1">
      <formula>AND(IF($Q50=3,1,0),IF($X50&lt;30,1,0))</formula>
    </cfRule>
    <cfRule type="expression" priority="1326" dxfId="0">
      <formula>AND(IF($Q50=3,1,IF($Q50=4,1,0)),IF($F50&lt;=85,1,0))</formula>
    </cfRule>
  </conditionalFormatting>
  <conditionalFormatting sqref="X50">
    <cfRule type="expression" priority="1319" dxfId="3">
      <formula>AND(IF(OR($Q50=1,$Q50=2),1,0),IF($X50&lt;=20,1,0))</formula>
    </cfRule>
    <cfRule type="expression" priority="1320" dxfId="2">
      <formula>AND(IF($Q50=2,1,0),IF($X50&lt;30,1,0))</formula>
    </cfRule>
    <cfRule type="expression" priority="1321" dxfId="1">
      <formula>AND(IF($Q50=3,1,0),IF($X50&lt;30,1,0))</formula>
    </cfRule>
    <cfRule type="expression" priority="1322" dxfId="0">
      <formula>AND(IF($Q50=3,1,IF($Q50=4,1,0)),IF($F50&lt;=85,1,0))</formula>
    </cfRule>
  </conditionalFormatting>
  <conditionalFormatting sqref="AI50">
    <cfRule type="expression" priority="1315" dxfId="3">
      <formula>AND(IF(OR($Q50=1,$Q50=2),1,0),IF($X50&lt;=20,1,0))</formula>
    </cfRule>
    <cfRule type="expression" priority="1316" dxfId="2">
      <formula>AND(IF($Q50=2,1,0),IF($X50&lt;30,1,0))</formula>
    </cfRule>
    <cfRule type="expression" priority="1317" dxfId="1">
      <formula>AND(IF($Q50=3,1,0),IF($X50&lt;30,1,0))</formula>
    </cfRule>
    <cfRule type="expression" priority="1318" dxfId="0">
      <formula>AND(IF($Q50=3,1,IF($Q50=4,1,0)),IF($F50&lt;=85,1,0))</formula>
    </cfRule>
  </conditionalFormatting>
  <conditionalFormatting sqref="AV51">
    <cfRule type="expression" priority="1313" dxfId="17">
      <formula>AV51="X"</formula>
    </cfRule>
    <cfRule type="expression" priority="1314" dxfId="16">
      <formula>AV51="후보"</formula>
    </cfRule>
  </conditionalFormatting>
  <conditionalFormatting sqref="AC51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N51">
    <cfRule type="cellIs" priority="1308" operator="greaterThan" dxfId="13">
      <formula>0.9</formula>
    </cfRule>
    <cfRule type="cellIs" priority="1309" operator="greaterThan" dxfId="12">
      <formula>0.85</formula>
    </cfRule>
  </conditionalFormatting>
  <conditionalFormatting sqref="E51">
    <cfRule type="expression" priority="1304" dxfId="3">
      <formula>AND(IF(OR($Q51=1,$Q51=2),1,0),IF($X51&lt;=20,1,0))</formula>
    </cfRule>
    <cfRule type="expression" priority="1305" dxfId="2">
      <formula>AND(IF($Q51=2,1,0),IF($X51&lt;30,1,0))</formula>
    </cfRule>
    <cfRule type="expression" priority="1306" dxfId="1">
      <formula>AND(IF($Q51=3,1,0),IF($X51&lt;30,1,0))</formula>
    </cfRule>
    <cfRule type="expression" priority="1307" dxfId="0">
      <formula>AND(IF($Q51=3,1,IF($Q51=4,1,0)),IF($F51&lt;=85,1,0))</formula>
    </cfRule>
  </conditionalFormatting>
  <conditionalFormatting sqref="X51">
    <cfRule type="expression" priority="1300" dxfId="3">
      <formula>AND(IF(OR($Q51=1,$Q51=2),1,0),IF($X51&lt;=20,1,0))</formula>
    </cfRule>
    <cfRule type="expression" priority="1301" dxfId="2">
      <formula>AND(IF($Q51=2,1,0),IF($X51&lt;30,1,0))</formula>
    </cfRule>
    <cfRule type="expression" priority="1302" dxfId="1">
      <formula>AND(IF($Q51=3,1,0),IF($X51&lt;30,1,0))</formula>
    </cfRule>
    <cfRule type="expression" priority="1303" dxfId="0">
      <formula>AND(IF($Q51=3,1,IF($Q51=4,1,0)),IF($F51&lt;=85,1,0))</formula>
    </cfRule>
  </conditionalFormatting>
  <conditionalFormatting sqref="AI51">
    <cfRule type="expression" priority="1296" dxfId="3">
      <formula>AND(IF(OR($Q51=1,$Q51=2),1,0),IF($X51&lt;=20,1,0))</formula>
    </cfRule>
    <cfRule type="expression" priority="1297" dxfId="2">
      <formula>AND(IF($Q51=2,1,0),IF($X51&lt;30,1,0))</formula>
    </cfRule>
    <cfRule type="expression" priority="1298" dxfId="1">
      <formula>AND(IF($Q51=3,1,0),IF($X51&lt;30,1,0))</formula>
    </cfRule>
    <cfRule type="expression" priority="1299" dxfId="0">
      <formula>AND(IF($Q51=3,1,IF($Q51=4,1,0)),IF($F51&lt;=85,1,0))</formula>
    </cfRule>
  </conditionalFormatting>
  <conditionalFormatting sqref="AV52">
    <cfRule type="expression" priority="1294" dxfId="17">
      <formula>AV52="X"</formula>
    </cfRule>
    <cfRule type="expression" priority="1295" dxfId="16">
      <formula>AV52="후보"</formula>
    </cfRule>
  </conditionalFormatting>
  <conditionalFormatting sqref="AC52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52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52">
    <cfRule type="expression" priority="1285" dxfId="3">
      <formula>AND(IF(OR($Q52=1,$Q52=2),1,0),IF($X52&lt;=20,1,0))</formula>
    </cfRule>
    <cfRule type="expression" priority="1286" dxfId="2">
      <formula>AND(IF($Q52=2,1,0),IF($X52&lt;30,1,0))</formula>
    </cfRule>
    <cfRule type="expression" priority="1287" dxfId="1">
      <formula>AND(IF($Q52=3,1,0),IF($X52&lt;30,1,0))</formula>
    </cfRule>
    <cfRule type="expression" priority="1288" dxfId="0">
      <formula>AND(IF($Q52=3,1,IF($Q52=4,1,0)),IF($F52&lt;=85,1,0))</formula>
    </cfRule>
  </conditionalFormatting>
  <conditionalFormatting sqref="X52">
    <cfRule type="expression" priority="1281" dxfId="3">
      <formula>AND(IF(OR($Q52=1,$Q52=2),1,0),IF($X52&lt;=20,1,0))</formula>
    </cfRule>
    <cfRule type="expression" priority="1282" dxfId="2">
      <formula>AND(IF($Q52=2,1,0),IF($X52&lt;30,1,0))</formula>
    </cfRule>
    <cfRule type="expression" priority="1283" dxfId="1">
      <formula>AND(IF($Q52=3,1,0),IF($X52&lt;30,1,0))</formula>
    </cfRule>
    <cfRule type="expression" priority="1284" dxfId="0">
      <formula>AND(IF($Q52=3,1,IF($Q52=4,1,0)),IF($F52&lt;=85,1,0))</formula>
    </cfRule>
  </conditionalFormatting>
  <conditionalFormatting sqref="AI52">
    <cfRule type="expression" priority="1277" dxfId="3">
      <formula>AND(IF(OR($Q52=1,$Q52=2),1,0),IF($X52&lt;=20,1,0))</formula>
    </cfRule>
    <cfRule type="expression" priority="1278" dxfId="2">
      <formula>AND(IF($Q52=2,1,0),IF($X52&lt;30,1,0))</formula>
    </cfRule>
    <cfRule type="expression" priority="1279" dxfId="1">
      <formula>AND(IF($Q52=3,1,0),IF($X52&lt;30,1,0))</formula>
    </cfRule>
    <cfRule type="expression" priority="1280" dxfId="0">
      <formula>AND(IF($Q52=3,1,IF($Q52=4,1,0)),IF($F52&lt;=85,1,0))</formula>
    </cfRule>
  </conditionalFormatting>
  <conditionalFormatting sqref="AV53">
    <cfRule type="expression" priority="1275" dxfId="17">
      <formula>AV53="X"</formula>
    </cfRule>
    <cfRule type="expression" priority="1276" dxfId="16">
      <formula>AV53="후보"</formula>
    </cfRule>
  </conditionalFormatting>
  <conditionalFormatting sqref="AC53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N53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E53">
    <cfRule type="expression" priority="1266" dxfId="3">
      <formula>AND(IF(OR($Q53=1,$Q53=2),1,0),IF($X53&lt;=20,1,0))</formula>
    </cfRule>
    <cfRule type="expression" priority="1267" dxfId="2">
      <formula>AND(IF($Q53=2,1,0),IF($X53&lt;30,1,0))</formula>
    </cfRule>
    <cfRule type="expression" priority="1268" dxfId="1">
      <formula>AND(IF($Q53=3,1,0),IF($X53&lt;30,1,0))</formula>
    </cfRule>
    <cfRule type="expression" priority="1269" dxfId="0">
      <formula>AND(IF($Q53=3,1,IF($Q53=4,1,0)),IF($F53&lt;=85,1,0))</formula>
    </cfRule>
  </conditionalFormatting>
  <conditionalFormatting sqref="X53">
    <cfRule type="expression" priority="1262" dxfId="3">
      <formula>AND(IF(OR($Q53=1,$Q53=2),1,0),IF($X53&lt;=20,1,0))</formula>
    </cfRule>
    <cfRule type="expression" priority="1263" dxfId="2">
      <formula>AND(IF($Q53=2,1,0),IF($X53&lt;30,1,0))</formula>
    </cfRule>
    <cfRule type="expression" priority="1264" dxfId="1">
      <formula>AND(IF($Q53=3,1,0),IF($X53&lt;30,1,0))</formula>
    </cfRule>
    <cfRule type="expression" priority="1265" dxfId="0">
      <formula>AND(IF($Q53=3,1,IF($Q53=4,1,0)),IF($F53&lt;=85,1,0))</formula>
    </cfRule>
  </conditionalFormatting>
  <conditionalFormatting sqref="AI53">
    <cfRule type="expression" priority="1258" dxfId="3">
      <formula>AND(IF(OR($Q53=1,$Q53=2),1,0),IF($X53&lt;=20,1,0))</formula>
    </cfRule>
    <cfRule type="expression" priority="1259" dxfId="2">
      <formula>AND(IF($Q53=2,1,0),IF($X53&lt;30,1,0))</formula>
    </cfRule>
    <cfRule type="expression" priority="1260" dxfId="1">
      <formula>AND(IF($Q53=3,1,0),IF($X53&lt;30,1,0))</formula>
    </cfRule>
    <cfRule type="expression" priority="1261" dxfId="0">
      <formula>AND(IF($Q53=3,1,IF($Q53=4,1,0)),IF($F53&lt;=85,1,0))</formula>
    </cfRule>
  </conditionalFormatting>
  <conditionalFormatting sqref="AV54">
    <cfRule type="expression" priority="1256" dxfId="17">
      <formula>AV54="X"</formula>
    </cfRule>
    <cfRule type="expression" priority="1257" dxfId="16">
      <formula>AV54="후보"</formula>
    </cfRule>
  </conditionalFormatting>
  <conditionalFormatting sqref="AC54 N54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AV55">
    <cfRule type="expression" priority="1251" dxfId="17">
      <formula>AV55="X"</formula>
    </cfRule>
    <cfRule type="expression" priority="1252" dxfId="16">
      <formula>AV55="후보"</formula>
    </cfRule>
  </conditionalFormatting>
  <conditionalFormatting sqref="AC55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N55">
    <cfRule type="cellIs" priority="1246" operator="greaterThan" dxfId="13">
      <formula>0.9</formula>
    </cfRule>
    <cfRule type="cellIs" priority="1247" operator="greaterThan" dxfId="12">
      <formula>0.85</formula>
    </cfRule>
  </conditionalFormatting>
  <conditionalFormatting sqref="E55">
    <cfRule type="expression" priority="1242" dxfId="3">
      <formula>AND(IF(OR($Q55=1,$Q55=2),1,0),IF($X55&lt;=20,1,0))</formula>
    </cfRule>
    <cfRule type="expression" priority="1243" dxfId="2">
      <formula>AND(IF($Q55=2,1,0),IF($X55&lt;30,1,0))</formula>
    </cfRule>
    <cfRule type="expression" priority="1244" dxfId="1">
      <formula>AND(IF($Q55=3,1,0),IF($X55&lt;30,1,0))</formula>
    </cfRule>
    <cfRule type="expression" priority="1245" dxfId="0">
      <formula>AND(IF($Q55=3,1,IF($Q55=4,1,0)),IF($F55&lt;=85,1,0))</formula>
    </cfRule>
  </conditionalFormatting>
  <conditionalFormatting sqref="X55">
    <cfRule type="expression" priority="1238" dxfId="3">
      <formula>AND(IF(OR($Q55=1,$Q55=2),1,0),IF($X55&lt;=20,1,0))</formula>
    </cfRule>
    <cfRule type="expression" priority="1239" dxfId="2">
      <formula>AND(IF($Q55=2,1,0),IF($X55&lt;30,1,0))</formula>
    </cfRule>
    <cfRule type="expression" priority="1240" dxfId="1">
      <formula>AND(IF($Q55=3,1,0),IF($X55&lt;30,1,0))</formula>
    </cfRule>
    <cfRule type="expression" priority="1241" dxfId="0">
      <formula>AND(IF($Q55=3,1,IF($Q55=4,1,0)),IF($F55&lt;=85,1,0))</formula>
    </cfRule>
  </conditionalFormatting>
  <conditionalFormatting sqref="AI55">
    <cfRule type="expression" priority="1234" dxfId="3">
      <formula>AND(IF(OR($Q55=1,$Q55=2),1,0),IF($X55&lt;=20,1,0))</formula>
    </cfRule>
    <cfRule type="expression" priority="1235" dxfId="2">
      <formula>AND(IF($Q55=2,1,0),IF($X55&lt;30,1,0))</formula>
    </cfRule>
    <cfRule type="expression" priority="1236" dxfId="1">
      <formula>AND(IF($Q55=3,1,0),IF($X55&lt;30,1,0))</formula>
    </cfRule>
    <cfRule type="expression" priority="1237" dxfId="0">
      <formula>AND(IF($Q55=3,1,IF($Q55=4,1,0)),IF($F55&lt;=85,1,0))</formula>
    </cfRule>
  </conditionalFormatting>
  <conditionalFormatting sqref="AV56">
    <cfRule type="expression" priority="1232" dxfId="17">
      <formula>AV56="X"</formula>
    </cfRule>
    <cfRule type="expression" priority="1233" dxfId="16">
      <formula>AV56="후보"</formula>
    </cfRule>
  </conditionalFormatting>
  <conditionalFormatting sqref="AC56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N56">
    <cfRule type="cellIs" priority="1227" operator="greaterThan" dxfId="13">
      <formula>0.9</formula>
    </cfRule>
    <cfRule type="cellIs" priority="1228" operator="greaterThan" dxfId="12">
      <formula>0.85</formula>
    </cfRule>
  </conditionalFormatting>
  <conditionalFormatting sqref="E56">
    <cfRule type="expression" priority="1223" dxfId="3">
      <formula>AND(IF(OR($Q56=1,$Q56=2),1,0),IF($X56&lt;=20,1,0))</formula>
    </cfRule>
    <cfRule type="expression" priority="1224" dxfId="2">
      <formula>AND(IF($Q56=2,1,0),IF($X56&lt;30,1,0))</formula>
    </cfRule>
    <cfRule type="expression" priority="1225" dxfId="1">
      <formula>AND(IF($Q56=3,1,0),IF($X56&lt;30,1,0))</formula>
    </cfRule>
    <cfRule type="expression" priority="1226" dxfId="0">
      <formula>AND(IF($Q56=3,1,IF($Q56=4,1,0)),IF($F56&lt;=85,1,0))</formula>
    </cfRule>
  </conditionalFormatting>
  <conditionalFormatting sqref="X56">
    <cfRule type="expression" priority="1219" dxfId="3">
      <formula>AND(IF(OR($Q56=1,$Q56=2),1,0),IF($X56&lt;=20,1,0))</formula>
    </cfRule>
    <cfRule type="expression" priority="1220" dxfId="2">
      <formula>AND(IF($Q56=2,1,0),IF($X56&lt;30,1,0))</formula>
    </cfRule>
    <cfRule type="expression" priority="1221" dxfId="1">
      <formula>AND(IF($Q56=3,1,0),IF($X56&lt;30,1,0))</formula>
    </cfRule>
    <cfRule type="expression" priority="1222" dxfId="0">
      <formula>AND(IF($Q56=3,1,IF($Q56=4,1,0)),IF($F56&lt;=85,1,0))</formula>
    </cfRule>
  </conditionalFormatting>
  <conditionalFormatting sqref="AI56">
    <cfRule type="expression" priority="1215" dxfId="3">
      <formula>AND(IF(OR($Q56=1,$Q56=2),1,0),IF($X56&lt;=20,1,0))</formula>
    </cfRule>
    <cfRule type="expression" priority="1216" dxfId="2">
      <formula>AND(IF($Q56=2,1,0),IF($X56&lt;30,1,0))</formula>
    </cfRule>
    <cfRule type="expression" priority="1217" dxfId="1">
      <formula>AND(IF($Q56=3,1,0),IF($X56&lt;30,1,0))</formula>
    </cfRule>
    <cfRule type="expression" priority="1218" dxfId="0">
      <formula>AND(IF($Q56=3,1,IF($Q56=4,1,0)),IF($F56&lt;=85,1,0))</formula>
    </cfRule>
  </conditionalFormatting>
  <conditionalFormatting sqref="AV57">
    <cfRule type="expression" priority="1213" dxfId="17">
      <formula>AV57="X"</formula>
    </cfRule>
    <cfRule type="expression" priority="1214" dxfId="16">
      <formula>AV57="후보"</formula>
    </cfRule>
  </conditionalFormatting>
  <conditionalFormatting sqref="AC57 N57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AV58">
    <cfRule type="expression" priority="1208" dxfId="17">
      <formula>AV58="X"</formula>
    </cfRule>
    <cfRule type="expression" priority="1209" dxfId="16">
      <formula>AV58="후보"</formula>
    </cfRule>
  </conditionalFormatting>
  <conditionalFormatting sqref="AC58">
    <cfRule type="cellIs" priority="1205" operator="greaterThan" dxfId="13">
      <formula>0.9</formula>
    </cfRule>
    <cfRule type="cellIs" priority="1206" operator="greaterThan" dxfId="12">
      <formula>0.85</formula>
    </cfRule>
  </conditionalFormatting>
  <conditionalFormatting sqref="N58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E58">
    <cfRule type="expression" priority="1199" dxfId="3">
      <formula>AND(IF(OR($Q58=1,$Q58=2),1,0),IF($X58&lt;=20,1,0))</formula>
    </cfRule>
    <cfRule type="expression" priority="1200" dxfId="2">
      <formula>AND(IF($Q58=2,1,0),IF($X58&lt;30,1,0))</formula>
    </cfRule>
    <cfRule type="expression" priority="1201" dxfId="1">
      <formula>AND(IF($Q58=3,1,0),IF($X58&lt;30,1,0))</formula>
    </cfRule>
    <cfRule type="expression" priority="1202" dxfId="0">
      <formula>AND(IF($Q58=3,1,IF($Q58=4,1,0)),IF($F58&lt;=85,1,0))</formula>
    </cfRule>
  </conditionalFormatting>
  <conditionalFormatting sqref="X58">
    <cfRule type="expression" priority="1195" dxfId="3">
      <formula>AND(IF(OR($Q58=1,$Q58=2),1,0),IF($X58&lt;=20,1,0))</formula>
    </cfRule>
    <cfRule type="expression" priority="1196" dxfId="2">
      <formula>AND(IF($Q58=2,1,0),IF($X58&lt;30,1,0))</formula>
    </cfRule>
    <cfRule type="expression" priority="1197" dxfId="1">
      <formula>AND(IF($Q58=3,1,0),IF($X58&lt;30,1,0))</formula>
    </cfRule>
    <cfRule type="expression" priority="1198" dxfId="0">
      <formula>AND(IF($Q58=3,1,IF($Q58=4,1,0)),IF($F58&lt;=85,1,0))</formula>
    </cfRule>
  </conditionalFormatting>
  <conditionalFormatting sqref="AI58">
    <cfRule type="expression" priority="1191" dxfId="3">
      <formula>AND(IF(OR($Q58=1,$Q58=2),1,0),IF($X58&lt;=20,1,0))</formula>
    </cfRule>
    <cfRule type="expression" priority="1192" dxfId="2">
      <formula>AND(IF($Q58=2,1,0),IF($X58&lt;30,1,0))</formula>
    </cfRule>
    <cfRule type="expression" priority="1193" dxfId="1">
      <formula>AND(IF($Q58=3,1,0),IF($X58&lt;30,1,0))</formula>
    </cfRule>
    <cfRule type="expression" priority="1194" dxfId="0">
      <formula>AND(IF($Q58=3,1,IF($Q58=4,1,0)),IF($F58&lt;=85,1,0))</formula>
    </cfRule>
  </conditionalFormatting>
  <conditionalFormatting sqref="AV59">
    <cfRule type="expression" priority="1189" dxfId="17">
      <formula>AV59="X"</formula>
    </cfRule>
    <cfRule type="expression" priority="1190" dxfId="16">
      <formula>AV59="후보"</formula>
    </cfRule>
  </conditionalFormatting>
  <conditionalFormatting sqref="AC59">
    <cfRule type="cellIs" priority="1186" operator="greaterThan" dxfId="13">
      <formula>0.9</formula>
    </cfRule>
    <cfRule type="cellIs" priority="1187" operator="greaterThan" dxfId="12">
      <formula>0.85</formula>
    </cfRule>
  </conditionalFormatting>
  <conditionalFormatting sqref="N59">
    <cfRule type="cellIs" priority="1184" operator="greaterThan" dxfId="13">
      <formula>0.9</formula>
    </cfRule>
    <cfRule type="cellIs" priority="1185" operator="greaterThan" dxfId="12">
      <formula>0.85</formula>
    </cfRule>
  </conditionalFormatting>
  <conditionalFormatting sqref="E59">
    <cfRule type="expression" priority="1180" dxfId="3">
      <formula>AND(IF(OR($Q59=1,$Q59=2),1,0),IF($X59&lt;=20,1,0))</formula>
    </cfRule>
    <cfRule type="expression" priority="1181" dxfId="2">
      <formula>AND(IF($Q59=2,1,0),IF($X59&lt;30,1,0))</formula>
    </cfRule>
    <cfRule type="expression" priority="1182" dxfId="1">
      <formula>AND(IF($Q59=3,1,0),IF($X59&lt;30,1,0))</formula>
    </cfRule>
    <cfRule type="expression" priority="1183" dxfId="0">
      <formula>AND(IF($Q59=3,1,IF($Q59=4,1,0)),IF($F59&lt;=85,1,0))</formula>
    </cfRule>
  </conditionalFormatting>
  <conditionalFormatting sqref="X59">
    <cfRule type="expression" priority="1176" dxfId="3">
      <formula>AND(IF(OR($Q59=1,$Q59=2),1,0),IF($X59&lt;=20,1,0))</formula>
    </cfRule>
    <cfRule type="expression" priority="1177" dxfId="2">
      <formula>AND(IF($Q59=2,1,0),IF($X59&lt;30,1,0))</formula>
    </cfRule>
    <cfRule type="expression" priority="1178" dxfId="1">
      <formula>AND(IF($Q59=3,1,0),IF($X59&lt;30,1,0))</formula>
    </cfRule>
    <cfRule type="expression" priority="1179" dxfId="0">
      <formula>AND(IF($Q59=3,1,IF($Q59=4,1,0)),IF($F59&lt;=85,1,0))</formula>
    </cfRule>
  </conditionalFormatting>
  <conditionalFormatting sqref="AI59">
    <cfRule type="expression" priority="1172" dxfId="3">
      <formula>AND(IF(OR($Q59=1,$Q59=2),1,0),IF($X59&lt;=20,1,0))</formula>
    </cfRule>
    <cfRule type="expression" priority="1173" dxfId="2">
      <formula>AND(IF($Q59=2,1,0),IF($X59&lt;30,1,0))</formula>
    </cfRule>
    <cfRule type="expression" priority="1174" dxfId="1">
      <formula>AND(IF($Q59=3,1,0),IF($X59&lt;30,1,0))</formula>
    </cfRule>
    <cfRule type="expression" priority="1175" dxfId="0">
      <formula>AND(IF($Q59=3,1,IF($Q59=4,1,0)),IF($F59&lt;=85,1,0))</formula>
    </cfRule>
  </conditionalFormatting>
  <conditionalFormatting sqref="AV60">
    <cfRule type="expression" priority="1170" dxfId="17">
      <formula>AV60="X"</formula>
    </cfRule>
    <cfRule type="expression" priority="1171" dxfId="16">
      <formula>AV60="후보"</formula>
    </cfRule>
  </conditionalFormatting>
  <conditionalFormatting sqref="AC60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60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60">
    <cfRule type="expression" priority="1161" dxfId="3">
      <formula>AND(IF(OR($Q60=1,$Q60=2),1,0),IF($X60&lt;=20,1,0))</formula>
    </cfRule>
    <cfRule type="expression" priority="1162" dxfId="2">
      <formula>AND(IF($Q60=2,1,0),IF($X60&lt;30,1,0))</formula>
    </cfRule>
    <cfRule type="expression" priority="1163" dxfId="1">
      <formula>AND(IF($Q60=3,1,0),IF($X60&lt;30,1,0))</formula>
    </cfRule>
    <cfRule type="expression" priority="1164" dxfId="0">
      <formula>AND(IF($Q60=3,1,IF($Q60=4,1,0)),IF($F60&lt;=85,1,0))</formula>
    </cfRule>
  </conditionalFormatting>
  <conditionalFormatting sqref="X60">
    <cfRule type="expression" priority="1157" dxfId="3">
      <formula>AND(IF(OR($Q60=1,$Q60=2),1,0),IF($X60&lt;=20,1,0))</formula>
    </cfRule>
    <cfRule type="expression" priority="1158" dxfId="2">
      <formula>AND(IF($Q60=2,1,0),IF($X60&lt;30,1,0))</formula>
    </cfRule>
    <cfRule type="expression" priority="1159" dxfId="1">
      <formula>AND(IF($Q60=3,1,0),IF($X60&lt;30,1,0))</formula>
    </cfRule>
    <cfRule type="expression" priority="1160" dxfId="0">
      <formula>AND(IF($Q60=3,1,IF($Q60=4,1,0)),IF($F60&lt;=85,1,0))</formula>
    </cfRule>
  </conditionalFormatting>
  <conditionalFormatting sqref="AI60">
    <cfRule type="expression" priority="1153" dxfId="3">
      <formula>AND(IF(OR($Q60=1,$Q60=2),1,0),IF($X60&lt;=20,1,0))</formula>
    </cfRule>
    <cfRule type="expression" priority="1154" dxfId="2">
      <formula>AND(IF($Q60=2,1,0),IF($X60&lt;30,1,0))</formula>
    </cfRule>
    <cfRule type="expression" priority="1155" dxfId="1">
      <formula>AND(IF($Q60=3,1,0),IF($X60&lt;30,1,0))</formula>
    </cfRule>
    <cfRule type="expression" priority="1156" dxfId="0">
      <formula>AND(IF($Q60=3,1,IF($Q60=4,1,0)),IF($F60&lt;=85,1,0))</formula>
    </cfRule>
  </conditionalFormatting>
  <conditionalFormatting sqref="AV61">
    <cfRule type="expression" priority="1151" dxfId="17">
      <formula>AV61="X"</formula>
    </cfRule>
    <cfRule type="expression" priority="1152" dxfId="16">
      <formula>AV61="후보"</formula>
    </cfRule>
  </conditionalFormatting>
  <conditionalFormatting sqref="AC61 N61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AV62">
    <cfRule type="expression" priority="1146" dxfId="17">
      <formula>AV62="X"</formula>
    </cfRule>
    <cfRule type="expression" priority="1147" dxfId="16">
      <formula>AV62="후보"</formula>
    </cfRule>
  </conditionalFormatting>
  <conditionalFormatting sqref="AC62">
    <cfRule type="cellIs" priority="1143" operator="greaterThan" dxfId="13">
      <formula>0.9</formula>
    </cfRule>
    <cfRule type="cellIs" priority="1144" operator="greaterThan" dxfId="12">
      <formula>0.85</formula>
    </cfRule>
  </conditionalFormatting>
  <conditionalFormatting sqref="N62">
    <cfRule type="cellIs" priority="1141" operator="greaterThan" dxfId="13">
      <formula>0.9</formula>
    </cfRule>
    <cfRule type="cellIs" priority="1142" operator="greaterThan" dxfId="12">
      <formula>0.85</formula>
    </cfRule>
  </conditionalFormatting>
  <conditionalFormatting sqref="E62">
    <cfRule type="expression" priority="1137" dxfId="3">
      <formula>AND(IF(OR($Q62=1,$Q62=2),1,0),IF($X62&lt;=20,1,0))</formula>
    </cfRule>
    <cfRule type="expression" priority="1138" dxfId="2">
      <formula>AND(IF($Q62=2,1,0),IF($X62&lt;30,1,0))</formula>
    </cfRule>
    <cfRule type="expression" priority="1139" dxfId="1">
      <formula>AND(IF($Q62=3,1,0),IF($X62&lt;30,1,0))</formula>
    </cfRule>
    <cfRule type="expression" priority="1140" dxfId="0">
      <formula>AND(IF($Q62=3,1,IF($Q62=4,1,0)),IF($F62&lt;=85,1,0))</formula>
    </cfRule>
  </conditionalFormatting>
  <conditionalFormatting sqref="X62">
    <cfRule type="expression" priority="1133" dxfId="3">
      <formula>AND(IF(OR($Q62=1,$Q62=2),1,0),IF($X62&lt;=20,1,0))</formula>
    </cfRule>
    <cfRule type="expression" priority="1134" dxfId="2">
      <formula>AND(IF($Q62=2,1,0),IF($X62&lt;30,1,0))</formula>
    </cfRule>
    <cfRule type="expression" priority="1135" dxfId="1">
      <formula>AND(IF($Q62=3,1,0),IF($X62&lt;30,1,0))</formula>
    </cfRule>
    <cfRule type="expression" priority="1136" dxfId="0">
      <formula>AND(IF($Q62=3,1,IF($Q62=4,1,0)),IF($F62&lt;=85,1,0))</formula>
    </cfRule>
  </conditionalFormatting>
  <conditionalFormatting sqref="AI62">
    <cfRule type="expression" priority="1129" dxfId="3">
      <formula>AND(IF(OR($Q62=1,$Q62=2),1,0),IF($X62&lt;=20,1,0))</formula>
    </cfRule>
    <cfRule type="expression" priority="1130" dxfId="2">
      <formula>AND(IF($Q62=2,1,0),IF($X62&lt;30,1,0))</formula>
    </cfRule>
    <cfRule type="expression" priority="1131" dxfId="1">
      <formula>AND(IF($Q62=3,1,0),IF($X62&lt;30,1,0))</formula>
    </cfRule>
    <cfRule type="expression" priority="1132" dxfId="0">
      <formula>AND(IF($Q62=3,1,IF($Q62=4,1,0)),IF($F62&lt;=85,1,0))</formula>
    </cfRule>
  </conditionalFormatting>
  <conditionalFormatting sqref="AV63">
    <cfRule type="expression" priority="1127" dxfId="17">
      <formula>AV63="X"</formula>
    </cfRule>
    <cfRule type="expression" priority="1128" dxfId="16">
      <formula>AV63="후보"</formula>
    </cfRule>
  </conditionalFormatting>
  <conditionalFormatting sqref="AC63">
    <cfRule type="cellIs" priority="1124" operator="greaterThan" dxfId="13">
      <formula>0.9</formula>
    </cfRule>
    <cfRule type="cellIs" priority="1125" operator="greaterThan" dxfId="12">
      <formula>0.85</formula>
    </cfRule>
  </conditionalFormatting>
  <conditionalFormatting sqref="N63">
    <cfRule type="cellIs" priority="1122" operator="greaterThan" dxfId="13">
      <formula>0.9</formula>
    </cfRule>
    <cfRule type="cellIs" priority="1123" operator="greaterThan" dxfId="12">
      <formula>0.85</formula>
    </cfRule>
  </conditionalFormatting>
  <conditionalFormatting sqref="E63">
    <cfRule type="expression" priority="1118" dxfId="3">
      <formula>AND(IF(OR($Q63=1,$Q63=2),1,0),IF($X63&lt;=20,1,0))</formula>
    </cfRule>
    <cfRule type="expression" priority="1119" dxfId="2">
      <formula>AND(IF($Q63=2,1,0),IF($X63&lt;30,1,0))</formula>
    </cfRule>
    <cfRule type="expression" priority="1120" dxfId="1">
      <formula>AND(IF($Q63=3,1,0),IF($X63&lt;30,1,0))</formula>
    </cfRule>
    <cfRule type="expression" priority="1121" dxfId="0">
      <formula>AND(IF($Q63=3,1,IF($Q63=4,1,0)),IF($F63&lt;=85,1,0))</formula>
    </cfRule>
  </conditionalFormatting>
  <conditionalFormatting sqref="X63">
    <cfRule type="expression" priority="1114" dxfId="3">
      <formula>AND(IF(OR($Q63=1,$Q63=2),1,0),IF($X63&lt;=20,1,0))</formula>
    </cfRule>
    <cfRule type="expression" priority="1115" dxfId="2">
      <formula>AND(IF($Q63=2,1,0),IF($X63&lt;30,1,0))</formula>
    </cfRule>
    <cfRule type="expression" priority="1116" dxfId="1">
      <formula>AND(IF($Q63=3,1,0),IF($X63&lt;30,1,0))</formula>
    </cfRule>
    <cfRule type="expression" priority="1117" dxfId="0">
      <formula>AND(IF($Q63=3,1,IF($Q63=4,1,0)),IF($F63&lt;=85,1,0))</formula>
    </cfRule>
  </conditionalFormatting>
  <conditionalFormatting sqref="AI63">
    <cfRule type="expression" priority="1110" dxfId="3">
      <formula>AND(IF(OR($Q63=1,$Q63=2),1,0),IF($X63&lt;=20,1,0))</formula>
    </cfRule>
    <cfRule type="expression" priority="1111" dxfId="2">
      <formula>AND(IF($Q63=2,1,0),IF($X63&lt;30,1,0))</formula>
    </cfRule>
    <cfRule type="expression" priority="1112" dxfId="1">
      <formula>AND(IF($Q63=3,1,0),IF($X63&lt;30,1,0))</formula>
    </cfRule>
    <cfRule type="expression" priority="1113" dxfId="0">
      <formula>AND(IF($Q63=3,1,IF($Q63=4,1,0)),IF($F63&lt;=85,1,0))</formula>
    </cfRule>
  </conditionalFormatting>
  <conditionalFormatting sqref="AV64">
    <cfRule type="expression" priority="1108" dxfId="17">
      <formula>AV64="X"</formula>
    </cfRule>
    <cfRule type="expression" priority="1109" dxfId="16">
      <formula>AV64="후보"</formula>
    </cfRule>
  </conditionalFormatting>
  <conditionalFormatting sqref="AC64">
    <cfRule type="cellIs" priority="1105" operator="greaterThan" dxfId="13">
      <formula>0.9</formula>
    </cfRule>
    <cfRule type="cellIs" priority="1106" operator="greaterThan" dxfId="12">
      <formula>0.85</formula>
    </cfRule>
  </conditionalFormatting>
  <conditionalFormatting sqref="N64">
    <cfRule type="cellIs" priority="1103" operator="greaterThan" dxfId="13">
      <formula>0.9</formula>
    </cfRule>
    <cfRule type="cellIs" priority="1104" operator="greaterThan" dxfId="12">
      <formula>0.85</formula>
    </cfRule>
  </conditionalFormatting>
  <conditionalFormatting sqref="E64">
    <cfRule type="expression" priority="1099" dxfId="3">
      <formula>AND(IF(OR($Q64=1,$Q64=2),1,0),IF($X64&lt;=20,1,0))</formula>
    </cfRule>
    <cfRule type="expression" priority="1100" dxfId="2">
      <formula>AND(IF($Q64=2,1,0),IF($X64&lt;30,1,0))</formula>
    </cfRule>
    <cfRule type="expression" priority="1101" dxfId="1">
      <formula>AND(IF($Q64=3,1,0),IF($X64&lt;30,1,0))</formula>
    </cfRule>
    <cfRule type="expression" priority="1102" dxfId="0">
      <formula>AND(IF($Q64=3,1,IF($Q64=4,1,0)),IF($F64&lt;=85,1,0))</formula>
    </cfRule>
  </conditionalFormatting>
  <conditionalFormatting sqref="X64">
    <cfRule type="expression" priority="1095" dxfId="3">
      <formula>AND(IF(OR($Q64=1,$Q64=2),1,0),IF($X64&lt;=20,1,0))</formula>
    </cfRule>
    <cfRule type="expression" priority="1096" dxfId="2">
      <formula>AND(IF($Q64=2,1,0),IF($X64&lt;30,1,0))</formula>
    </cfRule>
    <cfRule type="expression" priority="1097" dxfId="1">
      <formula>AND(IF($Q64=3,1,0),IF($X64&lt;30,1,0))</formula>
    </cfRule>
    <cfRule type="expression" priority="1098" dxfId="0">
      <formula>AND(IF($Q64=3,1,IF($Q64=4,1,0)),IF($F64&lt;=85,1,0))</formula>
    </cfRule>
  </conditionalFormatting>
  <conditionalFormatting sqref="AI64">
    <cfRule type="expression" priority="1091" dxfId="3">
      <formula>AND(IF(OR($Q64=1,$Q64=2),1,0),IF($X64&lt;=20,1,0))</formula>
    </cfRule>
    <cfRule type="expression" priority="1092" dxfId="2">
      <formula>AND(IF($Q64=2,1,0),IF($X64&lt;30,1,0))</formula>
    </cfRule>
    <cfRule type="expression" priority="1093" dxfId="1">
      <formula>AND(IF($Q64=3,1,0),IF($X64&lt;30,1,0))</formula>
    </cfRule>
    <cfRule type="expression" priority="1094" dxfId="0">
      <formula>AND(IF($Q64=3,1,IF($Q64=4,1,0)),IF($F64&lt;=85,1,0))</formula>
    </cfRule>
  </conditionalFormatting>
  <conditionalFormatting sqref="AV65">
    <cfRule type="expression" priority="1089" dxfId="17">
      <formula>AV65="X"</formula>
    </cfRule>
    <cfRule type="expression" priority="1090" dxfId="16">
      <formula>AV65="후보"</formula>
    </cfRule>
  </conditionalFormatting>
  <conditionalFormatting sqref="AC65 N65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AV66">
    <cfRule type="expression" priority="1084" dxfId="17">
      <formula>AV66="X"</formula>
    </cfRule>
    <cfRule type="expression" priority="1085" dxfId="16">
      <formula>AV66="후보"</formula>
    </cfRule>
  </conditionalFormatting>
  <conditionalFormatting sqref="AC66">
    <cfRule type="cellIs" priority="1081" operator="greaterThan" dxfId="13">
      <formula>0.9</formula>
    </cfRule>
    <cfRule type="cellIs" priority="1082" operator="greaterThan" dxfId="12">
      <formula>0.85</formula>
    </cfRule>
  </conditionalFormatting>
  <conditionalFormatting sqref="N66">
    <cfRule type="cellIs" priority="1079" operator="greaterThan" dxfId="13">
      <formula>0.9</formula>
    </cfRule>
    <cfRule type="cellIs" priority="1080" operator="greaterThan" dxfId="12">
      <formula>0.85</formula>
    </cfRule>
  </conditionalFormatting>
  <conditionalFormatting sqref="E66">
    <cfRule type="expression" priority="1075" dxfId="3">
      <formula>AND(IF(OR($Q66=1,$Q66=2),1,0),IF($X66&lt;=20,1,0))</formula>
    </cfRule>
    <cfRule type="expression" priority="1076" dxfId="2">
      <formula>AND(IF($Q66=2,1,0),IF($X66&lt;30,1,0))</formula>
    </cfRule>
    <cfRule type="expression" priority="1077" dxfId="1">
      <formula>AND(IF($Q66=3,1,0),IF($X66&lt;30,1,0))</formula>
    </cfRule>
    <cfRule type="expression" priority="1078" dxfId="0">
      <formula>AND(IF($Q66=3,1,IF($Q66=4,1,0)),IF($F66&lt;=85,1,0))</formula>
    </cfRule>
  </conditionalFormatting>
  <conditionalFormatting sqref="X66">
    <cfRule type="expression" priority="1071" dxfId="3">
      <formula>AND(IF(OR($Q66=1,$Q66=2),1,0),IF($X66&lt;=20,1,0))</formula>
    </cfRule>
    <cfRule type="expression" priority="1072" dxfId="2">
      <formula>AND(IF($Q66=2,1,0),IF($X66&lt;30,1,0))</formula>
    </cfRule>
    <cfRule type="expression" priority="1073" dxfId="1">
      <formula>AND(IF($Q66=3,1,0),IF($X66&lt;30,1,0))</formula>
    </cfRule>
    <cfRule type="expression" priority="1074" dxfId="0">
      <formula>AND(IF($Q66=3,1,IF($Q66=4,1,0)),IF($F66&lt;=85,1,0))</formula>
    </cfRule>
  </conditionalFormatting>
  <conditionalFormatting sqref="AI66">
    <cfRule type="expression" priority="1067" dxfId="3">
      <formula>AND(IF(OR($Q66=1,$Q66=2),1,0),IF($X66&lt;=20,1,0))</formula>
    </cfRule>
    <cfRule type="expression" priority="1068" dxfId="2">
      <formula>AND(IF($Q66=2,1,0),IF($X66&lt;30,1,0))</formula>
    </cfRule>
    <cfRule type="expression" priority="1069" dxfId="1">
      <formula>AND(IF($Q66=3,1,0),IF($X66&lt;30,1,0))</formula>
    </cfRule>
    <cfRule type="expression" priority="1070" dxfId="0">
      <formula>AND(IF($Q66=3,1,IF($Q66=4,1,0)),IF($F66&lt;=85,1,0))</formula>
    </cfRule>
  </conditionalFormatting>
  <conditionalFormatting sqref="AV67">
    <cfRule type="expression" priority="1065" dxfId="17">
      <formula>AV67="X"</formula>
    </cfRule>
    <cfRule type="expression" priority="1066" dxfId="16">
      <formula>AV67="후보"</formula>
    </cfRule>
  </conditionalFormatting>
  <conditionalFormatting sqref="AC67">
    <cfRule type="cellIs" priority="1062" operator="greaterThan" dxfId="13">
      <formula>0.9</formula>
    </cfRule>
    <cfRule type="cellIs" priority="1063" operator="greaterThan" dxfId="12">
      <formula>0.85</formula>
    </cfRule>
  </conditionalFormatting>
  <conditionalFormatting sqref="N67">
    <cfRule type="cellIs" priority="1060" operator="greaterThan" dxfId="13">
      <formula>0.9</formula>
    </cfRule>
    <cfRule type="cellIs" priority="1061" operator="greaterThan" dxfId="12">
      <formula>0.85</formula>
    </cfRule>
  </conditionalFormatting>
  <conditionalFormatting sqref="E67">
    <cfRule type="expression" priority="1056" dxfId="3">
      <formula>AND(IF(OR($Q67=1,$Q67=2),1,0),IF($X67&lt;=20,1,0))</formula>
    </cfRule>
    <cfRule type="expression" priority="1057" dxfId="2">
      <formula>AND(IF($Q67=2,1,0),IF($X67&lt;30,1,0))</formula>
    </cfRule>
    <cfRule type="expression" priority="1058" dxfId="1">
      <formula>AND(IF($Q67=3,1,0),IF($X67&lt;30,1,0))</formula>
    </cfRule>
    <cfRule type="expression" priority="1059" dxfId="0">
      <formula>AND(IF($Q67=3,1,IF($Q67=4,1,0)),IF($F67&lt;=85,1,0))</formula>
    </cfRule>
  </conditionalFormatting>
  <conditionalFormatting sqref="X67">
    <cfRule type="expression" priority="1052" dxfId="3">
      <formula>AND(IF(OR($Q67=1,$Q67=2),1,0),IF($X67&lt;=20,1,0))</formula>
    </cfRule>
    <cfRule type="expression" priority="1053" dxfId="2">
      <formula>AND(IF($Q67=2,1,0),IF($X67&lt;30,1,0))</formula>
    </cfRule>
    <cfRule type="expression" priority="1054" dxfId="1">
      <formula>AND(IF($Q67=3,1,0),IF($X67&lt;30,1,0))</formula>
    </cfRule>
    <cfRule type="expression" priority="1055" dxfId="0">
      <formula>AND(IF($Q67=3,1,IF($Q67=4,1,0)),IF($F67&lt;=85,1,0))</formula>
    </cfRule>
  </conditionalFormatting>
  <conditionalFormatting sqref="AI67">
    <cfRule type="expression" priority="1048" dxfId="3">
      <formula>AND(IF(OR($Q67=1,$Q67=2),1,0),IF($X67&lt;=20,1,0))</formula>
    </cfRule>
    <cfRule type="expression" priority="1049" dxfId="2">
      <formula>AND(IF($Q67=2,1,0),IF($X67&lt;30,1,0))</formula>
    </cfRule>
    <cfRule type="expression" priority="1050" dxfId="1">
      <formula>AND(IF($Q67=3,1,0),IF($X67&lt;30,1,0))</formula>
    </cfRule>
    <cfRule type="expression" priority="1051" dxfId="0">
      <formula>AND(IF($Q67=3,1,IF($Q67=4,1,0)),IF($F67&lt;=85,1,0))</formula>
    </cfRule>
  </conditionalFormatting>
  <conditionalFormatting sqref="AV68">
    <cfRule type="expression" priority="1046" dxfId="17">
      <formula>AV68="X"</formula>
    </cfRule>
    <cfRule type="expression" priority="1047" dxfId="16">
      <formula>AV68="후보"</formula>
    </cfRule>
  </conditionalFormatting>
  <conditionalFormatting sqref="AC68">
    <cfRule type="cellIs" priority="1043" operator="greaterThan" dxfId="13">
      <formula>0.9</formula>
    </cfRule>
    <cfRule type="cellIs" priority="1044" operator="greaterThan" dxfId="12">
      <formula>0.85</formula>
    </cfRule>
  </conditionalFormatting>
  <conditionalFormatting sqref="N68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E68">
    <cfRule type="expression" priority="1037" dxfId="3">
      <formula>AND(IF(OR($Q68=1,$Q68=2),1,0),IF($X68&lt;=20,1,0))</formula>
    </cfRule>
    <cfRule type="expression" priority="1038" dxfId="2">
      <formula>AND(IF($Q68=2,1,0),IF($X68&lt;30,1,0))</formula>
    </cfRule>
    <cfRule type="expression" priority="1039" dxfId="1">
      <formula>AND(IF($Q68=3,1,0),IF($X68&lt;30,1,0))</formula>
    </cfRule>
    <cfRule type="expression" priority="1040" dxfId="0">
      <formula>AND(IF($Q68=3,1,IF($Q68=4,1,0)),IF($F68&lt;=85,1,0))</formula>
    </cfRule>
  </conditionalFormatting>
  <conditionalFormatting sqref="X68">
    <cfRule type="expression" priority="1033" dxfId="3">
      <formula>AND(IF(OR($Q68=1,$Q68=2),1,0),IF($X68&lt;=20,1,0))</formula>
    </cfRule>
    <cfRule type="expression" priority="1034" dxfId="2">
      <formula>AND(IF($Q68=2,1,0),IF($X68&lt;30,1,0))</formula>
    </cfRule>
    <cfRule type="expression" priority="1035" dxfId="1">
      <formula>AND(IF($Q68=3,1,0),IF($X68&lt;30,1,0))</formula>
    </cfRule>
    <cfRule type="expression" priority="1036" dxfId="0">
      <formula>AND(IF($Q68=3,1,IF($Q68=4,1,0)),IF($F68&lt;=85,1,0))</formula>
    </cfRule>
  </conditionalFormatting>
  <conditionalFormatting sqref="AI68">
    <cfRule type="expression" priority="1029" dxfId="3">
      <formula>AND(IF(OR($Q68=1,$Q68=2),1,0),IF($X68&lt;=20,1,0))</formula>
    </cfRule>
    <cfRule type="expression" priority="1030" dxfId="2">
      <formula>AND(IF($Q68=2,1,0),IF($X68&lt;30,1,0))</formula>
    </cfRule>
    <cfRule type="expression" priority="1031" dxfId="1">
      <formula>AND(IF($Q68=3,1,0),IF($X68&lt;30,1,0))</formula>
    </cfRule>
    <cfRule type="expression" priority="1032" dxfId="0">
      <formula>AND(IF($Q68=3,1,IF($Q68=4,1,0)),IF($F68&lt;=85,1,0))</formula>
    </cfRule>
  </conditionalFormatting>
  <conditionalFormatting sqref="AV69">
    <cfRule type="expression" priority="1027" dxfId="17">
      <formula>AV69="X"</formula>
    </cfRule>
    <cfRule type="expression" priority="1028" dxfId="16">
      <formula>AV69="후보"</formula>
    </cfRule>
  </conditionalFormatting>
  <conditionalFormatting sqref="AC69">
    <cfRule type="cellIs" priority="1024" operator="greaterThan" dxfId="13">
      <formula>0.9</formula>
    </cfRule>
    <cfRule type="cellIs" priority="1025" operator="greaterThan" dxfId="12">
      <formula>0.85</formula>
    </cfRule>
  </conditionalFormatting>
  <conditionalFormatting sqref="N69">
    <cfRule type="cellIs" priority="1022" operator="greaterThan" dxfId="13">
      <formula>0.9</formula>
    </cfRule>
    <cfRule type="cellIs" priority="1023" operator="greaterThan" dxfId="12">
      <formula>0.85</formula>
    </cfRule>
  </conditionalFormatting>
  <conditionalFormatting sqref="E69">
    <cfRule type="expression" priority="1018" dxfId="3">
      <formula>AND(IF(OR($Q69=1,$Q69=2),1,0),IF($X69&lt;=20,1,0))</formula>
    </cfRule>
    <cfRule type="expression" priority="1019" dxfId="2">
      <formula>AND(IF($Q69=2,1,0),IF($X69&lt;30,1,0))</formula>
    </cfRule>
    <cfRule type="expression" priority="1020" dxfId="1">
      <formula>AND(IF($Q69=3,1,0),IF($X69&lt;30,1,0))</formula>
    </cfRule>
    <cfRule type="expression" priority="1021" dxfId="0">
      <formula>AND(IF($Q69=3,1,IF($Q69=4,1,0)),IF($F69&lt;=85,1,0))</formula>
    </cfRule>
  </conditionalFormatting>
  <conditionalFormatting sqref="X69">
    <cfRule type="expression" priority="1014" dxfId="3">
      <formula>AND(IF(OR($Q69=1,$Q69=2),1,0),IF($X69&lt;=20,1,0))</formula>
    </cfRule>
    <cfRule type="expression" priority="1015" dxfId="2">
      <formula>AND(IF($Q69=2,1,0),IF($X69&lt;30,1,0))</formula>
    </cfRule>
    <cfRule type="expression" priority="1016" dxfId="1">
      <formula>AND(IF($Q69=3,1,0),IF($X69&lt;30,1,0))</formula>
    </cfRule>
    <cfRule type="expression" priority="1017" dxfId="0">
      <formula>AND(IF($Q69=3,1,IF($Q69=4,1,0)),IF($F69&lt;=85,1,0))</formula>
    </cfRule>
  </conditionalFormatting>
  <conditionalFormatting sqref="AI69">
    <cfRule type="expression" priority="1010" dxfId="3">
      <formula>AND(IF(OR($Q69=1,$Q69=2),1,0),IF($X69&lt;=20,1,0))</formula>
    </cfRule>
    <cfRule type="expression" priority="1011" dxfId="2">
      <formula>AND(IF($Q69=2,1,0),IF($X69&lt;30,1,0))</formula>
    </cfRule>
    <cfRule type="expression" priority="1012" dxfId="1">
      <formula>AND(IF($Q69=3,1,0),IF($X69&lt;30,1,0))</formula>
    </cfRule>
    <cfRule type="expression" priority="1013" dxfId="0">
      <formula>AND(IF($Q69=3,1,IF($Q69=4,1,0)),IF($F69&lt;=85,1,0))</formula>
    </cfRule>
  </conditionalFormatting>
  <conditionalFormatting sqref="AV70">
    <cfRule type="expression" priority="1008" dxfId="17">
      <formula>AV70="X"</formula>
    </cfRule>
    <cfRule type="expression" priority="1009" dxfId="16">
      <formula>AV70="후보"</formula>
    </cfRule>
  </conditionalFormatting>
  <conditionalFormatting sqref="AC70 N70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AV71">
    <cfRule type="expression" priority="1003" dxfId="17">
      <formula>AV71="X"</formula>
    </cfRule>
    <cfRule type="expression" priority="1004" dxfId="16">
      <formula>AV71="후보"</formula>
    </cfRule>
  </conditionalFormatting>
  <conditionalFormatting sqref="AC71">
    <cfRule type="cellIs" priority="1000" operator="greaterThan" dxfId="13">
      <formula>0.9</formula>
    </cfRule>
    <cfRule type="cellIs" priority="1001" operator="greaterThan" dxfId="12">
      <formula>0.85</formula>
    </cfRule>
  </conditionalFormatting>
  <conditionalFormatting sqref="N71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E71">
    <cfRule type="expression" priority="994" dxfId="3">
      <formula>AND(IF(OR($Q71=1,$Q71=2),1,0),IF($X71&lt;=20,1,0))</formula>
    </cfRule>
    <cfRule type="expression" priority="995" dxfId="2">
      <formula>AND(IF($Q71=2,1,0),IF($X71&lt;30,1,0))</formula>
    </cfRule>
    <cfRule type="expression" priority="996" dxfId="1">
      <formula>AND(IF($Q71=3,1,0),IF($X71&lt;30,1,0))</formula>
    </cfRule>
    <cfRule type="expression" priority="997" dxfId="0">
      <formula>AND(IF($Q71=3,1,IF($Q71=4,1,0)),IF($F71&lt;=85,1,0))</formula>
    </cfRule>
  </conditionalFormatting>
  <conditionalFormatting sqref="X71">
    <cfRule type="expression" priority="990" dxfId="3">
      <formula>AND(IF(OR($Q71=1,$Q71=2),1,0),IF($X71&lt;=20,1,0))</formula>
    </cfRule>
    <cfRule type="expression" priority="991" dxfId="2">
      <formula>AND(IF($Q71=2,1,0),IF($X71&lt;30,1,0))</formula>
    </cfRule>
    <cfRule type="expression" priority="992" dxfId="1">
      <formula>AND(IF($Q71=3,1,0),IF($X71&lt;30,1,0))</formula>
    </cfRule>
    <cfRule type="expression" priority="993" dxfId="0">
      <formula>AND(IF($Q71=3,1,IF($Q71=4,1,0)),IF($F71&lt;=85,1,0))</formula>
    </cfRule>
  </conditionalFormatting>
  <conditionalFormatting sqref="AI71">
    <cfRule type="expression" priority="986" dxfId="3">
      <formula>AND(IF(OR($Q71=1,$Q71=2),1,0),IF($X71&lt;=20,1,0))</formula>
    </cfRule>
    <cfRule type="expression" priority="987" dxfId="2">
      <formula>AND(IF($Q71=2,1,0),IF($X71&lt;30,1,0))</formula>
    </cfRule>
    <cfRule type="expression" priority="988" dxfId="1">
      <formula>AND(IF($Q71=3,1,0),IF($X71&lt;30,1,0))</formula>
    </cfRule>
    <cfRule type="expression" priority="989" dxfId="0">
      <formula>AND(IF($Q71=3,1,IF($Q71=4,1,0)),IF($F71&lt;=85,1,0))</formula>
    </cfRule>
  </conditionalFormatting>
  <conditionalFormatting sqref="AV72">
    <cfRule type="expression" priority="984" dxfId="17">
      <formula>AV72="X"</formula>
    </cfRule>
    <cfRule type="expression" priority="985" dxfId="16">
      <formula>AV72="후보"</formula>
    </cfRule>
  </conditionalFormatting>
  <conditionalFormatting sqref="AC72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N72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E72">
    <cfRule type="expression" priority="975" dxfId="3">
      <formula>AND(IF(OR($Q72=1,$Q72=2),1,0),IF($X72&lt;=20,1,0))</formula>
    </cfRule>
    <cfRule type="expression" priority="976" dxfId="2">
      <formula>AND(IF($Q72=2,1,0),IF($X72&lt;30,1,0))</formula>
    </cfRule>
    <cfRule type="expression" priority="977" dxfId="1">
      <formula>AND(IF($Q72=3,1,0),IF($X72&lt;30,1,0))</formula>
    </cfRule>
    <cfRule type="expression" priority="978" dxfId="0">
      <formula>AND(IF($Q72=3,1,IF($Q72=4,1,0)),IF($F72&lt;=85,1,0))</formula>
    </cfRule>
  </conditionalFormatting>
  <conditionalFormatting sqref="X72">
    <cfRule type="expression" priority="971" dxfId="3">
      <formula>AND(IF(OR($Q72=1,$Q72=2),1,0),IF($X72&lt;=20,1,0))</formula>
    </cfRule>
    <cfRule type="expression" priority="972" dxfId="2">
      <formula>AND(IF($Q72=2,1,0),IF($X72&lt;30,1,0))</formula>
    </cfRule>
    <cfRule type="expression" priority="973" dxfId="1">
      <formula>AND(IF($Q72=3,1,0),IF($X72&lt;30,1,0))</formula>
    </cfRule>
    <cfRule type="expression" priority="974" dxfId="0">
      <formula>AND(IF($Q72=3,1,IF($Q72=4,1,0)),IF($F72&lt;=85,1,0))</formula>
    </cfRule>
  </conditionalFormatting>
  <conditionalFormatting sqref="AI72">
    <cfRule type="expression" priority="967" dxfId="3">
      <formula>AND(IF(OR($Q72=1,$Q72=2),1,0),IF($X72&lt;=20,1,0))</formula>
    </cfRule>
    <cfRule type="expression" priority="968" dxfId="2">
      <formula>AND(IF($Q72=2,1,0),IF($X72&lt;30,1,0))</formula>
    </cfRule>
    <cfRule type="expression" priority="969" dxfId="1">
      <formula>AND(IF($Q72=3,1,0),IF($X72&lt;30,1,0))</formula>
    </cfRule>
    <cfRule type="expression" priority="970" dxfId="0">
      <formula>AND(IF($Q72=3,1,IF($Q72=4,1,0)),IF($F72&lt;=85,1,0))</formula>
    </cfRule>
  </conditionalFormatting>
  <conditionalFormatting sqref="AV73">
    <cfRule type="expression" priority="965" dxfId="17">
      <formula>AV73="X"</formula>
    </cfRule>
    <cfRule type="expression" priority="966" dxfId="16">
      <formula>AV73="후보"</formula>
    </cfRule>
  </conditionalFormatting>
  <conditionalFormatting sqref="AC73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N73">
    <cfRule type="cellIs" priority="960" operator="greaterThan" dxfId="13">
      <formula>0.9</formula>
    </cfRule>
    <cfRule type="cellIs" priority="961" operator="greaterThan" dxfId="12">
      <formula>0.85</formula>
    </cfRule>
  </conditionalFormatting>
  <conditionalFormatting sqref="E73">
    <cfRule type="expression" priority="956" dxfId="3">
      <formula>AND(IF(OR($Q73=1,$Q73=2),1,0),IF($X73&lt;=20,1,0))</formula>
    </cfRule>
    <cfRule type="expression" priority="957" dxfId="2">
      <formula>AND(IF($Q73=2,1,0),IF($X73&lt;30,1,0))</formula>
    </cfRule>
    <cfRule type="expression" priority="958" dxfId="1">
      <formula>AND(IF($Q73=3,1,0),IF($X73&lt;30,1,0))</formula>
    </cfRule>
    <cfRule type="expression" priority="959" dxfId="0">
      <formula>AND(IF($Q73=3,1,IF($Q73=4,1,0)),IF($F73&lt;=85,1,0))</formula>
    </cfRule>
  </conditionalFormatting>
  <conditionalFormatting sqref="X73">
    <cfRule type="expression" priority="952" dxfId="3">
      <formula>AND(IF(OR($Q73=1,$Q73=2),1,0),IF($X73&lt;=20,1,0))</formula>
    </cfRule>
    <cfRule type="expression" priority="953" dxfId="2">
      <formula>AND(IF($Q73=2,1,0),IF($X73&lt;30,1,0))</formula>
    </cfRule>
    <cfRule type="expression" priority="954" dxfId="1">
      <formula>AND(IF($Q73=3,1,0),IF($X73&lt;30,1,0))</formula>
    </cfRule>
    <cfRule type="expression" priority="955" dxfId="0">
      <formula>AND(IF($Q73=3,1,IF($Q73=4,1,0)),IF($F73&lt;=85,1,0))</formula>
    </cfRule>
  </conditionalFormatting>
  <conditionalFormatting sqref="AI73">
    <cfRule type="expression" priority="948" dxfId="3">
      <formula>AND(IF(OR($Q73=1,$Q73=2),1,0),IF($X73&lt;=20,1,0))</formula>
    </cfRule>
    <cfRule type="expression" priority="949" dxfId="2">
      <formula>AND(IF($Q73=2,1,0),IF($X73&lt;30,1,0))</formula>
    </cfRule>
    <cfRule type="expression" priority="950" dxfId="1">
      <formula>AND(IF($Q73=3,1,0),IF($X73&lt;30,1,0))</formula>
    </cfRule>
    <cfRule type="expression" priority="951" dxfId="0">
      <formula>AND(IF($Q73=3,1,IF($Q73=4,1,0)),IF($F73&lt;=85,1,0))</formula>
    </cfRule>
  </conditionalFormatting>
  <conditionalFormatting sqref="AV74">
    <cfRule type="expression" priority="946" dxfId="17">
      <formula>AV74="X"</formula>
    </cfRule>
    <cfRule type="expression" priority="947" dxfId="16">
      <formula>AV74="후보"</formula>
    </cfRule>
  </conditionalFormatting>
  <conditionalFormatting sqref="AC74 N74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AV75">
    <cfRule type="expression" priority="941" dxfId="17">
      <formula>AV75="X"</formula>
    </cfRule>
    <cfRule type="expression" priority="942" dxfId="16">
      <formula>AV75="후보"</formula>
    </cfRule>
  </conditionalFormatting>
  <conditionalFormatting sqref="AC75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75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75">
    <cfRule type="expression" priority="932" dxfId="3">
      <formula>AND(IF(OR($Q75=1,$Q75=2),1,0),IF($X75&lt;=20,1,0))</formula>
    </cfRule>
    <cfRule type="expression" priority="933" dxfId="2">
      <formula>AND(IF($Q75=2,1,0),IF($X75&lt;30,1,0))</formula>
    </cfRule>
    <cfRule type="expression" priority="934" dxfId="1">
      <formula>AND(IF($Q75=3,1,0),IF($X75&lt;30,1,0))</formula>
    </cfRule>
    <cfRule type="expression" priority="935" dxfId="0">
      <formula>AND(IF($Q75=3,1,IF($Q75=4,1,0)),IF($F75&lt;=85,1,0))</formula>
    </cfRule>
  </conditionalFormatting>
  <conditionalFormatting sqref="X75">
    <cfRule type="expression" priority="928" dxfId="3">
      <formula>AND(IF(OR($Q75=1,$Q75=2),1,0),IF($X75&lt;=20,1,0))</formula>
    </cfRule>
    <cfRule type="expression" priority="929" dxfId="2">
      <formula>AND(IF($Q75=2,1,0),IF($X75&lt;30,1,0))</formula>
    </cfRule>
    <cfRule type="expression" priority="930" dxfId="1">
      <formula>AND(IF($Q75=3,1,0),IF($X75&lt;30,1,0))</formula>
    </cfRule>
    <cfRule type="expression" priority="931" dxfId="0">
      <formula>AND(IF($Q75=3,1,IF($Q75=4,1,0)),IF($F75&lt;=85,1,0))</formula>
    </cfRule>
  </conditionalFormatting>
  <conditionalFormatting sqref="AI75">
    <cfRule type="expression" priority="924" dxfId="3">
      <formula>AND(IF(OR($Q75=1,$Q75=2),1,0),IF($X75&lt;=20,1,0))</formula>
    </cfRule>
    <cfRule type="expression" priority="925" dxfId="2">
      <formula>AND(IF($Q75=2,1,0),IF($X75&lt;30,1,0))</formula>
    </cfRule>
    <cfRule type="expression" priority="926" dxfId="1">
      <formula>AND(IF($Q75=3,1,0),IF($X75&lt;30,1,0))</formula>
    </cfRule>
    <cfRule type="expression" priority="927" dxfId="0">
      <formula>AND(IF($Q75=3,1,IF($Q75=4,1,0)),IF($F75&lt;=85,1,0))</formula>
    </cfRule>
  </conditionalFormatting>
  <conditionalFormatting sqref="AV76">
    <cfRule type="expression" priority="922" dxfId="17">
      <formula>AV76="X"</formula>
    </cfRule>
    <cfRule type="expression" priority="923" dxfId="16">
      <formula>AV76="후보"</formula>
    </cfRule>
  </conditionalFormatting>
  <conditionalFormatting sqref="AC76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76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76">
    <cfRule type="expression" priority="913" dxfId="3">
      <formula>AND(IF(OR($Q76=1,$Q76=2),1,0),IF($X76&lt;=20,1,0))</formula>
    </cfRule>
    <cfRule type="expression" priority="914" dxfId="2">
      <formula>AND(IF($Q76=2,1,0),IF($X76&lt;30,1,0))</formula>
    </cfRule>
    <cfRule type="expression" priority="915" dxfId="1">
      <formula>AND(IF($Q76=3,1,0),IF($X76&lt;30,1,0))</formula>
    </cfRule>
    <cfRule type="expression" priority="916" dxfId="0">
      <formula>AND(IF($Q76=3,1,IF($Q76=4,1,0)),IF($F76&lt;=85,1,0))</formula>
    </cfRule>
  </conditionalFormatting>
  <conditionalFormatting sqref="X76">
    <cfRule type="expression" priority="909" dxfId="3">
      <formula>AND(IF(OR($Q76=1,$Q76=2),1,0),IF($X76&lt;=20,1,0))</formula>
    </cfRule>
    <cfRule type="expression" priority="910" dxfId="2">
      <formula>AND(IF($Q76=2,1,0),IF($X76&lt;30,1,0))</formula>
    </cfRule>
    <cfRule type="expression" priority="911" dxfId="1">
      <formula>AND(IF($Q76=3,1,0),IF($X76&lt;30,1,0))</formula>
    </cfRule>
    <cfRule type="expression" priority="912" dxfId="0">
      <formula>AND(IF($Q76=3,1,IF($Q76=4,1,0)),IF($F76&lt;=85,1,0))</formula>
    </cfRule>
  </conditionalFormatting>
  <conditionalFormatting sqref="AI76">
    <cfRule type="expression" priority="905" dxfId="3">
      <formula>AND(IF(OR($Q76=1,$Q76=2),1,0),IF($X76&lt;=20,1,0))</formula>
    </cfRule>
    <cfRule type="expression" priority="906" dxfId="2">
      <formula>AND(IF($Q76=2,1,0),IF($X76&lt;30,1,0))</formula>
    </cfRule>
    <cfRule type="expression" priority="907" dxfId="1">
      <formula>AND(IF($Q76=3,1,0),IF($X76&lt;30,1,0))</formula>
    </cfRule>
    <cfRule type="expression" priority="908" dxfId="0">
      <formula>AND(IF($Q76=3,1,IF($Q76=4,1,0)),IF($F76&lt;=85,1,0))</formula>
    </cfRule>
  </conditionalFormatting>
  <conditionalFormatting sqref="AV77">
    <cfRule type="expression" priority="903" dxfId="17">
      <formula>AV77="X"</formula>
    </cfRule>
    <cfRule type="expression" priority="904" dxfId="16">
      <formula>AV77="후보"</formula>
    </cfRule>
  </conditionalFormatting>
  <conditionalFormatting sqref="AC77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77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77">
    <cfRule type="expression" priority="894" dxfId="3">
      <formula>AND(IF(OR($Q77=1,$Q77=2),1,0),IF($X77&lt;=20,1,0))</formula>
    </cfRule>
    <cfRule type="expression" priority="895" dxfId="2">
      <formula>AND(IF($Q77=2,1,0),IF($X77&lt;30,1,0))</formula>
    </cfRule>
    <cfRule type="expression" priority="896" dxfId="1">
      <formula>AND(IF($Q77=3,1,0),IF($X77&lt;30,1,0))</formula>
    </cfRule>
    <cfRule type="expression" priority="897" dxfId="0">
      <formula>AND(IF($Q77=3,1,IF($Q77=4,1,0)),IF($F77&lt;=85,1,0))</formula>
    </cfRule>
  </conditionalFormatting>
  <conditionalFormatting sqref="X77">
    <cfRule type="expression" priority="890" dxfId="3">
      <formula>AND(IF(OR($Q77=1,$Q77=2),1,0),IF($X77&lt;=20,1,0))</formula>
    </cfRule>
    <cfRule type="expression" priority="891" dxfId="2">
      <formula>AND(IF($Q77=2,1,0),IF($X77&lt;30,1,0))</formula>
    </cfRule>
    <cfRule type="expression" priority="892" dxfId="1">
      <formula>AND(IF($Q77=3,1,0),IF($X77&lt;30,1,0))</formula>
    </cfRule>
    <cfRule type="expression" priority="893" dxfId="0">
      <formula>AND(IF($Q77=3,1,IF($Q77=4,1,0)),IF($F77&lt;=85,1,0))</formula>
    </cfRule>
  </conditionalFormatting>
  <conditionalFormatting sqref="AI77">
    <cfRule type="expression" priority="886" dxfId="3">
      <formula>AND(IF(OR($Q77=1,$Q77=2),1,0),IF($X77&lt;=20,1,0))</formula>
    </cfRule>
    <cfRule type="expression" priority="887" dxfId="2">
      <formula>AND(IF($Q77=2,1,0),IF($X77&lt;30,1,0))</formula>
    </cfRule>
    <cfRule type="expression" priority="888" dxfId="1">
      <formula>AND(IF($Q77=3,1,0),IF($X77&lt;30,1,0))</formula>
    </cfRule>
    <cfRule type="expression" priority="889" dxfId="0">
      <formula>AND(IF($Q77=3,1,IF($Q77=4,1,0)),IF($F77&lt;=85,1,0))</formula>
    </cfRule>
  </conditionalFormatting>
  <conditionalFormatting sqref="AV78">
    <cfRule type="expression" priority="884" dxfId="17">
      <formula>AV78="X"</formula>
    </cfRule>
    <cfRule type="expression" priority="885" dxfId="16">
      <formula>AV78="후보"</formula>
    </cfRule>
  </conditionalFormatting>
  <conditionalFormatting sqref="AC78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78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78">
    <cfRule type="expression" priority="875" dxfId="3">
      <formula>AND(IF(OR($Q78=1,$Q78=2),1,0),IF($X78&lt;=20,1,0))</formula>
    </cfRule>
    <cfRule type="expression" priority="876" dxfId="2">
      <formula>AND(IF($Q78=2,1,0),IF($X78&lt;30,1,0))</formula>
    </cfRule>
    <cfRule type="expression" priority="877" dxfId="1">
      <formula>AND(IF($Q78=3,1,0),IF($X78&lt;30,1,0))</formula>
    </cfRule>
    <cfRule type="expression" priority="878" dxfId="0">
      <formula>AND(IF($Q78=3,1,IF($Q78=4,1,0)),IF($F78&lt;=85,1,0))</formula>
    </cfRule>
  </conditionalFormatting>
  <conditionalFormatting sqref="X78">
    <cfRule type="expression" priority="871" dxfId="3">
      <formula>AND(IF(OR($Q78=1,$Q78=2),1,0),IF($X78&lt;=20,1,0))</formula>
    </cfRule>
    <cfRule type="expression" priority="872" dxfId="2">
      <formula>AND(IF($Q78=2,1,0),IF($X78&lt;30,1,0))</formula>
    </cfRule>
    <cfRule type="expression" priority="873" dxfId="1">
      <formula>AND(IF($Q78=3,1,0),IF($X78&lt;30,1,0))</formula>
    </cfRule>
    <cfRule type="expression" priority="874" dxfId="0">
      <formula>AND(IF($Q78=3,1,IF($Q78=4,1,0)),IF($F78&lt;=85,1,0))</formula>
    </cfRule>
  </conditionalFormatting>
  <conditionalFormatting sqref="AI78">
    <cfRule type="expression" priority="867" dxfId="3">
      <formula>AND(IF(OR($Q78=1,$Q78=2),1,0),IF($X78&lt;=20,1,0))</formula>
    </cfRule>
    <cfRule type="expression" priority="868" dxfId="2">
      <formula>AND(IF($Q78=2,1,0),IF($X78&lt;30,1,0))</formula>
    </cfRule>
    <cfRule type="expression" priority="869" dxfId="1">
      <formula>AND(IF($Q78=3,1,0),IF($X78&lt;30,1,0))</formula>
    </cfRule>
    <cfRule type="expression" priority="870" dxfId="0">
      <formula>AND(IF($Q78=3,1,IF($Q78=4,1,0)),IF($F78&lt;=85,1,0))</formula>
    </cfRule>
  </conditionalFormatting>
  <conditionalFormatting sqref="AV79">
    <cfRule type="expression" priority="865" dxfId="17">
      <formula>AV79="X"</formula>
    </cfRule>
    <cfRule type="expression" priority="866" dxfId="16">
      <formula>AV79="후보"</formula>
    </cfRule>
  </conditionalFormatting>
  <conditionalFormatting sqref="AC79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79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79">
    <cfRule type="expression" priority="856" dxfId="3">
      <formula>AND(IF(OR($Q79=1,$Q79=2),1,0),IF($X79&lt;=20,1,0))</formula>
    </cfRule>
    <cfRule type="expression" priority="857" dxfId="2">
      <formula>AND(IF($Q79=2,1,0),IF($X79&lt;30,1,0))</formula>
    </cfRule>
    <cfRule type="expression" priority="858" dxfId="1">
      <formula>AND(IF($Q79=3,1,0),IF($X79&lt;30,1,0))</formula>
    </cfRule>
    <cfRule type="expression" priority="859" dxfId="0">
      <formula>AND(IF($Q79=3,1,IF($Q79=4,1,0)),IF($F79&lt;=85,1,0))</formula>
    </cfRule>
  </conditionalFormatting>
  <conditionalFormatting sqref="X79">
    <cfRule type="expression" priority="852" dxfId="3">
      <formula>AND(IF(OR($Q79=1,$Q79=2),1,0),IF($X79&lt;=20,1,0))</formula>
    </cfRule>
    <cfRule type="expression" priority="853" dxfId="2">
      <formula>AND(IF($Q79=2,1,0),IF($X79&lt;30,1,0))</formula>
    </cfRule>
    <cfRule type="expression" priority="854" dxfId="1">
      <formula>AND(IF($Q79=3,1,0),IF($X79&lt;30,1,0))</formula>
    </cfRule>
    <cfRule type="expression" priority="855" dxfId="0">
      <formula>AND(IF($Q79=3,1,IF($Q79=4,1,0)),IF($F79&lt;=85,1,0))</formula>
    </cfRule>
  </conditionalFormatting>
  <conditionalFormatting sqref="AI79">
    <cfRule type="expression" priority="848" dxfId="3">
      <formula>AND(IF(OR($Q79=1,$Q79=2),1,0),IF($X79&lt;=20,1,0))</formula>
    </cfRule>
    <cfRule type="expression" priority="849" dxfId="2">
      <formula>AND(IF($Q79=2,1,0),IF($X79&lt;30,1,0))</formula>
    </cfRule>
    <cfRule type="expression" priority="850" dxfId="1">
      <formula>AND(IF($Q79=3,1,0),IF($X79&lt;30,1,0))</formula>
    </cfRule>
    <cfRule type="expression" priority="851" dxfId="0">
      <formula>AND(IF($Q79=3,1,IF($Q79=4,1,0)),IF($F79&lt;=85,1,0))</formula>
    </cfRule>
  </conditionalFormatting>
  <conditionalFormatting sqref="AV80">
    <cfRule type="expression" priority="846" dxfId="17">
      <formula>AV80="X"</formula>
    </cfRule>
    <cfRule type="expression" priority="847" dxfId="16">
      <formula>AV80="후보"</formula>
    </cfRule>
  </conditionalFormatting>
  <conditionalFormatting sqref="AC80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80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80">
    <cfRule type="expression" priority="837" dxfId="3">
      <formula>AND(IF(OR($Q80=1,$Q80=2),1,0),IF($X80&lt;=20,1,0))</formula>
    </cfRule>
    <cfRule type="expression" priority="838" dxfId="2">
      <formula>AND(IF($Q80=2,1,0),IF($X80&lt;30,1,0))</formula>
    </cfRule>
    <cfRule type="expression" priority="839" dxfId="1">
      <formula>AND(IF($Q80=3,1,0),IF($X80&lt;30,1,0))</formula>
    </cfRule>
    <cfRule type="expression" priority="840" dxfId="0">
      <formula>AND(IF($Q80=3,1,IF($Q80=4,1,0)),IF($F80&lt;=85,1,0))</formula>
    </cfRule>
  </conditionalFormatting>
  <conditionalFormatting sqref="X80">
    <cfRule type="expression" priority="833" dxfId="3">
      <formula>AND(IF(OR($Q80=1,$Q80=2),1,0),IF($X80&lt;=20,1,0))</formula>
    </cfRule>
    <cfRule type="expression" priority="834" dxfId="2">
      <formula>AND(IF($Q80=2,1,0),IF($X80&lt;30,1,0))</formula>
    </cfRule>
    <cfRule type="expression" priority="835" dxfId="1">
      <formula>AND(IF($Q80=3,1,0),IF($X80&lt;30,1,0))</formula>
    </cfRule>
    <cfRule type="expression" priority="836" dxfId="0">
      <formula>AND(IF($Q80=3,1,IF($Q80=4,1,0)),IF($F80&lt;=85,1,0))</formula>
    </cfRule>
  </conditionalFormatting>
  <conditionalFormatting sqref="AI80">
    <cfRule type="expression" priority="829" dxfId="3">
      <formula>AND(IF(OR($Q80=1,$Q80=2),1,0),IF($X80&lt;=20,1,0))</formula>
    </cfRule>
    <cfRule type="expression" priority="830" dxfId="2">
      <formula>AND(IF($Q80=2,1,0),IF($X80&lt;30,1,0))</formula>
    </cfRule>
    <cfRule type="expression" priority="831" dxfId="1">
      <formula>AND(IF($Q80=3,1,0),IF($X80&lt;30,1,0))</formula>
    </cfRule>
    <cfRule type="expression" priority="832" dxfId="0">
      <formula>AND(IF($Q80=3,1,IF($Q80=4,1,0)),IF($F80&lt;=85,1,0))</formula>
    </cfRule>
  </conditionalFormatting>
  <conditionalFormatting sqref="AV81">
    <cfRule type="expression" priority="827" dxfId="17">
      <formula>AV81="X"</formula>
    </cfRule>
    <cfRule type="expression" priority="828" dxfId="16">
      <formula>AV81="후보"</formula>
    </cfRule>
  </conditionalFormatting>
  <conditionalFormatting sqref="AC81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N81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E81">
    <cfRule type="expression" priority="818" dxfId="3">
      <formula>AND(IF(OR($Q81=1,$Q81=2),1,0),IF($X81&lt;=20,1,0))</formula>
    </cfRule>
    <cfRule type="expression" priority="819" dxfId="2">
      <formula>AND(IF($Q81=2,1,0),IF($X81&lt;30,1,0))</formula>
    </cfRule>
    <cfRule type="expression" priority="820" dxfId="1">
      <formula>AND(IF($Q81=3,1,0),IF($X81&lt;30,1,0))</formula>
    </cfRule>
    <cfRule type="expression" priority="821" dxfId="0">
      <formula>AND(IF($Q81=3,1,IF($Q81=4,1,0)),IF($F81&lt;=85,1,0))</formula>
    </cfRule>
  </conditionalFormatting>
  <conditionalFormatting sqref="X81">
    <cfRule type="expression" priority="814" dxfId="3">
      <formula>AND(IF(OR($Q81=1,$Q81=2),1,0),IF($X81&lt;=20,1,0))</formula>
    </cfRule>
    <cfRule type="expression" priority="815" dxfId="2">
      <formula>AND(IF($Q81=2,1,0),IF($X81&lt;30,1,0))</formula>
    </cfRule>
    <cfRule type="expression" priority="816" dxfId="1">
      <formula>AND(IF($Q81=3,1,0),IF($X81&lt;30,1,0))</formula>
    </cfRule>
    <cfRule type="expression" priority="817" dxfId="0">
      <formula>AND(IF($Q81=3,1,IF($Q81=4,1,0)),IF($F81&lt;=85,1,0))</formula>
    </cfRule>
  </conditionalFormatting>
  <conditionalFormatting sqref="AI81">
    <cfRule type="expression" priority="810" dxfId="3">
      <formula>AND(IF(OR($Q81=1,$Q81=2),1,0),IF($X81&lt;=20,1,0))</formula>
    </cfRule>
    <cfRule type="expression" priority="811" dxfId="2">
      <formula>AND(IF($Q81=2,1,0),IF($X81&lt;30,1,0))</formula>
    </cfRule>
    <cfRule type="expression" priority="812" dxfId="1">
      <formula>AND(IF($Q81=3,1,0),IF($X81&lt;30,1,0))</formula>
    </cfRule>
    <cfRule type="expression" priority="813" dxfId="0">
      <formula>AND(IF($Q81=3,1,IF($Q81=4,1,0)),IF($F81&lt;=85,1,0))</formula>
    </cfRule>
  </conditionalFormatting>
  <conditionalFormatting sqref="AV82">
    <cfRule type="expression" priority="808" dxfId="17">
      <formula>AV82="X"</formula>
    </cfRule>
    <cfRule type="expression" priority="809" dxfId="16">
      <formula>AV82="후보"</formula>
    </cfRule>
  </conditionalFormatting>
  <conditionalFormatting sqref="AC82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82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82">
    <cfRule type="expression" priority="799" dxfId="3">
      <formula>AND(IF(OR($Q82=1,$Q82=2),1,0),IF($X82&lt;=20,1,0))</formula>
    </cfRule>
    <cfRule type="expression" priority="800" dxfId="2">
      <formula>AND(IF($Q82=2,1,0),IF($X82&lt;30,1,0))</formula>
    </cfRule>
    <cfRule type="expression" priority="801" dxfId="1">
      <formula>AND(IF($Q82=3,1,0),IF($X82&lt;30,1,0))</formula>
    </cfRule>
    <cfRule type="expression" priority="802" dxfId="0">
      <formula>AND(IF($Q82=3,1,IF($Q82=4,1,0)),IF($F82&lt;=85,1,0))</formula>
    </cfRule>
  </conditionalFormatting>
  <conditionalFormatting sqref="X82">
    <cfRule type="expression" priority="795" dxfId="3">
      <formula>AND(IF(OR($Q82=1,$Q82=2),1,0),IF($X82&lt;=20,1,0))</formula>
    </cfRule>
    <cfRule type="expression" priority="796" dxfId="2">
      <formula>AND(IF($Q82=2,1,0),IF($X82&lt;30,1,0))</formula>
    </cfRule>
    <cfRule type="expression" priority="797" dxfId="1">
      <formula>AND(IF($Q82=3,1,0),IF($X82&lt;30,1,0))</formula>
    </cfRule>
    <cfRule type="expression" priority="798" dxfId="0">
      <formula>AND(IF($Q82=3,1,IF($Q82=4,1,0)),IF($F82&lt;=85,1,0))</formula>
    </cfRule>
  </conditionalFormatting>
  <conditionalFormatting sqref="AI82">
    <cfRule type="expression" priority="791" dxfId="3">
      <formula>AND(IF(OR($Q82=1,$Q82=2),1,0),IF($X82&lt;=20,1,0))</formula>
    </cfRule>
    <cfRule type="expression" priority="792" dxfId="2">
      <formula>AND(IF($Q82=2,1,0),IF($X82&lt;30,1,0))</formula>
    </cfRule>
    <cfRule type="expression" priority="793" dxfId="1">
      <formula>AND(IF($Q82=3,1,0),IF($X82&lt;30,1,0))</formula>
    </cfRule>
    <cfRule type="expression" priority="794" dxfId="0">
      <formula>AND(IF($Q82=3,1,IF($Q82=4,1,0)),IF($F82&lt;=85,1,0))</formula>
    </cfRule>
  </conditionalFormatting>
  <conditionalFormatting sqref="AV83">
    <cfRule type="expression" priority="789" dxfId="17">
      <formula>AV83="X"</formula>
    </cfRule>
    <cfRule type="expression" priority="790" dxfId="16">
      <formula>AV83="후보"</formula>
    </cfRule>
  </conditionalFormatting>
  <conditionalFormatting sqref="AC83 N83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AV84">
    <cfRule type="expression" priority="784" dxfId="17">
      <formula>AV84="X"</formula>
    </cfRule>
    <cfRule type="expression" priority="785" dxfId="16">
      <formula>AV84="후보"</formula>
    </cfRule>
  </conditionalFormatting>
  <conditionalFormatting sqref="AC84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84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84">
    <cfRule type="expression" priority="775" dxfId="3">
      <formula>AND(IF(OR($Q84=1,$Q84=2),1,0),IF($X84&lt;=20,1,0))</formula>
    </cfRule>
    <cfRule type="expression" priority="776" dxfId="2">
      <formula>AND(IF($Q84=2,1,0),IF($X84&lt;30,1,0))</formula>
    </cfRule>
    <cfRule type="expression" priority="777" dxfId="1">
      <formula>AND(IF($Q84=3,1,0),IF($X84&lt;30,1,0))</formula>
    </cfRule>
    <cfRule type="expression" priority="778" dxfId="0">
      <formula>AND(IF($Q84=3,1,IF($Q84=4,1,0)),IF($F84&lt;=85,1,0))</formula>
    </cfRule>
  </conditionalFormatting>
  <conditionalFormatting sqref="X84">
    <cfRule type="expression" priority="771" dxfId="3">
      <formula>AND(IF(OR($Q84=1,$Q84=2),1,0),IF($X84&lt;=20,1,0))</formula>
    </cfRule>
    <cfRule type="expression" priority="772" dxfId="2">
      <formula>AND(IF($Q84=2,1,0),IF($X84&lt;30,1,0))</formula>
    </cfRule>
    <cfRule type="expression" priority="773" dxfId="1">
      <formula>AND(IF($Q84=3,1,0),IF($X84&lt;30,1,0))</formula>
    </cfRule>
    <cfRule type="expression" priority="774" dxfId="0">
      <formula>AND(IF($Q84=3,1,IF($Q84=4,1,0)),IF($F84&lt;=85,1,0))</formula>
    </cfRule>
  </conditionalFormatting>
  <conditionalFormatting sqref="AI84">
    <cfRule type="expression" priority="767" dxfId="3">
      <formula>AND(IF(OR($Q84=1,$Q84=2),1,0),IF($X84&lt;=20,1,0))</formula>
    </cfRule>
    <cfRule type="expression" priority="768" dxfId="2">
      <formula>AND(IF($Q84=2,1,0),IF($X84&lt;30,1,0))</formula>
    </cfRule>
    <cfRule type="expression" priority="769" dxfId="1">
      <formula>AND(IF($Q84=3,1,0),IF($X84&lt;30,1,0))</formula>
    </cfRule>
    <cfRule type="expression" priority="770" dxfId="0">
      <formula>AND(IF($Q84=3,1,IF($Q84=4,1,0)),IF($F84&lt;=85,1,0))</formula>
    </cfRule>
  </conditionalFormatting>
  <conditionalFormatting sqref="AV85">
    <cfRule type="expression" priority="765" dxfId="17">
      <formula>AV85="X"</formula>
    </cfRule>
    <cfRule type="expression" priority="766" dxfId="16">
      <formula>AV85="후보"</formula>
    </cfRule>
  </conditionalFormatting>
  <conditionalFormatting sqref="AC85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N85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E85">
    <cfRule type="expression" priority="756" dxfId="3">
      <formula>AND(IF(OR($Q85=1,$Q85=2),1,0),IF($X85&lt;=20,1,0))</formula>
    </cfRule>
    <cfRule type="expression" priority="757" dxfId="2">
      <formula>AND(IF($Q85=2,1,0),IF($X85&lt;30,1,0))</formula>
    </cfRule>
    <cfRule type="expression" priority="758" dxfId="1">
      <formula>AND(IF($Q85=3,1,0),IF($X85&lt;30,1,0))</formula>
    </cfRule>
    <cfRule type="expression" priority="759" dxfId="0">
      <formula>AND(IF($Q85=3,1,IF($Q85=4,1,0)),IF($F85&lt;=85,1,0))</formula>
    </cfRule>
  </conditionalFormatting>
  <conditionalFormatting sqref="X85">
    <cfRule type="expression" priority="752" dxfId="3">
      <formula>AND(IF(OR($Q85=1,$Q85=2),1,0),IF($X85&lt;=20,1,0))</formula>
    </cfRule>
    <cfRule type="expression" priority="753" dxfId="2">
      <formula>AND(IF($Q85=2,1,0),IF($X85&lt;30,1,0))</formula>
    </cfRule>
    <cfRule type="expression" priority="754" dxfId="1">
      <formula>AND(IF($Q85=3,1,0),IF($X85&lt;30,1,0))</formula>
    </cfRule>
    <cfRule type="expression" priority="755" dxfId="0">
      <formula>AND(IF($Q85=3,1,IF($Q85=4,1,0)),IF($F85&lt;=85,1,0))</formula>
    </cfRule>
  </conditionalFormatting>
  <conditionalFormatting sqref="AI85">
    <cfRule type="expression" priority="748" dxfId="3">
      <formula>AND(IF(OR($Q85=1,$Q85=2),1,0),IF($X85&lt;=20,1,0))</formula>
    </cfRule>
    <cfRule type="expression" priority="749" dxfId="2">
      <formula>AND(IF($Q85=2,1,0),IF($X85&lt;30,1,0))</formula>
    </cfRule>
    <cfRule type="expression" priority="750" dxfId="1">
      <formula>AND(IF($Q85=3,1,0),IF($X85&lt;30,1,0))</formula>
    </cfRule>
    <cfRule type="expression" priority="751" dxfId="0">
      <formula>AND(IF($Q85=3,1,IF($Q85=4,1,0)),IF($F85&lt;=85,1,0))</formula>
    </cfRule>
  </conditionalFormatting>
  <conditionalFormatting sqref="AV86">
    <cfRule type="expression" priority="746" dxfId="17">
      <formula>AV86="X"</formula>
    </cfRule>
    <cfRule type="expression" priority="747" dxfId="16">
      <formula>AV86="후보"</formula>
    </cfRule>
  </conditionalFormatting>
  <conditionalFormatting sqref="AC86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86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86">
    <cfRule type="expression" priority="737" dxfId="3">
      <formula>AND(IF(OR($Q86=1,$Q86=2),1,0),IF($X86&lt;=20,1,0))</formula>
    </cfRule>
    <cfRule type="expression" priority="738" dxfId="2">
      <formula>AND(IF($Q86=2,1,0),IF($X86&lt;30,1,0))</formula>
    </cfRule>
    <cfRule type="expression" priority="739" dxfId="1">
      <formula>AND(IF($Q86=3,1,0),IF($X86&lt;30,1,0))</formula>
    </cfRule>
    <cfRule type="expression" priority="740" dxfId="0">
      <formula>AND(IF($Q86=3,1,IF($Q86=4,1,0)),IF($F86&lt;=85,1,0))</formula>
    </cfRule>
  </conditionalFormatting>
  <conditionalFormatting sqref="X86">
    <cfRule type="expression" priority="733" dxfId="3">
      <formula>AND(IF(OR($Q86=1,$Q86=2),1,0),IF($X86&lt;=20,1,0))</formula>
    </cfRule>
    <cfRule type="expression" priority="734" dxfId="2">
      <formula>AND(IF($Q86=2,1,0),IF($X86&lt;30,1,0))</formula>
    </cfRule>
    <cfRule type="expression" priority="735" dxfId="1">
      <formula>AND(IF($Q86=3,1,0),IF($X86&lt;30,1,0))</formula>
    </cfRule>
    <cfRule type="expression" priority="736" dxfId="0">
      <formula>AND(IF($Q86=3,1,IF($Q86=4,1,0)),IF($F86&lt;=85,1,0))</formula>
    </cfRule>
  </conditionalFormatting>
  <conditionalFormatting sqref="AI86">
    <cfRule type="expression" priority="729" dxfId="3">
      <formula>AND(IF(OR($Q86=1,$Q86=2),1,0),IF($X86&lt;=20,1,0))</formula>
    </cfRule>
    <cfRule type="expression" priority="730" dxfId="2">
      <formula>AND(IF($Q86=2,1,0),IF($X86&lt;30,1,0))</formula>
    </cfRule>
    <cfRule type="expression" priority="731" dxfId="1">
      <formula>AND(IF($Q86=3,1,0),IF($X86&lt;30,1,0))</formula>
    </cfRule>
    <cfRule type="expression" priority="732" dxfId="0">
      <formula>AND(IF($Q86=3,1,IF($Q86=4,1,0)),IF($F86&lt;=85,1,0))</formula>
    </cfRule>
  </conditionalFormatting>
  <conditionalFormatting sqref="AV87">
    <cfRule type="expression" priority="727" dxfId="17">
      <formula>AV87="X"</formula>
    </cfRule>
    <cfRule type="expression" priority="728" dxfId="16">
      <formula>AV87="후보"</formula>
    </cfRule>
  </conditionalFormatting>
  <conditionalFormatting sqref="AC87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87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87">
    <cfRule type="expression" priority="718" dxfId="3">
      <formula>AND(IF(OR($Q87=1,$Q87=2),1,0),IF($X87&lt;=20,1,0))</formula>
    </cfRule>
    <cfRule type="expression" priority="719" dxfId="2">
      <formula>AND(IF($Q87=2,1,0),IF($X87&lt;30,1,0))</formula>
    </cfRule>
    <cfRule type="expression" priority="720" dxfId="1">
      <formula>AND(IF($Q87=3,1,0),IF($X87&lt;30,1,0))</formula>
    </cfRule>
    <cfRule type="expression" priority="721" dxfId="0">
      <formula>AND(IF($Q87=3,1,IF($Q87=4,1,0)),IF($F87&lt;=85,1,0))</formula>
    </cfRule>
  </conditionalFormatting>
  <conditionalFormatting sqref="X87">
    <cfRule type="expression" priority="714" dxfId="3">
      <formula>AND(IF(OR($Q87=1,$Q87=2),1,0),IF($X87&lt;=20,1,0))</formula>
    </cfRule>
    <cfRule type="expression" priority="715" dxfId="2">
      <formula>AND(IF($Q87=2,1,0),IF($X87&lt;30,1,0))</formula>
    </cfRule>
    <cfRule type="expression" priority="716" dxfId="1">
      <formula>AND(IF($Q87=3,1,0),IF($X87&lt;30,1,0))</formula>
    </cfRule>
    <cfRule type="expression" priority="717" dxfId="0">
      <formula>AND(IF($Q87=3,1,IF($Q87=4,1,0)),IF($F87&lt;=85,1,0))</formula>
    </cfRule>
  </conditionalFormatting>
  <conditionalFormatting sqref="AI87">
    <cfRule type="expression" priority="710" dxfId="3">
      <formula>AND(IF(OR($Q87=1,$Q87=2),1,0),IF($X87&lt;=20,1,0))</formula>
    </cfRule>
    <cfRule type="expression" priority="711" dxfId="2">
      <formula>AND(IF($Q87=2,1,0),IF($X87&lt;30,1,0))</formula>
    </cfRule>
    <cfRule type="expression" priority="712" dxfId="1">
      <formula>AND(IF($Q87=3,1,0),IF($X87&lt;30,1,0))</formula>
    </cfRule>
    <cfRule type="expression" priority="713" dxfId="0">
      <formula>AND(IF($Q87=3,1,IF($Q87=4,1,0)),IF($F87&lt;=85,1,0))</formula>
    </cfRule>
  </conditionalFormatting>
  <conditionalFormatting sqref="AV88">
    <cfRule type="expression" priority="708" dxfId="17">
      <formula>AV88="X"</formula>
    </cfRule>
    <cfRule type="expression" priority="709" dxfId="16">
      <formula>AV88="후보"</formula>
    </cfRule>
  </conditionalFormatting>
  <conditionalFormatting sqref="AC88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88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88">
    <cfRule type="expression" priority="699" dxfId="3">
      <formula>AND(IF(OR($Q88=1,$Q88=2),1,0),IF($X88&lt;=20,1,0))</formula>
    </cfRule>
    <cfRule type="expression" priority="700" dxfId="2">
      <formula>AND(IF($Q88=2,1,0),IF($X88&lt;30,1,0))</formula>
    </cfRule>
    <cfRule type="expression" priority="701" dxfId="1">
      <formula>AND(IF($Q88=3,1,0),IF($X88&lt;30,1,0))</formula>
    </cfRule>
    <cfRule type="expression" priority="702" dxfId="0">
      <formula>AND(IF($Q88=3,1,IF($Q88=4,1,0)),IF($F88&lt;=85,1,0))</formula>
    </cfRule>
  </conditionalFormatting>
  <conditionalFormatting sqref="X88">
    <cfRule type="expression" priority="695" dxfId="3">
      <formula>AND(IF(OR($Q88=1,$Q88=2),1,0),IF($X88&lt;=20,1,0))</formula>
    </cfRule>
    <cfRule type="expression" priority="696" dxfId="2">
      <formula>AND(IF($Q88=2,1,0),IF($X88&lt;30,1,0))</formula>
    </cfRule>
    <cfRule type="expression" priority="697" dxfId="1">
      <formula>AND(IF($Q88=3,1,0),IF($X88&lt;30,1,0))</formula>
    </cfRule>
    <cfRule type="expression" priority="698" dxfId="0">
      <formula>AND(IF($Q88=3,1,IF($Q88=4,1,0)),IF($F88&lt;=85,1,0))</formula>
    </cfRule>
  </conditionalFormatting>
  <conditionalFormatting sqref="AI88">
    <cfRule type="expression" priority="691" dxfId="3">
      <formula>AND(IF(OR($Q88=1,$Q88=2),1,0),IF($X88&lt;=20,1,0))</formula>
    </cfRule>
    <cfRule type="expression" priority="692" dxfId="2">
      <formula>AND(IF($Q88=2,1,0),IF($X88&lt;30,1,0))</formula>
    </cfRule>
    <cfRule type="expression" priority="693" dxfId="1">
      <formula>AND(IF($Q88=3,1,0),IF($X88&lt;30,1,0))</formula>
    </cfRule>
    <cfRule type="expression" priority="694" dxfId="0">
      <formula>AND(IF($Q88=3,1,IF($Q88=4,1,0)),IF($F88&lt;=85,1,0))</formula>
    </cfRule>
  </conditionalFormatting>
  <conditionalFormatting sqref="AV89">
    <cfRule type="expression" priority="689" dxfId="17">
      <formula>AV89="X"</formula>
    </cfRule>
    <cfRule type="expression" priority="690" dxfId="16">
      <formula>AV89="후보"</formula>
    </cfRule>
  </conditionalFormatting>
  <conditionalFormatting sqref="AC89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89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89">
    <cfRule type="expression" priority="680" dxfId="3">
      <formula>AND(IF(OR($Q89=1,$Q89=2),1,0),IF($X89&lt;=20,1,0))</formula>
    </cfRule>
    <cfRule type="expression" priority="681" dxfId="2">
      <formula>AND(IF($Q89=2,1,0),IF($X89&lt;30,1,0))</formula>
    </cfRule>
    <cfRule type="expression" priority="682" dxfId="1">
      <formula>AND(IF($Q89=3,1,0),IF($X89&lt;30,1,0))</formula>
    </cfRule>
    <cfRule type="expression" priority="683" dxfId="0">
      <formula>AND(IF($Q89=3,1,IF($Q89=4,1,0)),IF($F89&lt;=85,1,0))</formula>
    </cfRule>
  </conditionalFormatting>
  <conditionalFormatting sqref="X89">
    <cfRule type="expression" priority="676" dxfId="3">
      <formula>AND(IF(OR($Q89=1,$Q89=2),1,0),IF($X89&lt;=20,1,0))</formula>
    </cfRule>
    <cfRule type="expression" priority="677" dxfId="2">
      <formula>AND(IF($Q89=2,1,0),IF($X89&lt;30,1,0))</formula>
    </cfRule>
    <cfRule type="expression" priority="678" dxfId="1">
      <formula>AND(IF($Q89=3,1,0),IF($X89&lt;30,1,0))</formula>
    </cfRule>
    <cfRule type="expression" priority="679" dxfId="0">
      <formula>AND(IF($Q89=3,1,IF($Q89=4,1,0)),IF($F89&lt;=85,1,0))</formula>
    </cfRule>
  </conditionalFormatting>
  <conditionalFormatting sqref="AI89">
    <cfRule type="expression" priority="672" dxfId="3">
      <formula>AND(IF(OR($Q89=1,$Q89=2),1,0),IF($X89&lt;=20,1,0))</formula>
    </cfRule>
    <cfRule type="expression" priority="673" dxfId="2">
      <formula>AND(IF($Q89=2,1,0),IF($X89&lt;30,1,0))</formula>
    </cfRule>
    <cfRule type="expression" priority="674" dxfId="1">
      <formula>AND(IF($Q89=3,1,0),IF($X89&lt;30,1,0))</formula>
    </cfRule>
    <cfRule type="expression" priority="675" dxfId="0">
      <formula>AND(IF($Q89=3,1,IF($Q89=4,1,0)),IF($F89&lt;=85,1,0))</formula>
    </cfRule>
  </conditionalFormatting>
  <conditionalFormatting sqref="AV90">
    <cfRule type="expression" priority="670" dxfId="17">
      <formula>AV90="X"</formula>
    </cfRule>
    <cfRule type="expression" priority="671" dxfId="16">
      <formula>AV90="후보"</formula>
    </cfRule>
  </conditionalFormatting>
  <conditionalFormatting sqref="AC90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90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90">
    <cfRule type="expression" priority="661" dxfId="3">
      <formula>AND(IF(OR($Q90=1,$Q90=2),1,0),IF($X90&lt;=20,1,0))</formula>
    </cfRule>
    <cfRule type="expression" priority="662" dxfId="2">
      <formula>AND(IF($Q90=2,1,0),IF($X90&lt;30,1,0))</formula>
    </cfRule>
    <cfRule type="expression" priority="663" dxfId="1">
      <formula>AND(IF($Q90=3,1,0),IF($X90&lt;30,1,0))</formula>
    </cfRule>
    <cfRule type="expression" priority="664" dxfId="0">
      <formula>AND(IF($Q90=3,1,IF($Q90=4,1,0)),IF($F90&lt;=85,1,0))</formula>
    </cfRule>
  </conditionalFormatting>
  <conditionalFormatting sqref="X90">
    <cfRule type="expression" priority="657" dxfId="3">
      <formula>AND(IF(OR($Q90=1,$Q90=2),1,0),IF($X90&lt;=20,1,0))</formula>
    </cfRule>
    <cfRule type="expression" priority="658" dxfId="2">
      <formula>AND(IF($Q90=2,1,0),IF($X90&lt;30,1,0))</formula>
    </cfRule>
    <cfRule type="expression" priority="659" dxfId="1">
      <formula>AND(IF($Q90=3,1,0),IF($X90&lt;30,1,0))</formula>
    </cfRule>
    <cfRule type="expression" priority="660" dxfId="0">
      <formula>AND(IF($Q90=3,1,IF($Q90=4,1,0)),IF($F90&lt;=85,1,0))</formula>
    </cfRule>
  </conditionalFormatting>
  <conditionalFormatting sqref="AI90">
    <cfRule type="expression" priority="653" dxfId="3">
      <formula>AND(IF(OR($Q90=1,$Q90=2),1,0),IF($X90&lt;=20,1,0))</formula>
    </cfRule>
    <cfRule type="expression" priority="654" dxfId="2">
      <formula>AND(IF($Q90=2,1,0),IF($X90&lt;30,1,0))</formula>
    </cfRule>
    <cfRule type="expression" priority="655" dxfId="1">
      <formula>AND(IF($Q90=3,1,0),IF($X90&lt;30,1,0))</formula>
    </cfRule>
    <cfRule type="expression" priority="656" dxfId="0">
      <formula>AND(IF($Q90=3,1,IF($Q90=4,1,0)),IF($F90&lt;=85,1,0))</formula>
    </cfRule>
  </conditionalFormatting>
  <conditionalFormatting sqref="AV91">
    <cfRule type="expression" priority="651" dxfId="17">
      <formula>AV91="X"</formula>
    </cfRule>
    <cfRule type="expression" priority="652" dxfId="16">
      <formula>AV91="후보"</formula>
    </cfRule>
  </conditionalFormatting>
  <conditionalFormatting sqref="AC91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91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91">
    <cfRule type="expression" priority="642" dxfId="3">
      <formula>AND(IF(OR($Q91=1,$Q91=2),1,0),IF($X91&lt;=20,1,0))</formula>
    </cfRule>
    <cfRule type="expression" priority="643" dxfId="2">
      <formula>AND(IF($Q91=2,1,0),IF($X91&lt;30,1,0))</formula>
    </cfRule>
    <cfRule type="expression" priority="644" dxfId="1">
      <formula>AND(IF($Q91=3,1,0),IF($X91&lt;30,1,0))</formula>
    </cfRule>
    <cfRule type="expression" priority="645" dxfId="0">
      <formula>AND(IF($Q91=3,1,IF($Q91=4,1,0)),IF($F91&lt;=85,1,0))</formula>
    </cfRule>
  </conditionalFormatting>
  <conditionalFormatting sqref="X91">
    <cfRule type="expression" priority="638" dxfId="3">
      <formula>AND(IF(OR($Q91=1,$Q91=2),1,0),IF($X91&lt;=20,1,0))</formula>
    </cfRule>
    <cfRule type="expression" priority="639" dxfId="2">
      <formula>AND(IF($Q91=2,1,0),IF($X91&lt;30,1,0))</formula>
    </cfRule>
    <cfRule type="expression" priority="640" dxfId="1">
      <formula>AND(IF($Q91=3,1,0),IF($X91&lt;30,1,0))</formula>
    </cfRule>
    <cfRule type="expression" priority="641" dxfId="0">
      <formula>AND(IF($Q91=3,1,IF($Q91=4,1,0)),IF($F91&lt;=85,1,0))</formula>
    </cfRule>
  </conditionalFormatting>
  <conditionalFormatting sqref="AI91">
    <cfRule type="expression" priority="634" dxfId="3">
      <formula>AND(IF(OR($Q91=1,$Q91=2),1,0),IF($X91&lt;=20,1,0))</formula>
    </cfRule>
    <cfRule type="expression" priority="635" dxfId="2">
      <formula>AND(IF($Q91=2,1,0),IF($X91&lt;30,1,0))</formula>
    </cfRule>
    <cfRule type="expression" priority="636" dxfId="1">
      <formula>AND(IF($Q91=3,1,0),IF($X91&lt;30,1,0))</formula>
    </cfRule>
    <cfRule type="expression" priority="637" dxfId="0">
      <formula>AND(IF($Q91=3,1,IF($Q91=4,1,0)),IF($F91&lt;=85,1,0))</formula>
    </cfRule>
  </conditionalFormatting>
  <conditionalFormatting sqref="AV92">
    <cfRule type="expression" priority="632" dxfId="17">
      <formula>AV92="X"</formula>
    </cfRule>
    <cfRule type="expression" priority="633" dxfId="16">
      <formula>AV92="후보"</formula>
    </cfRule>
  </conditionalFormatting>
  <conditionalFormatting sqref="AC92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92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92">
    <cfRule type="expression" priority="623" dxfId="3">
      <formula>AND(IF(OR($Q92=1,$Q92=2),1,0),IF($X92&lt;=20,1,0))</formula>
    </cfRule>
    <cfRule type="expression" priority="624" dxfId="2">
      <formula>AND(IF($Q92=2,1,0),IF($X92&lt;30,1,0))</formula>
    </cfRule>
    <cfRule type="expression" priority="625" dxfId="1">
      <formula>AND(IF($Q92=3,1,0),IF($X92&lt;30,1,0))</formula>
    </cfRule>
    <cfRule type="expression" priority="626" dxfId="0">
      <formula>AND(IF($Q92=3,1,IF($Q92=4,1,0)),IF($F92&lt;=85,1,0))</formula>
    </cfRule>
  </conditionalFormatting>
  <conditionalFormatting sqref="X92">
    <cfRule type="expression" priority="619" dxfId="3">
      <formula>AND(IF(OR($Q92=1,$Q92=2),1,0),IF($X92&lt;=20,1,0))</formula>
    </cfRule>
    <cfRule type="expression" priority="620" dxfId="2">
      <formula>AND(IF($Q92=2,1,0),IF($X92&lt;30,1,0))</formula>
    </cfRule>
    <cfRule type="expression" priority="621" dxfId="1">
      <formula>AND(IF($Q92=3,1,0),IF($X92&lt;30,1,0))</formula>
    </cfRule>
    <cfRule type="expression" priority="622" dxfId="0">
      <formula>AND(IF($Q92=3,1,IF($Q92=4,1,0)),IF($F92&lt;=85,1,0))</formula>
    </cfRule>
  </conditionalFormatting>
  <conditionalFormatting sqref="AI92">
    <cfRule type="expression" priority="615" dxfId="3">
      <formula>AND(IF(OR($Q92=1,$Q92=2),1,0),IF($X92&lt;=20,1,0))</formula>
    </cfRule>
    <cfRule type="expression" priority="616" dxfId="2">
      <formula>AND(IF($Q92=2,1,0),IF($X92&lt;30,1,0))</formula>
    </cfRule>
    <cfRule type="expression" priority="617" dxfId="1">
      <formula>AND(IF($Q92=3,1,0),IF($X92&lt;30,1,0))</formula>
    </cfRule>
    <cfRule type="expression" priority="618" dxfId="0">
      <formula>AND(IF($Q92=3,1,IF($Q92=4,1,0)),IF($F92&lt;=85,1,0))</formula>
    </cfRule>
  </conditionalFormatting>
  <conditionalFormatting sqref="AV93">
    <cfRule type="expression" priority="613" dxfId="17">
      <formula>AV93="X"</formula>
    </cfRule>
    <cfRule type="expression" priority="614" dxfId="16">
      <formula>AV93="후보"</formula>
    </cfRule>
  </conditionalFormatting>
  <conditionalFormatting sqref="AC93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93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93">
    <cfRule type="expression" priority="604" dxfId="3">
      <formula>AND(IF(OR($Q93=1,$Q93=2),1,0),IF($X93&lt;=20,1,0))</formula>
    </cfRule>
    <cfRule type="expression" priority="605" dxfId="2">
      <formula>AND(IF($Q93=2,1,0),IF($X93&lt;30,1,0))</formula>
    </cfRule>
    <cfRule type="expression" priority="606" dxfId="1">
      <formula>AND(IF($Q93=3,1,0),IF($X93&lt;30,1,0))</formula>
    </cfRule>
    <cfRule type="expression" priority="607" dxfId="0">
      <formula>AND(IF($Q93=3,1,IF($Q93=4,1,0)),IF($F93&lt;=85,1,0))</formula>
    </cfRule>
  </conditionalFormatting>
  <conditionalFormatting sqref="X93">
    <cfRule type="expression" priority="600" dxfId="3">
      <formula>AND(IF(OR($Q93=1,$Q93=2),1,0),IF($X93&lt;=20,1,0))</formula>
    </cfRule>
    <cfRule type="expression" priority="601" dxfId="2">
      <formula>AND(IF($Q93=2,1,0),IF($X93&lt;30,1,0))</formula>
    </cfRule>
    <cfRule type="expression" priority="602" dxfId="1">
      <formula>AND(IF($Q93=3,1,0),IF($X93&lt;30,1,0))</formula>
    </cfRule>
    <cfRule type="expression" priority="603" dxfId="0">
      <formula>AND(IF($Q93=3,1,IF($Q93=4,1,0)),IF($F93&lt;=85,1,0))</formula>
    </cfRule>
  </conditionalFormatting>
  <conditionalFormatting sqref="AI93">
    <cfRule type="expression" priority="596" dxfId="3">
      <formula>AND(IF(OR($Q93=1,$Q93=2),1,0),IF($X93&lt;=20,1,0))</formula>
    </cfRule>
    <cfRule type="expression" priority="597" dxfId="2">
      <formula>AND(IF($Q93=2,1,0),IF($X93&lt;30,1,0))</formula>
    </cfRule>
    <cfRule type="expression" priority="598" dxfId="1">
      <formula>AND(IF($Q93=3,1,0),IF($X93&lt;30,1,0))</formula>
    </cfRule>
    <cfRule type="expression" priority="599" dxfId="0">
      <formula>AND(IF($Q93=3,1,IF($Q93=4,1,0)),IF($F93&lt;=85,1,0))</formula>
    </cfRule>
  </conditionalFormatting>
  <conditionalFormatting sqref="AV94">
    <cfRule type="expression" priority="594" dxfId="17">
      <formula>AV94="X"</formula>
    </cfRule>
    <cfRule type="expression" priority="595" dxfId="16">
      <formula>AV94="후보"</formula>
    </cfRule>
  </conditionalFormatting>
  <conditionalFormatting sqref="AC94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94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94">
    <cfRule type="expression" priority="585" dxfId="3">
      <formula>AND(IF(OR($Q94=1,$Q94=2),1,0),IF($X94&lt;=20,1,0))</formula>
    </cfRule>
    <cfRule type="expression" priority="586" dxfId="2">
      <formula>AND(IF($Q94=2,1,0),IF($X94&lt;30,1,0))</formula>
    </cfRule>
    <cfRule type="expression" priority="587" dxfId="1">
      <formula>AND(IF($Q94=3,1,0),IF($X94&lt;30,1,0))</formula>
    </cfRule>
    <cfRule type="expression" priority="588" dxfId="0">
      <formula>AND(IF($Q94=3,1,IF($Q94=4,1,0)),IF($F94&lt;=85,1,0))</formula>
    </cfRule>
  </conditionalFormatting>
  <conditionalFormatting sqref="X94">
    <cfRule type="expression" priority="581" dxfId="3">
      <formula>AND(IF(OR($Q94=1,$Q94=2),1,0),IF($X94&lt;=20,1,0))</formula>
    </cfRule>
    <cfRule type="expression" priority="582" dxfId="2">
      <formula>AND(IF($Q94=2,1,0),IF($X94&lt;30,1,0))</formula>
    </cfRule>
    <cfRule type="expression" priority="583" dxfId="1">
      <formula>AND(IF($Q94=3,1,0),IF($X94&lt;30,1,0))</formula>
    </cfRule>
    <cfRule type="expression" priority="584" dxfId="0">
      <formula>AND(IF($Q94=3,1,IF($Q94=4,1,0)),IF($F94&lt;=85,1,0))</formula>
    </cfRule>
  </conditionalFormatting>
  <conditionalFormatting sqref="AI94">
    <cfRule type="expression" priority="577" dxfId="3">
      <formula>AND(IF(OR($Q94=1,$Q94=2),1,0),IF($X94&lt;=20,1,0))</formula>
    </cfRule>
    <cfRule type="expression" priority="578" dxfId="2">
      <formula>AND(IF($Q94=2,1,0),IF($X94&lt;30,1,0))</formula>
    </cfRule>
    <cfRule type="expression" priority="579" dxfId="1">
      <formula>AND(IF($Q94=3,1,0),IF($X94&lt;30,1,0))</formula>
    </cfRule>
    <cfRule type="expression" priority="580" dxfId="0">
      <formula>AND(IF($Q94=3,1,IF($Q94=4,1,0)),IF($F94&lt;=85,1,0))</formula>
    </cfRule>
  </conditionalFormatting>
  <conditionalFormatting sqref="AV95">
    <cfRule type="expression" priority="575" dxfId="17">
      <formula>AV95="X"</formula>
    </cfRule>
    <cfRule type="expression" priority="576" dxfId="16">
      <formula>AV95="후보"</formula>
    </cfRule>
  </conditionalFormatting>
  <conditionalFormatting sqref="AC95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95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95">
    <cfRule type="expression" priority="566" dxfId="3">
      <formula>AND(IF(OR($Q95=1,$Q95=2),1,0),IF($X95&lt;=20,1,0))</formula>
    </cfRule>
    <cfRule type="expression" priority="567" dxfId="2">
      <formula>AND(IF($Q95=2,1,0),IF($X95&lt;30,1,0))</formula>
    </cfRule>
    <cfRule type="expression" priority="568" dxfId="1">
      <formula>AND(IF($Q95=3,1,0),IF($X95&lt;30,1,0))</formula>
    </cfRule>
    <cfRule type="expression" priority="569" dxfId="0">
      <formula>AND(IF($Q95=3,1,IF($Q95=4,1,0)),IF($F95&lt;=85,1,0))</formula>
    </cfRule>
  </conditionalFormatting>
  <conditionalFormatting sqref="X95">
    <cfRule type="expression" priority="562" dxfId="3">
      <formula>AND(IF(OR($Q95=1,$Q95=2),1,0),IF($X95&lt;=20,1,0))</formula>
    </cfRule>
    <cfRule type="expression" priority="563" dxfId="2">
      <formula>AND(IF($Q95=2,1,0),IF($X95&lt;30,1,0))</formula>
    </cfRule>
    <cfRule type="expression" priority="564" dxfId="1">
      <formula>AND(IF($Q95=3,1,0),IF($X95&lt;30,1,0))</formula>
    </cfRule>
    <cfRule type="expression" priority="565" dxfId="0">
      <formula>AND(IF($Q95=3,1,IF($Q95=4,1,0)),IF($F95&lt;=85,1,0))</formula>
    </cfRule>
  </conditionalFormatting>
  <conditionalFormatting sqref="AI95">
    <cfRule type="expression" priority="558" dxfId="3">
      <formula>AND(IF(OR($Q95=1,$Q95=2),1,0),IF($X95&lt;=20,1,0))</formula>
    </cfRule>
    <cfRule type="expression" priority="559" dxfId="2">
      <formula>AND(IF($Q95=2,1,0),IF($X95&lt;30,1,0))</formula>
    </cfRule>
    <cfRule type="expression" priority="560" dxfId="1">
      <formula>AND(IF($Q95=3,1,0),IF($X95&lt;30,1,0))</formula>
    </cfRule>
    <cfRule type="expression" priority="561" dxfId="0">
      <formula>AND(IF($Q95=3,1,IF($Q95=4,1,0)),IF($F95&lt;=85,1,0))</formula>
    </cfRule>
  </conditionalFormatting>
  <conditionalFormatting sqref="AV96">
    <cfRule type="expression" priority="556" dxfId="17">
      <formula>AV96="X"</formula>
    </cfRule>
    <cfRule type="expression" priority="557" dxfId="16">
      <formula>AV96="후보"</formula>
    </cfRule>
  </conditionalFormatting>
  <conditionalFormatting sqref="AC96 N96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AV97">
    <cfRule type="expression" priority="551" dxfId="17">
      <formula>AV97="X"</formula>
    </cfRule>
    <cfRule type="expression" priority="552" dxfId="16">
      <formula>AV97="후보"</formula>
    </cfRule>
  </conditionalFormatting>
  <conditionalFormatting sqref="AC97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97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97">
    <cfRule type="expression" priority="542" dxfId="3">
      <formula>AND(IF(OR($Q97=1,$Q97=2),1,0),IF($X97&lt;=20,1,0))</formula>
    </cfRule>
    <cfRule type="expression" priority="543" dxfId="2">
      <formula>AND(IF($Q97=2,1,0),IF($X97&lt;30,1,0))</formula>
    </cfRule>
    <cfRule type="expression" priority="544" dxfId="1">
      <formula>AND(IF($Q97=3,1,0),IF($X97&lt;30,1,0))</formula>
    </cfRule>
    <cfRule type="expression" priority="545" dxfId="0">
      <formula>AND(IF($Q97=3,1,IF($Q97=4,1,0)),IF($F97&lt;=85,1,0))</formula>
    </cfRule>
  </conditionalFormatting>
  <conditionalFormatting sqref="X97">
    <cfRule type="expression" priority="538" dxfId="3">
      <formula>AND(IF(OR($Q97=1,$Q97=2),1,0),IF($X97&lt;=20,1,0))</formula>
    </cfRule>
    <cfRule type="expression" priority="539" dxfId="2">
      <formula>AND(IF($Q97=2,1,0),IF($X97&lt;30,1,0))</formula>
    </cfRule>
    <cfRule type="expression" priority="540" dxfId="1">
      <formula>AND(IF($Q97=3,1,0),IF($X97&lt;30,1,0))</formula>
    </cfRule>
    <cfRule type="expression" priority="541" dxfId="0">
      <formula>AND(IF($Q97=3,1,IF($Q97=4,1,0)),IF($F97&lt;=85,1,0))</formula>
    </cfRule>
  </conditionalFormatting>
  <conditionalFormatting sqref="AI97">
    <cfRule type="expression" priority="534" dxfId="3">
      <formula>AND(IF(OR($Q97=1,$Q97=2),1,0),IF($X97&lt;=20,1,0))</formula>
    </cfRule>
    <cfRule type="expression" priority="535" dxfId="2">
      <formula>AND(IF($Q97=2,1,0),IF($X97&lt;30,1,0))</formula>
    </cfRule>
    <cfRule type="expression" priority="536" dxfId="1">
      <formula>AND(IF($Q97=3,1,0),IF($X97&lt;30,1,0))</formula>
    </cfRule>
    <cfRule type="expression" priority="537" dxfId="0">
      <formula>AND(IF($Q97=3,1,IF($Q97=4,1,0)),IF($F97&lt;=85,1,0))</formula>
    </cfRule>
  </conditionalFormatting>
  <conditionalFormatting sqref="AV98">
    <cfRule type="expression" priority="532" dxfId="17">
      <formula>AV98="X"</formula>
    </cfRule>
    <cfRule type="expression" priority="533" dxfId="16">
      <formula>AV98="후보"</formula>
    </cfRule>
  </conditionalFormatting>
  <conditionalFormatting sqref="AC98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98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98">
    <cfRule type="expression" priority="523" dxfId="3">
      <formula>AND(IF(OR($Q98=1,$Q98=2),1,0),IF($X98&lt;=20,1,0))</formula>
    </cfRule>
    <cfRule type="expression" priority="524" dxfId="2">
      <formula>AND(IF($Q98=2,1,0),IF($X98&lt;30,1,0))</formula>
    </cfRule>
    <cfRule type="expression" priority="525" dxfId="1">
      <formula>AND(IF($Q98=3,1,0),IF($X98&lt;30,1,0))</formula>
    </cfRule>
    <cfRule type="expression" priority="526" dxfId="0">
      <formula>AND(IF($Q98=3,1,IF($Q98=4,1,0)),IF($F98&lt;=85,1,0))</formula>
    </cfRule>
  </conditionalFormatting>
  <conditionalFormatting sqref="X98">
    <cfRule type="expression" priority="519" dxfId="3">
      <formula>AND(IF(OR($Q98=1,$Q98=2),1,0),IF($X98&lt;=20,1,0))</formula>
    </cfRule>
    <cfRule type="expression" priority="520" dxfId="2">
      <formula>AND(IF($Q98=2,1,0),IF($X98&lt;30,1,0))</formula>
    </cfRule>
    <cfRule type="expression" priority="521" dxfId="1">
      <formula>AND(IF($Q98=3,1,0),IF($X98&lt;30,1,0))</formula>
    </cfRule>
    <cfRule type="expression" priority="522" dxfId="0">
      <formula>AND(IF($Q98=3,1,IF($Q98=4,1,0)),IF($F98&lt;=85,1,0))</formula>
    </cfRule>
  </conditionalFormatting>
  <conditionalFormatting sqref="AI98">
    <cfRule type="expression" priority="515" dxfId="3">
      <formula>AND(IF(OR($Q98=1,$Q98=2),1,0),IF($X98&lt;=20,1,0))</formula>
    </cfRule>
    <cfRule type="expression" priority="516" dxfId="2">
      <formula>AND(IF($Q98=2,1,0),IF($X98&lt;30,1,0))</formula>
    </cfRule>
    <cfRule type="expression" priority="517" dxfId="1">
      <formula>AND(IF($Q98=3,1,0),IF($X98&lt;30,1,0))</formula>
    </cfRule>
    <cfRule type="expression" priority="518" dxfId="0">
      <formula>AND(IF($Q98=3,1,IF($Q98=4,1,0)),IF($F98&lt;=85,1,0))</formula>
    </cfRule>
  </conditionalFormatting>
  <conditionalFormatting sqref="AV99">
    <cfRule type="expression" priority="513" dxfId="17">
      <formula>AV99="X"</formula>
    </cfRule>
    <cfRule type="expression" priority="514" dxfId="16">
      <formula>AV99="후보"</formula>
    </cfRule>
  </conditionalFormatting>
  <conditionalFormatting sqref="AC99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99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99">
    <cfRule type="expression" priority="504" dxfId="3">
      <formula>AND(IF(OR($Q99=1,$Q99=2),1,0),IF($X99&lt;=20,1,0))</formula>
    </cfRule>
    <cfRule type="expression" priority="505" dxfId="2">
      <formula>AND(IF($Q99=2,1,0),IF($X99&lt;30,1,0))</formula>
    </cfRule>
    <cfRule type="expression" priority="506" dxfId="1">
      <formula>AND(IF($Q99=3,1,0),IF($X99&lt;30,1,0))</formula>
    </cfRule>
    <cfRule type="expression" priority="507" dxfId="0">
      <formula>AND(IF($Q99=3,1,IF($Q99=4,1,0)),IF($F99&lt;=85,1,0))</formula>
    </cfRule>
  </conditionalFormatting>
  <conditionalFormatting sqref="X99">
    <cfRule type="expression" priority="500" dxfId="3">
      <formula>AND(IF(OR($Q99=1,$Q99=2),1,0),IF($X99&lt;=20,1,0))</formula>
    </cfRule>
    <cfRule type="expression" priority="501" dxfId="2">
      <formula>AND(IF($Q99=2,1,0),IF($X99&lt;30,1,0))</formula>
    </cfRule>
    <cfRule type="expression" priority="502" dxfId="1">
      <formula>AND(IF($Q99=3,1,0),IF($X99&lt;30,1,0))</formula>
    </cfRule>
    <cfRule type="expression" priority="503" dxfId="0">
      <formula>AND(IF($Q99=3,1,IF($Q99=4,1,0)),IF($F99&lt;=85,1,0))</formula>
    </cfRule>
  </conditionalFormatting>
  <conditionalFormatting sqref="AI99">
    <cfRule type="expression" priority="496" dxfId="3">
      <formula>AND(IF(OR($Q99=1,$Q99=2),1,0),IF($X99&lt;=20,1,0))</formula>
    </cfRule>
    <cfRule type="expression" priority="497" dxfId="2">
      <formula>AND(IF($Q99=2,1,0),IF($X99&lt;30,1,0))</formula>
    </cfRule>
    <cfRule type="expression" priority="498" dxfId="1">
      <formula>AND(IF($Q99=3,1,0),IF($X99&lt;30,1,0))</formula>
    </cfRule>
    <cfRule type="expression" priority="499" dxfId="0">
      <formula>AND(IF($Q99=3,1,IF($Q99=4,1,0)),IF($F99&lt;=85,1,0))</formula>
    </cfRule>
  </conditionalFormatting>
  <conditionalFormatting sqref="AV100">
    <cfRule type="expression" priority="494" dxfId="17">
      <formula>AV100="X"</formula>
    </cfRule>
    <cfRule type="expression" priority="495" dxfId="16">
      <formula>AV100="후보"</formula>
    </cfRule>
  </conditionalFormatting>
  <conditionalFormatting sqref="AC100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100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100">
    <cfRule type="expression" priority="485" dxfId="3">
      <formula>AND(IF(OR($Q100=1,$Q100=2),1,0),IF($X100&lt;=20,1,0))</formula>
    </cfRule>
    <cfRule type="expression" priority="486" dxfId="2">
      <formula>AND(IF($Q100=2,1,0),IF($X100&lt;30,1,0))</formula>
    </cfRule>
    <cfRule type="expression" priority="487" dxfId="1">
      <formula>AND(IF($Q100=3,1,0),IF($X100&lt;30,1,0))</formula>
    </cfRule>
    <cfRule type="expression" priority="488" dxfId="0">
      <formula>AND(IF($Q100=3,1,IF($Q100=4,1,0)),IF($F100&lt;=85,1,0))</formula>
    </cfRule>
  </conditionalFormatting>
  <conditionalFormatting sqref="X100">
    <cfRule type="expression" priority="481" dxfId="3">
      <formula>AND(IF(OR($Q100=1,$Q100=2),1,0),IF($X100&lt;=20,1,0))</formula>
    </cfRule>
    <cfRule type="expression" priority="482" dxfId="2">
      <formula>AND(IF($Q100=2,1,0),IF($X100&lt;30,1,0))</formula>
    </cfRule>
    <cfRule type="expression" priority="483" dxfId="1">
      <formula>AND(IF($Q100=3,1,0),IF($X100&lt;30,1,0))</formula>
    </cfRule>
    <cfRule type="expression" priority="484" dxfId="0">
      <formula>AND(IF($Q100=3,1,IF($Q100=4,1,0)),IF($F100&lt;=85,1,0))</formula>
    </cfRule>
  </conditionalFormatting>
  <conditionalFormatting sqref="AI100">
    <cfRule type="expression" priority="477" dxfId="3">
      <formula>AND(IF(OR($Q100=1,$Q100=2),1,0),IF($X100&lt;=20,1,0))</formula>
    </cfRule>
    <cfRule type="expression" priority="478" dxfId="2">
      <formula>AND(IF($Q100=2,1,0),IF($X100&lt;30,1,0))</formula>
    </cfRule>
    <cfRule type="expression" priority="479" dxfId="1">
      <formula>AND(IF($Q100=3,1,0),IF($X100&lt;30,1,0))</formula>
    </cfRule>
    <cfRule type="expression" priority="480" dxfId="0">
      <formula>AND(IF($Q100=3,1,IF($Q100=4,1,0)),IF($F100&lt;=85,1,0))</formula>
    </cfRule>
  </conditionalFormatting>
  <conditionalFormatting sqref="AV101">
    <cfRule type="expression" priority="475" dxfId="17">
      <formula>AV101="X"</formula>
    </cfRule>
    <cfRule type="expression" priority="476" dxfId="16">
      <formula>AV101="후보"</formula>
    </cfRule>
  </conditionalFormatting>
  <conditionalFormatting sqref="AC101 N101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AV102">
    <cfRule type="expression" priority="470" dxfId="17">
      <formula>AV102="X"</formula>
    </cfRule>
    <cfRule type="expression" priority="471" dxfId="16">
      <formula>AV102="후보"</formula>
    </cfRule>
  </conditionalFormatting>
  <conditionalFormatting sqref="AC102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102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102">
    <cfRule type="expression" priority="461" dxfId="3">
      <formula>AND(IF(OR($Q102=1,$Q102=2),1,0),IF($X102&lt;=20,1,0))</formula>
    </cfRule>
    <cfRule type="expression" priority="462" dxfId="2">
      <formula>AND(IF($Q102=2,1,0),IF($X102&lt;30,1,0))</formula>
    </cfRule>
    <cfRule type="expression" priority="463" dxfId="1">
      <formula>AND(IF($Q102=3,1,0),IF($X102&lt;30,1,0))</formula>
    </cfRule>
    <cfRule type="expression" priority="464" dxfId="0">
      <formula>AND(IF($Q102=3,1,IF($Q102=4,1,0)),IF($F102&lt;=85,1,0))</formula>
    </cfRule>
  </conditionalFormatting>
  <conditionalFormatting sqref="X102">
    <cfRule type="expression" priority="457" dxfId="3">
      <formula>AND(IF(OR($Q102=1,$Q102=2),1,0),IF($X102&lt;=20,1,0))</formula>
    </cfRule>
    <cfRule type="expression" priority="458" dxfId="2">
      <formula>AND(IF($Q102=2,1,0),IF($X102&lt;30,1,0))</formula>
    </cfRule>
    <cfRule type="expression" priority="459" dxfId="1">
      <formula>AND(IF($Q102=3,1,0),IF($X102&lt;30,1,0))</formula>
    </cfRule>
    <cfRule type="expression" priority="460" dxfId="0">
      <formula>AND(IF($Q102=3,1,IF($Q102=4,1,0)),IF($F102&lt;=85,1,0))</formula>
    </cfRule>
  </conditionalFormatting>
  <conditionalFormatting sqref="AI102">
    <cfRule type="expression" priority="453" dxfId="3">
      <formula>AND(IF(OR($Q102=1,$Q102=2),1,0),IF($X102&lt;=20,1,0))</formula>
    </cfRule>
    <cfRule type="expression" priority="454" dxfId="2">
      <formula>AND(IF($Q102=2,1,0),IF($X102&lt;30,1,0))</formula>
    </cfRule>
    <cfRule type="expression" priority="455" dxfId="1">
      <formula>AND(IF($Q102=3,1,0),IF($X102&lt;30,1,0))</formula>
    </cfRule>
    <cfRule type="expression" priority="456" dxfId="0">
      <formula>AND(IF($Q102=3,1,IF($Q102=4,1,0)),IF($F102&lt;=85,1,0))</formula>
    </cfRule>
  </conditionalFormatting>
  <conditionalFormatting sqref="AV103">
    <cfRule type="expression" priority="451" dxfId="17">
      <formula>AV103="X"</formula>
    </cfRule>
    <cfRule type="expression" priority="452" dxfId="16">
      <formula>AV103="후보"</formula>
    </cfRule>
  </conditionalFormatting>
  <conditionalFormatting sqref="AC103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103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103">
    <cfRule type="expression" priority="442" dxfId="3">
      <formula>AND(IF(OR($Q103=1,$Q103=2),1,0),IF($X103&lt;=20,1,0))</formula>
    </cfRule>
    <cfRule type="expression" priority="443" dxfId="2">
      <formula>AND(IF($Q103=2,1,0),IF($X103&lt;30,1,0))</formula>
    </cfRule>
    <cfRule type="expression" priority="444" dxfId="1">
      <formula>AND(IF($Q103=3,1,0),IF($X103&lt;30,1,0))</formula>
    </cfRule>
    <cfRule type="expression" priority="445" dxfId="0">
      <formula>AND(IF($Q103=3,1,IF($Q103=4,1,0)),IF($F103&lt;=85,1,0))</formula>
    </cfRule>
  </conditionalFormatting>
  <conditionalFormatting sqref="X103">
    <cfRule type="expression" priority="438" dxfId="3">
      <formula>AND(IF(OR($Q103=1,$Q103=2),1,0),IF($X103&lt;=20,1,0))</formula>
    </cfRule>
    <cfRule type="expression" priority="439" dxfId="2">
      <formula>AND(IF($Q103=2,1,0),IF($X103&lt;30,1,0))</formula>
    </cfRule>
    <cfRule type="expression" priority="440" dxfId="1">
      <formula>AND(IF($Q103=3,1,0),IF($X103&lt;30,1,0))</formula>
    </cfRule>
    <cfRule type="expression" priority="441" dxfId="0">
      <formula>AND(IF($Q103=3,1,IF($Q103=4,1,0)),IF($F103&lt;=85,1,0))</formula>
    </cfRule>
  </conditionalFormatting>
  <conditionalFormatting sqref="AI103">
    <cfRule type="expression" priority="434" dxfId="3">
      <formula>AND(IF(OR($Q103=1,$Q103=2),1,0),IF($X103&lt;=20,1,0))</formula>
    </cfRule>
    <cfRule type="expression" priority="435" dxfId="2">
      <formula>AND(IF($Q103=2,1,0),IF($X103&lt;30,1,0))</formula>
    </cfRule>
    <cfRule type="expression" priority="436" dxfId="1">
      <formula>AND(IF($Q103=3,1,0),IF($X103&lt;30,1,0))</formula>
    </cfRule>
    <cfRule type="expression" priority="437" dxfId="0">
      <formula>AND(IF($Q103=3,1,IF($Q103=4,1,0)),IF($F103&lt;=85,1,0))</formula>
    </cfRule>
  </conditionalFormatting>
  <conditionalFormatting sqref="AV104">
    <cfRule type="expression" priority="432" dxfId="17">
      <formula>AV104="X"</formula>
    </cfRule>
    <cfRule type="expression" priority="433" dxfId="16">
      <formula>AV104="후보"</formula>
    </cfRule>
  </conditionalFormatting>
  <conditionalFormatting sqref="AC104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04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04">
    <cfRule type="expression" priority="423" dxfId="3">
      <formula>AND(IF(OR($Q104=1,$Q104=2),1,0),IF($X104&lt;=20,1,0))</formula>
    </cfRule>
    <cfRule type="expression" priority="424" dxfId="2">
      <formula>AND(IF($Q104=2,1,0),IF($X104&lt;30,1,0))</formula>
    </cfRule>
    <cfRule type="expression" priority="425" dxfId="1">
      <formula>AND(IF($Q104=3,1,0),IF($X104&lt;30,1,0))</formula>
    </cfRule>
    <cfRule type="expression" priority="426" dxfId="0">
      <formula>AND(IF($Q104=3,1,IF($Q104=4,1,0)),IF($F104&lt;=85,1,0))</formula>
    </cfRule>
  </conditionalFormatting>
  <conditionalFormatting sqref="X104">
    <cfRule type="expression" priority="419" dxfId="3">
      <formula>AND(IF(OR($Q104=1,$Q104=2),1,0),IF($X104&lt;=20,1,0))</formula>
    </cfRule>
    <cfRule type="expression" priority="420" dxfId="2">
      <formula>AND(IF($Q104=2,1,0),IF($X104&lt;30,1,0))</formula>
    </cfRule>
    <cfRule type="expression" priority="421" dxfId="1">
      <formula>AND(IF($Q104=3,1,0),IF($X104&lt;30,1,0))</formula>
    </cfRule>
    <cfRule type="expression" priority="422" dxfId="0">
      <formula>AND(IF($Q104=3,1,IF($Q104=4,1,0)),IF($F104&lt;=85,1,0))</formula>
    </cfRule>
  </conditionalFormatting>
  <conditionalFormatting sqref="AI104">
    <cfRule type="expression" priority="415" dxfId="3">
      <formula>AND(IF(OR($Q104=1,$Q104=2),1,0),IF($X104&lt;=20,1,0))</formula>
    </cfRule>
    <cfRule type="expression" priority="416" dxfId="2">
      <formula>AND(IF($Q104=2,1,0),IF($X104&lt;30,1,0))</formula>
    </cfRule>
    <cfRule type="expression" priority="417" dxfId="1">
      <formula>AND(IF($Q104=3,1,0),IF($X104&lt;30,1,0))</formula>
    </cfRule>
    <cfRule type="expression" priority="418" dxfId="0">
      <formula>AND(IF($Q104=3,1,IF($Q104=4,1,0)),IF($F104&lt;=85,1,0))</formula>
    </cfRule>
  </conditionalFormatting>
  <conditionalFormatting sqref="AV105">
    <cfRule type="expression" priority="413" dxfId="17">
      <formula>AV105="X"</formula>
    </cfRule>
    <cfRule type="expression" priority="414" dxfId="16">
      <formula>AV105="후보"</formula>
    </cfRule>
  </conditionalFormatting>
  <conditionalFormatting sqref="AC105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105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105">
    <cfRule type="expression" priority="404" dxfId="3">
      <formula>AND(IF(OR($Q105=1,$Q105=2),1,0),IF($X105&lt;=20,1,0))</formula>
    </cfRule>
    <cfRule type="expression" priority="405" dxfId="2">
      <formula>AND(IF($Q105=2,1,0),IF($X105&lt;30,1,0))</formula>
    </cfRule>
    <cfRule type="expression" priority="406" dxfId="1">
      <formula>AND(IF($Q105=3,1,0),IF($X105&lt;30,1,0))</formula>
    </cfRule>
    <cfRule type="expression" priority="407" dxfId="0">
      <formula>AND(IF($Q105=3,1,IF($Q105=4,1,0)),IF($F105&lt;=85,1,0))</formula>
    </cfRule>
  </conditionalFormatting>
  <conditionalFormatting sqref="X105">
    <cfRule type="expression" priority="400" dxfId="3">
      <formula>AND(IF(OR($Q105=1,$Q105=2),1,0),IF($X105&lt;=20,1,0))</formula>
    </cfRule>
    <cfRule type="expression" priority="401" dxfId="2">
      <formula>AND(IF($Q105=2,1,0),IF($X105&lt;30,1,0))</formula>
    </cfRule>
    <cfRule type="expression" priority="402" dxfId="1">
      <formula>AND(IF($Q105=3,1,0),IF($X105&lt;30,1,0))</formula>
    </cfRule>
    <cfRule type="expression" priority="403" dxfId="0">
      <formula>AND(IF($Q105=3,1,IF($Q105=4,1,0)),IF($F105&lt;=85,1,0))</formula>
    </cfRule>
  </conditionalFormatting>
  <conditionalFormatting sqref="AI105">
    <cfRule type="expression" priority="396" dxfId="3">
      <formula>AND(IF(OR($Q105=1,$Q105=2),1,0),IF($X105&lt;=20,1,0))</formula>
    </cfRule>
    <cfRule type="expression" priority="397" dxfId="2">
      <formula>AND(IF($Q105=2,1,0),IF($X105&lt;30,1,0))</formula>
    </cfRule>
    <cfRule type="expression" priority="398" dxfId="1">
      <formula>AND(IF($Q105=3,1,0),IF($X105&lt;30,1,0))</formula>
    </cfRule>
    <cfRule type="expression" priority="399" dxfId="0">
      <formula>AND(IF($Q105=3,1,IF($Q105=4,1,0)),IF($F105&lt;=85,1,0))</formula>
    </cfRule>
  </conditionalFormatting>
  <conditionalFormatting sqref="AV106">
    <cfRule type="expression" priority="394" dxfId="17">
      <formula>AV106="X"</formula>
    </cfRule>
    <cfRule type="expression" priority="395" dxfId="16">
      <formula>AV106="후보"</formula>
    </cfRule>
  </conditionalFormatting>
  <conditionalFormatting sqref="AC106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106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106">
    <cfRule type="expression" priority="385" dxfId="3">
      <formula>AND(IF(OR($Q106=1,$Q106=2),1,0),IF($X106&lt;=20,1,0))</formula>
    </cfRule>
    <cfRule type="expression" priority="386" dxfId="2">
      <formula>AND(IF($Q106=2,1,0),IF($X106&lt;30,1,0))</formula>
    </cfRule>
    <cfRule type="expression" priority="387" dxfId="1">
      <formula>AND(IF($Q106=3,1,0),IF($X106&lt;30,1,0))</formula>
    </cfRule>
    <cfRule type="expression" priority="388" dxfId="0">
      <formula>AND(IF($Q106=3,1,IF($Q106=4,1,0)),IF($F106&lt;=85,1,0))</formula>
    </cfRule>
  </conditionalFormatting>
  <conditionalFormatting sqref="X106">
    <cfRule type="expression" priority="381" dxfId="3">
      <formula>AND(IF(OR($Q106=1,$Q106=2),1,0),IF($X106&lt;=20,1,0))</formula>
    </cfRule>
    <cfRule type="expression" priority="382" dxfId="2">
      <formula>AND(IF($Q106=2,1,0),IF($X106&lt;30,1,0))</formula>
    </cfRule>
    <cfRule type="expression" priority="383" dxfId="1">
      <formula>AND(IF($Q106=3,1,0),IF($X106&lt;30,1,0))</formula>
    </cfRule>
    <cfRule type="expression" priority="384" dxfId="0">
      <formula>AND(IF($Q106=3,1,IF($Q106=4,1,0)),IF($F106&lt;=85,1,0))</formula>
    </cfRule>
  </conditionalFormatting>
  <conditionalFormatting sqref="AI106">
    <cfRule type="expression" priority="377" dxfId="3">
      <formula>AND(IF(OR($Q106=1,$Q106=2),1,0),IF($X106&lt;=20,1,0))</formula>
    </cfRule>
    <cfRule type="expression" priority="378" dxfId="2">
      <formula>AND(IF($Q106=2,1,0),IF($X106&lt;30,1,0))</formula>
    </cfRule>
    <cfRule type="expression" priority="379" dxfId="1">
      <formula>AND(IF($Q106=3,1,0),IF($X106&lt;30,1,0))</formula>
    </cfRule>
    <cfRule type="expression" priority="380" dxfId="0">
      <formula>AND(IF($Q106=3,1,IF($Q106=4,1,0)),IF($F106&lt;=85,1,0))</formula>
    </cfRule>
  </conditionalFormatting>
  <conditionalFormatting sqref="AV107">
    <cfRule type="expression" priority="375" dxfId="17">
      <formula>AV107="X"</formula>
    </cfRule>
    <cfRule type="expression" priority="376" dxfId="16">
      <formula>AV107="후보"</formula>
    </cfRule>
  </conditionalFormatting>
  <conditionalFormatting sqref="AC107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107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107">
    <cfRule type="expression" priority="366" dxfId="3">
      <formula>AND(IF(OR($Q107=1,$Q107=2),1,0),IF($X107&lt;=20,1,0))</formula>
    </cfRule>
    <cfRule type="expression" priority="367" dxfId="2">
      <formula>AND(IF($Q107=2,1,0),IF($X107&lt;30,1,0))</formula>
    </cfRule>
    <cfRule type="expression" priority="368" dxfId="1">
      <formula>AND(IF($Q107=3,1,0),IF($X107&lt;30,1,0))</formula>
    </cfRule>
    <cfRule type="expression" priority="369" dxfId="0">
      <formula>AND(IF($Q107=3,1,IF($Q107=4,1,0)),IF($F107&lt;=85,1,0))</formula>
    </cfRule>
  </conditionalFormatting>
  <conditionalFormatting sqref="X107">
    <cfRule type="expression" priority="362" dxfId="3">
      <formula>AND(IF(OR($Q107=1,$Q107=2),1,0),IF($X107&lt;=20,1,0))</formula>
    </cfRule>
    <cfRule type="expression" priority="363" dxfId="2">
      <formula>AND(IF($Q107=2,1,0),IF($X107&lt;30,1,0))</formula>
    </cfRule>
    <cfRule type="expression" priority="364" dxfId="1">
      <formula>AND(IF($Q107=3,1,0),IF($X107&lt;30,1,0))</formula>
    </cfRule>
    <cfRule type="expression" priority="365" dxfId="0">
      <formula>AND(IF($Q107=3,1,IF($Q107=4,1,0)),IF($F107&lt;=85,1,0))</formula>
    </cfRule>
  </conditionalFormatting>
  <conditionalFormatting sqref="AI107">
    <cfRule type="expression" priority="358" dxfId="3">
      <formula>AND(IF(OR($Q107=1,$Q107=2),1,0),IF($X107&lt;=20,1,0))</formula>
    </cfRule>
    <cfRule type="expression" priority="359" dxfId="2">
      <formula>AND(IF($Q107=2,1,0),IF($X107&lt;30,1,0))</formula>
    </cfRule>
    <cfRule type="expression" priority="360" dxfId="1">
      <formula>AND(IF($Q107=3,1,0),IF($X107&lt;30,1,0))</formula>
    </cfRule>
    <cfRule type="expression" priority="361" dxfId="0">
      <formula>AND(IF($Q107=3,1,IF($Q107=4,1,0)),IF($F107&lt;=85,1,0))</formula>
    </cfRule>
  </conditionalFormatting>
  <conditionalFormatting sqref="AV108">
    <cfRule type="expression" priority="356" dxfId="17">
      <formula>AV108="X"</formula>
    </cfRule>
    <cfRule type="expression" priority="357" dxfId="16">
      <formula>AV108="후보"</formula>
    </cfRule>
  </conditionalFormatting>
  <conditionalFormatting sqref="AC108 N108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AV109">
    <cfRule type="expression" priority="351" dxfId="17">
      <formula>AV109="X"</formula>
    </cfRule>
    <cfRule type="expression" priority="352" dxfId="16">
      <formula>AV109="후보"</formula>
    </cfRule>
  </conditionalFormatting>
  <conditionalFormatting sqref="AC109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09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09">
    <cfRule type="expression" priority="342" dxfId="3">
      <formula>AND(IF(OR($Q109=1,$Q109=2),1,0),IF($X109&lt;=20,1,0))</formula>
    </cfRule>
    <cfRule type="expression" priority="343" dxfId="2">
      <formula>AND(IF($Q109=2,1,0),IF($X109&lt;30,1,0))</formula>
    </cfRule>
    <cfRule type="expression" priority="344" dxfId="1">
      <formula>AND(IF($Q109=3,1,0),IF($X109&lt;30,1,0))</formula>
    </cfRule>
    <cfRule type="expression" priority="345" dxfId="0">
      <formula>AND(IF($Q109=3,1,IF($Q109=4,1,0)),IF($F109&lt;=85,1,0))</formula>
    </cfRule>
  </conditionalFormatting>
  <conditionalFormatting sqref="X109">
    <cfRule type="expression" priority="338" dxfId="3">
      <formula>AND(IF(OR($Q109=1,$Q109=2),1,0),IF($X109&lt;=20,1,0))</formula>
    </cfRule>
    <cfRule type="expression" priority="339" dxfId="2">
      <formula>AND(IF($Q109=2,1,0),IF($X109&lt;30,1,0))</formula>
    </cfRule>
    <cfRule type="expression" priority="340" dxfId="1">
      <formula>AND(IF($Q109=3,1,0),IF($X109&lt;30,1,0))</formula>
    </cfRule>
    <cfRule type="expression" priority="341" dxfId="0">
      <formula>AND(IF($Q109=3,1,IF($Q109=4,1,0)),IF($F109&lt;=85,1,0))</formula>
    </cfRule>
  </conditionalFormatting>
  <conditionalFormatting sqref="AI109">
    <cfRule type="expression" priority="334" dxfId="3">
      <formula>AND(IF(OR($Q109=1,$Q109=2),1,0),IF($X109&lt;=20,1,0))</formula>
    </cfRule>
    <cfRule type="expression" priority="335" dxfId="2">
      <formula>AND(IF($Q109=2,1,0),IF($X109&lt;30,1,0))</formula>
    </cfRule>
    <cfRule type="expression" priority="336" dxfId="1">
      <formula>AND(IF($Q109=3,1,0),IF($X109&lt;30,1,0))</formula>
    </cfRule>
    <cfRule type="expression" priority="337" dxfId="0">
      <formula>AND(IF($Q109=3,1,IF($Q109=4,1,0)),IF($F109&lt;=85,1,0))</formula>
    </cfRule>
  </conditionalFormatting>
  <conditionalFormatting sqref="AV110">
    <cfRule type="expression" priority="332" dxfId="17">
      <formula>AV110="X"</formula>
    </cfRule>
    <cfRule type="expression" priority="333" dxfId="16">
      <formula>AV110="후보"</formula>
    </cfRule>
  </conditionalFormatting>
  <conditionalFormatting sqref="AC110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10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10">
    <cfRule type="expression" priority="323" dxfId="3">
      <formula>AND(IF(OR($Q110=1,$Q110=2),1,0),IF($X110&lt;=20,1,0))</formula>
    </cfRule>
    <cfRule type="expression" priority="324" dxfId="2">
      <formula>AND(IF($Q110=2,1,0),IF($X110&lt;30,1,0))</formula>
    </cfRule>
    <cfRule type="expression" priority="325" dxfId="1">
      <formula>AND(IF($Q110=3,1,0),IF($X110&lt;30,1,0))</formula>
    </cfRule>
    <cfRule type="expression" priority="326" dxfId="0">
      <formula>AND(IF($Q110=3,1,IF($Q110=4,1,0)),IF($F110&lt;=85,1,0))</formula>
    </cfRule>
  </conditionalFormatting>
  <conditionalFormatting sqref="X110">
    <cfRule type="expression" priority="319" dxfId="3">
      <formula>AND(IF(OR($Q110=1,$Q110=2),1,0),IF($X110&lt;=20,1,0))</formula>
    </cfRule>
    <cfRule type="expression" priority="320" dxfId="2">
      <formula>AND(IF($Q110=2,1,0),IF($X110&lt;30,1,0))</formula>
    </cfRule>
    <cfRule type="expression" priority="321" dxfId="1">
      <formula>AND(IF($Q110=3,1,0),IF($X110&lt;30,1,0))</formula>
    </cfRule>
    <cfRule type="expression" priority="322" dxfId="0">
      <formula>AND(IF($Q110=3,1,IF($Q110=4,1,0)),IF($F110&lt;=85,1,0))</formula>
    </cfRule>
  </conditionalFormatting>
  <conditionalFormatting sqref="AI110">
    <cfRule type="expression" priority="315" dxfId="3">
      <formula>AND(IF(OR($Q110=1,$Q110=2),1,0),IF($X110&lt;=20,1,0))</formula>
    </cfRule>
    <cfRule type="expression" priority="316" dxfId="2">
      <formula>AND(IF($Q110=2,1,0),IF($X110&lt;30,1,0))</formula>
    </cfRule>
    <cfRule type="expression" priority="317" dxfId="1">
      <formula>AND(IF($Q110=3,1,0),IF($X110&lt;30,1,0))</formula>
    </cfRule>
    <cfRule type="expression" priority="318" dxfId="0">
      <formula>AND(IF($Q110=3,1,IF($Q110=4,1,0)),IF($F110&lt;=85,1,0))</formula>
    </cfRule>
  </conditionalFormatting>
  <conditionalFormatting sqref="AV111">
    <cfRule type="expression" priority="313" dxfId="17">
      <formula>AV111="X"</formula>
    </cfRule>
    <cfRule type="expression" priority="314" dxfId="16">
      <formula>AV111="후보"</formula>
    </cfRule>
  </conditionalFormatting>
  <conditionalFormatting sqref="AC111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11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11">
    <cfRule type="expression" priority="304" dxfId="3">
      <formula>AND(IF(OR($Q111=1,$Q111=2),1,0),IF($X111&lt;=20,1,0))</formula>
    </cfRule>
    <cfRule type="expression" priority="305" dxfId="2">
      <formula>AND(IF($Q111=2,1,0),IF($X111&lt;30,1,0))</formula>
    </cfRule>
    <cfRule type="expression" priority="306" dxfId="1">
      <formula>AND(IF($Q111=3,1,0),IF($X111&lt;30,1,0))</formula>
    </cfRule>
    <cfRule type="expression" priority="307" dxfId="0">
      <formula>AND(IF($Q111=3,1,IF($Q111=4,1,0)),IF($F111&lt;=85,1,0))</formula>
    </cfRule>
  </conditionalFormatting>
  <conditionalFormatting sqref="X111">
    <cfRule type="expression" priority="300" dxfId="3">
      <formula>AND(IF(OR($Q111=1,$Q111=2),1,0),IF($X111&lt;=20,1,0))</formula>
    </cfRule>
    <cfRule type="expression" priority="301" dxfId="2">
      <formula>AND(IF($Q111=2,1,0),IF($X111&lt;30,1,0))</formula>
    </cfRule>
    <cfRule type="expression" priority="302" dxfId="1">
      <formula>AND(IF($Q111=3,1,0),IF($X111&lt;30,1,0))</formula>
    </cfRule>
    <cfRule type="expression" priority="303" dxfId="0">
      <formula>AND(IF($Q111=3,1,IF($Q111=4,1,0)),IF($F111&lt;=85,1,0))</formula>
    </cfRule>
  </conditionalFormatting>
  <conditionalFormatting sqref="AI111">
    <cfRule type="expression" priority="296" dxfId="3">
      <formula>AND(IF(OR($Q111=1,$Q111=2),1,0),IF($X111&lt;=20,1,0))</formula>
    </cfRule>
    <cfRule type="expression" priority="297" dxfId="2">
      <formula>AND(IF($Q111=2,1,0),IF($X111&lt;30,1,0))</formula>
    </cfRule>
    <cfRule type="expression" priority="298" dxfId="1">
      <formula>AND(IF($Q111=3,1,0),IF($X111&lt;30,1,0))</formula>
    </cfRule>
    <cfRule type="expression" priority="299" dxfId="0">
      <formula>AND(IF($Q111=3,1,IF($Q111=4,1,0)),IF($F111&lt;=85,1,0))</formula>
    </cfRule>
  </conditionalFormatting>
  <conditionalFormatting sqref="AV112">
    <cfRule type="expression" priority="294" dxfId="17">
      <formula>AV112="X"</formula>
    </cfRule>
    <cfRule type="expression" priority="295" dxfId="16">
      <formula>AV112="후보"</formula>
    </cfRule>
  </conditionalFormatting>
  <conditionalFormatting sqref="AC112 N112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AV113">
    <cfRule type="expression" priority="289" dxfId="17">
      <formula>AV113="X"</formula>
    </cfRule>
    <cfRule type="expression" priority="290" dxfId="16">
      <formula>AV113="후보"</formula>
    </cfRule>
  </conditionalFormatting>
  <conditionalFormatting sqref="AC113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113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113">
    <cfRule type="expression" priority="280" dxfId="3">
      <formula>AND(IF(OR($Q113=1,$Q113=2),1,0),IF($X113&lt;=20,1,0))</formula>
    </cfRule>
    <cfRule type="expression" priority="281" dxfId="2">
      <formula>AND(IF($Q113=2,1,0),IF($X113&lt;30,1,0))</formula>
    </cfRule>
    <cfRule type="expression" priority="282" dxfId="1">
      <formula>AND(IF($Q113=3,1,0),IF($X113&lt;30,1,0))</formula>
    </cfRule>
    <cfRule type="expression" priority="283" dxfId="0">
      <formula>AND(IF($Q113=3,1,IF($Q113=4,1,0)),IF($F113&lt;=85,1,0))</formula>
    </cfRule>
  </conditionalFormatting>
  <conditionalFormatting sqref="X113">
    <cfRule type="expression" priority="276" dxfId="3">
      <formula>AND(IF(OR($Q113=1,$Q113=2),1,0),IF($X113&lt;=20,1,0))</formula>
    </cfRule>
    <cfRule type="expression" priority="277" dxfId="2">
      <formula>AND(IF($Q113=2,1,0),IF($X113&lt;30,1,0))</formula>
    </cfRule>
    <cfRule type="expression" priority="278" dxfId="1">
      <formula>AND(IF($Q113=3,1,0),IF($X113&lt;30,1,0))</formula>
    </cfRule>
    <cfRule type="expression" priority="279" dxfId="0">
      <formula>AND(IF($Q113=3,1,IF($Q113=4,1,0)),IF($F113&lt;=85,1,0))</formula>
    </cfRule>
  </conditionalFormatting>
  <conditionalFormatting sqref="AI113">
    <cfRule type="expression" priority="272" dxfId="3">
      <formula>AND(IF(OR($Q113=1,$Q113=2),1,0),IF($X113&lt;=20,1,0))</formula>
    </cfRule>
    <cfRule type="expression" priority="273" dxfId="2">
      <formula>AND(IF($Q113=2,1,0),IF($X113&lt;30,1,0))</formula>
    </cfRule>
    <cfRule type="expression" priority="274" dxfId="1">
      <formula>AND(IF($Q113=3,1,0),IF($X113&lt;30,1,0))</formula>
    </cfRule>
    <cfRule type="expression" priority="275" dxfId="0">
      <formula>AND(IF($Q113=3,1,IF($Q113=4,1,0)),IF($F113&lt;=85,1,0))</formula>
    </cfRule>
  </conditionalFormatting>
  <conditionalFormatting sqref="AV114">
    <cfRule type="expression" priority="270" dxfId="17">
      <formula>AV114="X"</formula>
    </cfRule>
    <cfRule type="expression" priority="271" dxfId="16">
      <formula>AV114="후보"</formula>
    </cfRule>
  </conditionalFormatting>
  <conditionalFormatting sqref="AC114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14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14">
    <cfRule type="expression" priority="261" dxfId="3">
      <formula>AND(IF(OR($Q114=1,$Q114=2),1,0),IF($X114&lt;=20,1,0))</formula>
    </cfRule>
    <cfRule type="expression" priority="262" dxfId="2">
      <formula>AND(IF($Q114=2,1,0),IF($X114&lt;30,1,0))</formula>
    </cfRule>
    <cfRule type="expression" priority="263" dxfId="1">
      <formula>AND(IF($Q114=3,1,0),IF($X114&lt;30,1,0))</formula>
    </cfRule>
    <cfRule type="expression" priority="264" dxfId="0">
      <formula>AND(IF($Q114=3,1,IF($Q114=4,1,0)),IF($F114&lt;=85,1,0))</formula>
    </cfRule>
  </conditionalFormatting>
  <conditionalFormatting sqref="X114">
    <cfRule type="expression" priority="257" dxfId="3">
      <formula>AND(IF(OR($Q114=1,$Q114=2),1,0),IF($X114&lt;=20,1,0))</formula>
    </cfRule>
    <cfRule type="expression" priority="258" dxfId="2">
      <formula>AND(IF($Q114=2,1,0),IF($X114&lt;30,1,0))</formula>
    </cfRule>
    <cfRule type="expression" priority="259" dxfId="1">
      <formula>AND(IF($Q114=3,1,0),IF($X114&lt;30,1,0))</formula>
    </cfRule>
    <cfRule type="expression" priority="260" dxfId="0">
      <formula>AND(IF($Q114=3,1,IF($Q114=4,1,0)),IF($F114&lt;=85,1,0))</formula>
    </cfRule>
  </conditionalFormatting>
  <conditionalFormatting sqref="AI114">
    <cfRule type="expression" priority="253" dxfId="3">
      <formula>AND(IF(OR($Q114=1,$Q114=2),1,0),IF($X114&lt;=20,1,0))</formula>
    </cfRule>
    <cfRule type="expression" priority="254" dxfId="2">
      <formula>AND(IF($Q114=2,1,0),IF($X114&lt;30,1,0))</formula>
    </cfRule>
    <cfRule type="expression" priority="255" dxfId="1">
      <formula>AND(IF($Q114=3,1,0),IF($X114&lt;30,1,0))</formula>
    </cfRule>
    <cfRule type="expression" priority="256" dxfId="0">
      <formula>AND(IF($Q114=3,1,IF($Q114=4,1,0)),IF($F114&lt;=85,1,0))</formula>
    </cfRule>
  </conditionalFormatting>
  <conditionalFormatting sqref="AV115">
    <cfRule type="expression" priority="251" dxfId="17">
      <formula>AV115="X"</formula>
    </cfRule>
    <cfRule type="expression" priority="252" dxfId="16">
      <formula>AV115="후보"</formula>
    </cfRule>
  </conditionalFormatting>
  <conditionalFormatting sqref="AC115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15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15">
    <cfRule type="expression" priority="242" dxfId="3">
      <formula>AND(IF(OR($Q115=1,$Q115=2),1,0),IF($X115&lt;=20,1,0))</formula>
    </cfRule>
    <cfRule type="expression" priority="243" dxfId="2">
      <formula>AND(IF($Q115=2,1,0),IF($X115&lt;30,1,0))</formula>
    </cfRule>
    <cfRule type="expression" priority="244" dxfId="1">
      <formula>AND(IF($Q115=3,1,0),IF($X115&lt;30,1,0))</formula>
    </cfRule>
    <cfRule type="expression" priority="245" dxfId="0">
      <formula>AND(IF($Q115=3,1,IF($Q115=4,1,0)),IF($F115&lt;=85,1,0))</formula>
    </cfRule>
  </conditionalFormatting>
  <conditionalFormatting sqref="X115">
    <cfRule type="expression" priority="238" dxfId="3">
      <formula>AND(IF(OR($Q115=1,$Q115=2),1,0),IF($X115&lt;=20,1,0))</formula>
    </cfRule>
    <cfRule type="expression" priority="239" dxfId="2">
      <formula>AND(IF($Q115=2,1,0),IF($X115&lt;30,1,0))</formula>
    </cfRule>
    <cfRule type="expression" priority="240" dxfId="1">
      <formula>AND(IF($Q115=3,1,0),IF($X115&lt;30,1,0))</formula>
    </cfRule>
    <cfRule type="expression" priority="241" dxfId="0">
      <formula>AND(IF($Q115=3,1,IF($Q115=4,1,0)),IF($F115&lt;=85,1,0))</formula>
    </cfRule>
  </conditionalFormatting>
  <conditionalFormatting sqref="AI115">
    <cfRule type="expression" priority="234" dxfId="3">
      <formula>AND(IF(OR($Q115=1,$Q115=2),1,0),IF($X115&lt;=20,1,0))</formula>
    </cfRule>
    <cfRule type="expression" priority="235" dxfId="2">
      <formula>AND(IF($Q115=2,1,0),IF($X115&lt;30,1,0))</formula>
    </cfRule>
    <cfRule type="expression" priority="236" dxfId="1">
      <formula>AND(IF($Q115=3,1,0),IF($X115&lt;30,1,0))</formula>
    </cfRule>
    <cfRule type="expression" priority="237" dxfId="0">
      <formula>AND(IF($Q115=3,1,IF($Q115=4,1,0)),IF($F115&lt;=85,1,0))</formula>
    </cfRule>
  </conditionalFormatting>
  <conditionalFormatting sqref="AV116">
    <cfRule type="expression" priority="232" dxfId="17">
      <formula>AV116="X"</formula>
    </cfRule>
    <cfRule type="expression" priority="233" dxfId="16">
      <formula>AV116="후보"</formula>
    </cfRule>
  </conditionalFormatting>
  <conditionalFormatting sqref="AC116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1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16">
    <cfRule type="expression" priority="223" dxfId="3">
      <formula>AND(IF(OR($Q116=1,$Q116=2),1,0),IF($X116&lt;=20,1,0))</formula>
    </cfRule>
    <cfRule type="expression" priority="224" dxfId="2">
      <formula>AND(IF($Q116=2,1,0),IF($X116&lt;30,1,0))</formula>
    </cfRule>
    <cfRule type="expression" priority="225" dxfId="1">
      <formula>AND(IF($Q116=3,1,0),IF($X116&lt;30,1,0))</formula>
    </cfRule>
    <cfRule type="expression" priority="226" dxfId="0">
      <formula>AND(IF($Q116=3,1,IF($Q116=4,1,0)),IF($F116&lt;=85,1,0))</formula>
    </cfRule>
  </conditionalFormatting>
  <conditionalFormatting sqref="X116">
    <cfRule type="expression" priority="219" dxfId="3">
      <formula>AND(IF(OR($Q116=1,$Q116=2),1,0),IF($X116&lt;=20,1,0))</formula>
    </cfRule>
    <cfRule type="expression" priority="220" dxfId="2">
      <formula>AND(IF($Q116=2,1,0),IF($X116&lt;30,1,0))</formula>
    </cfRule>
    <cfRule type="expression" priority="221" dxfId="1">
      <formula>AND(IF($Q116=3,1,0),IF($X116&lt;30,1,0))</formula>
    </cfRule>
    <cfRule type="expression" priority="222" dxfId="0">
      <formula>AND(IF($Q116=3,1,IF($Q116=4,1,0)),IF($F116&lt;=85,1,0))</formula>
    </cfRule>
  </conditionalFormatting>
  <conditionalFormatting sqref="AI116">
    <cfRule type="expression" priority="215" dxfId="3">
      <formula>AND(IF(OR($Q116=1,$Q116=2),1,0),IF($X116&lt;=20,1,0))</formula>
    </cfRule>
    <cfRule type="expression" priority="216" dxfId="2">
      <formula>AND(IF($Q116=2,1,0),IF($X116&lt;30,1,0))</formula>
    </cfRule>
    <cfRule type="expression" priority="217" dxfId="1">
      <formula>AND(IF($Q116=3,1,0),IF($X116&lt;30,1,0))</formula>
    </cfRule>
    <cfRule type="expression" priority="218" dxfId="0">
      <formula>AND(IF($Q116=3,1,IF($Q116=4,1,0)),IF($F116&lt;=85,1,0))</formula>
    </cfRule>
  </conditionalFormatting>
  <conditionalFormatting sqref="AV117">
    <cfRule type="expression" priority="213" dxfId="17">
      <formula>AV117="X"</formula>
    </cfRule>
    <cfRule type="expression" priority="214" dxfId="16">
      <formula>AV117="후보"</formula>
    </cfRule>
  </conditionalFormatting>
  <conditionalFormatting sqref="AC11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17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17">
    <cfRule type="expression" priority="204" dxfId="3">
      <formula>AND(IF(OR($Q117=1,$Q117=2),1,0),IF($X117&lt;=20,1,0))</formula>
    </cfRule>
    <cfRule type="expression" priority="205" dxfId="2">
      <formula>AND(IF($Q117=2,1,0),IF($X117&lt;30,1,0))</formula>
    </cfRule>
    <cfRule type="expression" priority="206" dxfId="1">
      <formula>AND(IF($Q117=3,1,0),IF($X117&lt;30,1,0))</formula>
    </cfRule>
    <cfRule type="expression" priority="207" dxfId="0">
      <formula>AND(IF($Q117=3,1,IF($Q117=4,1,0)),IF($F117&lt;=85,1,0))</formula>
    </cfRule>
  </conditionalFormatting>
  <conditionalFormatting sqref="X117">
    <cfRule type="expression" priority="200" dxfId="3">
      <formula>AND(IF(OR($Q117=1,$Q117=2),1,0),IF($X117&lt;=20,1,0))</formula>
    </cfRule>
    <cfRule type="expression" priority="201" dxfId="2">
      <formula>AND(IF($Q117=2,1,0),IF($X117&lt;30,1,0))</formula>
    </cfRule>
    <cfRule type="expression" priority="202" dxfId="1">
      <formula>AND(IF($Q117=3,1,0),IF($X117&lt;30,1,0))</formula>
    </cfRule>
    <cfRule type="expression" priority="203" dxfId="0">
      <formula>AND(IF($Q117=3,1,IF($Q117=4,1,0)),IF($F117&lt;=85,1,0))</formula>
    </cfRule>
  </conditionalFormatting>
  <conditionalFormatting sqref="AI117">
    <cfRule type="expression" priority="196" dxfId="3">
      <formula>AND(IF(OR($Q117=1,$Q117=2),1,0),IF($X117&lt;=20,1,0))</formula>
    </cfRule>
    <cfRule type="expression" priority="197" dxfId="2">
      <formula>AND(IF($Q117=2,1,0),IF($X117&lt;30,1,0))</formula>
    </cfRule>
    <cfRule type="expression" priority="198" dxfId="1">
      <formula>AND(IF($Q117=3,1,0),IF($X117&lt;30,1,0))</formula>
    </cfRule>
    <cfRule type="expression" priority="199" dxfId="0">
      <formula>AND(IF($Q117=3,1,IF($Q117=4,1,0)),IF($F117&lt;=85,1,0))</formula>
    </cfRule>
  </conditionalFormatting>
  <conditionalFormatting sqref="AV118">
    <cfRule type="expression" priority="194" dxfId="17">
      <formula>AV118="X"</formula>
    </cfRule>
    <cfRule type="expression" priority="195" dxfId="16">
      <formula>AV118="후보"</formula>
    </cfRule>
  </conditionalFormatting>
  <conditionalFormatting sqref="AC118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18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18">
    <cfRule type="expression" priority="185" dxfId="3">
      <formula>AND(IF(OR($Q118=1,$Q118=2),1,0),IF($X118&lt;=20,1,0))</formula>
    </cfRule>
    <cfRule type="expression" priority="186" dxfId="2">
      <formula>AND(IF($Q118=2,1,0),IF($X118&lt;30,1,0))</formula>
    </cfRule>
    <cfRule type="expression" priority="187" dxfId="1">
      <formula>AND(IF($Q118=3,1,0),IF($X118&lt;30,1,0))</formula>
    </cfRule>
    <cfRule type="expression" priority="188" dxfId="0">
      <formula>AND(IF($Q118=3,1,IF($Q118=4,1,0)),IF($F118&lt;=85,1,0))</formula>
    </cfRule>
  </conditionalFormatting>
  <conditionalFormatting sqref="X118">
    <cfRule type="expression" priority="181" dxfId="3">
      <formula>AND(IF(OR($Q118=1,$Q118=2),1,0),IF($X118&lt;=20,1,0))</formula>
    </cfRule>
    <cfRule type="expression" priority="182" dxfId="2">
      <formula>AND(IF($Q118=2,1,0),IF($X118&lt;30,1,0))</formula>
    </cfRule>
    <cfRule type="expression" priority="183" dxfId="1">
      <formula>AND(IF($Q118=3,1,0),IF($X118&lt;30,1,0))</formula>
    </cfRule>
    <cfRule type="expression" priority="184" dxfId="0">
      <formula>AND(IF($Q118=3,1,IF($Q118=4,1,0)),IF($F118&lt;=85,1,0))</formula>
    </cfRule>
  </conditionalFormatting>
  <conditionalFormatting sqref="AI118">
    <cfRule type="expression" priority="177" dxfId="3">
      <formula>AND(IF(OR($Q118=1,$Q118=2),1,0),IF($X118&lt;=20,1,0))</formula>
    </cfRule>
    <cfRule type="expression" priority="178" dxfId="2">
      <formula>AND(IF($Q118=2,1,0),IF($X118&lt;30,1,0))</formula>
    </cfRule>
    <cfRule type="expression" priority="179" dxfId="1">
      <formula>AND(IF($Q118=3,1,0),IF($X118&lt;30,1,0))</formula>
    </cfRule>
    <cfRule type="expression" priority="180" dxfId="0">
      <formula>AND(IF($Q118=3,1,IF($Q118=4,1,0)),IF($F118&lt;=85,1,0))</formula>
    </cfRule>
  </conditionalFormatting>
  <conditionalFormatting sqref="AV119">
    <cfRule type="expression" priority="175" dxfId="17">
      <formula>AV119="X"</formula>
    </cfRule>
    <cfRule type="expression" priority="176" dxfId="16">
      <formula>AV119="후보"</formula>
    </cfRule>
  </conditionalFormatting>
  <conditionalFormatting sqref="AC11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1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19">
    <cfRule type="expression" priority="166" dxfId="3">
      <formula>AND(IF(OR($Q119=1,$Q119=2),1,0),IF($X119&lt;=20,1,0))</formula>
    </cfRule>
    <cfRule type="expression" priority="167" dxfId="2">
      <formula>AND(IF($Q119=2,1,0),IF($X119&lt;30,1,0))</formula>
    </cfRule>
    <cfRule type="expression" priority="168" dxfId="1">
      <formula>AND(IF($Q119=3,1,0),IF($X119&lt;30,1,0))</formula>
    </cfRule>
    <cfRule type="expression" priority="169" dxfId="0">
      <formula>AND(IF($Q119=3,1,IF($Q119=4,1,0)),IF($F119&lt;=85,1,0))</formula>
    </cfRule>
  </conditionalFormatting>
  <conditionalFormatting sqref="X119">
    <cfRule type="expression" priority="162" dxfId="3">
      <formula>AND(IF(OR($Q119=1,$Q119=2),1,0),IF($X119&lt;=20,1,0))</formula>
    </cfRule>
    <cfRule type="expression" priority="163" dxfId="2">
      <formula>AND(IF($Q119=2,1,0),IF($X119&lt;30,1,0))</formula>
    </cfRule>
    <cfRule type="expression" priority="164" dxfId="1">
      <formula>AND(IF($Q119=3,1,0),IF($X119&lt;30,1,0))</formula>
    </cfRule>
    <cfRule type="expression" priority="165" dxfId="0">
      <formula>AND(IF($Q119=3,1,IF($Q119=4,1,0)),IF($F119&lt;=85,1,0))</formula>
    </cfRule>
  </conditionalFormatting>
  <conditionalFormatting sqref="AI119">
    <cfRule type="expression" priority="158" dxfId="3">
      <formula>AND(IF(OR($Q119=1,$Q119=2),1,0),IF($X119&lt;=20,1,0))</formula>
    </cfRule>
    <cfRule type="expression" priority="159" dxfId="2">
      <formula>AND(IF($Q119=2,1,0),IF($X119&lt;30,1,0))</formula>
    </cfRule>
    <cfRule type="expression" priority="160" dxfId="1">
      <formula>AND(IF($Q119=3,1,0),IF($X119&lt;30,1,0))</formula>
    </cfRule>
    <cfRule type="expression" priority="161" dxfId="0">
      <formula>AND(IF($Q119=3,1,IF($Q119=4,1,0)),IF($F119&lt;=85,1,0))</formula>
    </cfRule>
  </conditionalFormatting>
  <conditionalFormatting sqref="AV120">
    <cfRule type="expression" priority="156" dxfId="17">
      <formula>AV120="X"</formula>
    </cfRule>
    <cfRule type="expression" priority="157" dxfId="16">
      <formula>AV120="후보"</formula>
    </cfRule>
  </conditionalFormatting>
  <conditionalFormatting sqref="AC12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2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20">
    <cfRule type="expression" priority="147" dxfId="3">
      <formula>AND(IF(OR($Q120=1,$Q120=2),1,0),IF($X120&lt;=20,1,0))</formula>
    </cfRule>
    <cfRule type="expression" priority="148" dxfId="2">
      <formula>AND(IF($Q120=2,1,0),IF($X120&lt;30,1,0))</formula>
    </cfRule>
    <cfRule type="expression" priority="149" dxfId="1">
      <formula>AND(IF($Q120=3,1,0),IF($X120&lt;30,1,0))</formula>
    </cfRule>
    <cfRule type="expression" priority="150" dxfId="0">
      <formula>AND(IF($Q120=3,1,IF($Q120=4,1,0)),IF($F120&lt;=85,1,0))</formula>
    </cfRule>
  </conditionalFormatting>
  <conditionalFormatting sqref="X120">
    <cfRule type="expression" priority="143" dxfId="3">
      <formula>AND(IF(OR($Q120=1,$Q120=2),1,0),IF($X120&lt;=20,1,0))</formula>
    </cfRule>
    <cfRule type="expression" priority="144" dxfId="2">
      <formula>AND(IF($Q120=2,1,0),IF($X120&lt;30,1,0))</formula>
    </cfRule>
    <cfRule type="expression" priority="145" dxfId="1">
      <formula>AND(IF($Q120=3,1,0),IF($X120&lt;30,1,0))</formula>
    </cfRule>
    <cfRule type="expression" priority="146" dxfId="0">
      <formula>AND(IF($Q120=3,1,IF($Q120=4,1,0)),IF($F120&lt;=85,1,0))</formula>
    </cfRule>
  </conditionalFormatting>
  <conditionalFormatting sqref="AI120">
    <cfRule type="expression" priority="139" dxfId="3">
      <formula>AND(IF(OR($Q120=1,$Q120=2),1,0),IF($X120&lt;=20,1,0))</formula>
    </cfRule>
    <cfRule type="expression" priority="140" dxfId="2">
      <formula>AND(IF($Q120=2,1,0),IF($X120&lt;30,1,0))</formula>
    </cfRule>
    <cfRule type="expression" priority="141" dxfId="1">
      <formula>AND(IF($Q120=3,1,0),IF($X120&lt;30,1,0))</formula>
    </cfRule>
    <cfRule type="expression" priority="142" dxfId="0">
      <formula>AND(IF($Q120=3,1,IF($Q120=4,1,0)),IF($F120&lt;=85,1,0))</formula>
    </cfRule>
  </conditionalFormatting>
  <conditionalFormatting sqref="AV121">
    <cfRule type="expression" priority="137" dxfId="17">
      <formula>AV121="X"</formula>
    </cfRule>
    <cfRule type="expression" priority="138" dxfId="16">
      <formula>AV121="후보"</formula>
    </cfRule>
  </conditionalFormatting>
  <conditionalFormatting sqref="AC12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2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21">
    <cfRule type="expression" priority="128" dxfId="3">
      <formula>AND(IF(OR($Q121=1,$Q121=2),1,0),IF($X121&lt;=20,1,0))</formula>
    </cfRule>
    <cfRule type="expression" priority="129" dxfId="2">
      <formula>AND(IF($Q121=2,1,0),IF($X121&lt;30,1,0))</formula>
    </cfRule>
    <cfRule type="expression" priority="130" dxfId="1">
      <formula>AND(IF($Q121=3,1,0),IF($X121&lt;30,1,0))</formula>
    </cfRule>
    <cfRule type="expression" priority="131" dxfId="0">
      <formula>AND(IF($Q121=3,1,IF($Q121=4,1,0)),IF($F121&lt;=85,1,0))</formula>
    </cfRule>
  </conditionalFormatting>
  <conditionalFormatting sqref="X121">
    <cfRule type="expression" priority="124" dxfId="3">
      <formula>AND(IF(OR($Q121=1,$Q121=2),1,0),IF($X121&lt;=20,1,0))</formula>
    </cfRule>
    <cfRule type="expression" priority="125" dxfId="2">
      <formula>AND(IF($Q121=2,1,0),IF($X121&lt;30,1,0))</formula>
    </cfRule>
    <cfRule type="expression" priority="126" dxfId="1">
      <formula>AND(IF($Q121=3,1,0),IF($X121&lt;30,1,0))</formula>
    </cfRule>
    <cfRule type="expression" priority="127" dxfId="0">
      <formula>AND(IF($Q121=3,1,IF($Q121=4,1,0)),IF($F121&lt;=85,1,0))</formula>
    </cfRule>
  </conditionalFormatting>
  <conditionalFormatting sqref="AI121">
    <cfRule type="expression" priority="120" dxfId="3">
      <formula>AND(IF(OR($Q121=1,$Q121=2),1,0),IF($X121&lt;=20,1,0))</formula>
    </cfRule>
    <cfRule type="expression" priority="121" dxfId="2">
      <formula>AND(IF($Q121=2,1,0),IF($X121&lt;30,1,0))</formula>
    </cfRule>
    <cfRule type="expression" priority="122" dxfId="1">
      <formula>AND(IF($Q121=3,1,0),IF($X121&lt;30,1,0))</formula>
    </cfRule>
    <cfRule type="expression" priority="123" dxfId="0">
      <formula>AND(IF($Q121=3,1,IF($Q121=4,1,0)),IF($F121&lt;=85,1,0))</formula>
    </cfRule>
  </conditionalFormatting>
  <conditionalFormatting sqref="AV122">
    <cfRule type="expression" priority="118" dxfId="17">
      <formula>AV122="X"</formula>
    </cfRule>
    <cfRule type="expression" priority="119" dxfId="16">
      <formula>AV122="후보"</formula>
    </cfRule>
  </conditionalFormatting>
  <conditionalFormatting sqref="AC12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2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22">
    <cfRule type="expression" priority="109" dxfId="3">
      <formula>AND(IF(OR($Q122=1,$Q122=2),1,0),IF($X122&lt;=20,1,0))</formula>
    </cfRule>
    <cfRule type="expression" priority="110" dxfId="2">
      <formula>AND(IF($Q122=2,1,0),IF($X122&lt;30,1,0))</formula>
    </cfRule>
    <cfRule type="expression" priority="111" dxfId="1">
      <formula>AND(IF($Q122=3,1,0),IF($X122&lt;30,1,0))</formula>
    </cfRule>
    <cfRule type="expression" priority="112" dxfId="0">
      <formula>AND(IF($Q122=3,1,IF($Q122=4,1,0)),IF($F122&lt;=85,1,0))</formula>
    </cfRule>
  </conditionalFormatting>
  <conditionalFormatting sqref="X122">
    <cfRule type="expression" priority="105" dxfId="3">
      <formula>AND(IF(OR($Q122=1,$Q122=2),1,0),IF($X122&lt;=20,1,0))</formula>
    </cfRule>
    <cfRule type="expression" priority="106" dxfId="2">
      <formula>AND(IF($Q122=2,1,0),IF($X122&lt;30,1,0))</formula>
    </cfRule>
    <cfRule type="expression" priority="107" dxfId="1">
      <formula>AND(IF($Q122=3,1,0),IF($X122&lt;30,1,0))</formula>
    </cfRule>
    <cfRule type="expression" priority="108" dxfId="0">
      <formula>AND(IF($Q122=3,1,IF($Q122=4,1,0)),IF($F122&lt;=85,1,0))</formula>
    </cfRule>
  </conditionalFormatting>
  <conditionalFormatting sqref="AI122">
    <cfRule type="expression" priority="101" dxfId="3">
      <formula>AND(IF(OR($Q122=1,$Q122=2),1,0),IF($X122&lt;=20,1,0))</formula>
    </cfRule>
    <cfRule type="expression" priority="102" dxfId="2">
      <formula>AND(IF($Q122=2,1,0),IF($X122&lt;30,1,0))</formula>
    </cfRule>
    <cfRule type="expression" priority="103" dxfId="1">
      <formula>AND(IF($Q122=3,1,0),IF($X122&lt;30,1,0))</formula>
    </cfRule>
    <cfRule type="expression" priority="104" dxfId="0">
      <formula>AND(IF($Q122=3,1,IF($Q122=4,1,0)),IF($F122&lt;=85,1,0))</formula>
    </cfRule>
  </conditionalFormatting>
  <conditionalFormatting sqref="AV123">
    <cfRule type="expression" priority="99" dxfId="17">
      <formula>AV123="X"</formula>
    </cfRule>
    <cfRule type="expression" priority="100" dxfId="16">
      <formula>AV123="후보"</formula>
    </cfRule>
  </conditionalFormatting>
  <conditionalFormatting sqref="AC12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2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23">
    <cfRule type="expression" priority="90" dxfId="3">
      <formula>AND(IF(OR($Q123=1,$Q123=2),1,0),IF($X123&lt;=20,1,0))</formula>
    </cfRule>
    <cfRule type="expression" priority="91" dxfId="2">
      <formula>AND(IF($Q123=2,1,0),IF($X123&lt;30,1,0))</formula>
    </cfRule>
    <cfRule type="expression" priority="92" dxfId="1">
      <formula>AND(IF($Q123=3,1,0),IF($X123&lt;30,1,0))</formula>
    </cfRule>
    <cfRule type="expression" priority="93" dxfId="0">
      <formula>AND(IF($Q123=3,1,IF($Q123=4,1,0)),IF($F123&lt;=85,1,0))</formula>
    </cfRule>
  </conditionalFormatting>
  <conditionalFormatting sqref="X123">
    <cfRule type="expression" priority="86" dxfId="3">
      <formula>AND(IF(OR($Q123=1,$Q123=2),1,0),IF($X123&lt;=20,1,0))</formula>
    </cfRule>
    <cfRule type="expression" priority="87" dxfId="2">
      <formula>AND(IF($Q123=2,1,0),IF($X123&lt;30,1,0))</formula>
    </cfRule>
    <cfRule type="expression" priority="88" dxfId="1">
      <formula>AND(IF($Q123=3,1,0),IF($X123&lt;30,1,0))</formula>
    </cfRule>
    <cfRule type="expression" priority="89" dxfId="0">
      <formula>AND(IF($Q123=3,1,IF($Q123=4,1,0)),IF($F123&lt;=85,1,0))</formula>
    </cfRule>
  </conditionalFormatting>
  <conditionalFormatting sqref="AI123">
    <cfRule type="expression" priority="82" dxfId="3">
      <formula>AND(IF(OR($Q123=1,$Q123=2),1,0),IF($X123&lt;=20,1,0))</formula>
    </cfRule>
    <cfRule type="expression" priority="83" dxfId="2">
      <formula>AND(IF($Q123=2,1,0),IF($X123&lt;30,1,0))</formula>
    </cfRule>
    <cfRule type="expression" priority="84" dxfId="1">
      <formula>AND(IF($Q123=3,1,0),IF($X123&lt;30,1,0))</formula>
    </cfRule>
    <cfRule type="expression" priority="85" dxfId="0">
      <formula>AND(IF($Q123=3,1,IF($Q123=4,1,0)),IF($F123&lt;=85,1,0))</formula>
    </cfRule>
  </conditionalFormatting>
  <conditionalFormatting sqref="AV124">
    <cfRule type="expression" priority="80" dxfId="17">
      <formula>AV124="X"</formula>
    </cfRule>
    <cfRule type="expression" priority="81" dxfId="16">
      <formula>AV124="후보"</formula>
    </cfRule>
  </conditionalFormatting>
  <conditionalFormatting sqref="AC124 N12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25">
    <cfRule type="expression" priority="75" dxfId="17">
      <formula>AV125="X"</formula>
    </cfRule>
    <cfRule type="expression" priority="76" dxfId="16">
      <formula>AV125="후보"</formula>
    </cfRule>
  </conditionalFormatting>
  <conditionalFormatting sqref="AC12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5">
    <cfRule type="expression" priority="66" dxfId="3">
      <formula>AND(IF(OR($Q125=1,$Q125=2),1,0),IF($X125&lt;=20,1,0))</formula>
    </cfRule>
    <cfRule type="expression" priority="67" dxfId="2">
      <formula>AND(IF($Q125=2,1,0),IF($X125&lt;30,1,0))</formula>
    </cfRule>
    <cfRule type="expression" priority="68" dxfId="1">
      <formula>AND(IF($Q125=3,1,0),IF($X125&lt;30,1,0))</formula>
    </cfRule>
    <cfRule type="expression" priority="69" dxfId="0">
      <formula>AND(IF($Q125=3,1,IF($Q125=4,1,0)),IF($F125&lt;=85,1,0))</formula>
    </cfRule>
  </conditionalFormatting>
  <conditionalFormatting sqref="X125">
    <cfRule type="expression" priority="62" dxfId="3">
      <formula>AND(IF(OR($Q125=1,$Q125=2),1,0),IF($X125&lt;=20,1,0))</formula>
    </cfRule>
    <cfRule type="expression" priority="63" dxfId="2">
      <formula>AND(IF($Q125=2,1,0),IF($X125&lt;30,1,0))</formula>
    </cfRule>
    <cfRule type="expression" priority="64" dxfId="1">
      <formula>AND(IF($Q125=3,1,0),IF($X125&lt;30,1,0))</formula>
    </cfRule>
    <cfRule type="expression" priority="65" dxfId="0">
      <formula>AND(IF($Q125=3,1,IF($Q125=4,1,0)),IF($F125&lt;=85,1,0))</formula>
    </cfRule>
  </conditionalFormatting>
  <conditionalFormatting sqref="AI125">
    <cfRule type="expression" priority="58" dxfId="3">
      <formula>AND(IF(OR($Q125=1,$Q125=2),1,0),IF($X125&lt;=20,1,0))</formula>
    </cfRule>
    <cfRule type="expression" priority="59" dxfId="2">
      <formula>AND(IF($Q125=2,1,0),IF($X125&lt;30,1,0))</formula>
    </cfRule>
    <cfRule type="expression" priority="60" dxfId="1">
      <formula>AND(IF($Q125=3,1,0),IF($X125&lt;30,1,0))</formula>
    </cfRule>
    <cfRule type="expression" priority="61" dxfId="0">
      <formula>AND(IF($Q125=3,1,IF($Q125=4,1,0)),IF($F125&lt;=85,1,0))</formula>
    </cfRule>
  </conditionalFormatting>
  <conditionalFormatting sqref="AV126">
    <cfRule type="expression" priority="56" dxfId="17">
      <formula>AV126="X"</formula>
    </cfRule>
    <cfRule type="expression" priority="57" dxfId="16">
      <formula>AV126="후보"</formula>
    </cfRule>
  </conditionalFormatting>
  <conditionalFormatting sqref="AC12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6">
    <cfRule type="expression" priority="47" dxfId="3">
      <formula>AND(IF(OR($Q126=1,$Q126=2),1,0),IF($X126&lt;=20,1,0))</formula>
    </cfRule>
    <cfRule type="expression" priority="48" dxfId="2">
      <formula>AND(IF($Q126=2,1,0),IF($X126&lt;30,1,0))</formula>
    </cfRule>
    <cfRule type="expression" priority="49" dxfId="1">
      <formula>AND(IF($Q126=3,1,0),IF($X126&lt;30,1,0))</formula>
    </cfRule>
    <cfRule type="expression" priority="50" dxfId="0">
      <formula>AND(IF($Q126=3,1,IF($Q126=4,1,0)),IF($F126&lt;=85,1,0))</formula>
    </cfRule>
  </conditionalFormatting>
  <conditionalFormatting sqref="X126">
    <cfRule type="expression" priority="43" dxfId="3">
      <formula>AND(IF(OR($Q126=1,$Q126=2),1,0),IF($X126&lt;=20,1,0))</formula>
    </cfRule>
    <cfRule type="expression" priority="44" dxfId="2">
      <formula>AND(IF($Q126=2,1,0),IF($X126&lt;30,1,0))</formula>
    </cfRule>
    <cfRule type="expression" priority="45" dxfId="1">
      <formula>AND(IF($Q126=3,1,0),IF($X126&lt;30,1,0))</formula>
    </cfRule>
    <cfRule type="expression" priority="46" dxfId="0">
      <formula>AND(IF($Q126=3,1,IF($Q126=4,1,0)),IF($F126&lt;=85,1,0))</formula>
    </cfRule>
  </conditionalFormatting>
  <conditionalFormatting sqref="AI126">
    <cfRule type="expression" priority="39" dxfId="3">
      <formula>AND(IF(OR($Q126=1,$Q126=2),1,0),IF($X126&lt;=20,1,0))</formula>
    </cfRule>
    <cfRule type="expression" priority="40" dxfId="2">
      <formula>AND(IF($Q126=2,1,0),IF($X126&lt;30,1,0))</formula>
    </cfRule>
    <cfRule type="expression" priority="41" dxfId="1">
      <formula>AND(IF($Q126=3,1,0),IF($X126&lt;30,1,0))</formula>
    </cfRule>
    <cfRule type="expression" priority="42" dxfId="0">
      <formula>AND(IF($Q126=3,1,IF($Q126=4,1,0)),IF($F126&lt;=85,1,0))</formula>
    </cfRule>
  </conditionalFormatting>
  <conditionalFormatting sqref="AV127">
    <cfRule type="expression" priority="37" dxfId="17">
      <formula>AV127="X"</formula>
    </cfRule>
    <cfRule type="expression" priority="38" dxfId="16">
      <formula>AV127="후보"</formula>
    </cfRule>
  </conditionalFormatting>
  <conditionalFormatting sqref="AC12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7">
    <cfRule type="expression" priority="28" dxfId="3">
      <formula>AND(IF(OR($Q127=1,$Q127=2),1,0),IF($X127&lt;=20,1,0))</formula>
    </cfRule>
    <cfRule type="expression" priority="29" dxfId="2">
      <formula>AND(IF($Q127=2,1,0),IF($X127&lt;30,1,0))</formula>
    </cfRule>
    <cfRule type="expression" priority="30" dxfId="1">
      <formula>AND(IF($Q127=3,1,0),IF($X127&lt;30,1,0))</formula>
    </cfRule>
    <cfRule type="expression" priority="31" dxfId="0">
      <formula>AND(IF($Q127=3,1,IF($Q127=4,1,0)),IF($F127&lt;=85,1,0))</formula>
    </cfRule>
  </conditionalFormatting>
  <conditionalFormatting sqref="X127">
    <cfRule type="expression" priority="24" dxfId="3">
      <formula>AND(IF(OR($Q127=1,$Q127=2),1,0),IF($X127&lt;=20,1,0))</formula>
    </cfRule>
    <cfRule type="expression" priority="25" dxfId="2">
      <formula>AND(IF($Q127=2,1,0),IF($X127&lt;30,1,0))</formula>
    </cfRule>
    <cfRule type="expression" priority="26" dxfId="1">
      <formula>AND(IF($Q127=3,1,0),IF($X127&lt;30,1,0))</formula>
    </cfRule>
    <cfRule type="expression" priority="27" dxfId="0">
      <formula>AND(IF($Q127=3,1,IF($Q127=4,1,0)),IF($F127&lt;=85,1,0))</formula>
    </cfRule>
  </conditionalFormatting>
  <conditionalFormatting sqref="AI127">
    <cfRule type="expression" priority="20" dxfId="3">
      <formula>AND(IF(OR($Q127=1,$Q127=2),1,0),IF($X127&lt;=20,1,0))</formula>
    </cfRule>
    <cfRule type="expression" priority="21" dxfId="2">
      <formula>AND(IF($Q127=2,1,0),IF($X127&lt;30,1,0))</formula>
    </cfRule>
    <cfRule type="expression" priority="22" dxfId="1">
      <formula>AND(IF($Q127=3,1,0),IF($X127&lt;30,1,0))</formula>
    </cfRule>
    <cfRule type="expression" priority="23" dxfId="0">
      <formula>AND(IF($Q127=3,1,IF($Q127=4,1,0)),IF($F127&lt;=85,1,0))</formula>
    </cfRule>
  </conditionalFormatting>
  <conditionalFormatting sqref="AV128">
    <cfRule type="expression" priority="18" dxfId="17">
      <formula>AV128="X"</formula>
    </cfRule>
    <cfRule type="expression" priority="19" dxfId="16">
      <formula>AV128="후보"</formula>
    </cfRule>
  </conditionalFormatting>
  <conditionalFormatting sqref="AC12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8">
    <cfRule type="expression" priority="9" dxfId="3">
      <formula>AND(IF(OR($Q128=1,$Q128=2),1,0),IF($X128&lt;=20,1,0))</formula>
    </cfRule>
    <cfRule type="expression" priority="10" dxfId="2">
      <formula>AND(IF($Q128=2,1,0),IF($X128&lt;30,1,0))</formula>
    </cfRule>
    <cfRule type="expression" priority="11" dxfId="1">
      <formula>AND(IF($Q128=3,1,0),IF($X128&lt;30,1,0))</formula>
    </cfRule>
    <cfRule type="expression" priority="12" dxfId="0">
      <formula>AND(IF($Q128=3,1,IF($Q128=4,1,0)),IF($F128&lt;=85,1,0))</formula>
    </cfRule>
  </conditionalFormatting>
  <conditionalFormatting sqref="X128">
    <cfRule type="expression" priority="5" dxfId="3">
      <formula>AND(IF(OR($Q128=1,$Q128=2),1,0),IF($X128&lt;=20,1,0))</formula>
    </cfRule>
    <cfRule type="expression" priority="6" dxfId="2">
      <formula>AND(IF($Q128=2,1,0),IF($X128&lt;30,1,0))</formula>
    </cfRule>
    <cfRule type="expression" priority="7" dxfId="1">
      <formula>AND(IF($Q128=3,1,0),IF($X128&lt;30,1,0))</formula>
    </cfRule>
    <cfRule type="expression" priority="8" dxfId="0">
      <formula>AND(IF($Q128=3,1,IF($Q128=4,1,0)),IF($F128&lt;=85,1,0))</formula>
    </cfRule>
  </conditionalFormatting>
  <conditionalFormatting sqref="AI128">
    <cfRule type="expression" priority="1" dxfId="3">
      <formula>AND(IF(OR($Q128=1,$Q128=2),1,0),IF($X128&lt;=20,1,0))</formula>
    </cfRule>
    <cfRule type="expression" priority="2" dxfId="2">
      <formula>AND(IF($Q128=2,1,0),IF($X128&lt;30,1,0))</formula>
    </cfRule>
    <cfRule type="expression" priority="3" dxfId="1">
      <formula>AND(IF($Q128=3,1,0),IF($X128&lt;30,1,0))</formula>
    </cfRule>
    <cfRule type="expression" priority="4" dxfId="0">
      <formula>AND(IF($Q128=3,1,IF($Q128=4,1,0)),IF($F128&lt;=85,1,0))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9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6" sqref="A96:XFD9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가좌동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풍림</t>
        </is>
      </c>
      <c r="B6" s="16" t="inlineStr">
        <is>
          <t>'96.09.</t>
        </is>
      </c>
      <c r="C6" s="164" t="n">
        <v>358</v>
      </c>
      <c r="D6" s="161" t="n">
        <v>78.8</v>
      </c>
      <c r="E6" s="163" t="n">
        <v>24</v>
      </c>
      <c r="F6" s="161" t="n">
        <v>60</v>
      </c>
      <c r="G6" s="27" t="n">
        <v>18</v>
      </c>
      <c r="H6" s="164" t="n">
        <v>178</v>
      </c>
      <c r="I6" s="165" t="n">
        <v>33000</v>
      </c>
      <c r="J6" s="165" t="inlineStr">
        <is>
          <t>6</t>
        </is>
      </c>
      <c r="K6" s="165" t="n">
        <v>26000</v>
      </c>
      <c r="L6" s="165" t="inlineStr">
        <is>
          <t>15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78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풍림</t>
        </is>
      </c>
      <c r="B7" s="16" t="inlineStr">
        <is>
          <t>'96.09.</t>
        </is>
      </c>
      <c r="C7" s="164" t="n">
        <v>358</v>
      </c>
      <c r="D7" s="161" t="n">
        <v>103.9</v>
      </c>
      <c r="E7" s="163" t="n">
        <v>31</v>
      </c>
      <c r="F7" s="161" t="n">
        <v>84.8</v>
      </c>
      <c r="G7" s="27" t="n">
        <v>26</v>
      </c>
      <c r="H7" s="164" t="n">
        <v>180</v>
      </c>
      <c r="I7" s="165" t="n">
        <v>34500</v>
      </c>
      <c r="J7" s="165" t="inlineStr">
        <is>
          <t>13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103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인천가좌두산위브트레지움</t>
        </is>
      </c>
      <c r="B9" s="16" t="inlineStr">
        <is>
          <t>'17.12.</t>
        </is>
      </c>
      <c r="C9" s="164" t="n">
        <v>1757</v>
      </c>
      <c r="D9" s="161" t="n">
        <v>72.40000000000001</v>
      </c>
      <c r="E9" s="163" t="n">
        <v>22</v>
      </c>
      <c r="F9" s="161" t="n">
        <v>51.7</v>
      </c>
      <c r="G9" s="27" t="n">
        <v>16</v>
      </c>
      <c r="H9" s="164" t="n">
        <v>185</v>
      </c>
      <c r="I9" s="165" t="n">
        <v>38000</v>
      </c>
      <c r="J9" s="165" t="inlineStr">
        <is>
          <t>중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2</v>
      </c>
      <c r="R9" s="113" t="n">
        <v>1</v>
      </c>
      <c r="S9" s="113" t="inlineStr">
        <is>
          <t>계</t>
        </is>
      </c>
      <c r="T9" s="8" t="inlineStr">
        <is>
          <t>72B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인천가좌두산위브트레지움</t>
        </is>
      </c>
      <c r="B10" s="16" t="inlineStr">
        <is>
          <t>'17.12.</t>
        </is>
      </c>
      <c r="C10" s="164" t="n">
        <v>1757</v>
      </c>
      <c r="D10" s="161" t="n">
        <v>72.2</v>
      </c>
      <c r="E10" s="163" t="n">
        <v>22</v>
      </c>
      <c r="F10" s="161" t="n">
        <v>51.6</v>
      </c>
      <c r="G10" s="27" t="n">
        <v>16</v>
      </c>
      <c r="H10" s="164" t="n">
        <v>60</v>
      </c>
      <c r="I10" s="165" t="n">
        <v>40000</v>
      </c>
      <c r="J10" s="165" t="inlineStr">
        <is>
          <t>8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2</v>
      </c>
      <c r="R10" s="113" t="n">
        <v>1</v>
      </c>
      <c r="S10" s="113" t="inlineStr">
        <is>
          <t>계</t>
        </is>
      </c>
      <c r="T10" s="8" t="inlineStr">
        <is>
          <t>72A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인천가좌두산위브트레지움</t>
        </is>
      </c>
      <c r="B11" s="16" t="inlineStr">
        <is>
          <t>'17.12.</t>
        </is>
      </c>
      <c r="C11" s="164" t="n">
        <v>1757</v>
      </c>
      <c r="D11" s="161" t="n">
        <v>83.5</v>
      </c>
      <c r="E11" s="163" t="n">
        <v>25</v>
      </c>
      <c r="F11" s="161" t="n">
        <v>59.8</v>
      </c>
      <c r="G11" s="27" t="n">
        <v>18</v>
      </c>
      <c r="H11" s="164" t="n">
        <v>536</v>
      </c>
      <c r="I11" s="165" t="n">
        <v>38500</v>
      </c>
      <c r="J11" s="165" t="inlineStr">
        <is>
          <t>5</t>
        </is>
      </c>
      <c r="K11" s="165" t="n">
        <v>30000</v>
      </c>
      <c r="L11" s="165" t="inlineStr">
        <is>
          <t>중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83A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인천가좌두산위브트레지움</t>
        </is>
      </c>
      <c r="B12" s="16" t="inlineStr">
        <is>
          <t>'17.12.</t>
        </is>
      </c>
      <c r="C12" s="164" t="n">
        <v>1757</v>
      </c>
      <c r="D12" s="161" t="n">
        <v>84</v>
      </c>
      <c r="E12" s="163" t="n">
        <v>25</v>
      </c>
      <c r="F12" s="161" t="n">
        <v>59.7</v>
      </c>
      <c r="G12" s="27" t="n">
        <v>18</v>
      </c>
      <c r="H12" s="164" t="n">
        <v>151</v>
      </c>
      <c r="I12" s="165" t="n">
        <v>47000</v>
      </c>
      <c r="J12" s="165" t="inlineStr">
        <is>
          <t>고</t>
        </is>
      </c>
      <c r="K12" s="165" t="n">
        <v>31000</v>
      </c>
      <c r="L12" s="165" t="inlineStr">
        <is>
          <t>10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83C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인천가좌두산위브트레지움</t>
        </is>
      </c>
      <c r="B13" s="16" t="inlineStr">
        <is>
          <t>'17.12.</t>
        </is>
      </c>
      <c r="C13" s="164" t="n">
        <v>1757</v>
      </c>
      <c r="D13" s="161" t="n">
        <v>83.90000000000001</v>
      </c>
      <c r="E13" s="163" t="n">
        <v>25</v>
      </c>
      <c r="F13" s="161" t="n">
        <v>59.8</v>
      </c>
      <c r="G13" s="27" t="n">
        <v>18</v>
      </c>
      <c r="H13" s="164" t="n">
        <v>60</v>
      </c>
      <c r="I13" s="165" t="n">
        <v>45000</v>
      </c>
      <c r="J13" s="165" t="inlineStr">
        <is>
          <t>24</t>
        </is>
      </c>
      <c r="K13" s="165" t="n">
        <v>30000</v>
      </c>
      <c r="L13" s="165" t="inlineStr">
        <is>
          <t>고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83B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인천가좌두산위브트레지움</t>
        </is>
      </c>
      <c r="B14" s="16" t="inlineStr">
        <is>
          <t>'17.12.</t>
        </is>
      </c>
      <c r="C14" s="164" t="n">
        <v>1757</v>
      </c>
      <c r="D14" s="161" t="n">
        <v>93.5</v>
      </c>
      <c r="E14" s="163" t="n">
        <v>28</v>
      </c>
      <c r="F14" s="161" t="n">
        <v>69.40000000000001</v>
      </c>
      <c r="G14" s="27" t="n">
        <v>21</v>
      </c>
      <c r="H14" s="164" t="n">
        <v>296</v>
      </c>
      <c r="I14" s="165" t="n">
        <v>49900</v>
      </c>
      <c r="J14" s="165" t="inlineStr">
        <is>
          <t>17</t>
        </is>
      </c>
      <c r="K14" s="165" t="n">
        <v>38000</v>
      </c>
      <c r="L14" s="165" t="inlineStr">
        <is>
          <t>15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93C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인천가좌두산위브트레지움</t>
        </is>
      </c>
      <c r="B15" s="16" t="inlineStr">
        <is>
          <t>'17.12.</t>
        </is>
      </c>
      <c r="C15" s="164" t="n">
        <v>1757</v>
      </c>
      <c r="D15" s="161" t="n">
        <v>93.3</v>
      </c>
      <c r="E15" s="163" t="n">
        <v>28</v>
      </c>
      <c r="F15" s="161" t="n">
        <v>69.90000000000001</v>
      </c>
      <c r="G15" s="27" t="n">
        <v>21</v>
      </c>
      <c r="H15" s="164" t="n">
        <v>102</v>
      </c>
      <c r="I15" s="165" t="n">
        <v>55000</v>
      </c>
      <c r="J15" s="165" t="inlineStr">
        <is>
          <t>중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93A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인천가좌두산위브트레지움</t>
        </is>
      </c>
      <c r="B16" s="16" t="inlineStr">
        <is>
          <t>'17.12.</t>
        </is>
      </c>
      <c r="C16" s="164" t="n">
        <v>1757</v>
      </c>
      <c r="D16" s="161" t="n">
        <v>93.09999999999999</v>
      </c>
      <c r="E16" s="163" t="n">
        <v>28</v>
      </c>
      <c r="F16" s="161" t="n">
        <v>69.59999999999999</v>
      </c>
      <c r="G16" s="27" t="n">
        <v>21</v>
      </c>
      <c r="H16" s="164" t="n">
        <v>48</v>
      </c>
      <c r="I16" s="165" t="n">
        <v>60000</v>
      </c>
      <c r="J16" s="165" t="inlineStr">
        <is>
          <t>고</t>
        </is>
      </c>
      <c r="K16" s="165" t="n">
        <v>34000</v>
      </c>
      <c r="L16" s="165" t="inlineStr">
        <is>
          <t>25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93B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인천가좌두산위브트레지움</t>
        </is>
      </c>
      <c r="B17" s="16" t="inlineStr">
        <is>
          <t>'17.12.</t>
        </is>
      </c>
      <c r="C17" s="164" t="n">
        <v>1757</v>
      </c>
      <c r="D17" s="161" t="n">
        <v>111</v>
      </c>
      <c r="E17" s="163" t="n">
        <v>34</v>
      </c>
      <c r="F17" s="161" t="n">
        <v>84.8</v>
      </c>
      <c r="G17" s="27" t="n">
        <v>26</v>
      </c>
      <c r="H17" s="164" t="n">
        <v>269</v>
      </c>
      <c r="I17" s="165" t="n">
        <v>60000</v>
      </c>
      <c r="J17" s="165" t="inlineStr">
        <is>
          <t>16</t>
        </is>
      </c>
      <c r="K17" s="165" t="n">
        <v>40000</v>
      </c>
      <c r="L17" s="165" t="inlineStr">
        <is>
          <t>8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111A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인천가좌두산위브트레지움</t>
        </is>
      </c>
      <c r="B18" s="16" t="inlineStr">
        <is>
          <t>'17.12.</t>
        </is>
      </c>
      <c r="C18" s="164" t="n">
        <v>1757</v>
      </c>
      <c r="D18" s="161" t="n">
        <v>111.6</v>
      </c>
      <c r="E18" s="163" t="n">
        <v>34</v>
      </c>
      <c r="F18" s="161" t="n">
        <v>84.3</v>
      </c>
      <c r="G18" s="27" t="n">
        <v>25</v>
      </c>
      <c r="H18" s="164" t="n">
        <v>50</v>
      </c>
      <c r="I18" s="165" t="n">
        <v>60000</v>
      </c>
      <c r="J18" s="165" t="inlineStr">
        <is>
          <t>15</t>
        </is>
      </c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111B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1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2" t="n"/>
      <c r="P19" s="162" t="n"/>
      <c r="Q19" s="163" t="n"/>
      <c r="R19" s="163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0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가좌한신휴플러스</t>
        </is>
      </c>
      <c r="B20" s="16" t="inlineStr">
        <is>
          <t>'07.10.</t>
        </is>
      </c>
      <c r="C20" s="164" t="n">
        <v>2276</v>
      </c>
      <c r="D20" s="161" t="n">
        <v>81.90000000000001</v>
      </c>
      <c r="E20" s="163" t="n">
        <v>25</v>
      </c>
      <c r="F20" s="161" t="n">
        <v>60</v>
      </c>
      <c r="G20" s="27" t="n">
        <v>18</v>
      </c>
      <c r="H20" s="164" t="n">
        <v>242</v>
      </c>
      <c r="I20" s="165" t="n">
        <v>37000</v>
      </c>
      <c r="J20" s="165" t="inlineStr">
        <is>
          <t>17</t>
        </is>
      </c>
      <c r="K20" s="165" t="n">
        <v>31000</v>
      </c>
      <c r="L20" s="165" t="inlineStr">
        <is>
          <t>21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81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가좌한신휴플러스</t>
        </is>
      </c>
      <c r="B21" s="16" t="inlineStr">
        <is>
          <t>'07.10.</t>
        </is>
      </c>
      <c r="C21" s="164" t="n">
        <v>2276</v>
      </c>
      <c r="D21" s="161" t="n">
        <v>94.59999999999999</v>
      </c>
      <c r="E21" s="163" t="n">
        <v>29</v>
      </c>
      <c r="F21" s="161" t="n">
        <v>72.7</v>
      </c>
      <c r="G21" s="27" t="n">
        <v>22</v>
      </c>
      <c r="H21" s="164" t="n">
        <v>200</v>
      </c>
      <c r="I21" s="165" t="n">
        <v>50000</v>
      </c>
      <c r="J21" s="165" t="inlineStr">
        <is>
          <t>20</t>
        </is>
      </c>
      <c r="K21" s="165" t="n">
        <v>34000</v>
      </c>
      <c r="L21" s="165" t="inlineStr">
        <is>
          <t>8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94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가좌한신휴플러스</t>
        </is>
      </c>
      <c r="B22" s="16" t="inlineStr">
        <is>
          <t>'07.10.</t>
        </is>
      </c>
      <c r="C22" s="164" t="n">
        <v>2276</v>
      </c>
      <c r="D22" s="161" t="n">
        <v>108</v>
      </c>
      <c r="E22" s="163" t="n">
        <v>33</v>
      </c>
      <c r="F22" s="161" t="n">
        <v>85</v>
      </c>
      <c r="G22" s="27" t="n">
        <v>26</v>
      </c>
      <c r="H22" s="164" t="n">
        <v>736</v>
      </c>
      <c r="I22" s="165" t="n">
        <v>47000</v>
      </c>
      <c r="J22" s="165" t="inlineStr">
        <is>
          <t>19</t>
        </is>
      </c>
      <c r="K22" s="165" t="n">
        <v>34000</v>
      </c>
      <c r="L22" s="165" t="inlineStr">
        <is>
          <t>9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108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가좌한신휴플러스</t>
        </is>
      </c>
      <c r="B23" s="16" t="inlineStr">
        <is>
          <t>'07.10.</t>
        </is>
      </c>
      <c r="C23" s="164" t="n">
        <v>2276</v>
      </c>
      <c r="D23" s="161" t="n">
        <v>113.4</v>
      </c>
      <c r="E23" s="163" t="n">
        <v>34</v>
      </c>
      <c r="F23" s="161" t="n">
        <v>85</v>
      </c>
      <c r="G23" s="27" t="n">
        <v>26</v>
      </c>
      <c r="H23" s="164" t="n">
        <v>276</v>
      </c>
      <c r="I23" s="165" t="n">
        <v>54000</v>
      </c>
      <c r="J23" s="165" t="inlineStr">
        <is>
          <t>15</t>
        </is>
      </c>
      <c r="K23" s="165" t="n">
        <v>30000</v>
      </c>
      <c r="L23" s="165" t="inlineStr">
        <is>
          <t>25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113A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가좌한신휴플러스</t>
        </is>
      </c>
      <c r="B24" s="16" t="inlineStr">
        <is>
          <t>'07.10.</t>
        </is>
      </c>
      <c r="C24" s="164" t="n">
        <v>2276</v>
      </c>
      <c r="D24" s="161" t="n">
        <v>113.3</v>
      </c>
      <c r="E24" s="163" t="n">
        <v>34</v>
      </c>
      <c r="F24" s="161" t="n">
        <v>85</v>
      </c>
      <c r="G24" s="27" t="n">
        <v>26</v>
      </c>
      <c r="H24" s="164" t="n">
        <v>136</v>
      </c>
      <c r="I24" s="165" t="n">
        <v>55000</v>
      </c>
      <c r="J24" s="165" t="inlineStr">
        <is>
          <t>9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113B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가좌한신휴플러스</t>
        </is>
      </c>
      <c r="B25" s="16" t="inlineStr">
        <is>
          <t>'07.10.</t>
        </is>
      </c>
      <c r="C25" s="164" t="n">
        <v>2276</v>
      </c>
      <c r="D25" s="161" t="n">
        <v>142.8</v>
      </c>
      <c r="E25" s="163" t="n">
        <v>43</v>
      </c>
      <c r="F25" s="161" t="n">
        <v>114.9</v>
      </c>
      <c r="G25" s="27" t="n">
        <v>35</v>
      </c>
      <c r="H25" s="164" t="n">
        <v>242</v>
      </c>
      <c r="I25" s="165" t="n">
        <v>64000</v>
      </c>
      <c r="J25" s="165" t="inlineStr">
        <is>
          <t>23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n">
        <v>142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가좌한신휴플러스</t>
        </is>
      </c>
      <c r="B26" s="16" t="inlineStr">
        <is>
          <t>'07.10.</t>
        </is>
      </c>
      <c r="C26" s="164" t="n">
        <v>2276</v>
      </c>
      <c r="D26" s="161" t="n">
        <v>172.8</v>
      </c>
      <c r="E26" s="163" t="n">
        <v>52</v>
      </c>
      <c r="F26" s="161" t="n">
        <v>143.5</v>
      </c>
      <c r="G26" s="27" t="n">
        <v>43</v>
      </c>
      <c r="H26" s="164" t="n">
        <v>144</v>
      </c>
      <c r="I26" s="165" t="n">
        <v>68000</v>
      </c>
      <c r="J26" s="165" t="inlineStr">
        <is>
          <t>23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5</v>
      </c>
      <c r="R26" s="113" t="n">
        <v>2</v>
      </c>
      <c r="S26" s="113" t="inlineStr">
        <is>
          <t>계</t>
        </is>
      </c>
      <c r="T26" s="8" t="n">
        <v>172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코스모스</t>
        </is>
      </c>
      <c r="B28" s="16" t="inlineStr">
        <is>
          <t>'86.03.</t>
        </is>
      </c>
      <c r="C28" s="164" t="n">
        <v>241</v>
      </c>
      <c r="D28" s="161" t="n">
        <v>48.9</v>
      </c>
      <c r="E28" s="163" t="n">
        <v>15</v>
      </c>
      <c r="F28" s="161" t="n">
        <v>37.6</v>
      </c>
      <c r="G28" s="27" t="n">
        <v>11</v>
      </c>
      <c r="H28" s="164" t="n">
        <v>189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계</t>
        </is>
      </c>
      <c r="T28" s="8" t="n">
        <v>48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코스모스</t>
        </is>
      </c>
      <c r="B29" s="16" t="inlineStr">
        <is>
          <t>'86.03.</t>
        </is>
      </c>
      <c r="C29" s="164" t="n">
        <v>241</v>
      </c>
      <c r="D29" s="161" t="n">
        <v>59.3</v>
      </c>
      <c r="E29" s="163" t="n">
        <v>18</v>
      </c>
      <c r="F29" s="161" t="n">
        <v>46.6</v>
      </c>
      <c r="G29" s="27" t="n">
        <v>14</v>
      </c>
      <c r="H29" s="164" t="n">
        <v>12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1</v>
      </c>
      <c r="S29" s="113" t="inlineStr">
        <is>
          <t>계</t>
        </is>
      </c>
      <c r="T29" s="8" t="n">
        <v>59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코스모스</t>
        </is>
      </c>
      <c r="B30" s="16" t="inlineStr">
        <is>
          <t>'86.03.</t>
        </is>
      </c>
      <c r="C30" s="164" t="n">
        <v>241</v>
      </c>
      <c r="D30" s="161" t="n">
        <v>62.5</v>
      </c>
      <c r="E30" s="163" t="n">
        <v>19</v>
      </c>
      <c r="F30" s="161" t="n">
        <v>49.4</v>
      </c>
      <c r="G30" s="27" t="n">
        <v>15</v>
      </c>
      <c r="H30" s="164" t="n">
        <v>40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1</v>
      </c>
      <c r="S30" s="113" t="inlineStr">
        <is>
          <t>계</t>
        </is>
      </c>
      <c r="T30" s="8" t="n">
        <v>62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진흥(215-3)</t>
        </is>
      </c>
      <c r="B32" s="16" t="inlineStr">
        <is>
          <t>'87.10.</t>
        </is>
      </c>
      <c r="C32" s="164" t="n">
        <v>240</v>
      </c>
      <c r="D32" s="161" t="n">
        <v>46.3</v>
      </c>
      <c r="E32" s="163" t="n">
        <v>14</v>
      </c>
      <c r="F32" s="161" t="n">
        <v>40.9</v>
      </c>
      <c r="G32" s="27" t="n">
        <v>12</v>
      </c>
      <c r="H32" s="164" t="n">
        <v>10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2</v>
      </c>
      <c r="R32" s="113" t="n">
        <v>1</v>
      </c>
      <c r="S32" s="113" t="inlineStr">
        <is>
          <t>계</t>
        </is>
      </c>
      <c r="T32" s="8" t="inlineStr">
        <is>
          <t>46A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진흥(215-3)</t>
        </is>
      </c>
      <c r="B33" s="16" t="inlineStr">
        <is>
          <t>'87.10.</t>
        </is>
      </c>
      <c r="C33" s="164" t="n">
        <v>240</v>
      </c>
      <c r="D33" s="161" t="n">
        <v>47.5</v>
      </c>
      <c r="E33" s="163" t="n">
        <v>14</v>
      </c>
      <c r="F33" s="161" t="n">
        <v>42.1</v>
      </c>
      <c r="G33" s="27" t="n">
        <v>13</v>
      </c>
      <c r="H33" s="164" t="n">
        <v>30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2</v>
      </c>
      <c r="R33" s="113" t="n">
        <v>1</v>
      </c>
      <c r="S33" s="113" t="inlineStr">
        <is>
          <t>계</t>
        </is>
      </c>
      <c r="T33" s="8" t="inlineStr">
        <is>
          <t>47B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진흥(215-3)</t>
        </is>
      </c>
      <c r="B34" s="16" t="inlineStr">
        <is>
          <t>'87.10.</t>
        </is>
      </c>
      <c r="C34" s="164" t="n">
        <v>240</v>
      </c>
      <c r="D34" s="161" t="n">
        <v>49</v>
      </c>
      <c r="E34" s="163" t="n">
        <v>15</v>
      </c>
      <c r="F34" s="161" t="n">
        <v>43.6</v>
      </c>
      <c r="G34" s="27" t="n">
        <v>13</v>
      </c>
      <c r="H34" s="164" t="n">
        <v>155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2</v>
      </c>
      <c r="R34" s="113" t="n">
        <v>1</v>
      </c>
      <c r="S34" s="113" t="inlineStr">
        <is>
          <t>계</t>
        </is>
      </c>
      <c r="T34" s="8" t="n">
        <v>48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진흥(215-3)</t>
        </is>
      </c>
      <c r="B35" s="16" t="inlineStr">
        <is>
          <t>'87.10.</t>
        </is>
      </c>
      <c r="C35" s="164" t="n">
        <v>240</v>
      </c>
      <c r="D35" s="161" t="n">
        <v>54.4</v>
      </c>
      <c r="E35" s="163" t="n">
        <v>16</v>
      </c>
      <c r="F35" s="161" t="n">
        <v>49</v>
      </c>
      <c r="G35" s="27" t="n">
        <v>15</v>
      </c>
      <c r="H35" s="164" t="n">
        <v>30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1</v>
      </c>
      <c r="S35" s="113" t="inlineStr">
        <is>
          <t>계</t>
        </is>
      </c>
      <c r="T35" s="8" t="n">
        <v>54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진흥(215-3)</t>
        </is>
      </c>
      <c r="B36" s="16" t="inlineStr">
        <is>
          <t>'87.10.</t>
        </is>
      </c>
      <c r="C36" s="164" t="n">
        <v>240</v>
      </c>
      <c r="D36" s="161" t="n">
        <v>60.2</v>
      </c>
      <c r="E36" s="163" t="n">
        <v>18</v>
      </c>
      <c r="F36" s="161" t="n">
        <v>54.8</v>
      </c>
      <c r="G36" s="27" t="n">
        <v>17</v>
      </c>
      <c r="H36" s="164" t="n">
        <v>5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1</v>
      </c>
      <c r="S36" s="113" t="inlineStr">
        <is>
          <t>계</t>
        </is>
      </c>
      <c r="T36" s="8" t="n">
        <v>60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진흥(215-3)</t>
        </is>
      </c>
      <c r="B37" s="16" t="inlineStr">
        <is>
          <t>'87.10.</t>
        </is>
      </c>
      <c r="C37" s="164" t="n">
        <v>240</v>
      </c>
      <c r="D37" s="161" t="n">
        <v>61.2</v>
      </c>
      <c r="E37" s="163" t="n">
        <v>19</v>
      </c>
      <c r="F37" s="161" t="n">
        <v>50.4</v>
      </c>
      <c r="G37" s="27" t="n">
        <v>15</v>
      </c>
      <c r="H37" s="164" t="n">
        <v>10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1</v>
      </c>
      <c r="S37" s="113" t="inlineStr">
        <is>
          <t>계</t>
        </is>
      </c>
      <c r="T37" s="8" t="n">
        <v>61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n"/>
      <c r="B38" s="113" t="n"/>
      <c r="C38" s="10" t="n"/>
      <c r="D38" s="13" t="n"/>
      <c r="E38" s="20" t="n"/>
      <c r="F38" s="161" t="n"/>
      <c r="G38" s="13" t="n"/>
      <c r="H38" s="13" t="n"/>
      <c r="I38" s="13" t="n"/>
      <c r="J38" s="13" t="n"/>
      <c r="K38" s="13" t="n"/>
      <c r="L38" s="13" t="n"/>
      <c r="M38" s="13" t="n"/>
      <c r="N38" s="13" t="n"/>
      <c r="O38" s="162" t="n"/>
      <c r="P38" s="162" t="n"/>
      <c r="Q38" s="163" t="n"/>
      <c r="R38" s="163" t="n"/>
      <c r="S38" s="13" t="n"/>
      <c r="T38" s="70" t="n"/>
      <c r="U38" s="13" t="n"/>
      <c r="W38" s="107">
        <f>$A$4&amp;" "&amp;A39&amp;"("&amp;B39&amp;","&amp;C39&amp;"^)"</f>
        <v/>
      </c>
      <c r="X38" s="108" t="n"/>
      <c r="Y38" s="108" t="n"/>
      <c r="Z38" s="108" t="n"/>
      <c r="AA38" s="108" t="n"/>
      <c r="AB38" s="108" t="n"/>
      <c r="AC38" s="108" t="n"/>
      <c r="AD38" s="108" t="n"/>
      <c r="AE38" s="108" t="n"/>
      <c r="AF38" s="109" t="n"/>
      <c r="AH38" s="36">
        <f>IF(A38="","",A38)</f>
        <v/>
      </c>
      <c r="AI38" s="160">
        <f>IF(E38="","",E38)</f>
        <v/>
      </c>
      <c r="AJ38" s="113" t="n"/>
      <c r="AK38" s="113" t="n"/>
      <c r="AL38" s="113" t="n"/>
      <c r="AM38" s="113" t="n"/>
      <c r="AN38" s="113" t="n"/>
      <c r="AO38" s="113" t="n"/>
      <c r="AP38" s="113" t="n"/>
      <c r="AQ38" s="113" t="n"/>
      <c r="AR38" s="113" t="n"/>
      <c r="AS38" s="113" t="n"/>
      <c r="AT38" s="113" t="n"/>
      <c r="AU38" s="113" t="n"/>
      <c r="AV38" s="113" t="n"/>
    </row>
    <row r="39">
      <c r="A39" s="13" t="inlineStr">
        <is>
          <t>하나</t>
        </is>
      </c>
      <c r="B39" s="16" t="inlineStr">
        <is>
          <t>'84.08.</t>
        </is>
      </c>
      <c r="C39" s="164" t="n">
        <v>300</v>
      </c>
      <c r="D39" s="161" t="n">
        <v>79.3</v>
      </c>
      <c r="E39" s="163" t="n">
        <v>24</v>
      </c>
      <c r="F39" s="161" t="n">
        <v>63.4</v>
      </c>
      <c r="G39" s="27" t="n">
        <v>19</v>
      </c>
      <c r="H39" s="164" t="n">
        <v>250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1</v>
      </c>
      <c r="S39" s="113" t="inlineStr">
        <is>
          <t>계</t>
        </is>
      </c>
      <c r="T39" s="8" t="n">
        <v>79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하나</t>
        </is>
      </c>
      <c r="B40" s="16" t="inlineStr">
        <is>
          <t>'84.08.</t>
        </is>
      </c>
      <c r="C40" s="164" t="n">
        <v>300</v>
      </c>
      <c r="D40" s="161" t="n">
        <v>86</v>
      </c>
      <c r="E40" s="163" t="n">
        <v>26</v>
      </c>
      <c r="F40" s="161" t="n">
        <v>67.7</v>
      </c>
      <c r="G40" s="27" t="n">
        <v>20</v>
      </c>
      <c r="H40" s="164" t="n">
        <v>50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1</v>
      </c>
      <c r="S40" s="113" t="inlineStr">
        <is>
          <t>계</t>
        </is>
      </c>
      <c r="T40" s="8" t="n">
        <v>85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1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2" t="n"/>
      <c r="P41" s="162" t="n"/>
      <c r="Q41" s="163" t="n"/>
      <c r="R41" s="163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0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진주1단지</t>
        </is>
      </c>
      <c r="B42" s="16" t="inlineStr">
        <is>
          <t>'83.03.</t>
        </is>
      </c>
      <c r="C42" s="164" t="n">
        <v>686</v>
      </c>
      <c r="D42" s="161" t="n">
        <v>55.3</v>
      </c>
      <c r="E42" s="163" t="n">
        <v>17</v>
      </c>
      <c r="F42" s="161" t="n">
        <v>52.2</v>
      </c>
      <c r="G42" s="27" t="n">
        <v>16</v>
      </c>
      <c r="H42" s="164" t="n">
        <v>260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1</v>
      </c>
      <c r="S42" s="113" t="inlineStr">
        <is>
          <t>복</t>
        </is>
      </c>
      <c r="T42" s="8" t="inlineStr">
        <is>
          <t>55A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진주1단지</t>
        </is>
      </c>
      <c r="B43" s="16" t="inlineStr">
        <is>
          <t>'83.03.</t>
        </is>
      </c>
      <c r="C43" s="164" t="n">
        <v>686</v>
      </c>
      <c r="D43" s="161" t="n">
        <v>56.2</v>
      </c>
      <c r="E43" s="163" t="n">
        <v>17</v>
      </c>
      <c r="F43" s="161" t="n">
        <v>53.3</v>
      </c>
      <c r="G43" s="27" t="n">
        <v>16</v>
      </c>
      <c r="H43" s="164" t="n">
        <v>20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1</v>
      </c>
      <c r="S43" s="113" t="inlineStr">
        <is>
          <t>복</t>
        </is>
      </c>
      <c r="T43" s="8" t="inlineStr">
        <is>
          <t>56B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진주1단지</t>
        </is>
      </c>
      <c r="B44" s="16" t="inlineStr">
        <is>
          <t>'83.03.</t>
        </is>
      </c>
      <c r="C44" s="164" t="n">
        <v>686</v>
      </c>
      <c r="D44" s="161" t="n">
        <v>64.2</v>
      </c>
      <c r="E44" s="163" t="n">
        <v>19</v>
      </c>
      <c r="F44" s="161" t="n">
        <v>47.4</v>
      </c>
      <c r="G44" s="27" t="n">
        <v>14</v>
      </c>
      <c r="H44" s="164" t="n">
        <v>210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1</v>
      </c>
      <c r="S44" s="113" t="inlineStr">
        <is>
          <t>복</t>
        </is>
      </c>
      <c r="T44" s="8" t="n">
        <v>64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진주1단지</t>
        </is>
      </c>
      <c r="B45" s="16" t="inlineStr">
        <is>
          <t>'83.03.</t>
        </is>
      </c>
      <c r="C45" s="164" t="n">
        <v>686</v>
      </c>
      <c r="D45" s="161" t="n">
        <v>76.90000000000001</v>
      </c>
      <c r="E45" s="163" t="n">
        <v>23</v>
      </c>
      <c r="F45" s="161" t="n">
        <v>58.4</v>
      </c>
      <c r="G45" s="27" t="n">
        <v>18</v>
      </c>
      <c r="H45" s="164" t="n">
        <v>196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1</v>
      </c>
      <c r="S45" s="113" t="inlineStr">
        <is>
          <t>복</t>
        </is>
      </c>
      <c r="T45" s="8" t="n">
        <v>76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n"/>
      <c r="B46" s="113" t="n"/>
      <c r="C46" s="10" t="n"/>
      <c r="D46" s="13" t="n"/>
      <c r="E46" s="20" t="n"/>
      <c r="F46" s="161" t="n"/>
      <c r="G46" s="13" t="n"/>
      <c r="H46" s="13" t="n"/>
      <c r="I46" s="13" t="n"/>
      <c r="J46" s="13" t="n"/>
      <c r="K46" s="13" t="n"/>
      <c r="L46" s="13" t="n"/>
      <c r="M46" s="13" t="n"/>
      <c r="N46" s="13" t="n"/>
      <c r="O46" s="162" t="n"/>
      <c r="P46" s="162" t="n"/>
      <c r="Q46" s="163" t="n"/>
      <c r="R46" s="163" t="n"/>
      <c r="S46" s="13" t="n"/>
      <c r="T46" s="70" t="n"/>
      <c r="U46" s="13" t="n"/>
      <c r="W46" s="107">
        <f>$A$4&amp;" "&amp;A47&amp;"("&amp;B47&amp;","&amp;C47&amp;"^)"</f>
        <v/>
      </c>
      <c r="X46" s="108" t="n"/>
      <c r="Y46" s="108" t="n"/>
      <c r="Z46" s="108" t="n"/>
      <c r="AA46" s="108" t="n"/>
      <c r="AB46" s="108" t="n"/>
      <c r="AC46" s="108" t="n"/>
      <c r="AD46" s="108" t="n"/>
      <c r="AE46" s="108" t="n"/>
      <c r="AF46" s="109" t="n"/>
      <c r="AH46" s="36">
        <f>IF(A46="","",A46)</f>
        <v/>
      </c>
      <c r="AI46" s="160">
        <f>IF(E46="","",E46)</f>
        <v/>
      </c>
      <c r="AJ46" s="113" t="n"/>
      <c r="AK46" s="113" t="n"/>
      <c r="AL46" s="113" t="n"/>
      <c r="AM46" s="113" t="n"/>
      <c r="AN46" s="113" t="n"/>
      <c r="AO46" s="113" t="n"/>
      <c r="AP46" s="113" t="n"/>
      <c r="AQ46" s="113" t="n"/>
      <c r="AR46" s="113" t="n"/>
      <c r="AS46" s="113" t="n"/>
      <c r="AT46" s="113" t="n"/>
      <c r="AU46" s="113" t="n"/>
      <c r="AV46" s="113" t="n"/>
    </row>
    <row r="47">
      <c r="A47" s="13" t="inlineStr">
        <is>
          <t>진주5단지</t>
        </is>
      </c>
      <c r="B47" s="16" t="inlineStr">
        <is>
          <t>'91.07.</t>
        </is>
      </c>
      <c r="C47" s="164" t="n">
        <v>268</v>
      </c>
      <c r="D47" s="161" t="n">
        <v>101.3</v>
      </c>
      <c r="E47" s="163" t="n">
        <v>31</v>
      </c>
      <c r="F47" s="161" t="n">
        <v>84.90000000000001</v>
      </c>
      <c r="G47" s="27" t="n">
        <v>26</v>
      </c>
      <c r="H47" s="164" t="n">
        <v>178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n">
        <v>101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진주5단지</t>
        </is>
      </c>
      <c r="B48" s="16" t="inlineStr">
        <is>
          <t>'91.07.</t>
        </is>
      </c>
      <c r="C48" s="164" t="n">
        <v>268</v>
      </c>
      <c r="D48" s="161" t="n">
        <v>156.8</v>
      </c>
      <c r="E48" s="163" t="n">
        <v>47</v>
      </c>
      <c r="F48" s="161" t="n">
        <v>136.2</v>
      </c>
      <c r="G48" s="27" t="n">
        <v>41</v>
      </c>
      <c r="H48" s="164" t="n">
        <v>30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n">
        <v>156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진주5단지</t>
        </is>
      </c>
      <c r="B49" s="16" t="inlineStr">
        <is>
          <t>'91.07.</t>
        </is>
      </c>
      <c r="C49" s="164" t="n">
        <v>268</v>
      </c>
      <c r="D49" s="161" t="n">
        <v>184.5</v>
      </c>
      <c r="E49" s="163" t="n">
        <v>56</v>
      </c>
      <c r="F49" s="161" t="n">
        <v>163.5</v>
      </c>
      <c r="G49" s="27" t="n">
        <v>49</v>
      </c>
      <c r="H49" s="164" t="n">
        <v>60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5</v>
      </c>
      <c r="R49" s="113" t="n">
        <v>2</v>
      </c>
      <c r="S49" s="113" t="inlineStr">
        <is>
          <t>계</t>
        </is>
      </c>
      <c r="T49" s="8" t="n">
        <v>184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n"/>
      <c r="B50" s="113" t="n"/>
      <c r="C50" s="10" t="n"/>
      <c r="D50" s="13" t="n"/>
      <c r="E50" s="20" t="n"/>
      <c r="F50" s="161" t="n"/>
      <c r="G50" s="13" t="n"/>
      <c r="H50" s="13" t="n"/>
      <c r="I50" s="13" t="n"/>
      <c r="J50" s="13" t="n"/>
      <c r="K50" s="13" t="n"/>
      <c r="L50" s="13" t="n"/>
      <c r="M50" s="13" t="n"/>
      <c r="N50" s="13" t="n"/>
      <c r="O50" s="162" t="n"/>
      <c r="P50" s="162" t="n"/>
      <c r="Q50" s="163" t="n"/>
      <c r="R50" s="163" t="n"/>
      <c r="S50" s="13" t="n"/>
      <c r="T50" s="70" t="n"/>
      <c r="U50" s="13" t="n"/>
      <c r="W50" s="107">
        <f>$A$4&amp;" "&amp;A51&amp;"("&amp;B51&amp;","&amp;C51&amp;"^)"</f>
        <v/>
      </c>
      <c r="X50" s="108" t="n"/>
      <c r="Y50" s="108" t="n"/>
      <c r="Z50" s="108" t="n"/>
      <c r="AA50" s="108" t="n"/>
      <c r="AB50" s="108" t="n"/>
      <c r="AC50" s="108" t="n"/>
      <c r="AD50" s="108" t="n"/>
      <c r="AE50" s="108" t="n"/>
      <c r="AF50" s="109" t="n"/>
      <c r="AH50" s="36">
        <f>IF(A50="","",A50)</f>
        <v/>
      </c>
      <c r="AI50" s="160">
        <f>IF(E50="","",E50)</f>
        <v/>
      </c>
      <c r="AJ50" s="113" t="n"/>
      <c r="AK50" s="113" t="n"/>
      <c r="AL50" s="113" t="n"/>
      <c r="AM50" s="113" t="n"/>
      <c r="AN50" s="113" t="n"/>
      <c r="AO50" s="113" t="n"/>
      <c r="AP50" s="113" t="n"/>
      <c r="AQ50" s="113" t="n"/>
      <c r="AR50" s="113" t="n"/>
      <c r="AS50" s="113" t="n"/>
      <c r="AT50" s="113" t="n"/>
      <c r="AU50" s="113" t="n"/>
      <c r="AV50" s="113" t="n"/>
    </row>
    <row r="51">
      <c r="A51" s="13" t="inlineStr">
        <is>
          <t>진주4단지</t>
        </is>
      </c>
      <c r="B51" s="16" t="inlineStr">
        <is>
          <t>'91.01.</t>
        </is>
      </c>
      <c r="C51" s="164" t="n">
        <v>302</v>
      </c>
      <c r="D51" s="161" t="n">
        <v>101.5</v>
      </c>
      <c r="E51" s="163" t="n">
        <v>31</v>
      </c>
      <c r="F51" s="161" t="n">
        <v>84.90000000000001</v>
      </c>
      <c r="G51" s="27" t="n">
        <v>26</v>
      </c>
      <c r="H51" s="164" t="n">
        <v>163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n">
        <v>101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진주4단지</t>
        </is>
      </c>
      <c r="B52" s="16" t="inlineStr">
        <is>
          <t>'91.01.</t>
        </is>
      </c>
      <c r="C52" s="164" t="n">
        <v>302</v>
      </c>
      <c r="D52" s="161" t="n">
        <v>134.9</v>
      </c>
      <c r="E52" s="163" t="n">
        <v>41</v>
      </c>
      <c r="F52" s="161" t="n">
        <v>116.3</v>
      </c>
      <c r="G52" s="27" t="n">
        <v>35</v>
      </c>
      <c r="H52" s="164" t="n">
        <v>14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4</v>
      </c>
      <c r="R52" s="113" t="n">
        <v>2</v>
      </c>
      <c r="S52" s="113" t="inlineStr">
        <is>
          <t>계</t>
        </is>
      </c>
      <c r="T52" s="8" t="n">
        <v>134</v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진주4단지</t>
        </is>
      </c>
      <c r="B53" s="16" t="inlineStr">
        <is>
          <t>'91.01.</t>
        </is>
      </c>
      <c r="C53" s="164" t="n">
        <v>302</v>
      </c>
      <c r="D53" s="161" t="n">
        <v>145.1</v>
      </c>
      <c r="E53" s="163" t="n">
        <v>44</v>
      </c>
      <c r="F53" s="161" t="n">
        <v>126.5</v>
      </c>
      <c r="G53" s="27" t="n">
        <v>38</v>
      </c>
      <c r="H53" s="164" t="n">
        <v>1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145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진주4단지</t>
        </is>
      </c>
      <c r="B54" s="16" t="inlineStr">
        <is>
          <t>'91.01.</t>
        </is>
      </c>
      <c r="C54" s="164" t="n">
        <v>302</v>
      </c>
      <c r="D54" s="161" t="n">
        <v>157.6</v>
      </c>
      <c r="E54" s="163" t="n">
        <v>48</v>
      </c>
      <c r="F54" s="161" t="n">
        <v>136.2</v>
      </c>
      <c r="G54" s="27" t="n">
        <v>41</v>
      </c>
      <c r="H54" s="164" t="n">
        <v>124</v>
      </c>
      <c r="I54" s="165" t="n">
        <v>53000</v>
      </c>
      <c r="J54" s="165" t="inlineStr">
        <is>
          <t>7</t>
        </is>
      </c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4</v>
      </c>
      <c r="R54" s="113" t="n">
        <v>2</v>
      </c>
      <c r="S54" s="113" t="inlineStr">
        <is>
          <t>계</t>
        </is>
      </c>
      <c r="T54" s="8" t="n">
        <v>157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n"/>
      <c r="B55" s="113" t="n"/>
      <c r="C55" s="10" t="n"/>
      <c r="D55" s="13" t="n"/>
      <c r="E55" s="20" t="n"/>
      <c r="F55" s="161" t="n"/>
      <c r="G55" s="13" t="n"/>
      <c r="H55" s="13" t="n"/>
      <c r="I55" s="13" t="n"/>
      <c r="J55" s="13" t="n"/>
      <c r="K55" s="13" t="n"/>
      <c r="L55" s="13" t="n"/>
      <c r="M55" s="13" t="n"/>
      <c r="N55" s="13" t="n"/>
      <c r="O55" s="162" t="n"/>
      <c r="P55" s="162" t="n"/>
      <c r="Q55" s="163" t="n"/>
      <c r="R55" s="163" t="n"/>
      <c r="S55" s="13" t="n"/>
      <c r="T55" s="70" t="n"/>
      <c r="U55" s="13" t="n"/>
      <c r="W55" s="107">
        <f>$A$4&amp;" "&amp;A56&amp;"("&amp;B56&amp;","&amp;C56&amp;"^)"</f>
        <v/>
      </c>
      <c r="X55" s="108" t="n"/>
      <c r="Y55" s="108" t="n"/>
      <c r="Z55" s="108" t="n"/>
      <c r="AA55" s="108" t="n"/>
      <c r="AB55" s="108" t="n"/>
      <c r="AC55" s="108" t="n"/>
      <c r="AD55" s="108" t="n"/>
      <c r="AE55" s="108" t="n"/>
      <c r="AF55" s="109" t="n"/>
      <c r="AH55" s="36">
        <f>IF(A55="","",A55)</f>
        <v/>
      </c>
      <c r="AI55" s="160">
        <f>IF(E55="","",E55)</f>
        <v/>
      </c>
      <c r="AJ55" s="113" t="n"/>
      <c r="AK55" s="113" t="n"/>
      <c r="AL55" s="113" t="n"/>
      <c r="AM55" s="113" t="n"/>
      <c r="AN55" s="113" t="n"/>
      <c r="AO55" s="113" t="n"/>
      <c r="AP55" s="113" t="n"/>
      <c r="AQ55" s="113" t="n"/>
      <c r="AR55" s="113" t="n"/>
      <c r="AS55" s="113" t="n"/>
      <c r="AT55" s="113" t="n"/>
      <c r="AU55" s="113" t="n"/>
      <c r="AV55" s="113" t="n"/>
    </row>
    <row r="56">
      <c r="A56" s="13" t="inlineStr">
        <is>
          <t>진주2단지</t>
        </is>
      </c>
      <c r="B56" s="16" t="inlineStr">
        <is>
          <t>'84.08.</t>
        </is>
      </c>
      <c r="C56" s="164" t="n">
        <v>644</v>
      </c>
      <c r="D56" s="161" t="n">
        <v>79.59999999999999</v>
      </c>
      <c r="E56" s="163" t="n">
        <v>24</v>
      </c>
      <c r="F56" s="161" t="n">
        <v>59</v>
      </c>
      <c r="G56" s="27" t="n">
        <v>18</v>
      </c>
      <c r="H56" s="164" t="n">
        <v>224</v>
      </c>
      <c r="I56" s="165" t="n">
        <v>25500</v>
      </c>
      <c r="J56" s="165" t="inlineStr">
        <is>
          <t>6</t>
        </is>
      </c>
      <c r="K56" s="165" t="n">
        <v>23000</v>
      </c>
      <c r="L56" s="165" t="inlineStr">
        <is>
          <t>6</t>
        </is>
      </c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1</v>
      </c>
      <c r="S56" s="113" t="inlineStr">
        <is>
          <t>복</t>
        </is>
      </c>
      <c r="T56" s="8" t="n">
        <v>79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진주2단지</t>
        </is>
      </c>
      <c r="B57" s="16" t="inlineStr">
        <is>
          <t>'84.08.</t>
        </is>
      </c>
      <c r="C57" s="164" t="n">
        <v>644</v>
      </c>
      <c r="D57" s="161" t="n">
        <v>103.2</v>
      </c>
      <c r="E57" s="163" t="n">
        <v>31</v>
      </c>
      <c r="F57" s="161" t="n">
        <v>84.7</v>
      </c>
      <c r="G57" s="27" t="n">
        <v>26</v>
      </c>
      <c r="H57" s="164" t="n">
        <v>252</v>
      </c>
      <c r="I57" s="165" t="n">
        <v>39000</v>
      </c>
      <c r="J57" s="165" t="inlineStr">
        <is>
          <t>11</t>
        </is>
      </c>
      <c r="K57" s="165" t="n">
        <v>30000</v>
      </c>
      <c r="L57" s="165" t="inlineStr">
        <is>
          <t>10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1</v>
      </c>
      <c r="S57" s="113" t="inlineStr">
        <is>
          <t>계</t>
        </is>
      </c>
      <c r="T57" s="8" t="n">
        <v>103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진주2단지</t>
        </is>
      </c>
      <c r="B58" s="16" t="inlineStr">
        <is>
          <t>'84.08.</t>
        </is>
      </c>
      <c r="C58" s="164" t="n">
        <v>644</v>
      </c>
      <c r="D58" s="161" t="n">
        <v>136.4</v>
      </c>
      <c r="E58" s="163" t="n">
        <v>41</v>
      </c>
      <c r="F58" s="161" t="n">
        <v>116.6</v>
      </c>
      <c r="G58" s="27" t="n">
        <v>35</v>
      </c>
      <c r="H58" s="164" t="n">
        <v>168</v>
      </c>
      <c r="I58" s="165" t="n">
        <v>56000</v>
      </c>
      <c r="J58" s="165" t="inlineStr">
        <is>
          <t>5</t>
        </is>
      </c>
      <c r="K58" s="165" t="n">
        <v>38000</v>
      </c>
      <c r="L58" s="165" t="inlineStr">
        <is>
          <t>9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4</v>
      </c>
      <c r="R58" s="113" t="n">
        <v>2</v>
      </c>
      <c r="S58" s="113" t="inlineStr">
        <is>
          <t>계</t>
        </is>
      </c>
      <c r="T58" s="8" t="n">
        <v>136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n"/>
      <c r="B59" s="113" t="n"/>
      <c r="C59" s="10" t="n"/>
      <c r="D59" s="13" t="n"/>
      <c r="E59" s="20" t="n"/>
      <c r="F59" s="161" t="n"/>
      <c r="G59" s="13" t="n"/>
      <c r="H59" s="13" t="n"/>
      <c r="I59" s="13" t="n"/>
      <c r="J59" s="13" t="n"/>
      <c r="K59" s="13" t="n"/>
      <c r="L59" s="13" t="n"/>
      <c r="M59" s="13" t="n"/>
      <c r="N59" s="13" t="n"/>
      <c r="O59" s="162" t="n"/>
      <c r="P59" s="162" t="n"/>
      <c r="Q59" s="163" t="n"/>
      <c r="R59" s="163" t="n"/>
      <c r="S59" s="13" t="n"/>
      <c r="T59" s="70" t="n"/>
      <c r="U59" s="13" t="n"/>
      <c r="W59" s="107">
        <f>$A$4&amp;" "&amp;A60&amp;"("&amp;B60&amp;","&amp;C60&amp;"^)"</f>
        <v/>
      </c>
      <c r="X59" s="108" t="n"/>
      <c r="Y59" s="108" t="n"/>
      <c r="Z59" s="108" t="n"/>
      <c r="AA59" s="108" t="n"/>
      <c r="AB59" s="108" t="n"/>
      <c r="AC59" s="108" t="n"/>
      <c r="AD59" s="108" t="n"/>
      <c r="AE59" s="108" t="n"/>
      <c r="AF59" s="109" t="n"/>
      <c r="AH59" s="36">
        <f>IF(A59="","",A59)</f>
        <v/>
      </c>
      <c r="AI59" s="160">
        <f>IF(E59="","",E59)</f>
        <v/>
      </c>
      <c r="AJ59" s="113" t="n"/>
      <c r="AK59" s="113" t="n"/>
      <c r="AL59" s="113" t="n"/>
      <c r="AM59" s="113" t="n"/>
      <c r="AN59" s="113" t="n"/>
      <c r="AO59" s="113" t="n"/>
      <c r="AP59" s="113" t="n"/>
      <c r="AQ59" s="113" t="n"/>
      <c r="AR59" s="113" t="n"/>
      <c r="AS59" s="113" t="n"/>
      <c r="AT59" s="113" t="n"/>
      <c r="AU59" s="113" t="n"/>
      <c r="AV59" s="113" t="n"/>
    </row>
    <row r="60">
      <c r="A60" s="13" t="inlineStr">
        <is>
          <t>범양</t>
        </is>
      </c>
      <c r="B60" s="16" t="inlineStr">
        <is>
          <t>'90.08.</t>
        </is>
      </c>
      <c r="C60" s="164" t="n">
        <v>510</v>
      </c>
      <c r="D60" s="161" t="n">
        <v>92.2</v>
      </c>
      <c r="E60" s="163" t="n">
        <v>28</v>
      </c>
      <c r="F60" s="161" t="n">
        <v>76.2</v>
      </c>
      <c r="G60" s="27" t="n">
        <v>23</v>
      </c>
      <c r="H60" s="164" t="n">
        <v>90</v>
      </c>
      <c r="I60" s="165" t="n">
        <v>33000</v>
      </c>
      <c r="J60" s="165" t="inlineStr">
        <is>
          <t>9</t>
        </is>
      </c>
      <c r="K60" s="165" t="n">
        <v>30000</v>
      </c>
      <c r="L60" s="165" t="inlineStr">
        <is>
          <t>5</t>
        </is>
      </c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1</v>
      </c>
      <c r="S60" s="113" t="inlineStr">
        <is>
          <t>계</t>
        </is>
      </c>
      <c r="T60" s="8" t="n">
        <v>92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범양</t>
        </is>
      </c>
      <c r="B61" s="16" t="inlineStr">
        <is>
          <t>'90.08.</t>
        </is>
      </c>
      <c r="C61" s="164" t="n">
        <v>510</v>
      </c>
      <c r="D61" s="161" t="n">
        <v>100.3</v>
      </c>
      <c r="E61" s="163" t="n">
        <v>30</v>
      </c>
      <c r="F61" s="161" t="n">
        <v>84.3</v>
      </c>
      <c r="G61" s="27" t="n">
        <v>25</v>
      </c>
      <c r="H61" s="164" t="n">
        <v>210</v>
      </c>
      <c r="I61" s="165" t="n">
        <v>34500</v>
      </c>
      <c r="J61" s="165" t="inlineStr">
        <is>
          <t>7</t>
        </is>
      </c>
      <c r="K61" s="165" t="n">
        <v>25000</v>
      </c>
      <c r="L61" s="165" t="inlineStr">
        <is>
          <t>8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n">
        <v>100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범양</t>
        </is>
      </c>
      <c r="B62" s="16" t="inlineStr">
        <is>
          <t>'90.08.</t>
        </is>
      </c>
      <c r="C62" s="164" t="n">
        <v>510</v>
      </c>
      <c r="D62" s="161" t="n">
        <v>130.2</v>
      </c>
      <c r="E62" s="163" t="n">
        <v>39</v>
      </c>
      <c r="F62" s="161" t="n">
        <v>112</v>
      </c>
      <c r="G62" s="27" t="n">
        <v>34</v>
      </c>
      <c r="H62" s="164" t="n">
        <v>90</v>
      </c>
      <c r="I62" s="165" t="n">
        <v>47000</v>
      </c>
      <c r="J62" s="165" t="inlineStr">
        <is>
          <t>9</t>
        </is>
      </c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4</v>
      </c>
      <c r="R62" s="113" t="n">
        <v>2</v>
      </c>
      <c r="S62" s="113" t="inlineStr">
        <is>
          <t>계</t>
        </is>
      </c>
      <c r="T62" s="8" t="n">
        <v>130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범양</t>
        </is>
      </c>
      <c r="B63" s="16" t="inlineStr">
        <is>
          <t>'90.08.</t>
        </is>
      </c>
      <c r="C63" s="164" t="n">
        <v>510</v>
      </c>
      <c r="D63" s="161" t="n">
        <v>160</v>
      </c>
      <c r="E63" s="163" t="n">
        <v>48</v>
      </c>
      <c r="F63" s="161" t="n">
        <v>139.5</v>
      </c>
      <c r="G63" s="27" t="n">
        <v>42</v>
      </c>
      <c r="H63" s="164" t="n">
        <v>120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5</v>
      </c>
      <c r="R63" s="113" t="n">
        <v>2</v>
      </c>
      <c r="S63" s="113" t="inlineStr">
        <is>
          <t>계</t>
        </is>
      </c>
      <c r="T63" s="8" t="n">
        <v>159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1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2" t="n"/>
      <c r="P64" s="162" t="n"/>
      <c r="Q64" s="163" t="n"/>
      <c r="R64" s="163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0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가재울역트루엘에코시티</t>
        </is>
      </c>
      <c r="B65" s="16" t="inlineStr">
        <is>
          <t>'23.08.</t>
        </is>
      </c>
      <c r="C65" s="164" t="n">
        <v>1218</v>
      </c>
      <c r="D65" s="161" t="n">
        <v>67.2</v>
      </c>
      <c r="E65" s="163" t="n">
        <v>20</v>
      </c>
      <c r="F65" s="161" t="n">
        <v>49.4</v>
      </c>
      <c r="G65" s="27" t="n">
        <v>15</v>
      </c>
      <c r="H65" s="164" t="n">
        <v>273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2</v>
      </c>
      <c r="R65" s="113" t="n">
        <v>1</v>
      </c>
      <c r="S65" s="113" t="inlineStr">
        <is>
          <t>계</t>
        </is>
      </c>
      <c r="T65" s="8" t="inlineStr">
        <is>
          <t>67A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가재울역트루엘에코시티</t>
        </is>
      </c>
      <c r="B66" s="16" t="inlineStr">
        <is>
          <t>'23.08.</t>
        </is>
      </c>
      <c r="C66" s="164" t="n">
        <v>1218</v>
      </c>
      <c r="D66" s="161" t="n">
        <v>80.5</v>
      </c>
      <c r="E66" s="163" t="n">
        <v>24</v>
      </c>
      <c r="F66" s="161" t="n">
        <v>60</v>
      </c>
      <c r="G66" s="27" t="n">
        <v>18</v>
      </c>
      <c r="H66" s="164" t="n">
        <v>252</v>
      </c>
      <c r="I66" s="165" t="n"/>
      <c r="J66" s="165" t="n"/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80A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가재울역트루엘에코시티</t>
        </is>
      </c>
      <c r="B67" s="16" t="inlineStr">
        <is>
          <t>'23.08.</t>
        </is>
      </c>
      <c r="C67" s="164" t="n">
        <v>1218</v>
      </c>
      <c r="D67" s="161" t="n">
        <v>81.09999999999999</v>
      </c>
      <c r="E67" s="163" t="n">
        <v>25</v>
      </c>
      <c r="F67" s="161" t="n">
        <v>59.9</v>
      </c>
      <c r="G67" s="27" t="n">
        <v>18</v>
      </c>
      <c r="H67" s="164" t="n">
        <v>200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81B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가재울역트루엘에코시티</t>
        </is>
      </c>
      <c r="B68" s="16" t="inlineStr">
        <is>
          <t>'23.08.</t>
        </is>
      </c>
      <c r="C68" s="164" t="n">
        <v>1218</v>
      </c>
      <c r="D68" s="161" t="n">
        <v>93.8</v>
      </c>
      <c r="E68" s="163" t="n">
        <v>28</v>
      </c>
      <c r="F68" s="161" t="n">
        <v>70</v>
      </c>
      <c r="G68" s="27" t="n">
        <v>21</v>
      </c>
      <c r="H68" s="164" t="n">
        <v>215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93A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가재울역트루엘에코시티</t>
        </is>
      </c>
      <c r="B69" s="16" t="inlineStr">
        <is>
          <t>'23.08.</t>
        </is>
      </c>
      <c r="C69" s="164" t="n">
        <v>1218</v>
      </c>
      <c r="D69" s="161" t="n">
        <v>112.4</v>
      </c>
      <c r="E69" s="163" t="n">
        <v>34</v>
      </c>
      <c r="F69" s="161" t="n">
        <v>85</v>
      </c>
      <c r="G69" s="27" t="n">
        <v>26</v>
      </c>
      <c r="H69" s="164" t="n">
        <v>164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112A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가재울역트루엘에코시티</t>
        </is>
      </c>
      <c r="B70" s="16" t="inlineStr">
        <is>
          <t>'23.08.</t>
        </is>
      </c>
      <c r="C70" s="164" t="n">
        <v>1218</v>
      </c>
      <c r="D70" s="161" t="n">
        <v>112.6</v>
      </c>
      <c r="E70" s="163" t="n">
        <v>34</v>
      </c>
      <c r="F70" s="161" t="n">
        <v>84.90000000000001</v>
      </c>
      <c r="G70" s="27" t="n">
        <v>26</v>
      </c>
      <c r="H70" s="164" t="n">
        <v>114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112B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n"/>
      <c r="B71" s="113" t="n"/>
      <c r="C71" s="10" t="n"/>
      <c r="D71" s="13" t="n"/>
      <c r="E71" s="20" t="n"/>
      <c r="F71" s="161" t="n"/>
      <c r="G71" s="13" t="n"/>
      <c r="H71" s="13" t="n"/>
      <c r="I71" s="13" t="n"/>
      <c r="J71" s="13" t="n"/>
      <c r="K71" s="13" t="n"/>
      <c r="L71" s="13" t="n"/>
      <c r="M71" s="13" t="n"/>
      <c r="N71" s="13" t="n"/>
      <c r="O71" s="162" t="n"/>
      <c r="P71" s="162" t="n"/>
      <c r="Q71" s="163" t="n"/>
      <c r="R71" s="163" t="n"/>
      <c r="S71" s="13" t="n"/>
      <c r="T71" s="70" t="n"/>
      <c r="U71" s="13" t="n"/>
      <c r="W71" s="107">
        <f>$A$4&amp;" "&amp;A72&amp;"("&amp;B72&amp;","&amp;C72&amp;"^)"</f>
        <v/>
      </c>
      <c r="X71" s="108" t="n"/>
      <c r="Y71" s="108" t="n"/>
      <c r="Z71" s="108" t="n"/>
      <c r="AA71" s="108" t="n"/>
      <c r="AB71" s="108" t="n"/>
      <c r="AC71" s="108" t="n"/>
      <c r="AD71" s="108" t="n"/>
      <c r="AE71" s="108" t="n"/>
      <c r="AF71" s="109" t="n"/>
      <c r="AH71" s="36">
        <f>IF(A71="","",A71)</f>
        <v/>
      </c>
      <c r="AI71" s="160">
        <f>IF(E71="","",E71)</f>
        <v/>
      </c>
      <c r="AJ71" s="113" t="n"/>
      <c r="AK71" s="113" t="n"/>
      <c r="AL71" s="113" t="n"/>
      <c r="AM71" s="113" t="n"/>
      <c r="AN71" s="113" t="n"/>
      <c r="AO71" s="113" t="n"/>
      <c r="AP71" s="113" t="n"/>
      <c r="AQ71" s="113" t="n"/>
      <c r="AR71" s="113" t="n"/>
      <c r="AS71" s="113" t="n"/>
      <c r="AT71" s="113" t="n"/>
      <c r="AU71" s="113" t="n"/>
      <c r="AV71" s="113" t="n"/>
    </row>
    <row r="72">
      <c r="A72" s="13" t="inlineStr">
        <is>
          <t>진주3단지</t>
        </is>
      </c>
      <c r="B72" s="16" t="inlineStr">
        <is>
          <t>'89.11.</t>
        </is>
      </c>
      <c r="C72" s="164" t="n">
        <v>798</v>
      </c>
      <c r="D72" s="161" t="n">
        <v>61.8</v>
      </c>
      <c r="E72" s="163" t="n">
        <v>19</v>
      </c>
      <c r="F72" s="161" t="n">
        <v>49.5</v>
      </c>
      <c r="G72" s="27" t="n">
        <v>15</v>
      </c>
      <c r="H72" s="164" t="n">
        <v>300</v>
      </c>
      <c r="I72" s="165" t="n">
        <v>23000</v>
      </c>
      <c r="J72" s="165" t="inlineStr">
        <is>
          <t>13</t>
        </is>
      </c>
      <c r="K72" s="165" t="n">
        <v>18000</v>
      </c>
      <c r="L72" s="165" t="inlineStr">
        <is>
          <t>14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1</v>
      </c>
      <c r="S72" s="113" t="inlineStr">
        <is>
          <t>계</t>
        </is>
      </c>
      <c r="T72" s="8" t="n">
        <v>61</v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진주3단지</t>
        </is>
      </c>
      <c r="B73" s="16" t="inlineStr">
        <is>
          <t>'89.11.</t>
        </is>
      </c>
      <c r="C73" s="164" t="n">
        <v>798</v>
      </c>
      <c r="D73" s="161" t="n">
        <v>74.09999999999999</v>
      </c>
      <c r="E73" s="163" t="n">
        <v>22</v>
      </c>
      <c r="F73" s="161" t="n">
        <v>59.4</v>
      </c>
      <c r="G73" s="27" t="n">
        <v>18</v>
      </c>
      <c r="H73" s="164" t="n">
        <v>292</v>
      </c>
      <c r="I73" s="165" t="n">
        <v>29000</v>
      </c>
      <c r="J73" s="165" t="inlineStr">
        <is>
          <t>12</t>
        </is>
      </c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1</v>
      </c>
      <c r="S73" s="113" t="inlineStr">
        <is>
          <t>계</t>
        </is>
      </c>
      <c r="T73" s="8" t="n">
        <v>74</v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진주3단지</t>
        </is>
      </c>
      <c r="B74" s="16" t="inlineStr">
        <is>
          <t>'89.11.</t>
        </is>
      </c>
      <c r="C74" s="164" t="n">
        <v>798</v>
      </c>
      <c r="D74" s="161" t="n">
        <v>92</v>
      </c>
      <c r="E74" s="163" t="n">
        <v>28</v>
      </c>
      <c r="F74" s="161" t="n">
        <v>76.7</v>
      </c>
      <c r="G74" s="27" t="n">
        <v>23</v>
      </c>
      <c r="H74" s="164" t="n">
        <v>206</v>
      </c>
      <c r="I74" s="165" t="n">
        <v>37000</v>
      </c>
      <c r="J74" s="165" t="inlineStr">
        <is>
          <t>15</t>
        </is>
      </c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1</v>
      </c>
      <c r="S74" s="113" t="inlineStr">
        <is>
          <t>계</t>
        </is>
      </c>
      <c r="T74" s="8" t="n">
        <v>91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n"/>
      <c r="B75" s="113" t="n"/>
      <c r="C75" s="10" t="n"/>
      <c r="D75" s="13" t="n"/>
      <c r="E75" s="20" t="n"/>
      <c r="F75" s="161" t="n"/>
      <c r="G75" s="13" t="n"/>
      <c r="H75" s="13" t="n"/>
      <c r="I75" s="13" t="n"/>
      <c r="J75" s="13" t="n"/>
      <c r="K75" s="13" t="n"/>
      <c r="L75" s="13" t="n"/>
      <c r="M75" s="13" t="n"/>
      <c r="N75" s="13" t="n"/>
      <c r="O75" s="162" t="n"/>
      <c r="P75" s="162" t="n"/>
      <c r="Q75" s="163" t="n"/>
      <c r="R75" s="163" t="n"/>
      <c r="S75" s="13" t="n"/>
      <c r="T75" s="70" t="n"/>
      <c r="U75" s="13" t="n"/>
      <c r="W75" s="107">
        <f>$A$4&amp;" "&amp;A76&amp;"("&amp;B76&amp;","&amp;C76&amp;"^)"</f>
        <v/>
      </c>
      <c r="X75" s="108" t="n"/>
      <c r="Y75" s="108" t="n"/>
      <c r="Z75" s="108" t="n"/>
      <c r="AA75" s="108" t="n"/>
      <c r="AB75" s="108" t="n"/>
      <c r="AC75" s="108" t="n"/>
      <c r="AD75" s="108" t="n"/>
      <c r="AE75" s="108" t="n"/>
      <c r="AF75" s="109" t="n"/>
      <c r="AH75" s="36">
        <f>IF(A75="","",A75)</f>
        <v/>
      </c>
      <c r="AI75" s="160">
        <f>IF(E75="","",E75)</f>
        <v/>
      </c>
      <c r="AJ75" s="113" t="n"/>
      <c r="AK75" s="113" t="n"/>
      <c r="AL75" s="113" t="n"/>
      <c r="AM75" s="113" t="n"/>
      <c r="AN75" s="113" t="n"/>
      <c r="AO75" s="113" t="n"/>
      <c r="AP75" s="113" t="n"/>
      <c r="AQ75" s="113" t="n"/>
      <c r="AR75" s="113" t="n"/>
      <c r="AS75" s="113" t="n"/>
      <c r="AT75" s="113" t="n"/>
      <c r="AU75" s="113" t="n"/>
      <c r="AV75" s="113" t="n"/>
    </row>
    <row r="76">
      <c r="A76" s="13" t="inlineStr">
        <is>
          <t>현대</t>
        </is>
      </c>
      <c r="B76" s="16" t="inlineStr">
        <is>
          <t>'85.06.</t>
        </is>
      </c>
      <c r="C76" s="164" t="n">
        <v>460</v>
      </c>
      <c r="D76" s="161" t="n">
        <v>102.8</v>
      </c>
      <c r="E76" s="163" t="n">
        <v>31</v>
      </c>
      <c r="F76" s="161" t="n">
        <v>85</v>
      </c>
      <c r="G76" s="27" t="n">
        <v>26</v>
      </c>
      <c r="H76" s="164" t="n">
        <v>460</v>
      </c>
      <c r="I76" s="165" t="n">
        <v>34000</v>
      </c>
      <c r="J76" s="165" t="inlineStr">
        <is>
          <t>10</t>
        </is>
      </c>
      <c r="K76" s="165" t="n">
        <v>23000</v>
      </c>
      <c r="L76" s="165" t="inlineStr">
        <is>
          <t>10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1</v>
      </c>
      <c r="S76" s="113" t="inlineStr">
        <is>
          <t>계</t>
        </is>
      </c>
      <c r="T76" s="8" t="n">
        <v>102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n"/>
      <c r="B77" s="113" t="n"/>
      <c r="C77" s="10" t="n"/>
      <c r="D77" s="13" t="n"/>
      <c r="E77" s="20" t="n"/>
      <c r="F77" s="161" t="n"/>
      <c r="G77" s="13" t="n"/>
      <c r="H77" s="13" t="n"/>
      <c r="I77" s="13" t="n"/>
      <c r="J77" s="13" t="n"/>
      <c r="K77" s="13" t="n"/>
      <c r="L77" s="13" t="n"/>
      <c r="M77" s="13" t="n"/>
      <c r="N77" s="13" t="n"/>
      <c r="O77" s="162" t="n"/>
      <c r="P77" s="162" t="n"/>
      <c r="Q77" s="163" t="n"/>
      <c r="R77" s="163" t="n"/>
      <c r="S77" s="13" t="n"/>
      <c r="T77" s="70" t="n"/>
      <c r="U77" s="13" t="n"/>
      <c r="W77" s="107">
        <f>$A$4&amp;" "&amp;A78&amp;"("&amp;B78&amp;","&amp;C78&amp;"^)"</f>
        <v/>
      </c>
      <c r="X77" s="108" t="n"/>
      <c r="Y77" s="108" t="n"/>
      <c r="Z77" s="108" t="n"/>
      <c r="AA77" s="108" t="n"/>
      <c r="AB77" s="108" t="n"/>
      <c r="AC77" s="108" t="n"/>
      <c r="AD77" s="108" t="n"/>
      <c r="AE77" s="108" t="n"/>
      <c r="AF77" s="109" t="n"/>
      <c r="AH77" s="36">
        <f>IF(A77="","",A77)</f>
        <v/>
      </c>
      <c r="AI77" s="160">
        <f>IF(E77="","",E77)</f>
        <v/>
      </c>
      <c r="AJ77" s="113" t="n"/>
      <c r="AK77" s="113" t="n"/>
      <c r="AL77" s="113" t="n"/>
      <c r="AM77" s="113" t="n"/>
      <c r="AN77" s="113" t="n"/>
      <c r="AO77" s="113" t="n"/>
      <c r="AP77" s="113" t="n"/>
      <c r="AQ77" s="113" t="n"/>
      <c r="AR77" s="113" t="n"/>
      <c r="AS77" s="113" t="n"/>
      <c r="AT77" s="113" t="n"/>
      <c r="AU77" s="113" t="n"/>
      <c r="AV77" s="113" t="n"/>
    </row>
    <row r="78">
      <c r="A78" s="13" t="inlineStr">
        <is>
          <t>유영</t>
        </is>
      </c>
      <c r="B78" s="16" t="inlineStr">
        <is>
          <t>'04.12.</t>
        </is>
      </c>
      <c r="C78" s="164" t="n">
        <v>200</v>
      </c>
      <c r="D78" s="161" t="n">
        <v>43.6</v>
      </c>
      <c r="E78" s="163" t="n">
        <v>13</v>
      </c>
      <c r="F78" s="161" t="n">
        <v>33.1</v>
      </c>
      <c r="G78" s="27" t="n">
        <v>10</v>
      </c>
      <c r="H78" s="164" t="n">
        <v>20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2</v>
      </c>
      <c r="R78" s="113" t="n">
        <v>1</v>
      </c>
      <c r="S78" s="113" t="inlineStr">
        <is>
          <t>복</t>
        </is>
      </c>
      <c r="T78" s="8" t="n">
        <v>43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유영</t>
        </is>
      </c>
      <c r="B79" s="16" t="inlineStr">
        <is>
          <t>'04.12.</t>
        </is>
      </c>
      <c r="C79" s="164" t="n">
        <v>200</v>
      </c>
      <c r="D79" s="161" t="n">
        <v>71.59999999999999</v>
      </c>
      <c r="E79" s="163" t="n">
        <v>22</v>
      </c>
      <c r="F79" s="161" t="n">
        <v>55.6</v>
      </c>
      <c r="G79" s="27" t="n">
        <v>17</v>
      </c>
      <c r="H79" s="164" t="n">
        <v>180</v>
      </c>
      <c r="I79" s="165" t="n"/>
      <c r="J79" s="165" t="n"/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1</v>
      </c>
      <c r="S79" s="113" t="inlineStr">
        <is>
          <t>계</t>
        </is>
      </c>
      <c r="T79" s="8" t="n">
        <v>71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n"/>
      <c r="B80" s="113" t="n"/>
      <c r="C80" s="10" t="n"/>
      <c r="D80" s="13" t="n"/>
      <c r="E80" s="20" t="n"/>
      <c r="F80" s="161" t="n"/>
      <c r="G80" s="13" t="n"/>
      <c r="H80" s="13" t="n"/>
      <c r="I80" s="13" t="n"/>
      <c r="J80" s="13" t="n"/>
      <c r="K80" s="13" t="n"/>
      <c r="L80" s="13" t="n"/>
      <c r="M80" s="13" t="n"/>
      <c r="N80" s="13" t="n"/>
      <c r="O80" s="162" t="n"/>
      <c r="P80" s="162" t="n"/>
      <c r="Q80" s="163" t="n"/>
      <c r="R80" s="163" t="n"/>
      <c r="S80" s="13" t="n"/>
      <c r="T80" s="70" t="n"/>
      <c r="U80" s="13" t="n"/>
      <c r="W80" s="107">
        <f>$A$4&amp;" "&amp;A81&amp;"("&amp;B81&amp;","&amp;C81&amp;"^)"</f>
        <v/>
      </c>
      <c r="X80" s="108" t="n"/>
      <c r="Y80" s="108" t="n"/>
      <c r="Z80" s="108" t="n"/>
      <c r="AA80" s="108" t="n"/>
      <c r="AB80" s="108" t="n"/>
      <c r="AC80" s="108" t="n"/>
      <c r="AD80" s="108" t="n"/>
      <c r="AE80" s="108" t="n"/>
      <c r="AF80" s="109" t="n"/>
      <c r="AH80" s="36">
        <f>IF(A80="","",A80)</f>
        <v/>
      </c>
      <c r="AI80" s="160">
        <f>IF(E80="","",E80)</f>
        <v/>
      </c>
      <c r="AJ80" s="113" t="n"/>
      <c r="AK80" s="113" t="n"/>
      <c r="AL80" s="113" t="n"/>
      <c r="AM80" s="113" t="n"/>
      <c r="AN80" s="113" t="n"/>
      <c r="AO80" s="113" t="n"/>
      <c r="AP80" s="113" t="n"/>
      <c r="AQ80" s="113" t="n"/>
      <c r="AR80" s="113" t="n"/>
      <c r="AS80" s="113" t="n"/>
      <c r="AT80" s="113" t="n"/>
      <c r="AU80" s="113" t="n"/>
      <c r="AV80" s="113" t="n"/>
    </row>
    <row r="81">
      <c r="A81" s="13" t="inlineStr">
        <is>
          <t>현대3차</t>
        </is>
      </c>
      <c r="B81" s="16" t="inlineStr">
        <is>
          <t>'98.11.</t>
        </is>
      </c>
      <c r="C81" s="164" t="n">
        <v>263</v>
      </c>
      <c r="D81" s="161" t="n">
        <v>83.3</v>
      </c>
      <c r="E81" s="163" t="n">
        <v>25</v>
      </c>
      <c r="F81" s="161" t="n">
        <v>59.8</v>
      </c>
      <c r="G81" s="27" t="n">
        <v>18</v>
      </c>
      <c r="H81" s="164" t="n">
        <v>63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1</v>
      </c>
      <c r="S81" s="113" t="inlineStr">
        <is>
          <t>복</t>
        </is>
      </c>
      <c r="T81" s="8" t="n">
        <v>83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현대3차</t>
        </is>
      </c>
      <c r="B82" s="16" t="inlineStr">
        <is>
          <t>'98.11.</t>
        </is>
      </c>
      <c r="C82" s="164" t="n">
        <v>263</v>
      </c>
      <c r="D82" s="161" t="n">
        <v>85.3</v>
      </c>
      <c r="E82" s="163" t="n">
        <v>26</v>
      </c>
      <c r="F82" s="161" t="n">
        <v>59.9</v>
      </c>
      <c r="G82" s="27" t="n">
        <v>18</v>
      </c>
      <c r="H82" s="164" t="n">
        <v>68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1</v>
      </c>
      <c r="S82" s="113" t="inlineStr">
        <is>
          <t>계</t>
        </is>
      </c>
      <c r="T82" s="8" t="n">
        <v>85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현대3차</t>
        </is>
      </c>
      <c r="B83" s="16" t="inlineStr">
        <is>
          <t>'98.11.</t>
        </is>
      </c>
      <c r="C83" s="164" t="n">
        <v>263</v>
      </c>
      <c r="D83" s="161" t="n">
        <v>109.1</v>
      </c>
      <c r="E83" s="163" t="n">
        <v>33</v>
      </c>
      <c r="F83" s="161" t="n">
        <v>84.8</v>
      </c>
      <c r="G83" s="27" t="n">
        <v>26</v>
      </c>
      <c r="H83" s="164" t="n">
        <v>132</v>
      </c>
      <c r="I83" s="165" t="n"/>
      <c r="J83" s="165" t="n"/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n">
        <v>109</v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n"/>
      <c r="B84" s="113" t="n"/>
      <c r="C84" s="10" t="n"/>
      <c r="D84" s="13" t="n"/>
      <c r="E84" s="20" t="n"/>
      <c r="F84" s="161" t="n"/>
      <c r="G84" s="13" t="n"/>
      <c r="H84" s="13" t="n"/>
      <c r="I84" s="13" t="n"/>
      <c r="J84" s="13" t="n"/>
      <c r="K84" s="13" t="n"/>
      <c r="L84" s="13" t="n"/>
      <c r="M84" s="13" t="n"/>
      <c r="N84" s="13" t="n"/>
      <c r="O84" s="162" t="n"/>
      <c r="P84" s="162" t="n"/>
      <c r="Q84" s="163" t="n"/>
      <c r="R84" s="163" t="n"/>
      <c r="S84" s="13" t="n"/>
      <c r="T84" s="70" t="n"/>
      <c r="U84" s="13" t="n"/>
      <c r="W84" s="107">
        <f>$A$4&amp;" "&amp;A85&amp;"("&amp;B85&amp;","&amp;C85&amp;"^)"</f>
        <v/>
      </c>
      <c r="X84" s="108" t="n"/>
      <c r="Y84" s="108" t="n"/>
      <c r="Z84" s="108" t="n"/>
      <c r="AA84" s="108" t="n"/>
      <c r="AB84" s="108" t="n"/>
      <c r="AC84" s="108" t="n"/>
      <c r="AD84" s="108" t="n"/>
      <c r="AE84" s="108" t="n"/>
      <c r="AF84" s="109" t="n"/>
      <c r="AH84" s="36">
        <f>IF(A84="","",A84)</f>
        <v/>
      </c>
      <c r="AI84" s="160">
        <f>IF(E84="","",E84)</f>
        <v/>
      </c>
      <c r="AJ84" s="113" t="n"/>
      <c r="AK84" s="113" t="n"/>
      <c r="AL84" s="113" t="n"/>
      <c r="AM84" s="113" t="n"/>
      <c r="AN84" s="113" t="n"/>
      <c r="AO84" s="113" t="n"/>
      <c r="AP84" s="113" t="n"/>
      <c r="AQ84" s="113" t="n"/>
      <c r="AR84" s="113" t="n"/>
      <c r="AS84" s="113" t="n"/>
      <c r="AT84" s="113" t="n"/>
      <c r="AU84" s="113" t="n"/>
      <c r="AV84" s="113" t="n"/>
    </row>
    <row r="85">
      <c r="A85" s="13" t="inlineStr">
        <is>
          <t>신명2차</t>
        </is>
      </c>
      <c r="B85" s="16" t="inlineStr">
        <is>
          <t>'90.12.</t>
        </is>
      </c>
      <c r="C85" s="164" t="n">
        <v>228</v>
      </c>
      <c r="D85" s="161" t="n">
        <v>53.7</v>
      </c>
      <c r="E85" s="163" t="n">
        <v>16</v>
      </c>
      <c r="F85" s="161" t="n">
        <v>41.3</v>
      </c>
      <c r="G85" s="27" t="n">
        <v>12</v>
      </c>
      <c r="H85" s="164" t="n">
        <v>48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2</v>
      </c>
      <c r="R85" s="113" t="n">
        <v>1</v>
      </c>
      <c r="S85" s="113" t="inlineStr">
        <is>
          <t>계</t>
        </is>
      </c>
      <c r="T85" s="8" t="n">
        <v>53</v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신명2차</t>
        </is>
      </c>
      <c r="B86" s="16" t="inlineStr">
        <is>
          <t>'90.12.</t>
        </is>
      </c>
      <c r="C86" s="164" t="n">
        <v>228</v>
      </c>
      <c r="D86" s="161" t="n">
        <v>63.5</v>
      </c>
      <c r="E86" s="163" t="n">
        <v>19</v>
      </c>
      <c r="F86" s="161" t="n">
        <v>49.4</v>
      </c>
      <c r="G86" s="27" t="n">
        <v>15</v>
      </c>
      <c r="H86" s="164" t="n">
        <v>36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1</v>
      </c>
      <c r="S86" s="113" t="inlineStr">
        <is>
          <t>계</t>
        </is>
      </c>
      <c r="T86" s="8" t="n">
        <v>63</v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신명2차</t>
        </is>
      </c>
      <c r="B87" s="16" t="inlineStr">
        <is>
          <t>'90.12.</t>
        </is>
      </c>
      <c r="C87" s="164" t="n">
        <v>228</v>
      </c>
      <c r="D87" s="161" t="n">
        <v>73.2</v>
      </c>
      <c r="E87" s="163" t="n">
        <v>22</v>
      </c>
      <c r="F87" s="161" t="n">
        <v>57.9</v>
      </c>
      <c r="G87" s="27" t="n">
        <v>18</v>
      </c>
      <c r="H87" s="164" t="n">
        <v>24</v>
      </c>
      <c r="I87" s="165" t="n"/>
      <c r="J87" s="165" t="n"/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1</v>
      </c>
      <c r="S87" s="113" t="inlineStr">
        <is>
          <t>계</t>
        </is>
      </c>
      <c r="T87" s="8" t="n">
        <v>73</v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신명2차</t>
        </is>
      </c>
      <c r="B88" s="16" t="inlineStr">
        <is>
          <t>'90.12.</t>
        </is>
      </c>
      <c r="C88" s="164" t="n">
        <v>228</v>
      </c>
      <c r="D88" s="161" t="n">
        <v>75.3</v>
      </c>
      <c r="E88" s="163" t="n">
        <v>23</v>
      </c>
      <c r="F88" s="161" t="n">
        <v>59.9</v>
      </c>
      <c r="G88" s="27" t="n">
        <v>18</v>
      </c>
      <c r="H88" s="164" t="n">
        <v>120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1</v>
      </c>
      <c r="S88" s="113" t="inlineStr">
        <is>
          <t>계</t>
        </is>
      </c>
      <c r="T88" s="8" t="n">
        <v>75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n"/>
      <c r="B89" s="113" t="n"/>
      <c r="C89" s="10" t="n"/>
      <c r="D89" s="13" t="n"/>
      <c r="E89" s="20" t="n"/>
      <c r="F89" s="161" t="n"/>
      <c r="G89" s="13" t="n"/>
      <c r="H89" s="13" t="n"/>
      <c r="I89" s="13" t="n"/>
      <c r="J89" s="13" t="n"/>
      <c r="K89" s="13" t="n"/>
      <c r="L89" s="13" t="n"/>
      <c r="M89" s="13" t="n"/>
      <c r="N89" s="13" t="n"/>
      <c r="O89" s="162" t="n"/>
      <c r="P89" s="162" t="n"/>
      <c r="Q89" s="163" t="n"/>
      <c r="R89" s="163" t="n"/>
      <c r="S89" s="13" t="n"/>
      <c r="T89" s="70" t="n"/>
      <c r="U89" s="13" t="n"/>
      <c r="W89" s="107">
        <f>$A$4&amp;" "&amp;A90&amp;"("&amp;B90&amp;","&amp;C90&amp;"^)"</f>
        <v/>
      </c>
      <c r="X89" s="108" t="n"/>
      <c r="Y89" s="108" t="n"/>
      <c r="Z89" s="108" t="n"/>
      <c r="AA89" s="108" t="n"/>
      <c r="AB89" s="108" t="n"/>
      <c r="AC89" s="108" t="n"/>
      <c r="AD89" s="108" t="n"/>
      <c r="AE89" s="108" t="n"/>
      <c r="AF89" s="109" t="n"/>
      <c r="AH89" s="36">
        <f>IF(A89="","",A89)</f>
        <v/>
      </c>
      <c r="AI89" s="160">
        <f>IF(E89="","",E89)</f>
        <v/>
      </c>
      <c r="AJ89" s="113" t="n"/>
      <c r="AK89" s="113" t="n"/>
      <c r="AL89" s="113" t="n"/>
      <c r="AM89" s="113" t="n"/>
      <c r="AN89" s="113" t="n"/>
      <c r="AO89" s="113" t="n"/>
      <c r="AP89" s="113" t="n"/>
      <c r="AQ89" s="113" t="n"/>
      <c r="AR89" s="113" t="n"/>
      <c r="AS89" s="113" t="n"/>
      <c r="AT89" s="113" t="n"/>
      <c r="AU89" s="113" t="n"/>
      <c r="AV89" s="113" t="n"/>
    </row>
    <row r="90">
      <c r="A90" s="13" t="inlineStr">
        <is>
          <t>태화</t>
        </is>
      </c>
      <c r="B90" s="16" t="inlineStr">
        <is>
          <t>'86.05.</t>
        </is>
      </c>
      <c r="C90" s="164" t="n">
        <v>235</v>
      </c>
      <c r="D90" s="161" t="n">
        <v>67.8</v>
      </c>
      <c r="E90" s="163" t="n">
        <v>20</v>
      </c>
      <c r="F90" s="161" t="n">
        <v>46.7</v>
      </c>
      <c r="G90" s="27" t="n">
        <v>14</v>
      </c>
      <c r="H90" s="164" t="n">
        <v>15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2</v>
      </c>
      <c r="R90" s="113" t="n">
        <v>1</v>
      </c>
      <c r="S90" s="113" t="inlineStr">
        <is>
          <t>계</t>
        </is>
      </c>
      <c r="T90" s="8" t="n">
        <v>67</v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태화</t>
        </is>
      </c>
      <c r="B91" s="16" t="inlineStr">
        <is>
          <t>'86.05.</t>
        </is>
      </c>
      <c r="C91" s="164" t="n">
        <v>235</v>
      </c>
      <c r="D91" s="161" t="n">
        <v>68.90000000000001</v>
      </c>
      <c r="E91" s="163" t="n">
        <v>21</v>
      </c>
      <c r="F91" s="161" t="n">
        <v>52.1</v>
      </c>
      <c r="G91" s="27" t="n">
        <v>16</v>
      </c>
      <c r="H91" s="164" t="n">
        <v>50</v>
      </c>
      <c r="I91" s="165" t="n"/>
      <c r="J91" s="165" t="n"/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1</v>
      </c>
      <c r="S91" s="113" t="inlineStr">
        <is>
          <t>계</t>
        </is>
      </c>
      <c r="T91" s="8" t="n">
        <v>68</v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태화</t>
        </is>
      </c>
      <c r="B92" s="16" t="inlineStr">
        <is>
          <t>'86.05.</t>
        </is>
      </c>
      <c r="C92" s="164" t="n">
        <v>235</v>
      </c>
      <c r="D92" s="161" t="n">
        <v>72.59999999999999</v>
      </c>
      <c r="E92" s="163" t="n">
        <v>22</v>
      </c>
      <c r="F92" s="161" t="n">
        <v>55.1</v>
      </c>
      <c r="G92" s="27" t="n">
        <v>17</v>
      </c>
      <c r="H92" s="164" t="n">
        <v>130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1</v>
      </c>
      <c r="S92" s="113" t="inlineStr">
        <is>
          <t>계</t>
        </is>
      </c>
      <c r="T92" s="8" t="inlineStr">
        <is>
          <t>72A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태화</t>
        </is>
      </c>
      <c r="B93" s="16" t="inlineStr">
        <is>
          <t>'86.05.</t>
        </is>
      </c>
      <c r="C93" s="164" t="n">
        <v>235</v>
      </c>
      <c r="D93" s="161" t="n">
        <v>72.8</v>
      </c>
      <c r="E93" s="163" t="n">
        <v>22</v>
      </c>
      <c r="F93" s="161" t="n">
        <v>55.4</v>
      </c>
      <c r="G93" s="27" t="n">
        <v>17</v>
      </c>
      <c r="H93" s="164" t="n">
        <v>40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1</v>
      </c>
      <c r="S93" s="113" t="inlineStr">
        <is>
          <t>계</t>
        </is>
      </c>
      <c r="T93" s="8" t="inlineStr">
        <is>
          <t>72B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n"/>
      <c r="B94" s="113" t="n"/>
      <c r="C94" s="10" t="n"/>
      <c r="D94" s="13" t="n"/>
      <c r="E94" s="20" t="n"/>
      <c r="F94" s="161" t="n"/>
      <c r="G94" s="13" t="n"/>
      <c r="H94" s="13" t="n"/>
      <c r="I94" s="13" t="n"/>
      <c r="J94" s="13" t="n"/>
      <c r="K94" s="13" t="n"/>
      <c r="L94" s="13" t="n"/>
      <c r="M94" s="13" t="n"/>
      <c r="N94" s="13" t="n"/>
      <c r="O94" s="162" t="n"/>
      <c r="P94" s="162" t="n"/>
      <c r="Q94" s="163" t="n"/>
      <c r="R94" s="163" t="n"/>
      <c r="S94" s="13" t="n"/>
      <c r="T94" s="70" t="n"/>
      <c r="U94" s="13" t="n"/>
      <c r="W94" s="107">
        <f>$A$4&amp;" "&amp;A95&amp;"("&amp;B95&amp;","&amp;C95&amp;"^)"</f>
        <v/>
      </c>
      <c r="X94" s="108" t="n"/>
      <c r="Y94" s="108" t="n"/>
      <c r="Z94" s="108" t="n"/>
      <c r="AA94" s="108" t="n"/>
      <c r="AB94" s="108" t="n"/>
      <c r="AC94" s="108" t="n"/>
      <c r="AD94" s="108" t="n"/>
      <c r="AE94" s="108" t="n"/>
      <c r="AF94" s="109" t="n"/>
      <c r="AH94" s="36">
        <f>IF(A94="","",A94)</f>
        <v/>
      </c>
      <c r="AI94" s="160">
        <f>IF(E94="","",E94)</f>
        <v/>
      </c>
      <c r="AJ94" s="113" t="n"/>
      <c r="AK94" s="113" t="n"/>
      <c r="AL94" s="113" t="n"/>
      <c r="AM94" s="113" t="n"/>
      <c r="AN94" s="113" t="n"/>
      <c r="AO94" s="113" t="n"/>
      <c r="AP94" s="113" t="n"/>
      <c r="AQ94" s="113" t="n"/>
      <c r="AR94" s="113" t="n"/>
      <c r="AS94" s="113" t="n"/>
      <c r="AT94" s="113" t="n"/>
      <c r="AU94" s="113" t="n"/>
      <c r="AV94" s="113" t="n"/>
    </row>
    <row r="95">
      <c r="A95" s="13" t="inlineStr">
        <is>
          <t>신현대</t>
        </is>
      </c>
      <c r="B95" s="16" t="inlineStr">
        <is>
          <t>'95.04.</t>
        </is>
      </c>
      <c r="C95" s="164" t="n">
        <v>343</v>
      </c>
      <c r="D95" s="161" t="n">
        <v>80.5</v>
      </c>
      <c r="E95" s="163" t="n">
        <v>24</v>
      </c>
      <c r="F95" s="161" t="n">
        <v>59.8</v>
      </c>
      <c r="G95" s="27" t="n">
        <v>18</v>
      </c>
      <c r="H95" s="164" t="n">
        <v>164</v>
      </c>
      <c r="I95" s="165" t="n">
        <v>29000</v>
      </c>
      <c r="J95" s="165" t="inlineStr">
        <is>
          <t>13</t>
        </is>
      </c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1</v>
      </c>
      <c r="S95" s="113" t="inlineStr">
        <is>
          <t>계</t>
        </is>
      </c>
      <c r="T95" s="8" t="n">
        <v>80</v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신현대</t>
        </is>
      </c>
      <c r="B96" s="16" t="inlineStr">
        <is>
          <t>'95.04.</t>
        </is>
      </c>
      <c r="C96" s="164" t="n">
        <v>343</v>
      </c>
      <c r="D96" s="161" t="n">
        <v>108.2</v>
      </c>
      <c r="E96" s="163" t="n">
        <v>33</v>
      </c>
      <c r="F96" s="161" t="n">
        <v>85</v>
      </c>
      <c r="G96" s="27" t="n">
        <v>26</v>
      </c>
      <c r="H96" s="164" t="n">
        <v>179</v>
      </c>
      <c r="I96" s="165" t="n">
        <v>36000</v>
      </c>
      <c r="J96" s="165" t="inlineStr">
        <is>
          <t>18</t>
        </is>
      </c>
      <c r="K96" s="165" t="n">
        <v>25000</v>
      </c>
      <c r="L96" s="165" t="inlineStr">
        <is>
          <t>16</t>
        </is>
      </c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n">
        <v>108</v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</sheetData>
  <mergeCells count="1">
    <mergeCell ref="AJ1:AN1"/>
  </mergeCells>
  <conditionalFormatting sqref="AV4:AV6">
    <cfRule type="expression" priority="1478" dxfId="17">
      <formula>AV4="X"</formula>
    </cfRule>
    <cfRule type="expression" priority="1479" dxfId="16">
      <formula>AV4="후보"</formula>
    </cfRule>
  </conditionalFormatting>
  <conditionalFormatting sqref="AC1:AC2 AC4:AC6 N4:N5">
    <cfRule type="cellIs" priority="1475" operator="greaterThan" dxfId="13">
      <formula>0.9</formula>
    </cfRule>
    <cfRule type="cellIs" priority="1476" operator="greaterThan" dxfId="12">
      <formula>0.85</formula>
    </cfRule>
  </conditionalFormatting>
  <conditionalFormatting sqref="N1:N2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6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6">
    <cfRule type="expression" priority="1467" dxfId="3">
      <formula>AND(IF(OR($Q6=1,$Q6=2),1,0),IF($X6&lt;=20,1,0))</formula>
    </cfRule>
    <cfRule type="expression" priority="1468" dxfId="2">
      <formula>AND(IF($Q6=2,1,0),IF($X6&lt;30,1,0))</formula>
    </cfRule>
    <cfRule type="expression" priority="1469" dxfId="1">
      <formula>AND(IF($Q6=3,1,0),IF($X6&lt;30,1,0))</formula>
    </cfRule>
    <cfRule type="expression" priority="1470" dxfId="0">
      <formula>AND(IF($Q6=3,1,IF($Q6=4,1,0)),IF($F6&lt;=85,1,0))</formula>
    </cfRule>
  </conditionalFormatting>
  <conditionalFormatting sqref="X6">
    <cfRule type="expression" priority="1463" dxfId="3">
      <formula>AND(IF(OR($Q6=1,$Q6=2),1,0),IF($X6&lt;=20,1,0))</formula>
    </cfRule>
    <cfRule type="expression" priority="1464" dxfId="2">
      <formula>AND(IF($Q6=2,1,0),IF($X6&lt;30,1,0))</formula>
    </cfRule>
    <cfRule type="expression" priority="1465" dxfId="1">
      <formula>AND(IF($Q6=3,1,0),IF($X6&lt;30,1,0))</formula>
    </cfRule>
    <cfRule type="expression" priority="1466" dxfId="0">
      <formula>AND(IF($Q6=3,1,IF($Q6=4,1,0)),IF($F6&lt;=85,1,0))</formula>
    </cfRule>
  </conditionalFormatting>
  <conditionalFormatting sqref="AI6">
    <cfRule type="expression" priority="1459" dxfId="3">
      <formula>AND(IF(OR($Q6=1,$Q6=2),1,0),IF($X6&lt;=20,1,0))</formula>
    </cfRule>
    <cfRule type="expression" priority="1460" dxfId="2">
      <formula>AND(IF($Q6=2,1,0),IF($X6&lt;30,1,0))</formula>
    </cfRule>
    <cfRule type="expression" priority="1461" dxfId="1">
      <formula>AND(IF($Q6=3,1,0),IF($X6&lt;30,1,0))</formula>
    </cfRule>
    <cfRule type="expression" priority="1462" dxfId="0">
      <formula>AND(IF($Q6=3,1,IF($Q6=4,1,0)),IF($F6&lt;=85,1,0))</formula>
    </cfRule>
  </conditionalFormatting>
  <conditionalFormatting sqref="AV7">
    <cfRule type="expression" priority="1457" dxfId="17">
      <formula>AV7="X"</formula>
    </cfRule>
    <cfRule type="expression" priority="1458" dxfId="16">
      <formula>AV7="후보"</formula>
    </cfRule>
  </conditionalFormatting>
  <conditionalFormatting sqref="AC7">
    <cfRule type="cellIs" priority="1454" operator="greaterThan" dxfId="13">
      <formula>0.9</formula>
    </cfRule>
    <cfRule type="cellIs" priority="1455" operator="greaterThan" dxfId="12">
      <formula>0.85</formula>
    </cfRule>
  </conditionalFormatting>
  <conditionalFormatting sqref="N7">
    <cfRule type="cellIs" priority="1452" operator="greaterThan" dxfId="13">
      <formula>0.9</formula>
    </cfRule>
    <cfRule type="cellIs" priority="1453" operator="greaterThan" dxfId="12">
      <formula>0.85</formula>
    </cfRule>
  </conditionalFormatting>
  <conditionalFormatting sqref="E7">
    <cfRule type="expression" priority="1448" dxfId="3">
      <formula>AND(IF(OR($Q7=1,$Q7=2),1,0),IF($X7&lt;=20,1,0))</formula>
    </cfRule>
    <cfRule type="expression" priority="1449" dxfId="2">
      <formula>AND(IF($Q7=2,1,0),IF($X7&lt;30,1,0))</formula>
    </cfRule>
    <cfRule type="expression" priority="1450" dxfId="1">
      <formula>AND(IF($Q7=3,1,0),IF($X7&lt;30,1,0))</formula>
    </cfRule>
    <cfRule type="expression" priority="1451" dxfId="0">
      <formula>AND(IF($Q7=3,1,IF($Q7=4,1,0)),IF($F7&lt;=85,1,0))</formula>
    </cfRule>
  </conditionalFormatting>
  <conditionalFormatting sqref="X7">
    <cfRule type="expression" priority="1444" dxfId="3">
      <formula>AND(IF(OR($Q7=1,$Q7=2),1,0),IF($X7&lt;=20,1,0))</formula>
    </cfRule>
    <cfRule type="expression" priority="1445" dxfId="2">
      <formula>AND(IF($Q7=2,1,0),IF($X7&lt;30,1,0))</formula>
    </cfRule>
    <cfRule type="expression" priority="1446" dxfId="1">
      <formula>AND(IF($Q7=3,1,0),IF($X7&lt;30,1,0))</formula>
    </cfRule>
    <cfRule type="expression" priority="1447" dxfId="0">
      <formula>AND(IF($Q7=3,1,IF($Q7=4,1,0)),IF($F7&lt;=85,1,0))</formula>
    </cfRule>
  </conditionalFormatting>
  <conditionalFormatting sqref="AI7">
    <cfRule type="expression" priority="1440" dxfId="3">
      <formula>AND(IF(OR($Q7=1,$Q7=2),1,0),IF($X7&lt;=20,1,0))</formula>
    </cfRule>
    <cfRule type="expression" priority="1441" dxfId="2">
      <formula>AND(IF($Q7=2,1,0),IF($X7&lt;30,1,0))</formula>
    </cfRule>
    <cfRule type="expression" priority="1442" dxfId="1">
      <formula>AND(IF($Q7=3,1,0),IF($X7&lt;30,1,0))</formula>
    </cfRule>
    <cfRule type="expression" priority="1443" dxfId="0">
      <formula>AND(IF($Q7=3,1,IF($Q7=4,1,0)),IF($F7&lt;=85,1,0))</formula>
    </cfRule>
  </conditionalFormatting>
  <conditionalFormatting sqref="AV8">
    <cfRule type="expression" priority="1438" dxfId="17">
      <formula>AV8="X"</formula>
    </cfRule>
    <cfRule type="expression" priority="1439" dxfId="16">
      <formula>AV8="후보"</formula>
    </cfRule>
  </conditionalFormatting>
  <conditionalFormatting sqref="AC8 N8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AV9">
    <cfRule type="expression" priority="1433" dxfId="17">
      <formula>AV9="X"</formula>
    </cfRule>
    <cfRule type="expression" priority="1434" dxfId="16">
      <formula>AV9="후보"</formula>
    </cfRule>
  </conditionalFormatting>
  <conditionalFormatting sqref="AC9">
    <cfRule type="cellIs" priority="1430" operator="greaterThan" dxfId="13">
      <formula>0.9</formula>
    </cfRule>
    <cfRule type="cellIs" priority="1431" operator="greaterThan" dxfId="12">
      <formula>0.85</formula>
    </cfRule>
  </conditionalFormatting>
  <conditionalFormatting sqref="N9">
    <cfRule type="cellIs" priority="1428" operator="greaterThan" dxfId="13">
      <formula>0.9</formula>
    </cfRule>
    <cfRule type="cellIs" priority="1429" operator="greaterThan" dxfId="12">
      <formula>0.85</formula>
    </cfRule>
  </conditionalFormatting>
  <conditionalFormatting sqref="E9">
    <cfRule type="expression" priority="1424" dxfId="3">
      <formula>AND(IF(OR($Q9=1,$Q9=2),1,0),IF($X9&lt;=20,1,0))</formula>
    </cfRule>
    <cfRule type="expression" priority="1425" dxfId="2">
      <formula>AND(IF($Q9=2,1,0),IF($X9&lt;30,1,0))</formula>
    </cfRule>
    <cfRule type="expression" priority="1426" dxfId="1">
      <formula>AND(IF($Q9=3,1,0),IF($X9&lt;30,1,0))</formula>
    </cfRule>
    <cfRule type="expression" priority="1427" dxfId="0">
      <formula>AND(IF($Q9=3,1,IF($Q9=4,1,0)),IF($F9&lt;=85,1,0))</formula>
    </cfRule>
  </conditionalFormatting>
  <conditionalFormatting sqref="X9">
    <cfRule type="expression" priority="1420" dxfId="3">
      <formula>AND(IF(OR($Q9=1,$Q9=2),1,0),IF($X9&lt;=20,1,0))</formula>
    </cfRule>
    <cfRule type="expression" priority="1421" dxfId="2">
      <formula>AND(IF($Q9=2,1,0),IF($X9&lt;30,1,0))</formula>
    </cfRule>
    <cfRule type="expression" priority="1422" dxfId="1">
      <formula>AND(IF($Q9=3,1,0),IF($X9&lt;30,1,0))</formula>
    </cfRule>
    <cfRule type="expression" priority="1423" dxfId="0">
      <formula>AND(IF($Q9=3,1,IF($Q9=4,1,0)),IF($F9&lt;=85,1,0))</formula>
    </cfRule>
  </conditionalFormatting>
  <conditionalFormatting sqref="AI9">
    <cfRule type="expression" priority="1416" dxfId="3">
      <formula>AND(IF(OR($Q9=1,$Q9=2),1,0),IF($X9&lt;=20,1,0))</formula>
    </cfRule>
    <cfRule type="expression" priority="1417" dxfId="2">
      <formula>AND(IF($Q9=2,1,0),IF($X9&lt;30,1,0))</formula>
    </cfRule>
    <cfRule type="expression" priority="1418" dxfId="1">
      <formula>AND(IF($Q9=3,1,0),IF($X9&lt;30,1,0))</formula>
    </cfRule>
    <cfRule type="expression" priority="1419" dxfId="0">
      <formula>AND(IF($Q9=3,1,IF($Q9=4,1,0)),IF($F9&lt;=85,1,0))</formula>
    </cfRule>
  </conditionalFormatting>
  <conditionalFormatting sqref="AV10">
    <cfRule type="expression" priority="1414" dxfId="17">
      <formula>AV10="X"</formula>
    </cfRule>
    <cfRule type="expression" priority="1415" dxfId="16">
      <formula>AV10="후보"</formula>
    </cfRule>
  </conditionalFormatting>
  <conditionalFormatting sqref="AC10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N10">
    <cfRule type="cellIs" priority="1409" operator="greaterThan" dxfId="13">
      <formula>0.9</formula>
    </cfRule>
    <cfRule type="cellIs" priority="1410" operator="greaterThan" dxfId="12">
      <formula>0.85</formula>
    </cfRule>
  </conditionalFormatting>
  <conditionalFormatting sqref="E10">
    <cfRule type="expression" priority="1405" dxfId="3">
      <formula>AND(IF(OR($Q10=1,$Q10=2),1,0),IF($X10&lt;=20,1,0))</formula>
    </cfRule>
    <cfRule type="expression" priority="1406" dxfId="2">
      <formula>AND(IF($Q10=2,1,0),IF($X10&lt;30,1,0))</formula>
    </cfRule>
    <cfRule type="expression" priority="1407" dxfId="1">
      <formula>AND(IF($Q10=3,1,0),IF($X10&lt;30,1,0))</formula>
    </cfRule>
    <cfRule type="expression" priority="1408" dxfId="0">
      <formula>AND(IF($Q10=3,1,IF($Q10=4,1,0)),IF($F10&lt;=85,1,0))</formula>
    </cfRule>
  </conditionalFormatting>
  <conditionalFormatting sqref="X10">
    <cfRule type="expression" priority="1401" dxfId="3">
      <formula>AND(IF(OR($Q10=1,$Q10=2),1,0),IF($X10&lt;=20,1,0))</formula>
    </cfRule>
    <cfRule type="expression" priority="1402" dxfId="2">
      <formula>AND(IF($Q10=2,1,0),IF($X10&lt;30,1,0))</formula>
    </cfRule>
    <cfRule type="expression" priority="1403" dxfId="1">
      <formula>AND(IF($Q10=3,1,0),IF($X10&lt;30,1,0))</formula>
    </cfRule>
    <cfRule type="expression" priority="1404" dxfId="0">
      <formula>AND(IF($Q10=3,1,IF($Q10=4,1,0)),IF($F10&lt;=85,1,0))</formula>
    </cfRule>
  </conditionalFormatting>
  <conditionalFormatting sqref="AI10">
    <cfRule type="expression" priority="1397" dxfId="3">
      <formula>AND(IF(OR($Q10=1,$Q10=2),1,0),IF($X10&lt;=20,1,0))</formula>
    </cfRule>
    <cfRule type="expression" priority="1398" dxfId="2">
      <formula>AND(IF($Q10=2,1,0),IF($X10&lt;30,1,0))</formula>
    </cfRule>
    <cfRule type="expression" priority="1399" dxfId="1">
      <formula>AND(IF($Q10=3,1,0),IF($X10&lt;30,1,0))</formula>
    </cfRule>
    <cfRule type="expression" priority="1400" dxfId="0">
      <formula>AND(IF($Q10=3,1,IF($Q10=4,1,0)),IF($F10&lt;=85,1,0))</formula>
    </cfRule>
  </conditionalFormatting>
  <conditionalFormatting sqref="AV11">
    <cfRule type="expression" priority="1395" dxfId="17">
      <formula>AV11="X"</formula>
    </cfRule>
    <cfRule type="expression" priority="1396" dxfId="16">
      <formula>AV11="후보"</formula>
    </cfRule>
  </conditionalFormatting>
  <conditionalFormatting sqref="AC11">
    <cfRule type="cellIs" priority="1392" operator="greaterThan" dxfId="13">
      <formula>0.9</formula>
    </cfRule>
    <cfRule type="cellIs" priority="1393" operator="greaterThan" dxfId="12">
      <formula>0.85</formula>
    </cfRule>
  </conditionalFormatting>
  <conditionalFormatting sqref="N11">
    <cfRule type="cellIs" priority="1390" operator="greaterThan" dxfId="13">
      <formula>0.9</formula>
    </cfRule>
    <cfRule type="cellIs" priority="1391" operator="greaterThan" dxfId="12">
      <formula>0.85</formula>
    </cfRule>
  </conditionalFormatting>
  <conditionalFormatting sqref="E11">
    <cfRule type="expression" priority="1386" dxfId="3">
      <formula>AND(IF(OR($Q11=1,$Q11=2),1,0),IF($X11&lt;=20,1,0))</formula>
    </cfRule>
    <cfRule type="expression" priority="1387" dxfId="2">
      <formula>AND(IF($Q11=2,1,0),IF($X11&lt;30,1,0))</formula>
    </cfRule>
    <cfRule type="expression" priority="1388" dxfId="1">
      <formula>AND(IF($Q11=3,1,0),IF($X11&lt;30,1,0))</formula>
    </cfRule>
    <cfRule type="expression" priority="1389" dxfId="0">
      <formula>AND(IF($Q11=3,1,IF($Q11=4,1,0)),IF($F11&lt;=85,1,0))</formula>
    </cfRule>
  </conditionalFormatting>
  <conditionalFormatting sqref="X11">
    <cfRule type="expression" priority="1382" dxfId="3">
      <formula>AND(IF(OR($Q11=1,$Q11=2),1,0),IF($X11&lt;=20,1,0))</formula>
    </cfRule>
    <cfRule type="expression" priority="1383" dxfId="2">
      <formula>AND(IF($Q11=2,1,0),IF($X11&lt;30,1,0))</formula>
    </cfRule>
    <cfRule type="expression" priority="1384" dxfId="1">
      <formula>AND(IF($Q11=3,1,0),IF($X11&lt;30,1,0))</formula>
    </cfRule>
    <cfRule type="expression" priority="1385" dxfId="0">
      <formula>AND(IF($Q11=3,1,IF($Q11=4,1,0)),IF($F11&lt;=85,1,0))</formula>
    </cfRule>
  </conditionalFormatting>
  <conditionalFormatting sqref="AI11">
    <cfRule type="expression" priority="1378" dxfId="3">
      <formula>AND(IF(OR($Q11=1,$Q11=2),1,0),IF($X11&lt;=20,1,0))</formula>
    </cfRule>
    <cfRule type="expression" priority="1379" dxfId="2">
      <formula>AND(IF($Q11=2,1,0),IF($X11&lt;30,1,0))</formula>
    </cfRule>
    <cfRule type="expression" priority="1380" dxfId="1">
      <formula>AND(IF($Q11=3,1,0),IF($X11&lt;30,1,0))</formula>
    </cfRule>
    <cfRule type="expression" priority="1381" dxfId="0">
      <formula>AND(IF($Q11=3,1,IF($Q11=4,1,0)),IF($F11&lt;=85,1,0))</formula>
    </cfRule>
  </conditionalFormatting>
  <conditionalFormatting sqref="AV12">
    <cfRule type="expression" priority="1376" dxfId="17">
      <formula>AV12="X"</formula>
    </cfRule>
    <cfRule type="expression" priority="1377" dxfId="16">
      <formula>AV12="후보"</formula>
    </cfRule>
  </conditionalFormatting>
  <conditionalFormatting sqref="AC12">
    <cfRule type="cellIs" priority="1373" operator="greaterThan" dxfId="13">
      <formula>0.9</formula>
    </cfRule>
    <cfRule type="cellIs" priority="1374" operator="greaterThan" dxfId="12">
      <formula>0.85</formula>
    </cfRule>
  </conditionalFormatting>
  <conditionalFormatting sqref="N12">
    <cfRule type="cellIs" priority="1371" operator="greaterThan" dxfId="13">
      <formula>0.9</formula>
    </cfRule>
    <cfRule type="cellIs" priority="1372" operator="greaterThan" dxfId="12">
      <formula>0.85</formula>
    </cfRule>
  </conditionalFormatting>
  <conditionalFormatting sqref="E12">
    <cfRule type="expression" priority="1367" dxfId="3">
      <formula>AND(IF(OR($Q12=1,$Q12=2),1,0),IF($X12&lt;=20,1,0))</formula>
    </cfRule>
    <cfRule type="expression" priority="1368" dxfId="2">
      <formula>AND(IF($Q12=2,1,0),IF($X12&lt;30,1,0))</formula>
    </cfRule>
    <cfRule type="expression" priority="1369" dxfId="1">
      <formula>AND(IF($Q12=3,1,0),IF($X12&lt;30,1,0))</formula>
    </cfRule>
    <cfRule type="expression" priority="1370" dxfId="0">
      <formula>AND(IF($Q12=3,1,IF($Q12=4,1,0)),IF($F12&lt;=85,1,0))</formula>
    </cfRule>
  </conditionalFormatting>
  <conditionalFormatting sqref="X12">
    <cfRule type="expression" priority="1363" dxfId="3">
      <formula>AND(IF(OR($Q12=1,$Q12=2),1,0),IF($X12&lt;=20,1,0))</formula>
    </cfRule>
    <cfRule type="expression" priority="1364" dxfId="2">
      <formula>AND(IF($Q12=2,1,0),IF($X12&lt;30,1,0))</formula>
    </cfRule>
    <cfRule type="expression" priority="1365" dxfId="1">
      <formula>AND(IF($Q12=3,1,0),IF($X12&lt;30,1,0))</formula>
    </cfRule>
    <cfRule type="expression" priority="1366" dxfId="0">
      <formula>AND(IF($Q12=3,1,IF($Q12=4,1,0)),IF($F12&lt;=85,1,0))</formula>
    </cfRule>
  </conditionalFormatting>
  <conditionalFormatting sqref="AI12">
    <cfRule type="expression" priority="1359" dxfId="3">
      <formula>AND(IF(OR($Q12=1,$Q12=2),1,0),IF($X12&lt;=20,1,0))</formula>
    </cfRule>
    <cfRule type="expression" priority="1360" dxfId="2">
      <formula>AND(IF($Q12=2,1,0),IF($X12&lt;30,1,0))</formula>
    </cfRule>
    <cfRule type="expression" priority="1361" dxfId="1">
      <formula>AND(IF($Q12=3,1,0),IF($X12&lt;30,1,0))</formula>
    </cfRule>
    <cfRule type="expression" priority="1362" dxfId="0">
      <formula>AND(IF($Q12=3,1,IF($Q12=4,1,0)),IF($F12&lt;=85,1,0))</formula>
    </cfRule>
  </conditionalFormatting>
  <conditionalFormatting sqref="AV13">
    <cfRule type="expression" priority="1357" dxfId="17">
      <formula>AV13="X"</formula>
    </cfRule>
    <cfRule type="expression" priority="1358" dxfId="16">
      <formula>AV13="후보"</formula>
    </cfRule>
  </conditionalFormatting>
  <conditionalFormatting sqref="AC13">
    <cfRule type="cellIs" priority="1354" operator="greaterThan" dxfId="13">
      <formula>0.9</formula>
    </cfRule>
    <cfRule type="cellIs" priority="1355" operator="greaterThan" dxfId="12">
      <formula>0.85</formula>
    </cfRule>
  </conditionalFormatting>
  <conditionalFormatting sqref="N13">
    <cfRule type="cellIs" priority="1352" operator="greaterThan" dxfId="13">
      <formula>0.9</formula>
    </cfRule>
    <cfRule type="cellIs" priority="1353" operator="greaterThan" dxfId="12">
      <formula>0.85</formula>
    </cfRule>
  </conditionalFormatting>
  <conditionalFormatting sqref="E13">
    <cfRule type="expression" priority="1348" dxfId="3">
      <formula>AND(IF(OR($Q13=1,$Q13=2),1,0),IF($X13&lt;=20,1,0))</formula>
    </cfRule>
    <cfRule type="expression" priority="1349" dxfId="2">
      <formula>AND(IF($Q13=2,1,0),IF($X13&lt;30,1,0))</formula>
    </cfRule>
    <cfRule type="expression" priority="1350" dxfId="1">
      <formula>AND(IF($Q13=3,1,0),IF($X13&lt;30,1,0))</formula>
    </cfRule>
    <cfRule type="expression" priority="1351" dxfId="0">
      <formula>AND(IF($Q13=3,1,IF($Q13=4,1,0)),IF($F13&lt;=85,1,0))</formula>
    </cfRule>
  </conditionalFormatting>
  <conditionalFormatting sqref="X13">
    <cfRule type="expression" priority="1344" dxfId="3">
      <formula>AND(IF(OR($Q13=1,$Q13=2),1,0),IF($X13&lt;=20,1,0))</formula>
    </cfRule>
    <cfRule type="expression" priority="1345" dxfId="2">
      <formula>AND(IF($Q13=2,1,0),IF($X13&lt;30,1,0))</formula>
    </cfRule>
    <cfRule type="expression" priority="1346" dxfId="1">
      <formula>AND(IF($Q13=3,1,0),IF($X13&lt;30,1,0))</formula>
    </cfRule>
    <cfRule type="expression" priority="1347" dxfId="0">
      <formula>AND(IF($Q13=3,1,IF($Q13=4,1,0)),IF($F13&lt;=85,1,0))</formula>
    </cfRule>
  </conditionalFormatting>
  <conditionalFormatting sqref="AI13">
    <cfRule type="expression" priority="1340" dxfId="3">
      <formula>AND(IF(OR($Q13=1,$Q13=2),1,0),IF($X13&lt;=20,1,0))</formula>
    </cfRule>
    <cfRule type="expression" priority="1341" dxfId="2">
      <formula>AND(IF($Q13=2,1,0),IF($X13&lt;30,1,0))</formula>
    </cfRule>
    <cfRule type="expression" priority="1342" dxfId="1">
      <formula>AND(IF($Q13=3,1,0),IF($X13&lt;30,1,0))</formula>
    </cfRule>
    <cfRule type="expression" priority="1343" dxfId="0">
      <formula>AND(IF($Q13=3,1,IF($Q13=4,1,0)),IF($F13&lt;=85,1,0))</formula>
    </cfRule>
  </conditionalFormatting>
  <conditionalFormatting sqref="AV14">
    <cfRule type="expression" priority="1338" dxfId="17">
      <formula>AV14="X"</formula>
    </cfRule>
    <cfRule type="expression" priority="1339" dxfId="16">
      <formula>AV14="후보"</formula>
    </cfRule>
  </conditionalFormatting>
  <conditionalFormatting sqref="AC14">
    <cfRule type="cellIs" priority="1335" operator="greaterThan" dxfId="13">
      <formula>0.9</formula>
    </cfRule>
    <cfRule type="cellIs" priority="1336" operator="greaterThan" dxfId="12">
      <formula>0.85</formula>
    </cfRule>
  </conditionalFormatting>
  <conditionalFormatting sqref="N14">
    <cfRule type="cellIs" priority="1333" operator="greaterThan" dxfId="13">
      <formula>0.9</formula>
    </cfRule>
    <cfRule type="cellIs" priority="1334" operator="greaterThan" dxfId="12">
      <formula>0.85</formula>
    </cfRule>
  </conditionalFormatting>
  <conditionalFormatting sqref="E14">
    <cfRule type="expression" priority="1329" dxfId="3">
      <formula>AND(IF(OR($Q14=1,$Q14=2),1,0),IF($X14&lt;=20,1,0))</formula>
    </cfRule>
    <cfRule type="expression" priority="1330" dxfId="2">
      <formula>AND(IF($Q14=2,1,0),IF($X14&lt;30,1,0))</formula>
    </cfRule>
    <cfRule type="expression" priority="1331" dxfId="1">
      <formula>AND(IF($Q14=3,1,0),IF($X14&lt;30,1,0))</formula>
    </cfRule>
    <cfRule type="expression" priority="1332" dxfId="0">
      <formula>AND(IF($Q14=3,1,IF($Q14=4,1,0)),IF($F14&lt;=85,1,0))</formula>
    </cfRule>
  </conditionalFormatting>
  <conditionalFormatting sqref="X14">
    <cfRule type="expression" priority="1325" dxfId="3">
      <formula>AND(IF(OR($Q14=1,$Q14=2),1,0),IF($X14&lt;=20,1,0))</formula>
    </cfRule>
    <cfRule type="expression" priority="1326" dxfId="2">
      <formula>AND(IF($Q14=2,1,0),IF($X14&lt;30,1,0))</formula>
    </cfRule>
    <cfRule type="expression" priority="1327" dxfId="1">
      <formula>AND(IF($Q14=3,1,0),IF($X14&lt;30,1,0))</formula>
    </cfRule>
    <cfRule type="expression" priority="1328" dxfId="0">
      <formula>AND(IF($Q14=3,1,IF($Q14=4,1,0)),IF($F14&lt;=85,1,0))</formula>
    </cfRule>
  </conditionalFormatting>
  <conditionalFormatting sqref="AI14">
    <cfRule type="expression" priority="1321" dxfId="3">
      <formula>AND(IF(OR($Q14=1,$Q14=2),1,0),IF($X14&lt;=20,1,0))</formula>
    </cfRule>
    <cfRule type="expression" priority="1322" dxfId="2">
      <formula>AND(IF($Q14=2,1,0),IF($X14&lt;30,1,0))</formula>
    </cfRule>
    <cfRule type="expression" priority="1323" dxfId="1">
      <formula>AND(IF($Q14=3,1,0),IF($X14&lt;30,1,0))</formula>
    </cfRule>
    <cfRule type="expression" priority="1324" dxfId="0">
      <formula>AND(IF($Q14=3,1,IF($Q14=4,1,0)),IF($F14&lt;=85,1,0))</formula>
    </cfRule>
  </conditionalFormatting>
  <conditionalFormatting sqref="AV15">
    <cfRule type="expression" priority="1319" dxfId="17">
      <formula>AV15="X"</formula>
    </cfRule>
    <cfRule type="expression" priority="1320" dxfId="16">
      <formula>AV15="후보"</formula>
    </cfRule>
  </conditionalFormatting>
  <conditionalFormatting sqref="AC15">
    <cfRule type="cellIs" priority="1316" operator="greaterThan" dxfId="13">
      <formula>0.9</formula>
    </cfRule>
    <cfRule type="cellIs" priority="1317" operator="greaterThan" dxfId="12">
      <formula>0.85</formula>
    </cfRule>
  </conditionalFormatting>
  <conditionalFormatting sqref="N15">
    <cfRule type="cellIs" priority="1314" operator="greaterThan" dxfId="13">
      <formula>0.9</formula>
    </cfRule>
    <cfRule type="cellIs" priority="1315" operator="greaterThan" dxfId="12">
      <formula>0.85</formula>
    </cfRule>
  </conditionalFormatting>
  <conditionalFormatting sqref="E15">
    <cfRule type="expression" priority="1310" dxfId="3">
      <formula>AND(IF(OR($Q15=1,$Q15=2),1,0),IF($X15&lt;=20,1,0))</formula>
    </cfRule>
    <cfRule type="expression" priority="1311" dxfId="2">
      <formula>AND(IF($Q15=2,1,0),IF($X15&lt;30,1,0))</formula>
    </cfRule>
    <cfRule type="expression" priority="1312" dxfId="1">
      <formula>AND(IF($Q15=3,1,0),IF($X15&lt;30,1,0))</formula>
    </cfRule>
    <cfRule type="expression" priority="1313" dxfId="0">
      <formula>AND(IF($Q15=3,1,IF($Q15=4,1,0)),IF($F15&lt;=85,1,0))</formula>
    </cfRule>
  </conditionalFormatting>
  <conditionalFormatting sqref="X15">
    <cfRule type="expression" priority="1306" dxfId="3">
      <formula>AND(IF(OR($Q15=1,$Q15=2),1,0),IF($X15&lt;=20,1,0))</formula>
    </cfRule>
    <cfRule type="expression" priority="1307" dxfId="2">
      <formula>AND(IF($Q15=2,1,0),IF($X15&lt;30,1,0))</formula>
    </cfRule>
    <cfRule type="expression" priority="1308" dxfId="1">
      <formula>AND(IF($Q15=3,1,0),IF($X15&lt;30,1,0))</formula>
    </cfRule>
    <cfRule type="expression" priority="1309" dxfId="0">
      <formula>AND(IF($Q15=3,1,IF($Q15=4,1,0)),IF($F15&lt;=85,1,0))</formula>
    </cfRule>
  </conditionalFormatting>
  <conditionalFormatting sqref="AI15">
    <cfRule type="expression" priority="1302" dxfId="3">
      <formula>AND(IF(OR($Q15=1,$Q15=2),1,0),IF($X15&lt;=20,1,0))</formula>
    </cfRule>
    <cfRule type="expression" priority="1303" dxfId="2">
      <formula>AND(IF($Q15=2,1,0),IF($X15&lt;30,1,0))</formula>
    </cfRule>
    <cfRule type="expression" priority="1304" dxfId="1">
      <formula>AND(IF($Q15=3,1,0),IF($X15&lt;30,1,0))</formula>
    </cfRule>
    <cfRule type="expression" priority="1305" dxfId="0">
      <formula>AND(IF($Q15=3,1,IF($Q15=4,1,0)),IF($F15&lt;=85,1,0))</formula>
    </cfRule>
  </conditionalFormatting>
  <conditionalFormatting sqref="AV16">
    <cfRule type="expression" priority="1300" dxfId="17">
      <formula>AV16="X"</formula>
    </cfRule>
    <cfRule type="expression" priority="1301" dxfId="16">
      <formula>AV16="후보"</formula>
    </cfRule>
  </conditionalFormatting>
  <conditionalFormatting sqref="AC16">
    <cfRule type="cellIs" priority="1297" operator="greaterThan" dxfId="13">
      <formula>0.9</formula>
    </cfRule>
    <cfRule type="cellIs" priority="1298" operator="greaterThan" dxfId="12">
      <formula>0.85</formula>
    </cfRule>
  </conditionalFormatting>
  <conditionalFormatting sqref="N16">
    <cfRule type="cellIs" priority="1295" operator="greaterThan" dxfId="13">
      <formula>0.9</formula>
    </cfRule>
    <cfRule type="cellIs" priority="1296" operator="greaterThan" dxfId="12">
      <formula>0.85</formula>
    </cfRule>
  </conditionalFormatting>
  <conditionalFormatting sqref="E16">
    <cfRule type="expression" priority="1291" dxfId="3">
      <formula>AND(IF(OR($Q16=1,$Q16=2),1,0),IF($X16&lt;=20,1,0))</formula>
    </cfRule>
    <cfRule type="expression" priority="1292" dxfId="2">
      <formula>AND(IF($Q16=2,1,0),IF($X16&lt;30,1,0))</formula>
    </cfRule>
    <cfRule type="expression" priority="1293" dxfId="1">
      <formula>AND(IF($Q16=3,1,0),IF($X16&lt;30,1,0))</formula>
    </cfRule>
    <cfRule type="expression" priority="1294" dxfId="0">
      <formula>AND(IF($Q16=3,1,IF($Q16=4,1,0)),IF($F16&lt;=85,1,0))</formula>
    </cfRule>
  </conditionalFormatting>
  <conditionalFormatting sqref="X16">
    <cfRule type="expression" priority="1287" dxfId="3">
      <formula>AND(IF(OR($Q16=1,$Q16=2),1,0),IF($X16&lt;=20,1,0))</formula>
    </cfRule>
    <cfRule type="expression" priority="1288" dxfId="2">
      <formula>AND(IF($Q16=2,1,0),IF($X16&lt;30,1,0))</formula>
    </cfRule>
    <cfRule type="expression" priority="1289" dxfId="1">
      <formula>AND(IF($Q16=3,1,0),IF($X16&lt;30,1,0))</formula>
    </cfRule>
    <cfRule type="expression" priority="1290" dxfId="0">
      <formula>AND(IF($Q16=3,1,IF($Q16=4,1,0)),IF($F16&lt;=85,1,0))</formula>
    </cfRule>
  </conditionalFormatting>
  <conditionalFormatting sqref="AI16">
    <cfRule type="expression" priority="1283" dxfId="3">
      <formula>AND(IF(OR($Q16=1,$Q16=2),1,0),IF($X16&lt;=20,1,0))</formula>
    </cfRule>
    <cfRule type="expression" priority="1284" dxfId="2">
      <formula>AND(IF($Q16=2,1,0),IF($X16&lt;30,1,0))</formula>
    </cfRule>
    <cfRule type="expression" priority="1285" dxfId="1">
      <formula>AND(IF($Q16=3,1,0),IF($X16&lt;30,1,0))</formula>
    </cfRule>
    <cfRule type="expression" priority="1286" dxfId="0">
      <formula>AND(IF($Q16=3,1,IF($Q16=4,1,0)),IF($F16&lt;=85,1,0))</formula>
    </cfRule>
  </conditionalFormatting>
  <conditionalFormatting sqref="AV17">
    <cfRule type="expression" priority="1281" dxfId="17">
      <formula>AV17="X"</formula>
    </cfRule>
    <cfRule type="expression" priority="1282" dxfId="16">
      <formula>AV17="후보"</formula>
    </cfRule>
  </conditionalFormatting>
  <conditionalFormatting sqref="AC17">
    <cfRule type="cellIs" priority="1278" operator="greaterThan" dxfId="13">
      <formula>0.9</formula>
    </cfRule>
    <cfRule type="cellIs" priority="1279" operator="greaterThan" dxfId="12">
      <formula>0.85</formula>
    </cfRule>
  </conditionalFormatting>
  <conditionalFormatting sqref="N17">
    <cfRule type="cellIs" priority="1276" operator="greaterThan" dxfId="13">
      <formula>0.9</formula>
    </cfRule>
    <cfRule type="cellIs" priority="1277" operator="greaterThan" dxfId="12">
      <formula>0.85</formula>
    </cfRule>
  </conditionalFormatting>
  <conditionalFormatting sqref="E17">
    <cfRule type="expression" priority="1272" dxfId="3">
      <formula>AND(IF(OR($Q17=1,$Q17=2),1,0),IF($X17&lt;=20,1,0))</formula>
    </cfRule>
    <cfRule type="expression" priority="1273" dxfId="2">
      <formula>AND(IF($Q17=2,1,0),IF($X17&lt;30,1,0))</formula>
    </cfRule>
    <cfRule type="expression" priority="1274" dxfId="1">
      <formula>AND(IF($Q17=3,1,0),IF($X17&lt;30,1,0))</formula>
    </cfRule>
    <cfRule type="expression" priority="1275" dxfId="0">
      <formula>AND(IF($Q17=3,1,IF($Q17=4,1,0)),IF($F17&lt;=85,1,0))</formula>
    </cfRule>
  </conditionalFormatting>
  <conditionalFormatting sqref="X17">
    <cfRule type="expression" priority="1268" dxfId="3">
      <formula>AND(IF(OR($Q17=1,$Q17=2),1,0),IF($X17&lt;=20,1,0))</formula>
    </cfRule>
    <cfRule type="expression" priority="1269" dxfId="2">
      <formula>AND(IF($Q17=2,1,0),IF($X17&lt;30,1,0))</formula>
    </cfRule>
    <cfRule type="expression" priority="1270" dxfId="1">
      <formula>AND(IF($Q17=3,1,0),IF($X17&lt;30,1,0))</formula>
    </cfRule>
    <cfRule type="expression" priority="1271" dxfId="0">
      <formula>AND(IF($Q17=3,1,IF($Q17=4,1,0)),IF($F17&lt;=85,1,0))</formula>
    </cfRule>
  </conditionalFormatting>
  <conditionalFormatting sqref="AI17">
    <cfRule type="expression" priority="1264" dxfId="3">
      <formula>AND(IF(OR($Q17=1,$Q17=2),1,0),IF($X17&lt;=20,1,0))</formula>
    </cfRule>
    <cfRule type="expression" priority="1265" dxfId="2">
      <formula>AND(IF($Q17=2,1,0),IF($X17&lt;30,1,0))</formula>
    </cfRule>
    <cfRule type="expression" priority="1266" dxfId="1">
      <formula>AND(IF($Q17=3,1,0),IF($X17&lt;30,1,0))</formula>
    </cfRule>
    <cfRule type="expression" priority="1267" dxfId="0">
      <formula>AND(IF($Q17=3,1,IF($Q17=4,1,0)),IF($F17&lt;=85,1,0))</formula>
    </cfRule>
  </conditionalFormatting>
  <conditionalFormatting sqref="AV18">
    <cfRule type="expression" priority="1262" dxfId="17">
      <formula>AV18="X"</formula>
    </cfRule>
    <cfRule type="expression" priority="1263" dxfId="16">
      <formula>AV18="후보"</formula>
    </cfRule>
  </conditionalFormatting>
  <conditionalFormatting sqref="AC18">
    <cfRule type="cellIs" priority="1259" operator="greaterThan" dxfId="13">
      <formula>0.9</formula>
    </cfRule>
    <cfRule type="cellIs" priority="1260" operator="greaterThan" dxfId="12">
      <formula>0.85</formula>
    </cfRule>
  </conditionalFormatting>
  <conditionalFormatting sqref="N18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E18">
    <cfRule type="expression" priority="1253" dxfId="3">
      <formula>AND(IF(OR($Q18=1,$Q18=2),1,0),IF($X18&lt;=20,1,0))</formula>
    </cfRule>
    <cfRule type="expression" priority="1254" dxfId="2">
      <formula>AND(IF($Q18=2,1,0),IF($X18&lt;30,1,0))</formula>
    </cfRule>
    <cfRule type="expression" priority="1255" dxfId="1">
      <formula>AND(IF($Q18=3,1,0),IF($X18&lt;30,1,0))</formula>
    </cfRule>
    <cfRule type="expression" priority="1256" dxfId="0">
      <formula>AND(IF($Q18=3,1,IF($Q18=4,1,0)),IF($F18&lt;=85,1,0))</formula>
    </cfRule>
  </conditionalFormatting>
  <conditionalFormatting sqref="X18">
    <cfRule type="expression" priority="1249" dxfId="3">
      <formula>AND(IF(OR($Q18=1,$Q18=2),1,0),IF($X18&lt;=20,1,0))</formula>
    </cfRule>
    <cfRule type="expression" priority="1250" dxfId="2">
      <formula>AND(IF($Q18=2,1,0),IF($X18&lt;30,1,0))</formula>
    </cfRule>
    <cfRule type="expression" priority="1251" dxfId="1">
      <formula>AND(IF($Q18=3,1,0),IF($X18&lt;30,1,0))</formula>
    </cfRule>
    <cfRule type="expression" priority="1252" dxfId="0">
      <formula>AND(IF($Q18=3,1,IF($Q18=4,1,0)),IF($F18&lt;=85,1,0))</formula>
    </cfRule>
  </conditionalFormatting>
  <conditionalFormatting sqref="AI18">
    <cfRule type="expression" priority="1245" dxfId="3">
      <formula>AND(IF(OR($Q18=1,$Q18=2),1,0),IF($X18&lt;=20,1,0))</formula>
    </cfRule>
    <cfRule type="expression" priority="1246" dxfId="2">
      <formula>AND(IF($Q18=2,1,0),IF($X18&lt;30,1,0))</formula>
    </cfRule>
    <cfRule type="expression" priority="1247" dxfId="1">
      <formula>AND(IF($Q18=3,1,0),IF($X18&lt;30,1,0))</formula>
    </cfRule>
    <cfRule type="expression" priority="1248" dxfId="0">
      <formula>AND(IF($Q18=3,1,IF($Q18=4,1,0)),IF($F18&lt;=85,1,0))</formula>
    </cfRule>
  </conditionalFormatting>
  <conditionalFormatting sqref="AV19">
    <cfRule type="expression" priority="1243" dxfId="17">
      <formula>AV19="X"</formula>
    </cfRule>
    <cfRule type="expression" priority="1244" dxfId="16">
      <formula>AV19="후보"</formula>
    </cfRule>
  </conditionalFormatting>
  <conditionalFormatting sqref="AC19 N19">
    <cfRule type="cellIs" priority="1240" operator="greaterThan" dxfId="13">
      <formula>0.9</formula>
    </cfRule>
    <cfRule type="cellIs" priority="1241" operator="greaterThan" dxfId="12">
      <formula>0.85</formula>
    </cfRule>
  </conditionalFormatting>
  <conditionalFormatting sqref="AV20">
    <cfRule type="expression" priority="1238" dxfId="17">
      <formula>AV20="X"</formula>
    </cfRule>
    <cfRule type="expression" priority="1239" dxfId="16">
      <formula>AV20="후보"</formula>
    </cfRule>
  </conditionalFormatting>
  <conditionalFormatting sqref="AC20">
    <cfRule type="cellIs" priority="1235" operator="greaterThan" dxfId="13">
      <formula>0.9</formula>
    </cfRule>
    <cfRule type="cellIs" priority="1236" operator="greaterThan" dxfId="12">
      <formula>0.85</formula>
    </cfRule>
  </conditionalFormatting>
  <conditionalFormatting sqref="N20">
    <cfRule type="cellIs" priority="1233" operator="greaterThan" dxfId="13">
      <formula>0.9</formula>
    </cfRule>
    <cfRule type="cellIs" priority="1234" operator="greaterThan" dxfId="12">
      <formula>0.85</formula>
    </cfRule>
  </conditionalFormatting>
  <conditionalFormatting sqref="E20">
    <cfRule type="expression" priority="1229" dxfId="3">
      <formula>AND(IF(OR($Q20=1,$Q20=2),1,0),IF($X20&lt;=20,1,0))</formula>
    </cfRule>
    <cfRule type="expression" priority="1230" dxfId="2">
      <formula>AND(IF($Q20=2,1,0),IF($X20&lt;30,1,0))</formula>
    </cfRule>
    <cfRule type="expression" priority="1231" dxfId="1">
      <formula>AND(IF($Q20=3,1,0),IF($X20&lt;30,1,0))</formula>
    </cfRule>
    <cfRule type="expression" priority="1232" dxfId="0">
      <formula>AND(IF($Q20=3,1,IF($Q20=4,1,0)),IF($F20&lt;=85,1,0))</formula>
    </cfRule>
  </conditionalFormatting>
  <conditionalFormatting sqref="X20">
    <cfRule type="expression" priority="1225" dxfId="3">
      <formula>AND(IF(OR($Q20=1,$Q20=2),1,0),IF($X20&lt;=20,1,0))</formula>
    </cfRule>
    <cfRule type="expression" priority="1226" dxfId="2">
      <formula>AND(IF($Q20=2,1,0),IF($X20&lt;30,1,0))</formula>
    </cfRule>
    <cfRule type="expression" priority="1227" dxfId="1">
      <formula>AND(IF($Q20=3,1,0),IF($X20&lt;30,1,0))</formula>
    </cfRule>
    <cfRule type="expression" priority="1228" dxfId="0">
      <formula>AND(IF($Q20=3,1,IF($Q20=4,1,0)),IF($F20&lt;=85,1,0))</formula>
    </cfRule>
  </conditionalFormatting>
  <conditionalFormatting sqref="AI20">
    <cfRule type="expression" priority="1221" dxfId="3">
      <formula>AND(IF(OR($Q20=1,$Q20=2),1,0),IF($X20&lt;=20,1,0))</formula>
    </cfRule>
    <cfRule type="expression" priority="1222" dxfId="2">
      <formula>AND(IF($Q20=2,1,0),IF($X20&lt;30,1,0))</formula>
    </cfRule>
    <cfRule type="expression" priority="1223" dxfId="1">
      <formula>AND(IF($Q20=3,1,0),IF($X20&lt;30,1,0))</formula>
    </cfRule>
    <cfRule type="expression" priority="1224" dxfId="0">
      <formula>AND(IF($Q20=3,1,IF($Q20=4,1,0)),IF($F20&lt;=85,1,0))</formula>
    </cfRule>
  </conditionalFormatting>
  <conditionalFormatting sqref="AV21">
    <cfRule type="expression" priority="1219" dxfId="17">
      <formula>AV21="X"</formula>
    </cfRule>
    <cfRule type="expression" priority="1220" dxfId="16">
      <formula>AV21="후보"</formula>
    </cfRule>
  </conditionalFormatting>
  <conditionalFormatting sqref="AC21">
    <cfRule type="cellIs" priority="1216" operator="greaterThan" dxfId="13">
      <formula>0.9</formula>
    </cfRule>
    <cfRule type="cellIs" priority="1217" operator="greaterThan" dxfId="12">
      <formula>0.85</formula>
    </cfRule>
  </conditionalFormatting>
  <conditionalFormatting sqref="N21">
    <cfRule type="cellIs" priority="1214" operator="greaterThan" dxfId="13">
      <formula>0.9</formula>
    </cfRule>
    <cfRule type="cellIs" priority="1215" operator="greaterThan" dxfId="12">
      <formula>0.85</formula>
    </cfRule>
  </conditionalFormatting>
  <conditionalFormatting sqref="E21">
    <cfRule type="expression" priority="1210" dxfId="3">
      <formula>AND(IF(OR($Q21=1,$Q21=2),1,0),IF($X21&lt;=20,1,0))</formula>
    </cfRule>
    <cfRule type="expression" priority="1211" dxfId="2">
      <formula>AND(IF($Q21=2,1,0),IF($X21&lt;30,1,0))</formula>
    </cfRule>
    <cfRule type="expression" priority="1212" dxfId="1">
      <formula>AND(IF($Q21=3,1,0),IF($X21&lt;30,1,0))</formula>
    </cfRule>
    <cfRule type="expression" priority="1213" dxfId="0">
      <formula>AND(IF($Q21=3,1,IF($Q21=4,1,0)),IF($F21&lt;=85,1,0))</formula>
    </cfRule>
  </conditionalFormatting>
  <conditionalFormatting sqref="X21">
    <cfRule type="expression" priority="1206" dxfId="3">
      <formula>AND(IF(OR($Q21=1,$Q21=2),1,0),IF($X21&lt;=20,1,0))</formula>
    </cfRule>
    <cfRule type="expression" priority="1207" dxfId="2">
      <formula>AND(IF($Q21=2,1,0),IF($X21&lt;30,1,0))</formula>
    </cfRule>
    <cfRule type="expression" priority="1208" dxfId="1">
      <formula>AND(IF($Q21=3,1,0),IF($X21&lt;30,1,0))</formula>
    </cfRule>
    <cfRule type="expression" priority="1209" dxfId="0">
      <formula>AND(IF($Q21=3,1,IF($Q21=4,1,0)),IF($F21&lt;=85,1,0))</formula>
    </cfRule>
  </conditionalFormatting>
  <conditionalFormatting sqref="AI21">
    <cfRule type="expression" priority="1202" dxfId="3">
      <formula>AND(IF(OR($Q21=1,$Q21=2),1,0),IF($X21&lt;=20,1,0))</formula>
    </cfRule>
    <cfRule type="expression" priority="1203" dxfId="2">
      <formula>AND(IF($Q21=2,1,0),IF($X21&lt;30,1,0))</formula>
    </cfRule>
    <cfRule type="expression" priority="1204" dxfId="1">
      <formula>AND(IF($Q21=3,1,0),IF($X21&lt;30,1,0))</formula>
    </cfRule>
    <cfRule type="expression" priority="1205" dxfId="0">
      <formula>AND(IF($Q21=3,1,IF($Q21=4,1,0)),IF($F21&lt;=85,1,0))</formula>
    </cfRule>
  </conditionalFormatting>
  <conditionalFormatting sqref="AV22">
    <cfRule type="expression" priority="1200" dxfId="17">
      <formula>AV22="X"</formula>
    </cfRule>
    <cfRule type="expression" priority="1201" dxfId="16">
      <formula>AV22="후보"</formula>
    </cfRule>
  </conditionalFormatting>
  <conditionalFormatting sqref="AC22">
    <cfRule type="cellIs" priority="1197" operator="greaterThan" dxfId="13">
      <formula>0.9</formula>
    </cfRule>
    <cfRule type="cellIs" priority="1198" operator="greaterThan" dxfId="12">
      <formula>0.85</formula>
    </cfRule>
  </conditionalFormatting>
  <conditionalFormatting sqref="N22">
    <cfRule type="cellIs" priority="1195" operator="greaterThan" dxfId="13">
      <formula>0.9</formula>
    </cfRule>
    <cfRule type="cellIs" priority="1196" operator="greaterThan" dxfId="12">
      <formula>0.85</formula>
    </cfRule>
  </conditionalFormatting>
  <conditionalFormatting sqref="E22">
    <cfRule type="expression" priority="1191" dxfId="3">
      <formula>AND(IF(OR($Q22=1,$Q22=2),1,0),IF($X22&lt;=20,1,0))</formula>
    </cfRule>
    <cfRule type="expression" priority="1192" dxfId="2">
      <formula>AND(IF($Q22=2,1,0),IF($X22&lt;30,1,0))</formula>
    </cfRule>
    <cfRule type="expression" priority="1193" dxfId="1">
      <formula>AND(IF($Q22=3,1,0),IF($X22&lt;30,1,0))</formula>
    </cfRule>
    <cfRule type="expression" priority="1194" dxfId="0">
      <formula>AND(IF($Q22=3,1,IF($Q22=4,1,0)),IF($F22&lt;=85,1,0))</formula>
    </cfRule>
  </conditionalFormatting>
  <conditionalFormatting sqref="X22">
    <cfRule type="expression" priority="1187" dxfId="3">
      <formula>AND(IF(OR($Q22=1,$Q22=2),1,0),IF($X22&lt;=20,1,0))</formula>
    </cfRule>
    <cfRule type="expression" priority="1188" dxfId="2">
      <formula>AND(IF($Q22=2,1,0),IF($X22&lt;30,1,0))</formula>
    </cfRule>
    <cfRule type="expression" priority="1189" dxfId="1">
      <formula>AND(IF($Q22=3,1,0),IF($X22&lt;30,1,0))</formula>
    </cfRule>
    <cfRule type="expression" priority="1190" dxfId="0">
      <formula>AND(IF($Q22=3,1,IF($Q22=4,1,0)),IF($F22&lt;=85,1,0))</formula>
    </cfRule>
  </conditionalFormatting>
  <conditionalFormatting sqref="AI22">
    <cfRule type="expression" priority="1183" dxfId="3">
      <formula>AND(IF(OR($Q22=1,$Q22=2),1,0),IF($X22&lt;=20,1,0))</formula>
    </cfRule>
    <cfRule type="expression" priority="1184" dxfId="2">
      <formula>AND(IF($Q22=2,1,0),IF($X22&lt;30,1,0))</formula>
    </cfRule>
    <cfRule type="expression" priority="1185" dxfId="1">
      <formula>AND(IF($Q22=3,1,0),IF($X22&lt;30,1,0))</formula>
    </cfRule>
    <cfRule type="expression" priority="1186" dxfId="0">
      <formula>AND(IF($Q22=3,1,IF($Q22=4,1,0)),IF($F22&lt;=85,1,0))</formula>
    </cfRule>
  </conditionalFormatting>
  <conditionalFormatting sqref="AV23">
    <cfRule type="expression" priority="1181" dxfId="17">
      <formula>AV23="X"</formula>
    </cfRule>
    <cfRule type="expression" priority="1182" dxfId="16">
      <formula>AV23="후보"</formula>
    </cfRule>
  </conditionalFormatting>
  <conditionalFormatting sqref="AC23">
    <cfRule type="cellIs" priority="1178" operator="greaterThan" dxfId="13">
      <formula>0.9</formula>
    </cfRule>
    <cfRule type="cellIs" priority="1179" operator="greaterThan" dxfId="12">
      <formula>0.85</formula>
    </cfRule>
  </conditionalFormatting>
  <conditionalFormatting sqref="N23">
    <cfRule type="cellIs" priority="1176" operator="greaterThan" dxfId="13">
      <formula>0.9</formula>
    </cfRule>
    <cfRule type="cellIs" priority="1177" operator="greaterThan" dxfId="12">
      <formula>0.85</formula>
    </cfRule>
  </conditionalFormatting>
  <conditionalFormatting sqref="E23">
    <cfRule type="expression" priority="1172" dxfId="3">
      <formula>AND(IF(OR($Q23=1,$Q23=2),1,0),IF($X23&lt;=20,1,0))</formula>
    </cfRule>
    <cfRule type="expression" priority="1173" dxfId="2">
      <formula>AND(IF($Q23=2,1,0),IF($X23&lt;30,1,0))</formula>
    </cfRule>
    <cfRule type="expression" priority="1174" dxfId="1">
      <formula>AND(IF($Q23=3,1,0),IF($X23&lt;30,1,0))</formula>
    </cfRule>
    <cfRule type="expression" priority="1175" dxfId="0">
      <formula>AND(IF($Q23=3,1,IF($Q23=4,1,0)),IF($F23&lt;=85,1,0))</formula>
    </cfRule>
  </conditionalFormatting>
  <conditionalFormatting sqref="X23">
    <cfRule type="expression" priority="1168" dxfId="3">
      <formula>AND(IF(OR($Q23=1,$Q23=2),1,0),IF($X23&lt;=20,1,0))</formula>
    </cfRule>
    <cfRule type="expression" priority="1169" dxfId="2">
      <formula>AND(IF($Q23=2,1,0),IF($X23&lt;30,1,0))</formula>
    </cfRule>
    <cfRule type="expression" priority="1170" dxfId="1">
      <formula>AND(IF($Q23=3,1,0),IF($X23&lt;30,1,0))</formula>
    </cfRule>
    <cfRule type="expression" priority="1171" dxfId="0">
      <formula>AND(IF($Q23=3,1,IF($Q23=4,1,0)),IF($F23&lt;=85,1,0))</formula>
    </cfRule>
  </conditionalFormatting>
  <conditionalFormatting sqref="AI23">
    <cfRule type="expression" priority="1164" dxfId="3">
      <formula>AND(IF(OR($Q23=1,$Q23=2),1,0),IF($X23&lt;=20,1,0))</formula>
    </cfRule>
    <cfRule type="expression" priority="1165" dxfId="2">
      <formula>AND(IF($Q23=2,1,0),IF($X23&lt;30,1,0))</formula>
    </cfRule>
    <cfRule type="expression" priority="1166" dxfId="1">
      <formula>AND(IF($Q23=3,1,0),IF($X23&lt;30,1,0))</formula>
    </cfRule>
    <cfRule type="expression" priority="1167" dxfId="0">
      <formula>AND(IF($Q23=3,1,IF($Q23=4,1,0)),IF($F23&lt;=85,1,0))</formula>
    </cfRule>
  </conditionalFormatting>
  <conditionalFormatting sqref="AV24">
    <cfRule type="expression" priority="1162" dxfId="17">
      <formula>AV24="X"</formula>
    </cfRule>
    <cfRule type="expression" priority="1163" dxfId="16">
      <formula>AV24="후보"</formula>
    </cfRule>
  </conditionalFormatting>
  <conditionalFormatting sqref="AC24">
    <cfRule type="cellIs" priority="1159" operator="greaterThan" dxfId="13">
      <formula>0.9</formula>
    </cfRule>
    <cfRule type="cellIs" priority="1160" operator="greaterThan" dxfId="12">
      <formula>0.85</formula>
    </cfRule>
  </conditionalFormatting>
  <conditionalFormatting sqref="N24">
    <cfRule type="cellIs" priority="1157" operator="greaterThan" dxfId="13">
      <formula>0.9</formula>
    </cfRule>
    <cfRule type="cellIs" priority="1158" operator="greaterThan" dxfId="12">
      <formula>0.85</formula>
    </cfRule>
  </conditionalFormatting>
  <conditionalFormatting sqref="E24">
    <cfRule type="expression" priority="1153" dxfId="3">
      <formula>AND(IF(OR($Q24=1,$Q24=2),1,0),IF($X24&lt;=20,1,0))</formula>
    </cfRule>
    <cfRule type="expression" priority="1154" dxfId="2">
      <formula>AND(IF($Q24=2,1,0),IF($X24&lt;30,1,0))</formula>
    </cfRule>
    <cfRule type="expression" priority="1155" dxfId="1">
      <formula>AND(IF($Q24=3,1,0),IF($X24&lt;30,1,0))</formula>
    </cfRule>
    <cfRule type="expression" priority="1156" dxfId="0">
      <formula>AND(IF($Q24=3,1,IF($Q24=4,1,0)),IF($F24&lt;=85,1,0))</formula>
    </cfRule>
  </conditionalFormatting>
  <conditionalFormatting sqref="X24">
    <cfRule type="expression" priority="1149" dxfId="3">
      <formula>AND(IF(OR($Q24=1,$Q24=2),1,0),IF($X24&lt;=20,1,0))</formula>
    </cfRule>
    <cfRule type="expression" priority="1150" dxfId="2">
      <formula>AND(IF($Q24=2,1,0),IF($X24&lt;30,1,0))</formula>
    </cfRule>
    <cfRule type="expression" priority="1151" dxfId="1">
      <formula>AND(IF($Q24=3,1,0),IF($X24&lt;30,1,0))</formula>
    </cfRule>
    <cfRule type="expression" priority="1152" dxfId="0">
      <formula>AND(IF($Q24=3,1,IF($Q24=4,1,0)),IF($F24&lt;=85,1,0))</formula>
    </cfRule>
  </conditionalFormatting>
  <conditionalFormatting sqref="AI24">
    <cfRule type="expression" priority="1145" dxfId="3">
      <formula>AND(IF(OR($Q24=1,$Q24=2),1,0),IF($X24&lt;=20,1,0))</formula>
    </cfRule>
    <cfRule type="expression" priority="1146" dxfId="2">
      <formula>AND(IF($Q24=2,1,0),IF($X24&lt;30,1,0))</formula>
    </cfRule>
    <cfRule type="expression" priority="1147" dxfId="1">
      <formula>AND(IF($Q24=3,1,0),IF($X24&lt;30,1,0))</formula>
    </cfRule>
    <cfRule type="expression" priority="1148" dxfId="0">
      <formula>AND(IF($Q24=3,1,IF($Q24=4,1,0)),IF($F24&lt;=85,1,0))</formula>
    </cfRule>
  </conditionalFormatting>
  <conditionalFormatting sqref="AV25">
    <cfRule type="expression" priority="1143" dxfId="17">
      <formula>AV25="X"</formula>
    </cfRule>
    <cfRule type="expression" priority="1144" dxfId="16">
      <formula>AV25="후보"</formula>
    </cfRule>
  </conditionalFormatting>
  <conditionalFormatting sqref="AC25">
    <cfRule type="cellIs" priority="1140" operator="greaterThan" dxfId="13">
      <formula>0.9</formula>
    </cfRule>
    <cfRule type="cellIs" priority="1141" operator="greaterThan" dxfId="12">
      <formula>0.85</formula>
    </cfRule>
  </conditionalFormatting>
  <conditionalFormatting sqref="N25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E25">
    <cfRule type="expression" priority="1134" dxfId="3">
      <formula>AND(IF(OR($Q25=1,$Q25=2),1,0),IF($X25&lt;=20,1,0))</formula>
    </cfRule>
    <cfRule type="expression" priority="1135" dxfId="2">
      <formula>AND(IF($Q25=2,1,0),IF($X25&lt;30,1,0))</formula>
    </cfRule>
    <cfRule type="expression" priority="1136" dxfId="1">
      <formula>AND(IF($Q25=3,1,0),IF($X25&lt;30,1,0))</formula>
    </cfRule>
    <cfRule type="expression" priority="1137" dxfId="0">
      <formula>AND(IF($Q25=3,1,IF($Q25=4,1,0)),IF($F25&lt;=85,1,0))</formula>
    </cfRule>
  </conditionalFormatting>
  <conditionalFormatting sqref="X25">
    <cfRule type="expression" priority="1130" dxfId="3">
      <formula>AND(IF(OR($Q25=1,$Q25=2),1,0),IF($X25&lt;=20,1,0))</formula>
    </cfRule>
    <cfRule type="expression" priority="1131" dxfId="2">
      <formula>AND(IF($Q25=2,1,0),IF($X25&lt;30,1,0))</formula>
    </cfRule>
    <cfRule type="expression" priority="1132" dxfId="1">
      <formula>AND(IF($Q25=3,1,0),IF($X25&lt;30,1,0))</formula>
    </cfRule>
    <cfRule type="expression" priority="1133" dxfId="0">
      <formula>AND(IF($Q25=3,1,IF($Q25=4,1,0)),IF($F25&lt;=85,1,0))</formula>
    </cfRule>
  </conditionalFormatting>
  <conditionalFormatting sqref="AI25">
    <cfRule type="expression" priority="1126" dxfId="3">
      <formula>AND(IF(OR($Q25=1,$Q25=2),1,0),IF($X25&lt;=20,1,0))</formula>
    </cfRule>
    <cfRule type="expression" priority="1127" dxfId="2">
      <formula>AND(IF($Q25=2,1,0),IF($X25&lt;30,1,0))</formula>
    </cfRule>
    <cfRule type="expression" priority="1128" dxfId="1">
      <formula>AND(IF($Q25=3,1,0),IF($X25&lt;30,1,0))</formula>
    </cfRule>
    <cfRule type="expression" priority="1129" dxfId="0">
      <formula>AND(IF($Q25=3,1,IF($Q25=4,1,0)),IF($F25&lt;=85,1,0))</formula>
    </cfRule>
  </conditionalFormatting>
  <conditionalFormatting sqref="AV26">
    <cfRule type="expression" priority="1124" dxfId="17">
      <formula>AV26="X"</formula>
    </cfRule>
    <cfRule type="expression" priority="1125" dxfId="16">
      <formula>AV26="후보"</formula>
    </cfRule>
  </conditionalFormatting>
  <conditionalFormatting sqref="AC26">
    <cfRule type="cellIs" priority="1121" operator="greaterThan" dxfId="13">
      <formula>0.9</formula>
    </cfRule>
    <cfRule type="cellIs" priority="1122" operator="greaterThan" dxfId="12">
      <formula>0.85</formula>
    </cfRule>
  </conditionalFormatting>
  <conditionalFormatting sqref="N26">
    <cfRule type="cellIs" priority="1119" operator="greaterThan" dxfId="13">
      <formula>0.9</formula>
    </cfRule>
    <cfRule type="cellIs" priority="1120" operator="greaterThan" dxfId="12">
      <formula>0.85</formula>
    </cfRule>
  </conditionalFormatting>
  <conditionalFormatting sqref="E26">
    <cfRule type="expression" priority="1115" dxfId="3">
      <formula>AND(IF(OR($Q26=1,$Q26=2),1,0),IF($X26&lt;=20,1,0))</formula>
    </cfRule>
    <cfRule type="expression" priority="1116" dxfId="2">
      <formula>AND(IF($Q26=2,1,0),IF($X26&lt;30,1,0))</formula>
    </cfRule>
    <cfRule type="expression" priority="1117" dxfId="1">
      <formula>AND(IF($Q26=3,1,0),IF($X26&lt;30,1,0))</formula>
    </cfRule>
    <cfRule type="expression" priority="1118" dxfId="0">
      <formula>AND(IF($Q26=3,1,IF($Q26=4,1,0)),IF($F26&lt;=85,1,0))</formula>
    </cfRule>
  </conditionalFormatting>
  <conditionalFormatting sqref="X26">
    <cfRule type="expression" priority="1111" dxfId="3">
      <formula>AND(IF(OR($Q26=1,$Q26=2),1,0),IF($X26&lt;=20,1,0))</formula>
    </cfRule>
    <cfRule type="expression" priority="1112" dxfId="2">
      <formula>AND(IF($Q26=2,1,0),IF($X26&lt;30,1,0))</formula>
    </cfRule>
    <cfRule type="expression" priority="1113" dxfId="1">
      <formula>AND(IF($Q26=3,1,0),IF($X26&lt;30,1,0))</formula>
    </cfRule>
    <cfRule type="expression" priority="1114" dxfId="0">
      <formula>AND(IF($Q26=3,1,IF($Q26=4,1,0)),IF($F26&lt;=85,1,0))</formula>
    </cfRule>
  </conditionalFormatting>
  <conditionalFormatting sqref="AI26">
    <cfRule type="expression" priority="1107" dxfId="3">
      <formula>AND(IF(OR($Q26=1,$Q26=2),1,0),IF($X26&lt;=20,1,0))</formula>
    </cfRule>
    <cfRule type="expression" priority="1108" dxfId="2">
      <formula>AND(IF($Q26=2,1,0),IF($X26&lt;30,1,0))</formula>
    </cfRule>
    <cfRule type="expression" priority="1109" dxfId="1">
      <formula>AND(IF($Q26=3,1,0),IF($X26&lt;30,1,0))</formula>
    </cfRule>
    <cfRule type="expression" priority="1110" dxfId="0">
      <formula>AND(IF($Q26=3,1,IF($Q26=4,1,0)),IF($F26&lt;=85,1,0))</formula>
    </cfRule>
  </conditionalFormatting>
  <conditionalFormatting sqref="AV27">
    <cfRule type="expression" priority="1105" dxfId="17">
      <formula>AV27="X"</formula>
    </cfRule>
    <cfRule type="expression" priority="1106" dxfId="16">
      <formula>AV27="후보"</formula>
    </cfRule>
  </conditionalFormatting>
  <conditionalFormatting sqref="AC27 N27">
    <cfRule type="cellIs" priority="1102" operator="greaterThan" dxfId="13">
      <formula>0.9</formula>
    </cfRule>
    <cfRule type="cellIs" priority="1103" operator="greaterThan" dxfId="12">
      <formula>0.85</formula>
    </cfRule>
  </conditionalFormatting>
  <conditionalFormatting sqref="AV28">
    <cfRule type="expression" priority="1100" dxfId="17">
      <formula>AV28="X"</formula>
    </cfRule>
    <cfRule type="expression" priority="1101" dxfId="16">
      <formula>AV28="후보"</formula>
    </cfRule>
  </conditionalFormatting>
  <conditionalFormatting sqref="AC28">
    <cfRule type="cellIs" priority="1097" operator="greaterThan" dxfId="13">
      <formula>0.9</formula>
    </cfRule>
    <cfRule type="cellIs" priority="1098" operator="greaterThan" dxfId="12">
      <formula>0.85</formula>
    </cfRule>
  </conditionalFormatting>
  <conditionalFormatting sqref="N28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E28">
    <cfRule type="expression" priority="1091" dxfId="3">
      <formula>AND(IF(OR($Q28=1,$Q28=2),1,0),IF($X28&lt;=20,1,0))</formula>
    </cfRule>
    <cfRule type="expression" priority="1092" dxfId="2">
      <formula>AND(IF($Q28=2,1,0),IF($X28&lt;30,1,0))</formula>
    </cfRule>
    <cfRule type="expression" priority="1093" dxfId="1">
      <formula>AND(IF($Q28=3,1,0),IF($X28&lt;30,1,0))</formula>
    </cfRule>
    <cfRule type="expression" priority="1094" dxfId="0">
      <formula>AND(IF($Q28=3,1,IF($Q28=4,1,0)),IF($F28&lt;=85,1,0))</formula>
    </cfRule>
  </conditionalFormatting>
  <conditionalFormatting sqref="X28">
    <cfRule type="expression" priority="1087" dxfId="3">
      <formula>AND(IF(OR($Q28=1,$Q28=2),1,0),IF($X28&lt;=20,1,0))</formula>
    </cfRule>
    <cfRule type="expression" priority="1088" dxfId="2">
      <formula>AND(IF($Q28=2,1,0),IF($X28&lt;30,1,0))</formula>
    </cfRule>
    <cfRule type="expression" priority="1089" dxfId="1">
      <formula>AND(IF($Q28=3,1,0),IF($X28&lt;30,1,0))</formula>
    </cfRule>
    <cfRule type="expression" priority="1090" dxfId="0">
      <formula>AND(IF($Q28=3,1,IF($Q28=4,1,0)),IF($F28&lt;=85,1,0))</formula>
    </cfRule>
  </conditionalFormatting>
  <conditionalFormatting sqref="AI28">
    <cfRule type="expression" priority="1083" dxfId="3">
      <formula>AND(IF(OR($Q28=1,$Q28=2),1,0),IF($X28&lt;=20,1,0))</formula>
    </cfRule>
    <cfRule type="expression" priority="1084" dxfId="2">
      <formula>AND(IF($Q28=2,1,0),IF($X28&lt;30,1,0))</formula>
    </cfRule>
    <cfRule type="expression" priority="1085" dxfId="1">
      <formula>AND(IF($Q28=3,1,0),IF($X28&lt;30,1,0))</formula>
    </cfRule>
    <cfRule type="expression" priority="1086" dxfId="0">
      <formula>AND(IF($Q28=3,1,IF($Q28=4,1,0)),IF($F28&lt;=85,1,0))</formula>
    </cfRule>
  </conditionalFormatting>
  <conditionalFormatting sqref="AV29">
    <cfRule type="expression" priority="1081" dxfId="17">
      <formula>AV29="X"</formula>
    </cfRule>
    <cfRule type="expression" priority="1082" dxfId="16">
      <formula>AV29="후보"</formula>
    </cfRule>
  </conditionalFormatting>
  <conditionalFormatting sqref="AC29">
    <cfRule type="cellIs" priority="1078" operator="greaterThan" dxfId="13">
      <formula>0.9</formula>
    </cfRule>
    <cfRule type="cellIs" priority="1079" operator="greaterThan" dxfId="12">
      <formula>0.85</formula>
    </cfRule>
  </conditionalFormatting>
  <conditionalFormatting sqref="N29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E29">
    <cfRule type="expression" priority="1072" dxfId="3">
      <formula>AND(IF(OR($Q29=1,$Q29=2),1,0),IF($X29&lt;=20,1,0))</formula>
    </cfRule>
    <cfRule type="expression" priority="1073" dxfId="2">
      <formula>AND(IF($Q29=2,1,0),IF($X29&lt;30,1,0))</formula>
    </cfRule>
    <cfRule type="expression" priority="1074" dxfId="1">
      <formula>AND(IF($Q29=3,1,0),IF($X29&lt;30,1,0))</formula>
    </cfRule>
    <cfRule type="expression" priority="1075" dxfId="0">
      <formula>AND(IF($Q29=3,1,IF($Q29=4,1,0)),IF($F29&lt;=85,1,0))</formula>
    </cfRule>
  </conditionalFormatting>
  <conditionalFormatting sqref="X29">
    <cfRule type="expression" priority="1068" dxfId="3">
      <formula>AND(IF(OR($Q29=1,$Q29=2),1,0),IF($X29&lt;=20,1,0))</formula>
    </cfRule>
    <cfRule type="expression" priority="1069" dxfId="2">
      <formula>AND(IF($Q29=2,1,0),IF($X29&lt;30,1,0))</formula>
    </cfRule>
    <cfRule type="expression" priority="1070" dxfId="1">
      <formula>AND(IF($Q29=3,1,0),IF($X29&lt;30,1,0))</formula>
    </cfRule>
    <cfRule type="expression" priority="1071" dxfId="0">
      <formula>AND(IF($Q29=3,1,IF($Q29=4,1,0)),IF($F29&lt;=85,1,0))</formula>
    </cfRule>
  </conditionalFormatting>
  <conditionalFormatting sqref="AI29">
    <cfRule type="expression" priority="1064" dxfId="3">
      <formula>AND(IF(OR($Q29=1,$Q29=2),1,0),IF($X29&lt;=20,1,0))</formula>
    </cfRule>
    <cfRule type="expression" priority="1065" dxfId="2">
      <formula>AND(IF($Q29=2,1,0),IF($X29&lt;30,1,0))</formula>
    </cfRule>
    <cfRule type="expression" priority="1066" dxfId="1">
      <formula>AND(IF($Q29=3,1,0),IF($X29&lt;30,1,0))</formula>
    </cfRule>
    <cfRule type="expression" priority="1067" dxfId="0">
      <formula>AND(IF($Q29=3,1,IF($Q29=4,1,0)),IF($F29&lt;=85,1,0))</formula>
    </cfRule>
  </conditionalFormatting>
  <conditionalFormatting sqref="AV30">
    <cfRule type="expression" priority="1062" dxfId="17">
      <formula>AV30="X"</formula>
    </cfRule>
    <cfRule type="expression" priority="1063" dxfId="16">
      <formula>AV30="후보"</formula>
    </cfRule>
  </conditionalFormatting>
  <conditionalFormatting sqref="AC30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30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30">
    <cfRule type="expression" priority="1053" dxfId="3">
      <formula>AND(IF(OR($Q30=1,$Q30=2),1,0),IF($X30&lt;=20,1,0))</formula>
    </cfRule>
    <cfRule type="expression" priority="1054" dxfId="2">
      <formula>AND(IF($Q30=2,1,0),IF($X30&lt;30,1,0))</formula>
    </cfRule>
    <cfRule type="expression" priority="1055" dxfId="1">
      <formula>AND(IF($Q30=3,1,0),IF($X30&lt;30,1,0))</formula>
    </cfRule>
    <cfRule type="expression" priority="1056" dxfId="0">
      <formula>AND(IF($Q30=3,1,IF($Q30=4,1,0)),IF($F30&lt;=85,1,0))</formula>
    </cfRule>
  </conditionalFormatting>
  <conditionalFormatting sqref="X30">
    <cfRule type="expression" priority="1049" dxfId="3">
      <formula>AND(IF(OR($Q30=1,$Q30=2),1,0),IF($X30&lt;=20,1,0))</formula>
    </cfRule>
    <cfRule type="expression" priority="1050" dxfId="2">
      <formula>AND(IF($Q30=2,1,0),IF($X30&lt;30,1,0))</formula>
    </cfRule>
    <cfRule type="expression" priority="1051" dxfId="1">
      <formula>AND(IF($Q30=3,1,0),IF($X30&lt;30,1,0))</formula>
    </cfRule>
    <cfRule type="expression" priority="1052" dxfId="0">
      <formula>AND(IF($Q30=3,1,IF($Q30=4,1,0)),IF($F30&lt;=85,1,0))</formula>
    </cfRule>
  </conditionalFormatting>
  <conditionalFormatting sqref="AI30">
    <cfRule type="expression" priority="1045" dxfId="3">
      <formula>AND(IF(OR($Q30=1,$Q30=2),1,0),IF($X30&lt;=20,1,0))</formula>
    </cfRule>
    <cfRule type="expression" priority="1046" dxfId="2">
      <formula>AND(IF($Q30=2,1,0),IF($X30&lt;30,1,0))</formula>
    </cfRule>
    <cfRule type="expression" priority="1047" dxfId="1">
      <formula>AND(IF($Q30=3,1,0),IF($X30&lt;30,1,0))</formula>
    </cfRule>
    <cfRule type="expression" priority="1048" dxfId="0">
      <formula>AND(IF($Q30=3,1,IF($Q30=4,1,0)),IF($F30&lt;=85,1,0))</formula>
    </cfRule>
  </conditionalFormatting>
  <conditionalFormatting sqref="AV31">
    <cfRule type="expression" priority="1043" dxfId="17">
      <formula>AV31="X"</formula>
    </cfRule>
    <cfRule type="expression" priority="1044" dxfId="16">
      <formula>AV31="후보"</formula>
    </cfRule>
  </conditionalFormatting>
  <conditionalFormatting sqref="AC31 N31">
    <cfRule type="cellIs" priority="1040" operator="greaterThan" dxfId="13">
      <formula>0.9</formula>
    </cfRule>
    <cfRule type="cellIs" priority="1041" operator="greaterThan" dxfId="12">
      <formula>0.85</formula>
    </cfRule>
  </conditionalFormatting>
  <conditionalFormatting sqref="AV32">
    <cfRule type="expression" priority="1038" dxfId="17">
      <formula>AV32="X"</formula>
    </cfRule>
    <cfRule type="expression" priority="1039" dxfId="16">
      <formula>AV32="후보"</formula>
    </cfRule>
  </conditionalFormatting>
  <conditionalFormatting sqref="AC32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N32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E32">
    <cfRule type="expression" priority="1029" dxfId="3">
      <formula>AND(IF(OR($Q32=1,$Q32=2),1,0),IF($X32&lt;=20,1,0))</formula>
    </cfRule>
    <cfRule type="expression" priority="1030" dxfId="2">
      <formula>AND(IF($Q32=2,1,0),IF($X32&lt;30,1,0))</formula>
    </cfRule>
    <cfRule type="expression" priority="1031" dxfId="1">
      <formula>AND(IF($Q32=3,1,0),IF($X32&lt;30,1,0))</formula>
    </cfRule>
    <cfRule type="expression" priority="1032" dxfId="0">
      <formula>AND(IF($Q32=3,1,IF($Q32=4,1,0)),IF($F32&lt;=85,1,0))</formula>
    </cfRule>
  </conditionalFormatting>
  <conditionalFormatting sqref="X32">
    <cfRule type="expression" priority="1025" dxfId="3">
      <formula>AND(IF(OR($Q32=1,$Q32=2),1,0),IF($X32&lt;=20,1,0))</formula>
    </cfRule>
    <cfRule type="expression" priority="1026" dxfId="2">
      <formula>AND(IF($Q32=2,1,0),IF($X32&lt;30,1,0))</formula>
    </cfRule>
    <cfRule type="expression" priority="1027" dxfId="1">
      <formula>AND(IF($Q32=3,1,0),IF($X32&lt;30,1,0))</formula>
    </cfRule>
    <cfRule type="expression" priority="1028" dxfId="0">
      <formula>AND(IF($Q32=3,1,IF($Q32=4,1,0)),IF($F32&lt;=85,1,0))</formula>
    </cfRule>
  </conditionalFormatting>
  <conditionalFormatting sqref="AI32">
    <cfRule type="expression" priority="1021" dxfId="3">
      <formula>AND(IF(OR($Q32=1,$Q32=2),1,0),IF($X32&lt;=20,1,0))</formula>
    </cfRule>
    <cfRule type="expression" priority="1022" dxfId="2">
      <formula>AND(IF($Q32=2,1,0),IF($X32&lt;30,1,0))</formula>
    </cfRule>
    <cfRule type="expression" priority="1023" dxfId="1">
      <formula>AND(IF($Q32=3,1,0),IF($X32&lt;30,1,0))</formula>
    </cfRule>
    <cfRule type="expression" priority="1024" dxfId="0">
      <formula>AND(IF($Q32=3,1,IF($Q32=4,1,0)),IF($F32&lt;=85,1,0))</formula>
    </cfRule>
  </conditionalFormatting>
  <conditionalFormatting sqref="AV33">
    <cfRule type="expression" priority="1019" dxfId="17">
      <formula>AV33="X"</formula>
    </cfRule>
    <cfRule type="expression" priority="1020" dxfId="16">
      <formula>AV33="후보"</formula>
    </cfRule>
  </conditionalFormatting>
  <conditionalFormatting sqref="AC33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N33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E33">
    <cfRule type="expression" priority="1010" dxfId="3">
      <formula>AND(IF(OR($Q33=1,$Q33=2),1,0),IF($X33&lt;=20,1,0))</formula>
    </cfRule>
    <cfRule type="expression" priority="1011" dxfId="2">
      <formula>AND(IF($Q33=2,1,0),IF($X33&lt;30,1,0))</formula>
    </cfRule>
    <cfRule type="expression" priority="1012" dxfId="1">
      <formula>AND(IF($Q33=3,1,0),IF($X33&lt;30,1,0))</formula>
    </cfRule>
    <cfRule type="expression" priority="1013" dxfId="0">
      <formula>AND(IF($Q33=3,1,IF($Q33=4,1,0)),IF($F33&lt;=85,1,0))</formula>
    </cfRule>
  </conditionalFormatting>
  <conditionalFormatting sqref="X33">
    <cfRule type="expression" priority="1006" dxfId="3">
      <formula>AND(IF(OR($Q33=1,$Q33=2),1,0),IF($X33&lt;=20,1,0))</formula>
    </cfRule>
    <cfRule type="expression" priority="1007" dxfId="2">
      <formula>AND(IF($Q33=2,1,0),IF($X33&lt;30,1,0))</formula>
    </cfRule>
    <cfRule type="expression" priority="1008" dxfId="1">
      <formula>AND(IF($Q33=3,1,0),IF($X33&lt;30,1,0))</formula>
    </cfRule>
    <cfRule type="expression" priority="1009" dxfId="0">
      <formula>AND(IF($Q33=3,1,IF($Q33=4,1,0)),IF($F33&lt;=85,1,0))</formula>
    </cfRule>
  </conditionalFormatting>
  <conditionalFormatting sqref="AI33">
    <cfRule type="expression" priority="1002" dxfId="3">
      <formula>AND(IF(OR($Q33=1,$Q33=2),1,0),IF($X33&lt;=20,1,0))</formula>
    </cfRule>
    <cfRule type="expression" priority="1003" dxfId="2">
      <formula>AND(IF($Q33=2,1,0),IF($X33&lt;30,1,0))</formula>
    </cfRule>
    <cfRule type="expression" priority="1004" dxfId="1">
      <formula>AND(IF($Q33=3,1,0),IF($X33&lt;30,1,0))</formula>
    </cfRule>
    <cfRule type="expression" priority="1005" dxfId="0">
      <formula>AND(IF($Q33=3,1,IF($Q33=4,1,0)),IF($F33&lt;=85,1,0))</formula>
    </cfRule>
  </conditionalFormatting>
  <conditionalFormatting sqref="AV34">
    <cfRule type="expression" priority="1000" dxfId="17">
      <formula>AV34="X"</formula>
    </cfRule>
    <cfRule type="expression" priority="1001" dxfId="16">
      <formula>AV34="후보"</formula>
    </cfRule>
  </conditionalFormatting>
  <conditionalFormatting sqref="AC34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N34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E34">
    <cfRule type="expression" priority="991" dxfId="3">
      <formula>AND(IF(OR($Q34=1,$Q34=2),1,0),IF($X34&lt;=20,1,0))</formula>
    </cfRule>
    <cfRule type="expression" priority="992" dxfId="2">
      <formula>AND(IF($Q34=2,1,0),IF($X34&lt;30,1,0))</formula>
    </cfRule>
    <cfRule type="expression" priority="993" dxfId="1">
      <formula>AND(IF($Q34=3,1,0),IF($X34&lt;30,1,0))</formula>
    </cfRule>
    <cfRule type="expression" priority="994" dxfId="0">
      <formula>AND(IF($Q34=3,1,IF($Q34=4,1,0)),IF($F34&lt;=85,1,0))</formula>
    </cfRule>
  </conditionalFormatting>
  <conditionalFormatting sqref="X34">
    <cfRule type="expression" priority="987" dxfId="3">
      <formula>AND(IF(OR($Q34=1,$Q34=2),1,0),IF($X34&lt;=20,1,0))</formula>
    </cfRule>
    <cfRule type="expression" priority="988" dxfId="2">
      <formula>AND(IF($Q34=2,1,0),IF($X34&lt;30,1,0))</formula>
    </cfRule>
    <cfRule type="expression" priority="989" dxfId="1">
      <formula>AND(IF($Q34=3,1,0),IF($X34&lt;30,1,0))</formula>
    </cfRule>
    <cfRule type="expression" priority="990" dxfId="0">
      <formula>AND(IF($Q34=3,1,IF($Q34=4,1,0)),IF($F34&lt;=85,1,0))</formula>
    </cfRule>
  </conditionalFormatting>
  <conditionalFormatting sqref="AI34">
    <cfRule type="expression" priority="983" dxfId="3">
      <formula>AND(IF(OR($Q34=1,$Q34=2),1,0),IF($X34&lt;=20,1,0))</formula>
    </cfRule>
    <cfRule type="expression" priority="984" dxfId="2">
      <formula>AND(IF($Q34=2,1,0),IF($X34&lt;30,1,0))</formula>
    </cfRule>
    <cfRule type="expression" priority="985" dxfId="1">
      <formula>AND(IF($Q34=3,1,0),IF($X34&lt;30,1,0))</formula>
    </cfRule>
    <cfRule type="expression" priority="986" dxfId="0">
      <formula>AND(IF($Q34=3,1,IF($Q34=4,1,0)),IF($F34&lt;=85,1,0))</formula>
    </cfRule>
  </conditionalFormatting>
  <conditionalFormatting sqref="AV35">
    <cfRule type="expression" priority="981" dxfId="17">
      <formula>AV35="X"</formula>
    </cfRule>
    <cfRule type="expression" priority="982" dxfId="16">
      <formula>AV35="후보"</formula>
    </cfRule>
  </conditionalFormatting>
  <conditionalFormatting sqref="AC35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N35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E35">
    <cfRule type="expression" priority="972" dxfId="3">
      <formula>AND(IF(OR($Q35=1,$Q35=2),1,0),IF($X35&lt;=20,1,0))</formula>
    </cfRule>
    <cfRule type="expression" priority="973" dxfId="2">
      <formula>AND(IF($Q35=2,1,0),IF($X35&lt;30,1,0))</formula>
    </cfRule>
    <cfRule type="expression" priority="974" dxfId="1">
      <formula>AND(IF($Q35=3,1,0),IF($X35&lt;30,1,0))</formula>
    </cfRule>
    <cfRule type="expression" priority="975" dxfId="0">
      <formula>AND(IF($Q35=3,1,IF($Q35=4,1,0)),IF($F35&lt;=85,1,0))</formula>
    </cfRule>
  </conditionalFormatting>
  <conditionalFormatting sqref="X35">
    <cfRule type="expression" priority="968" dxfId="3">
      <formula>AND(IF(OR($Q35=1,$Q35=2),1,0),IF($X35&lt;=20,1,0))</formula>
    </cfRule>
    <cfRule type="expression" priority="969" dxfId="2">
      <formula>AND(IF($Q35=2,1,0),IF($X35&lt;30,1,0))</formula>
    </cfRule>
    <cfRule type="expression" priority="970" dxfId="1">
      <formula>AND(IF($Q35=3,1,0),IF($X35&lt;30,1,0))</formula>
    </cfRule>
    <cfRule type="expression" priority="971" dxfId="0">
      <formula>AND(IF($Q35=3,1,IF($Q35=4,1,0)),IF($F35&lt;=85,1,0))</formula>
    </cfRule>
  </conditionalFormatting>
  <conditionalFormatting sqref="AI35">
    <cfRule type="expression" priority="964" dxfId="3">
      <formula>AND(IF(OR($Q35=1,$Q35=2),1,0),IF($X35&lt;=20,1,0))</formula>
    </cfRule>
    <cfRule type="expression" priority="965" dxfId="2">
      <formula>AND(IF($Q35=2,1,0),IF($X35&lt;30,1,0))</formula>
    </cfRule>
    <cfRule type="expression" priority="966" dxfId="1">
      <formula>AND(IF($Q35=3,1,0),IF($X35&lt;30,1,0))</formula>
    </cfRule>
    <cfRule type="expression" priority="967" dxfId="0">
      <formula>AND(IF($Q35=3,1,IF($Q35=4,1,0)),IF($F35&lt;=85,1,0))</formula>
    </cfRule>
  </conditionalFormatting>
  <conditionalFormatting sqref="AV36">
    <cfRule type="expression" priority="962" dxfId="17">
      <formula>AV36="X"</formula>
    </cfRule>
    <cfRule type="expression" priority="963" dxfId="16">
      <formula>AV36="후보"</formula>
    </cfRule>
  </conditionalFormatting>
  <conditionalFormatting sqref="AC36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N36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E36">
    <cfRule type="expression" priority="953" dxfId="3">
      <formula>AND(IF(OR($Q36=1,$Q36=2),1,0),IF($X36&lt;=20,1,0))</formula>
    </cfRule>
    <cfRule type="expression" priority="954" dxfId="2">
      <formula>AND(IF($Q36=2,1,0),IF($X36&lt;30,1,0))</formula>
    </cfRule>
    <cfRule type="expression" priority="955" dxfId="1">
      <formula>AND(IF($Q36=3,1,0),IF($X36&lt;30,1,0))</formula>
    </cfRule>
    <cfRule type="expression" priority="956" dxfId="0">
      <formula>AND(IF($Q36=3,1,IF($Q36=4,1,0)),IF($F36&lt;=85,1,0))</formula>
    </cfRule>
  </conditionalFormatting>
  <conditionalFormatting sqref="X36">
    <cfRule type="expression" priority="949" dxfId="3">
      <formula>AND(IF(OR($Q36=1,$Q36=2),1,0),IF($X36&lt;=20,1,0))</formula>
    </cfRule>
    <cfRule type="expression" priority="950" dxfId="2">
      <formula>AND(IF($Q36=2,1,0),IF($X36&lt;30,1,0))</formula>
    </cfRule>
    <cfRule type="expression" priority="951" dxfId="1">
      <formula>AND(IF($Q36=3,1,0),IF($X36&lt;30,1,0))</formula>
    </cfRule>
    <cfRule type="expression" priority="952" dxfId="0">
      <formula>AND(IF($Q36=3,1,IF($Q36=4,1,0)),IF($F36&lt;=85,1,0))</formula>
    </cfRule>
  </conditionalFormatting>
  <conditionalFormatting sqref="AI36">
    <cfRule type="expression" priority="945" dxfId="3">
      <formula>AND(IF(OR($Q36=1,$Q36=2),1,0),IF($X36&lt;=20,1,0))</formula>
    </cfRule>
    <cfRule type="expression" priority="946" dxfId="2">
      <formula>AND(IF($Q36=2,1,0),IF($X36&lt;30,1,0))</formula>
    </cfRule>
    <cfRule type="expression" priority="947" dxfId="1">
      <formula>AND(IF($Q36=3,1,0),IF($X36&lt;30,1,0))</formula>
    </cfRule>
    <cfRule type="expression" priority="948" dxfId="0">
      <formula>AND(IF($Q36=3,1,IF($Q36=4,1,0)),IF($F36&lt;=85,1,0))</formula>
    </cfRule>
  </conditionalFormatting>
  <conditionalFormatting sqref="AV37">
    <cfRule type="expression" priority="943" dxfId="17">
      <formula>AV37="X"</formula>
    </cfRule>
    <cfRule type="expression" priority="944" dxfId="16">
      <formula>AV37="후보"</formula>
    </cfRule>
  </conditionalFormatting>
  <conditionalFormatting sqref="AC37">
    <cfRule type="cellIs" priority="940" operator="greaterThan" dxfId="13">
      <formula>0.9</formula>
    </cfRule>
    <cfRule type="cellIs" priority="941" operator="greaterThan" dxfId="12">
      <formula>0.85</formula>
    </cfRule>
  </conditionalFormatting>
  <conditionalFormatting sqref="N37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E37">
    <cfRule type="expression" priority="934" dxfId="3">
      <formula>AND(IF(OR($Q37=1,$Q37=2),1,0),IF($X37&lt;=20,1,0))</formula>
    </cfRule>
    <cfRule type="expression" priority="935" dxfId="2">
      <formula>AND(IF($Q37=2,1,0),IF($X37&lt;30,1,0))</formula>
    </cfRule>
    <cfRule type="expression" priority="936" dxfId="1">
      <formula>AND(IF($Q37=3,1,0),IF($X37&lt;30,1,0))</formula>
    </cfRule>
    <cfRule type="expression" priority="937" dxfId="0">
      <formula>AND(IF($Q37=3,1,IF($Q37=4,1,0)),IF($F37&lt;=85,1,0))</formula>
    </cfRule>
  </conditionalFormatting>
  <conditionalFormatting sqref="X37">
    <cfRule type="expression" priority="930" dxfId="3">
      <formula>AND(IF(OR($Q37=1,$Q37=2),1,0),IF($X37&lt;=20,1,0))</formula>
    </cfRule>
    <cfRule type="expression" priority="931" dxfId="2">
      <formula>AND(IF($Q37=2,1,0),IF($X37&lt;30,1,0))</formula>
    </cfRule>
    <cfRule type="expression" priority="932" dxfId="1">
      <formula>AND(IF($Q37=3,1,0),IF($X37&lt;30,1,0))</formula>
    </cfRule>
    <cfRule type="expression" priority="933" dxfId="0">
      <formula>AND(IF($Q37=3,1,IF($Q37=4,1,0)),IF($F37&lt;=85,1,0))</formula>
    </cfRule>
  </conditionalFormatting>
  <conditionalFormatting sqref="AI37">
    <cfRule type="expression" priority="926" dxfId="3">
      <formula>AND(IF(OR($Q37=1,$Q37=2),1,0),IF($X37&lt;=20,1,0))</formula>
    </cfRule>
    <cfRule type="expression" priority="927" dxfId="2">
      <formula>AND(IF($Q37=2,1,0),IF($X37&lt;30,1,0))</formula>
    </cfRule>
    <cfRule type="expression" priority="928" dxfId="1">
      <formula>AND(IF($Q37=3,1,0),IF($X37&lt;30,1,0))</formula>
    </cfRule>
    <cfRule type="expression" priority="929" dxfId="0">
      <formula>AND(IF($Q37=3,1,IF($Q37=4,1,0)),IF($F37&lt;=85,1,0))</formula>
    </cfRule>
  </conditionalFormatting>
  <conditionalFormatting sqref="AV38">
    <cfRule type="expression" priority="924" dxfId="17">
      <formula>AV38="X"</formula>
    </cfRule>
    <cfRule type="expression" priority="925" dxfId="16">
      <formula>AV38="후보"</formula>
    </cfRule>
  </conditionalFormatting>
  <conditionalFormatting sqref="AC38 N38">
    <cfRule type="cellIs" priority="921" operator="greaterThan" dxfId="13">
      <formula>0.9</formula>
    </cfRule>
    <cfRule type="cellIs" priority="922" operator="greaterThan" dxfId="12">
      <formula>0.85</formula>
    </cfRule>
  </conditionalFormatting>
  <conditionalFormatting sqref="AV39">
    <cfRule type="expression" priority="919" dxfId="17">
      <formula>AV39="X"</formula>
    </cfRule>
    <cfRule type="expression" priority="920" dxfId="16">
      <formula>AV39="후보"</formula>
    </cfRule>
  </conditionalFormatting>
  <conditionalFormatting sqref="AC39">
    <cfRule type="cellIs" priority="916" operator="greaterThan" dxfId="13">
      <formula>0.9</formula>
    </cfRule>
    <cfRule type="cellIs" priority="917" operator="greaterThan" dxfId="12">
      <formula>0.85</formula>
    </cfRule>
  </conditionalFormatting>
  <conditionalFormatting sqref="N39">
    <cfRule type="cellIs" priority="914" operator="greaterThan" dxfId="13">
      <formula>0.9</formula>
    </cfRule>
    <cfRule type="cellIs" priority="915" operator="greaterThan" dxfId="12">
      <formula>0.85</formula>
    </cfRule>
  </conditionalFormatting>
  <conditionalFormatting sqref="E39">
    <cfRule type="expression" priority="910" dxfId="3">
      <formula>AND(IF(OR($Q39=1,$Q39=2),1,0),IF($X39&lt;=20,1,0))</formula>
    </cfRule>
    <cfRule type="expression" priority="911" dxfId="2">
      <formula>AND(IF($Q39=2,1,0),IF($X39&lt;30,1,0))</formula>
    </cfRule>
    <cfRule type="expression" priority="912" dxfId="1">
      <formula>AND(IF($Q39=3,1,0),IF($X39&lt;30,1,0))</formula>
    </cfRule>
    <cfRule type="expression" priority="913" dxfId="0">
      <formula>AND(IF($Q39=3,1,IF($Q39=4,1,0)),IF($F39&lt;=85,1,0))</formula>
    </cfRule>
  </conditionalFormatting>
  <conditionalFormatting sqref="X39">
    <cfRule type="expression" priority="906" dxfId="3">
      <formula>AND(IF(OR($Q39=1,$Q39=2),1,0),IF($X39&lt;=20,1,0))</formula>
    </cfRule>
    <cfRule type="expression" priority="907" dxfId="2">
      <formula>AND(IF($Q39=2,1,0),IF($X39&lt;30,1,0))</formula>
    </cfRule>
    <cfRule type="expression" priority="908" dxfId="1">
      <formula>AND(IF($Q39=3,1,0),IF($X39&lt;30,1,0))</formula>
    </cfRule>
    <cfRule type="expression" priority="909" dxfId="0">
      <formula>AND(IF($Q39=3,1,IF($Q39=4,1,0)),IF($F39&lt;=85,1,0))</formula>
    </cfRule>
  </conditionalFormatting>
  <conditionalFormatting sqref="AI39">
    <cfRule type="expression" priority="902" dxfId="3">
      <formula>AND(IF(OR($Q39=1,$Q39=2),1,0),IF($X39&lt;=20,1,0))</formula>
    </cfRule>
    <cfRule type="expression" priority="903" dxfId="2">
      <formula>AND(IF($Q39=2,1,0),IF($X39&lt;30,1,0))</formula>
    </cfRule>
    <cfRule type="expression" priority="904" dxfId="1">
      <formula>AND(IF($Q39=3,1,0),IF($X39&lt;30,1,0))</formula>
    </cfRule>
    <cfRule type="expression" priority="905" dxfId="0">
      <formula>AND(IF($Q39=3,1,IF($Q39=4,1,0)),IF($F39&lt;=85,1,0))</formula>
    </cfRule>
  </conditionalFormatting>
  <conditionalFormatting sqref="AV40">
    <cfRule type="expression" priority="900" dxfId="17">
      <formula>AV40="X"</formula>
    </cfRule>
    <cfRule type="expression" priority="901" dxfId="16">
      <formula>AV40="후보"</formula>
    </cfRule>
  </conditionalFormatting>
  <conditionalFormatting sqref="AC40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40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40">
    <cfRule type="expression" priority="891" dxfId="3">
      <formula>AND(IF(OR($Q40=1,$Q40=2),1,0),IF($X40&lt;=20,1,0))</formula>
    </cfRule>
    <cfRule type="expression" priority="892" dxfId="2">
      <formula>AND(IF($Q40=2,1,0),IF($X40&lt;30,1,0))</formula>
    </cfRule>
    <cfRule type="expression" priority="893" dxfId="1">
      <formula>AND(IF($Q40=3,1,0),IF($X40&lt;30,1,0))</formula>
    </cfRule>
    <cfRule type="expression" priority="894" dxfId="0">
      <formula>AND(IF($Q40=3,1,IF($Q40=4,1,0)),IF($F40&lt;=85,1,0))</formula>
    </cfRule>
  </conditionalFormatting>
  <conditionalFormatting sqref="X40">
    <cfRule type="expression" priority="887" dxfId="3">
      <formula>AND(IF(OR($Q40=1,$Q40=2),1,0),IF($X40&lt;=20,1,0))</formula>
    </cfRule>
    <cfRule type="expression" priority="888" dxfId="2">
      <formula>AND(IF($Q40=2,1,0),IF($X40&lt;30,1,0))</formula>
    </cfRule>
    <cfRule type="expression" priority="889" dxfId="1">
      <formula>AND(IF($Q40=3,1,0),IF($X40&lt;30,1,0))</formula>
    </cfRule>
    <cfRule type="expression" priority="890" dxfId="0">
      <formula>AND(IF($Q40=3,1,IF($Q40=4,1,0)),IF($F40&lt;=85,1,0))</formula>
    </cfRule>
  </conditionalFormatting>
  <conditionalFormatting sqref="AI40">
    <cfRule type="expression" priority="883" dxfId="3">
      <formula>AND(IF(OR($Q40=1,$Q40=2),1,0),IF($X40&lt;=20,1,0))</formula>
    </cfRule>
    <cfRule type="expression" priority="884" dxfId="2">
      <formula>AND(IF($Q40=2,1,0),IF($X40&lt;30,1,0))</formula>
    </cfRule>
    <cfRule type="expression" priority="885" dxfId="1">
      <formula>AND(IF($Q40=3,1,0),IF($X40&lt;30,1,0))</formula>
    </cfRule>
    <cfRule type="expression" priority="886" dxfId="0">
      <formula>AND(IF($Q40=3,1,IF($Q40=4,1,0)),IF($F40&lt;=85,1,0))</formula>
    </cfRule>
  </conditionalFormatting>
  <conditionalFormatting sqref="AV41">
    <cfRule type="expression" priority="881" dxfId="17">
      <formula>AV41="X"</formula>
    </cfRule>
    <cfRule type="expression" priority="882" dxfId="16">
      <formula>AV41="후보"</formula>
    </cfRule>
  </conditionalFormatting>
  <conditionalFormatting sqref="AC41 N41">
    <cfRule type="cellIs" priority="878" operator="greaterThan" dxfId="13">
      <formula>0.9</formula>
    </cfRule>
    <cfRule type="cellIs" priority="879" operator="greaterThan" dxfId="12">
      <formula>0.85</formula>
    </cfRule>
  </conditionalFormatting>
  <conditionalFormatting sqref="AV42">
    <cfRule type="expression" priority="876" dxfId="17">
      <formula>AV42="X"</formula>
    </cfRule>
    <cfRule type="expression" priority="877" dxfId="16">
      <formula>AV42="후보"</formula>
    </cfRule>
  </conditionalFormatting>
  <conditionalFormatting sqref="AC42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N42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E42">
    <cfRule type="expression" priority="867" dxfId="3">
      <formula>AND(IF(OR($Q42=1,$Q42=2),1,0),IF($X42&lt;=20,1,0))</formula>
    </cfRule>
    <cfRule type="expression" priority="868" dxfId="2">
      <formula>AND(IF($Q42=2,1,0),IF($X42&lt;30,1,0))</formula>
    </cfRule>
    <cfRule type="expression" priority="869" dxfId="1">
      <formula>AND(IF($Q42=3,1,0),IF($X42&lt;30,1,0))</formula>
    </cfRule>
    <cfRule type="expression" priority="870" dxfId="0">
      <formula>AND(IF($Q42=3,1,IF($Q42=4,1,0)),IF($F42&lt;=85,1,0))</formula>
    </cfRule>
  </conditionalFormatting>
  <conditionalFormatting sqref="X42">
    <cfRule type="expression" priority="863" dxfId="3">
      <formula>AND(IF(OR($Q42=1,$Q42=2),1,0),IF($X42&lt;=20,1,0))</formula>
    </cfRule>
    <cfRule type="expression" priority="864" dxfId="2">
      <formula>AND(IF($Q42=2,1,0),IF($X42&lt;30,1,0))</formula>
    </cfRule>
    <cfRule type="expression" priority="865" dxfId="1">
      <formula>AND(IF($Q42=3,1,0),IF($X42&lt;30,1,0))</formula>
    </cfRule>
    <cfRule type="expression" priority="866" dxfId="0">
      <formula>AND(IF($Q42=3,1,IF($Q42=4,1,0)),IF($F42&lt;=85,1,0))</formula>
    </cfRule>
  </conditionalFormatting>
  <conditionalFormatting sqref="AI42">
    <cfRule type="expression" priority="859" dxfId="3">
      <formula>AND(IF(OR($Q42=1,$Q42=2),1,0),IF($X42&lt;=20,1,0))</formula>
    </cfRule>
    <cfRule type="expression" priority="860" dxfId="2">
      <formula>AND(IF($Q42=2,1,0),IF($X42&lt;30,1,0))</formula>
    </cfRule>
    <cfRule type="expression" priority="861" dxfId="1">
      <formula>AND(IF($Q42=3,1,0),IF($X42&lt;30,1,0))</formula>
    </cfRule>
    <cfRule type="expression" priority="862" dxfId="0">
      <formula>AND(IF($Q42=3,1,IF($Q42=4,1,0)),IF($F42&lt;=85,1,0))</formula>
    </cfRule>
  </conditionalFormatting>
  <conditionalFormatting sqref="AV43">
    <cfRule type="expression" priority="857" dxfId="17">
      <formula>AV43="X"</formula>
    </cfRule>
    <cfRule type="expression" priority="858" dxfId="16">
      <formula>AV43="후보"</formula>
    </cfRule>
  </conditionalFormatting>
  <conditionalFormatting sqref="AC43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N43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E43">
    <cfRule type="expression" priority="848" dxfId="3">
      <formula>AND(IF(OR($Q43=1,$Q43=2),1,0),IF($X43&lt;=20,1,0))</formula>
    </cfRule>
    <cfRule type="expression" priority="849" dxfId="2">
      <formula>AND(IF($Q43=2,1,0),IF($X43&lt;30,1,0))</formula>
    </cfRule>
    <cfRule type="expression" priority="850" dxfId="1">
      <formula>AND(IF($Q43=3,1,0),IF($X43&lt;30,1,0))</formula>
    </cfRule>
    <cfRule type="expression" priority="851" dxfId="0">
      <formula>AND(IF($Q43=3,1,IF($Q43=4,1,0)),IF($F43&lt;=85,1,0))</formula>
    </cfRule>
  </conditionalFormatting>
  <conditionalFormatting sqref="X43">
    <cfRule type="expression" priority="844" dxfId="3">
      <formula>AND(IF(OR($Q43=1,$Q43=2),1,0),IF($X43&lt;=20,1,0))</formula>
    </cfRule>
    <cfRule type="expression" priority="845" dxfId="2">
      <formula>AND(IF($Q43=2,1,0),IF($X43&lt;30,1,0))</formula>
    </cfRule>
    <cfRule type="expression" priority="846" dxfId="1">
      <formula>AND(IF($Q43=3,1,0),IF($X43&lt;30,1,0))</formula>
    </cfRule>
    <cfRule type="expression" priority="847" dxfId="0">
      <formula>AND(IF($Q43=3,1,IF($Q43=4,1,0)),IF($F43&lt;=85,1,0))</formula>
    </cfRule>
  </conditionalFormatting>
  <conditionalFormatting sqref="AI43">
    <cfRule type="expression" priority="840" dxfId="3">
      <formula>AND(IF(OR($Q43=1,$Q43=2),1,0),IF($X43&lt;=20,1,0))</formula>
    </cfRule>
    <cfRule type="expression" priority="841" dxfId="2">
      <formula>AND(IF($Q43=2,1,0),IF($X43&lt;30,1,0))</formula>
    </cfRule>
    <cfRule type="expression" priority="842" dxfId="1">
      <formula>AND(IF($Q43=3,1,0),IF($X43&lt;30,1,0))</formula>
    </cfRule>
    <cfRule type="expression" priority="843" dxfId="0">
      <formula>AND(IF($Q43=3,1,IF($Q43=4,1,0)),IF($F43&lt;=85,1,0))</formula>
    </cfRule>
  </conditionalFormatting>
  <conditionalFormatting sqref="AV44">
    <cfRule type="expression" priority="838" dxfId="17">
      <formula>AV44="X"</formula>
    </cfRule>
    <cfRule type="expression" priority="839" dxfId="16">
      <formula>AV44="후보"</formula>
    </cfRule>
  </conditionalFormatting>
  <conditionalFormatting sqref="AC44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N44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E44">
    <cfRule type="expression" priority="829" dxfId="3">
      <formula>AND(IF(OR($Q44=1,$Q44=2),1,0),IF($X44&lt;=20,1,0))</formula>
    </cfRule>
    <cfRule type="expression" priority="830" dxfId="2">
      <formula>AND(IF($Q44=2,1,0),IF($X44&lt;30,1,0))</formula>
    </cfRule>
    <cfRule type="expression" priority="831" dxfId="1">
      <formula>AND(IF($Q44=3,1,0),IF($X44&lt;30,1,0))</formula>
    </cfRule>
    <cfRule type="expression" priority="832" dxfId="0">
      <formula>AND(IF($Q44=3,1,IF($Q44=4,1,0)),IF($F44&lt;=85,1,0))</formula>
    </cfRule>
  </conditionalFormatting>
  <conditionalFormatting sqref="X44">
    <cfRule type="expression" priority="825" dxfId="3">
      <formula>AND(IF(OR($Q44=1,$Q44=2),1,0),IF($X44&lt;=20,1,0))</formula>
    </cfRule>
    <cfRule type="expression" priority="826" dxfId="2">
      <formula>AND(IF($Q44=2,1,0),IF($X44&lt;30,1,0))</formula>
    </cfRule>
    <cfRule type="expression" priority="827" dxfId="1">
      <formula>AND(IF($Q44=3,1,0),IF($X44&lt;30,1,0))</formula>
    </cfRule>
    <cfRule type="expression" priority="828" dxfId="0">
      <formula>AND(IF($Q44=3,1,IF($Q44=4,1,0)),IF($F44&lt;=85,1,0))</formula>
    </cfRule>
  </conditionalFormatting>
  <conditionalFormatting sqref="AI44">
    <cfRule type="expression" priority="821" dxfId="3">
      <formula>AND(IF(OR($Q44=1,$Q44=2),1,0),IF($X44&lt;=20,1,0))</formula>
    </cfRule>
    <cfRule type="expression" priority="822" dxfId="2">
      <formula>AND(IF($Q44=2,1,0),IF($X44&lt;30,1,0))</formula>
    </cfRule>
    <cfRule type="expression" priority="823" dxfId="1">
      <formula>AND(IF($Q44=3,1,0),IF($X44&lt;30,1,0))</formula>
    </cfRule>
    <cfRule type="expression" priority="824" dxfId="0">
      <formula>AND(IF($Q44=3,1,IF($Q44=4,1,0)),IF($F44&lt;=85,1,0))</formula>
    </cfRule>
  </conditionalFormatting>
  <conditionalFormatting sqref="AV45">
    <cfRule type="expression" priority="819" dxfId="17">
      <formula>AV45="X"</formula>
    </cfRule>
    <cfRule type="expression" priority="820" dxfId="16">
      <formula>AV45="후보"</formula>
    </cfRule>
  </conditionalFormatting>
  <conditionalFormatting sqref="AC45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N45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E45">
    <cfRule type="expression" priority="810" dxfId="3">
      <formula>AND(IF(OR($Q45=1,$Q45=2),1,0),IF($X45&lt;=20,1,0))</formula>
    </cfRule>
    <cfRule type="expression" priority="811" dxfId="2">
      <formula>AND(IF($Q45=2,1,0),IF($X45&lt;30,1,0))</formula>
    </cfRule>
    <cfRule type="expression" priority="812" dxfId="1">
      <formula>AND(IF($Q45=3,1,0),IF($X45&lt;30,1,0))</formula>
    </cfRule>
    <cfRule type="expression" priority="813" dxfId="0">
      <formula>AND(IF($Q45=3,1,IF($Q45=4,1,0)),IF($F45&lt;=85,1,0))</formula>
    </cfRule>
  </conditionalFormatting>
  <conditionalFormatting sqref="X45">
    <cfRule type="expression" priority="806" dxfId="3">
      <formula>AND(IF(OR($Q45=1,$Q45=2),1,0),IF($X45&lt;=20,1,0))</formula>
    </cfRule>
    <cfRule type="expression" priority="807" dxfId="2">
      <formula>AND(IF($Q45=2,1,0),IF($X45&lt;30,1,0))</formula>
    </cfRule>
    <cfRule type="expression" priority="808" dxfId="1">
      <formula>AND(IF($Q45=3,1,0),IF($X45&lt;30,1,0))</formula>
    </cfRule>
    <cfRule type="expression" priority="809" dxfId="0">
      <formula>AND(IF($Q45=3,1,IF($Q45=4,1,0)),IF($F45&lt;=85,1,0))</formula>
    </cfRule>
  </conditionalFormatting>
  <conditionalFormatting sqref="AI45">
    <cfRule type="expression" priority="802" dxfId="3">
      <formula>AND(IF(OR($Q45=1,$Q45=2),1,0),IF($X45&lt;=20,1,0))</formula>
    </cfRule>
    <cfRule type="expression" priority="803" dxfId="2">
      <formula>AND(IF($Q45=2,1,0),IF($X45&lt;30,1,0))</formula>
    </cfRule>
    <cfRule type="expression" priority="804" dxfId="1">
      <formula>AND(IF($Q45=3,1,0),IF($X45&lt;30,1,0))</formula>
    </cfRule>
    <cfRule type="expression" priority="805" dxfId="0">
      <formula>AND(IF($Q45=3,1,IF($Q45=4,1,0)),IF($F45&lt;=85,1,0))</formula>
    </cfRule>
  </conditionalFormatting>
  <conditionalFormatting sqref="AV46">
    <cfRule type="expression" priority="800" dxfId="17">
      <formula>AV46="X"</formula>
    </cfRule>
    <cfRule type="expression" priority="801" dxfId="16">
      <formula>AV46="후보"</formula>
    </cfRule>
  </conditionalFormatting>
  <conditionalFormatting sqref="AC46 N46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AV47">
    <cfRule type="expression" priority="795" dxfId="17">
      <formula>AV47="X"</formula>
    </cfRule>
    <cfRule type="expression" priority="796" dxfId="16">
      <formula>AV47="후보"</formula>
    </cfRule>
  </conditionalFormatting>
  <conditionalFormatting sqref="AC47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N47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E47">
    <cfRule type="expression" priority="786" dxfId="3">
      <formula>AND(IF(OR($Q47=1,$Q47=2),1,0),IF($X47&lt;=20,1,0))</formula>
    </cfRule>
    <cfRule type="expression" priority="787" dxfId="2">
      <formula>AND(IF($Q47=2,1,0),IF($X47&lt;30,1,0))</formula>
    </cfRule>
    <cfRule type="expression" priority="788" dxfId="1">
      <formula>AND(IF($Q47=3,1,0),IF($X47&lt;30,1,0))</formula>
    </cfRule>
    <cfRule type="expression" priority="789" dxfId="0">
      <formula>AND(IF($Q47=3,1,IF($Q47=4,1,0)),IF($F47&lt;=85,1,0))</formula>
    </cfRule>
  </conditionalFormatting>
  <conditionalFormatting sqref="X47">
    <cfRule type="expression" priority="782" dxfId="3">
      <formula>AND(IF(OR($Q47=1,$Q47=2),1,0),IF($X47&lt;=20,1,0))</formula>
    </cfRule>
    <cfRule type="expression" priority="783" dxfId="2">
      <formula>AND(IF($Q47=2,1,0),IF($X47&lt;30,1,0))</formula>
    </cfRule>
    <cfRule type="expression" priority="784" dxfId="1">
      <formula>AND(IF($Q47=3,1,0),IF($X47&lt;30,1,0))</formula>
    </cfRule>
    <cfRule type="expression" priority="785" dxfId="0">
      <formula>AND(IF($Q47=3,1,IF($Q47=4,1,0)),IF($F47&lt;=85,1,0))</formula>
    </cfRule>
  </conditionalFormatting>
  <conditionalFormatting sqref="AI47">
    <cfRule type="expression" priority="778" dxfId="3">
      <formula>AND(IF(OR($Q47=1,$Q47=2),1,0),IF($X47&lt;=20,1,0))</formula>
    </cfRule>
    <cfRule type="expression" priority="779" dxfId="2">
      <formula>AND(IF($Q47=2,1,0),IF($X47&lt;30,1,0))</formula>
    </cfRule>
    <cfRule type="expression" priority="780" dxfId="1">
      <formula>AND(IF($Q47=3,1,0),IF($X47&lt;30,1,0))</formula>
    </cfRule>
    <cfRule type="expression" priority="781" dxfId="0">
      <formula>AND(IF($Q47=3,1,IF($Q47=4,1,0)),IF($F47&lt;=85,1,0))</formula>
    </cfRule>
  </conditionalFormatting>
  <conditionalFormatting sqref="AV48">
    <cfRule type="expression" priority="776" dxfId="17">
      <formula>AV48="X"</formula>
    </cfRule>
    <cfRule type="expression" priority="777" dxfId="16">
      <formula>AV48="후보"</formula>
    </cfRule>
  </conditionalFormatting>
  <conditionalFormatting sqref="AC48">
    <cfRule type="cellIs" priority="773" operator="greaterThan" dxfId="13">
      <formula>0.9</formula>
    </cfRule>
    <cfRule type="cellIs" priority="774" operator="greaterThan" dxfId="12">
      <formula>0.85</formula>
    </cfRule>
  </conditionalFormatting>
  <conditionalFormatting sqref="N48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E48">
    <cfRule type="expression" priority="767" dxfId="3">
      <formula>AND(IF(OR($Q48=1,$Q48=2),1,0),IF($X48&lt;=20,1,0))</formula>
    </cfRule>
    <cfRule type="expression" priority="768" dxfId="2">
      <formula>AND(IF($Q48=2,1,0),IF($X48&lt;30,1,0))</formula>
    </cfRule>
    <cfRule type="expression" priority="769" dxfId="1">
      <formula>AND(IF($Q48=3,1,0),IF($X48&lt;30,1,0))</formula>
    </cfRule>
    <cfRule type="expression" priority="770" dxfId="0">
      <formula>AND(IF($Q48=3,1,IF($Q48=4,1,0)),IF($F48&lt;=85,1,0))</formula>
    </cfRule>
  </conditionalFormatting>
  <conditionalFormatting sqref="X48">
    <cfRule type="expression" priority="763" dxfId="3">
      <formula>AND(IF(OR($Q48=1,$Q48=2),1,0),IF($X48&lt;=20,1,0))</formula>
    </cfRule>
    <cfRule type="expression" priority="764" dxfId="2">
      <formula>AND(IF($Q48=2,1,0),IF($X48&lt;30,1,0))</formula>
    </cfRule>
    <cfRule type="expression" priority="765" dxfId="1">
      <formula>AND(IF($Q48=3,1,0),IF($X48&lt;30,1,0))</formula>
    </cfRule>
    <cfRule type="expression" priority="766" dxfId="0">
      <formula>AND(IF($Q48=3,1,IF($Q48=4,1,0)),IF($F48&lt;=85,1,0))</formula>
    </cfRule>
  </conditionalFormatting>
  <conditionalFormatting sqref="AI48">
    <cfRule type="expression" priority="759" dxfId="3">
      <formula>AND(IF(OR($Q48=1,$Q48=2),1,0),IF($X48&lt;=20,1,0))</formula>
    </cfRule>
    <cfRule type="expression" priority="760" dxfId="2">
      <formula>AND(IF($Q48=2,1,0),IF($X48&lt;30,1,0))</formula>
    </cfRule>
    <cfRule type="expression" priority="761" dxfId="1">
      <formula>AND(IF($Q48=3,1,0),IF($X48&lt;30,1,0))</formula>
    </cfRule>
    <cfRule type="expression" priority="762" dxfId="0">
      <formula>AND(IF($Q48=3,1,IF($Q48=4,1,0)),IF($F48&lt;=85,1,0))</formula>
    </cfRule>
  </conditionalFormatting>
  <conditionalFormatting sqref="AV49">
    <cfRule type="expression" priority="757" dxfId="17">
      <formula>AV49="X"</formula>
    </cfRule>
    <cfRule type="expression" priority="758" dxfId="16">
      <formula>AV49="후보"</formula>
    </cfRule>
  </conditionalFormatting>
  <conditionalFormatting sqref="AC49">
    <cfRule type="cellIs" priority="754" operator="greaterThan" dxfId="13">
      <formula>0.9</formula>
    </cfRule>
    <cfRule type="cellIs" priority="755" operator="greaterThan" dxfId="12">
      <formula>0.85</formula>
    </cfRule>
  </conditionalFormatting>
  <conditionalFormatting sqref="N49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E49">
    <cfRule type="expression" priority="748" dxfId="3">
      <formula>AND(IF(OR($Q49=1,$Q49=2),1,0),IF($X49&lt;=20,1,0))</formula>
    </cfRule>
    <cfRule type="expression" priority="749" dxfId="2">
      <formula>AND(IF($Q49=2,1,0),IF($X49&lt;30,1,0))</formula>
    </cfRule>
    <cfRule type="expression" priority="750" dxfId="1">
      <formula>AND(IF($Q49=3,1,0),IF($X49&lt;30,1,0))</formula>
    </cfRule>
    <cfRule type="expression" priority="751" dxfId="0">
      <formula>AND(IF($Q49=3,1,IF($Q49=4,1,0)),IF($F49&lt;=85,1,0))</formula>
    </cfRule>
  </conditionalFormatting>
  <conditionalFormatting sqref="X49">
    <cfRule type="expression" priority="744" dxfId="3">
      <formula>AND(IF(OR($Q49=1,$Q49=2),1,0),IF($X49&lt;=20,1,0))</formula>
    </cfRule>
    <cfRule type="expression" priority="745" dxfId="2">
      <formula>AND(IF($Q49=2,1,0),IF($X49&lt;30,1,0))</formula>
    </cfRule>
    <cfRule type="expression" priority="746" dxfId="1">
      <formula>AND(IF($Q49=3,1,0),IF($X49&lt;30,1,0))</formula>
    </cfRule>
    <cfRule type="expression" priority="747" dxfId="0">
      <formula>AND(IF($Q49=3,1,IF($Q49=4,1,0)),IF($F49&lt;=85,1,0))</formula>
    </cfRule>
  </conditionalFormatting>
  <conditionalFormatting sqref="AI49">
    <cfRule type="expression" priority="740" dxfId="3">
      <formula>AND(IF(OR($Q49=1,$Q49=2),1,0),IF($X49&lt;=20,1,0))</formula>
    </cfRule>
    <cfRule type="expression" priority="741" dxfId="2">
      <formula>AND(IF($Q49=2,1,0),IF($X49&lt;30,1,0))</formula>
    </cfRule>
    <cfRule type="expression" priority="742" dxfId="1">
      <formula>AND(IF($Q49=3,1,0),IF($X49&lt;30,1,0))</formula>
    </cfRule>
    <cfRule type="expression" priority="743" dxfId="0">
      <formula>AND(IF($Q49=3,1,IF($Q49=4,1,0)),IF($F49&lt;=85,1,0))</formula>
    </cfRule>
  </conditionalFormatting>
  <conditionalFormatting sqref="AV50">
    <cfRule type="expression" priority="738" dxfId="17">
      <formula>AV50="X"</formula>
    </cfRule>
    <cfRule type="expression" priority="739" dxfId="16">
      <formula>AV50="후보"</formula>
    </cfRule>
  </conditionalFormatting>
  <conditionalFormatting sqref="AC50 N50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AV51">
    <cfRule type="expression" priority="733" dxfId="17">
      <formula>AV51="X"</formula>
    </cfRule>
    <cfRule type="expression" priority="734" dxfId="16">
      <formula>AV51="후보"</formula>
    </cfRule>
  </conditionalFormatting>
  <conditionalFormatting sqref="AC51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N51">
    <cfRule type="cellIs" priority="728" operator="greaterThan" dxfId="13">
      <formula>0.9</formula>
    </cfRule>
    <cfRule type="cellIs" priority="729" operator="greaterThan" dxfId="12">
      <formula>0.85</formula>
    </cfRule>
  </conditionalFormatting>
  <conditionalFormatting sqref="E51">
    <cfRule type="expression" priority="724" dxfId="3">
      <formula>AND(IF(OR($Q51=1,$Q51=2),1,0),IF($X51&lt;=20,1,0))</formula>
    </cfRule>
    <cfRule type="expression" priority="725" dxfId="2">
      <formula>AND(IF($Q51=2,1,0),IF($X51&lt;30,1,0))</formula>
    </cfRule>
    <cfRule type="expression" priority="726" dxfId="1">
      <formula>AND(IF($Q51=3,1,0),IF($X51&lt;30,1,0))</formula>
    </cfRule>
    <cfRule type="expression" priority="727" dxfId="0">
      <formula>AND(IF($Q51=3,1,IF($Q51=4,1,0)),IF($F51&lt;=85,1,0))</formula>
    </cfRule>
  </conditionalFormatting>
  <conditionalFormatting sqref="X51">
    <cfRule type="expression" priority="720" dxfId="3">
      <formula>AND(IF(OR($Q51=1,$Q51=2),1,0),IF($X51&lt;=20,1,0))</formula>
    </cfRule>
    <cfRule type="expression" priority="721" dxfId="2">
      <formula>AND(IF($Q51=2,1,0),IF($X51&lt;30,1,0))</formula>
    </cfRule>
    <cfRule type="expression" priority="722" dxfId="1">
      <formula>AND(IF($Q51=3,1,0),IF($X51&lt;30,1,0))</formula>
    </cfRule>
    <cfRule type="expression" priority="723" dxfId="0">
      <formula>AND(IF($Q51=3,1,IF($Q51=4,1,0)),IF($F51&lt;=85,1,0))</formula>
    </cfRule>
  </conditionalFormatting>
  <conditionalFormatting sqref="AI51">
    <cfRule type="expression" priority="716" dxfId="3">
      <formula>AND(IF(OR($Q51=1,$Q51=2),1,0),IF($X51&lt;=20,1,0))</formula>
    </cfRule>
    <cfRule type="expression" priority="717" dxfId="2">
      <formula>AND(IF($Q51=2,1,0),IF($X51&lt;30,1,0))</formula>
    </cfRule>
    <cfRule type="expression" priority="718" dxfId="1">
      <formula>AND(IF($Q51=3,1,0),IF($X51&lt;30,1,0))</formula>
    </cfRule>
    <cfRule type="expression" priority="719" dxfId="0">
      <formula>AND(IF($Q51=3,1,IF($Q51=4,1,0)),IF($F51&lt;=85,1,0))</formula>
    </cfRule>
  </conditionalFormatting>
  <conditionalFormatting sqref="AV52">
    <cfRule type="expression" priority="714" dxfId="17">
      <formula>AV52="X"</formula>
    </cfRule>
    <cfRule type="expression" priority="715" dxfId="16">
      <formula>AV52="후보"</formula>
    </cfRule>
  </conditionalFormatting>
  <conditionalFormatting sqref="AC52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N52">
    <cfRule type="cellIs" priority="709" operator="greaterThan" dxfId="13">
      <formula>0.9</formula>
    </cfRule>
    <cfRule type="cellIs" priority="710" operator="greaterThan" dxfId="12">
      <formula>0.85</formula>
    </cfRule>
  </conditionalFormatting>
  <conditionalFormatting sqref="E52">
    <cfRule type="expression" priority="705" dxfId="3">
      <formula>AND(IF(OR($Q52=1,$Q52=2),1,0),IF($X52&lt;=20,1,0))</formula>
    </cfRule>
    <cfRule type="expression" priority="706" dxfId="2">
      <formula>AND(IF($Q52=2,1,0),IF($X52&lt;30,1,0))</formula>
    </cfRule>
    <cfRule type="expression" priority="707" dxfId="1">
      <formula>AND(IF($Q52=3,1,0),IF($X52&lt;30,1,0))</formula>
    </cfRule>
    <cfRule type="expression" priority="708" dxfId="0">
      <formula>AND(IF($Q52=3,1,IF($Q52=4,1,0)),IF($F52&lt;=85,1,0))</formula>
    </cfRule>
  </conditionalFormatting>
  <conditionalFormatting sqref="X52">
    <cfRule type="expression" priority="701" dxfId="3">
      <formula>AND(IF(OR($Q52=1,$Q52=2),1,0),IF($X52&lt;=20,1,0))</formula>
    </cfRule>
    <cfRule type="expression" priority="702" dxfId="2">
      <formula>AND(IF($Q52=2,1,0),IF($X52&lt;30,1,0))</formula>
    </cfRule>
    <cfRule type="expression" priority="703" dxfId="1">
      <formula>AND(IF($Q52=3,1,0),IF($X52&lt;30,1,0))</formula>
    </cfRule>
    <cfRule type="expression" priority="704" dxfId="0">
      <formula>AND(IF($Q52=3,1,IF($Q52=4,1,0)),IF($F52&lt;=85,1,0))</formula>
    </cfRule>
  </conditionalFormatting>
  <conditionalFormatting sqref="AI52">
    <cfRule type="expression" priority="697" dxfId="3">
      <formula>AND(IF(OR($Q52=1,$Q52=2),1,0),IF($X52&lt;=20,1,0))</formula>
    </cfRule>
    <cfRule type="expression" priority="698" dxfId="2">
      <formula>AND(IF($Q52=2,1,0),IF($X52&lt;30,1,0))</formula>
    </cfRule>
    <cfRule type="expression" priority="699" dxfId="1">
      <formula>AND(IF($Q52=3,1,0),IF($X52&lt;30,1,0))</formula>
    </cfRule>
    <cfRule type="expression" priority="700" dxfId="0">
      <formula>AND(IF($Q52=3,1,IF($Q52=4,1,0)),IF($F52&lt;=85,1,0))</formula>
    </cfRule>
  </conditionalFormatting>
  <conditionalFormatting sqref="AV53">
    <cfRule type="expression" priority="695" dxfId="17">
      <formula>AV53="X"</formula>
    </cfRule>
    <cfRule type="expression" priority="696" dxfId="16">
      <formula>AV53="후보"</formula>
    </cfRule>
  </conditionalFormatting>
  <conditionalFormatting sqref="AC53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53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53">
    <cfRule type="expression" priority="686" dxfId="3">
      <formula>AND(IF(OR($Q53=1,$Q53=2),1,0),IF($X53&lt;=20,1,0))</formula>
    </cfRule>
    <cfRule type="expression" priority="687" dxfId="2">
      <formula>AND(IF($Q53=2,1,0),IF($X53&lt;30,1,0))</formula>
    </cfRule>
    <cfRule type="expression" priority="688" dxfId="1">
      <formula>AND(IF($Q53=3,1,0),IF($X53&lt;30,1,0))</formula>
    </cfRule>
    <cfRule type="expression" priority="689" dxfId="0">
      <formula>AND(IF($Q53=3,1,IF($Q53=4,1,0)),IF($F53&lt;=85,1,0))</formula>
    </cfRule>
  </conditionalFormatting>
  <conditionalFormatting sqref="X53">
    <cfRule type="expression" priority="682" dxfId="3">
      <formula>AND(IF(OR($Q53=1,$Q53=2),1,0),IF($X53&lt;=20,1,0))</formula>
    </cfRule>
    <cfRule type="expression" priority="683" dxfId="2">
      <formula>AND(IF($Q53=2,1,0),IF($X53&lt;30,1,0))</formula>
    </cfRule>
    <cfRule type="expression" priority="684" dxfId="1">
      <formula>AND(IF($Q53=3,1,0),IF($X53&lt;30,1,0))</formula>
    </cfRule>
    <cfRule type="expression" priority="685" dxfId="0">
      <formula>AND(IF($Q53=3,1,IF($Q53=4,1,0)),IF($F53&lt;=85,1,0))</formula>
    </cfRule>
  </conditionalFormatting>
  <conditionalFormatting sqref="AI53">
    <cfRule type="expression" priority="678" dxfId="3">
      <formula>AND(IF(OR($Q53=1,$Q53=2),1,0),IF($X53&lt;=20,1,0))</formula>
    </cfRule>
    <cfRule type="expression" priority="679" dxfId="2">
      <formula>AND(IF($Q53=2,1,0),IF($X53&lt;30,1,0))</formula>
    </cfRule>
    <cfRule type="expression" priority="680" dxfId="1">
      <formula>AND(IF($Q53=3,1,0),IF($X53&lt;30,1,0))</formula>
    </cfRule>
    <cfRule type="expression" priority="681" dxfId="0">
      <formula>AND(IF($Q53=3,1,IF($Q53=4,1,0)),IF($F53&lt;=85,1,0))</formula>
    </cfRule>
  </conditionalFormatting>
  <conditionalFormatting sqref="AV54">
    <cfRule type="expression" priority="676" dxfId="17">
      <formula>AV54="X"</formula>
    </cfRule>
    <cfRule type="expression" priority="677" dxfId="16">
      <formula>AV54="후보"</formula>
    </cfRule>
  </conditionalFormatting>
  <conditionalFormatting sqref="AC54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54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54">
    <cfRule type="expression" priority="667" dxfId="3">
      <formula>AND(IF(OR($Q54=1,$Q54=2),1,0),IF($X54&lt;=20,1,0))</formula>
    </cfRule>
    <cfRule type="expression" priority="668" dxfId="2">
      <formula>AND(IF($Q54=2,1,0),IF($X54&lt;30,1,0))</formula>
    </cfRule>
    <cfRule type="expression" priority="669" dxfId="1">
      <formula>AND(IF($Q54=3,1,0),IF($X54&lt;30,1,0))</formula>
    </cfRule>
    <cfRule type="expression" priority="670" dxfId="0">
      <formula>AND(IF($Q54=3,1,IF($Q54=4,1,0)),IF($F54&lt;=85,1,0))</formula>
    </cfRule>
  </conditionalFormatting>
  <conditionalFormatting sqref="X54">
    <cfRule type="expression" priority="663" dxfId="3">
      <formula>AND(IF(OR($Q54=1,$Q54=2),1,0),IF($X54&lt;=20,1,0))</formula>
    </cfRule>
    <cfRule type="expression" priority="664" dxfId="2">
      <formula>AND(IF($Q54=2,1,0),IF($X54&lt;30,1,0))</formula>
    </cfRule>
    <cfRule type="expression" priority="665" dxfId="1">
      <formula>AND(IF($Q54=3,1,0),IF($X54&lt;30,1,0))</formula>
    </cfRule>
    <cfRule type="expression" priority="666" dxfId="0">
      <formula>AND(IF($Q54=3,1,IF($Q54=4,1,0)),IF($F54&lt;=85,1,0))</formula>
    </cfRule>
  </conditionalFormatting>
  <conditionalFormatting sqref="AI54">
    <cfRule type="expression" priority="659" dxfId="3">
      <formula>AND(IF(OR($Q54=1,$Q54=2),1,0),IF($X54&lt;=20,1,0))</formula>
    </cfRule>
    <cfRule type="expression" priority="660" dxfId="2">
      <formula>AND(IF($Q54=2,1,0),IF($X54&lt;30,1,0))</formula>
    </cfRule>
    <cfRule type="expression" priority="661" dxfId="1">
      <formula>AND(IF($Q54=3,1,0),IF($X54&lt;30,1,0))</formula>
    </cfRule>
    <cfRule type="expression" priority="662" dxfId="0">
      <formula>AND(IF($Q54=3,1,IF($Q54=4,1,0)),IF($F54&lt;=85,1,0))</formula>
    </cfRule>
  </conditionalFormatting>
  <conditionalFormatting sqref="AV55">
    <cfRule type="expression" priority="657" dxfId="17">
      <formula>AV55="X"</formula>
    </cfRule>
    <cfRule type="expression" priority="658" dxfId="16">
      <formula>AV55="후보"</formula>
    </cfRule>
  </conditionalFormatting>
  <conditionalFormatting sqref="AC55 N55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AV56">
    <cfRule type="expression" priority="652" dxfId="17">
      <formula>AV56="X"</formula>
    </cfRule>
    <cfRule type="expression" priority="653" dxfId="16">
      <formula>AV56="후보"</formula>
    </cfRule>
  </conditionalFormatting>
  <conditionalFormatting sqref="AC56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56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56">
    <cfRule type="expression" priority="643" dxfId="3">
      <formula>AND(IF(OR($Q56=1,$Q56=2),1,0),IF($X56&lt;=20,1,0))</formula>
    </cfRule>
    <cfRule type="expression" priority="644" dxfId="2">
      <formula>AND(IF($Q56=2,1,0),IF($X56&lt;30,1,0))</formula>
    </cfRule>
    <cfRule type="expression" priority="645" dxfId="1">
      <formula>AND(IF($Q56=3,1,0),IF($X56&lt;30,1,0))</formula>
    </cfRule>
    <cfRule type="expression" priority="646" dxfId="0">
      <formula>AND(IF($Q56=3,1,IF($Q56=4,1,0)),IF($F56&lt;=85,1,0))</formula>
    </cfRule>
  </conditionalFormatting>
  <conditionalFormatting sqref="X56">
    <cfRule type="expression" priority="639" dxfId="3">
      <formula>AND(IF(OR($Q56=1,$Q56=2),1,0),IF($X56&lt;=20,1,0))</formula>
    </cfRule>
    <cfRule type="expression" priority="640" dxfId="2">
      <formula>AND(IF($Q56=2,1,0),IF($X56&lt;30,1,0))</formula>
    </cfRule>
    <cfRule type="expression" priority="641" dxfId="1">
      <formula>AND(IF($Q56=3,1,0),IF($X56&lt;30,1,0))</formula>
    </cfRule>
    <cfRule type="expression" priority="642" dxfId="0">
      <formula>AND(IF($Q56=3,1,IF($Q56=4,1,0)),IF($F56&lt;=85,1,0))</formula>
    </cfRule>
  </conditionalFormatting>
  <conditionalFormatting sqref="AI56">
    <cfRule type="expression" priority="635" dxfId="3">
      <formula>AND(IF(OR($Q56=1,$Q56=2),1,0),IF($X56&lt;=20,1,0))</formula>
    </cfRule>
    <cfRule type="expression" priority="636" dxfId="2">
      <formula>AND(IF($Q56=2,1,0),IF($X56&lt;30,1,0))</formula>
    </cfRule>
    <cfRule type="expression" priority="637" dxfId="1">
      <formula>AND(IF($Q56=3,1,0),IF($X56&lt;30,1,0))</formula>
    </cfRule>
    <cfRule type="expression" priority="638" dxfId="0">
      <formula>AND(IF($Q56=3,1,IF($Q56=4,1,0)),IF($F56&lt;=85,1,0))</formula>
    </cfRule>
  </conditionalFormatting>
  <conditionalFormatting sqref="AV57">
    <cfRule type="expression" priority="633" dxfId="17">
      <formula>AV57="X"</formula>
    </cfRule>
    <cfRule type="expression" priority="634" dxfId="16">
      <formula>AV57="후보"</formula>
    </cfRule>
  </conditionalFormatting>
  <conditionalFormatting sqref="AC57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57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57">
    <cfRule type="expression" priority="624" dxfId="3">
      <formula>AND(IF(OR($Q57=1,$Q57=2),1,0),IF($X57&lt;=20,1,0))</formula>
    </cfRule>
    <cfRule type="expression" priority="625" dxfId="2">
      <formula>AND(IF($Q57=2,1,0),IF($X57&lt;30,1,0))</formula>
    </cfRule>
    <cfRule type="expression" priority="626" dxfId="1">
      <formula>AND(IF($Q57=3,1,0),IF($X57&lt;30,1,0))</formula>
    </cfRule>
    <cfRule type="expression" priority="627" dxfId="0">
      <formula>AND(IF($Q57=3,1,IF($Q57=4,1,0)),IF($F57&lt;=85,1,0))</formula>
    </cfRule>
  </conditionalFormatting>
  <conditionalFormatting sqref="X57">
    <cfRule type="expression" priority="620" dxfId="3">
      <formula>AND(IF(OR($Q57=1,$Q57=2),1,0),IF($X57&lt;=20,1,0))</formula>
    </cfRule>
    <cfRule type="expression" priority="621" dxfId="2">
      <formula>AND(IF($Q57=2,1,0),IF($X57&lt;30,1,0))</formula>
    </cfRule>
    <cfRule type="expression" priority="622" dxfId="1">
      <formula>AND(IF($Q57=3,1,0),IF($X57&lt;30,1,0))</formula>
    </cfRule>
    <cfRule type="expression" priority="623" dxfId="0">
      <formula>AND(IF($Q57=3,1,IF($Q57=4,1,0)),IF($F57&lt;=85,1,0))</formula>
    </cfRule>
  </conditionalFormatting>
  <conditionalFormatting sqref="AI57">
    <cfRule type="expression" priority="616" dxfId="3">
      <formula>AND(IF(OR($Q57=1,$Q57=2),1,0),IF($X57&lt;=20,1,0))</formula>
    </cfRule>
    <cfRule type="expression" priority="617" dxfId="2">
      <formula>AND(IF($Q57=2,1,0),IF($X57&lt;30,1,0))</formula>
    </cfRule>
    <cfRule type="expression" priority="618" dxfId="1">
      <formula>AND(IF($Q57=3,1,0),IF($X57&lt;30,1,0))</formula>
    </cfRule>
    <cfRule type="expression" priority="619" dxfId="0">
      <formula>AND(IF($Q57=3,1,IF($Q57=4,1,0)),IF($F57&lt;=85,1,0))</formula>
    </cfRule>
  </conditionalFormatting>
  <conditionalFormatting sqref="AV58">
    <cfRule type="expression" priority="614" dxfId="17">
      <formula>AV58="X"</formula>
    </cfRule>
    <cfRule type="expression" priority="615" dxfId="16">
      <formula>AV58="후보"</formula>
    </cfRule>
  </conditionalFormatting>
  <conditionalFormatting sqref="AC58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58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58">
    <cfRule type="expression" priority="605" dxfId="3">
      <formula>AND(IF(OR($Q58=1,$Q58=2),1,0),IF($X58&lt;=20,1,0))</formula>
    </cfRule>
    <cfRule type="expression" priority="606" dxfId="2">
      <formula>AND(IF($Q58=2,1,0),IF($X58&lt;30,1,0))</formula>
    </cfRule>
    <cfRule type="expression" priority="607" dxfId="1">
      <formula>AND(IF($Q58=3,1,0),IF($X58&lt;30,1,0))</formula>
    </cfRule>
    <cfRule type="expression" priority="608" dxfId="0">
      <formula>AND(IF($Q58=3,1,IF($Q58=4,1,0)),IF($F58&lt;=85,1,0))</formula>
    </cfRule>
  </conditionalFormatting>
  <conditionalFormatting sqref="X58">
    <cfRule type="expression" priority="601" dxfId="3">
      <formula>AND(IF(OR($Q58=1,$Q58=2),1,0),IF($X58&lt;=20,1,0))</formula>
    </cfRule>
    <cfRule type="expression" priority="602" dxfId="2">
      <formula>AND(IF($Q58=2,1,0),IF($X58&lt;30,1,0))</formula>
    </cfRule>
    <cfRule type="expression" priority="603" dxfId="1">
      <formula>AND(IF($Q58=3,1,0),IF($X58&lt;30,1,0))</formula>
    </cfRule>
    <cfRule type="expression" priority="604" dxfId="0">
      <formula>AND(IF($Q58=3,1,IF($Q58=4,1,0)),IF($F58&lt;=85,1,0))</formula>
    </cfRule>
  </conditionalFormatting>
  <conditionalFormatting sqref="AI58">
    <cfRule type="expression" priority="597" dxfId="3">
      <formula>AND(IF(OR($Q58=1,$Q58=2),1,0),IF($X58&lt;=20,1,0))</formula>
    </cfRule>
    <cfRule type="expression" priority="598" dxfId="2">
      <formula>AND(IF($Q58=2,1,0),IF($X58&lt;30,1,0))</formula>
    </cfRule>
    <cfRule type="expression" priority="599" dxfId="1">
      <formula>AND(IF($Q58=3,1,0),IF($X58&lt;30,1,0))</formula>
    </cfRule>
    <cfRule type="expression" priority="600" dxfId="0">
      <formula>AND(IF($Q58=3,1,IF($Q58=4,1,0)),IF($F58&lt;=85,1,0))</formula>
    </cfRule>
  </conditionalFormatting>
  <conditionalFormatting sqref="AV59">
    <cfRule type="expression" priority="595" dxfId="17">
      <formula>AV59="X"</formula>
    </cfRule>
    <cfRule type="expression" priority="596" dxfId="16">
      <formula>AV59="후보"</formula>
    </cfRule>
  </conditionalFormatting>
  <conditionalFormatting sqref="AC59 N59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AV60">
    <cfRule type="expression" priority="590" dxfId="17">
      <formula>AV60="X"</formula>
    </cfRule>
    <cfRule type="expression" priority="591" dxfId="16">
      <formula>AV60="후보"</formula>
    </cfRule>
  </conditionalFormatting>
  <conditionalFormatting sqref="AC60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60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60">
    <cfRule type="expression" priority="581" dxfId="3">
      <formula>AND(IF(OR($Q60=1,$Q60=2),1,0),IF($X60&lt;=20,1,0))</formula>
    </cfRule>
    <cfRule type="expression" priority="582" dxfId="2">
      <formula>AND(IF($Q60=2,1,0),IF($X60&lt;30,1,0))</formula>
    </cfRule>
    <cfRule type="expression" priority="583" dxfId="1">
      <formula>AND(IF($Q60=3,1,0),IF($X60&lt;30,1,0))</formula>
    </cfRule>
    <cfRule type="expression" priority="584" dxfId="0">
      <formula>AND(IF($Q60=3,1,IF($Q60=4,1,0)),IF($F60&lt;=85,1,0))</formula>
    </cfRule>
  </conditionalFormatting>
  <conditionalFormatting sqref="X60">
    <cfRule type="expression" priority="577" dxfId="3">
      <formula>AND(IF(OR($Q60=1,$Q60=2),1,0),IF($X60&lt;=20,1,0))</formula>
    </cfRule>
    <cfRule type="expression" priority="578" dxfId="2">
      <formula>AND(IF($Q60=2,1,0),IF($X60&lt;30,1,0))</formula>
    </cfRule>
    <cfRule type="expression" priority="579" dxfId="1">
      <formula>AND(IF($Q60=3,1,0),IF($X60&lt;30,1,0))</formula>
    </cfRule>
    <cfRule type="expression" priority="580" dxfId="0">
      <formula>AND(IF($Q60=3,1,IF($Q60=4,1,0)),IF($F60&lt;=85,1,0))</formula>
    </cfRule>
  </conditionalFormatting>
  <conditionalFormatting sqref="AI60">
    <cfRule type="expression" priority="573" dxfId="3">
      <formula>AND(IF(OR($Q60=1,$Q60=2),1,0),IF($X60&lt;=20,1,0))</formula>
    </cfRule>
    <cfRule type="expression" priority="574" dxfId="2">
      <formula>AND(IF($Q60=2,1,0),IF($X60&lt;30,1,0))</formula>
    </cfRule>
    <cfRule type="expression" priority="575" dxfId="1">
      <formula>AND(IF($Q60=3,1,0),IF($X60&lt;30,1,0))</formula>
    </cfRule>
    <cfRule type="expression" priority="576" dxfId="0">
      <formula>AND(IF($Q60=3,1,IF($Q60=4,1,0)),IF($F60&lt;=85,1,0))</formula>
    </cfRule>
  </conditionalFormatting>
  <conditionalFormatting sqref="AV61">
    <cfRule type="expression" priority="571" dxfId="17">
      <formula>AV61="X"</formula>
    </cfRule>
    <cfRule type="expression" priority="572" dxfId="16">
      <formula>AV61="후보"</formula>
    </cfRule>
  </conditionalFormatting>
  <conditionalFormatting sqref="AC61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61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61">
    <cfRule type="expression" priority="562" dxfId="3">
      <formula>AND(IF(OR($Q61=1,$Q61=2),1,0),IF($X61&lt;=20,1,0))</formula>
    </cfRule>
    <cfRule type="expression" priority="563" dxfId="2">
      <formula>AND(IF($Q61=2,1,0),IF($X61&lt;30,1,0))</formula>
    </cfRule>
    <cfRule type="expression" priority="564" dxfId="1">
      <formula>AND(IF($Q61=3,1,0),IF($X61&lt;30,1,0))</formula>
    </cfRule>
    <cfRule type="expression" priority="565" dxfId="0">
      <formula>AND(IF($Q61=3,1,IF($Q61=4,1,0)),IF($F61&lt;=85,1,0))</formula>
    </cfRule>
  </conditionalFormatting>
  <conditionalFormatting sqref="X61">
    <cfRule type="expression" priority="558" dxfId="3">
      <formula>AND(IF(OR($Q61=1,$Q61=2),1,0),IF($X61&lt;=20,1,0))</formula>
    </cfRule>
    <cfRule type="expression" priority="559" dxfId="2">
      <formula>AND(IF($Q61=2,1,0),IF($X61&lt;30,1,0))</formula>
    </cfRule>
    <cfRule type="expression" priority="560" dxfId="1">
      <formula>AND(IF($Q61=3,1,0),IF($X61&lt;30,1,0))</formula>
    </cfRule>
    <cfRule type="expression" priority="561" dxfId="0">
      <formula>AND(IF($Q61=3,1,IF($Q61=4,1,0)),IF($F61&lt;=85,1,0))</formula>
    </cfRule>
  </conditionalFormatting>
  <conditionalFormatting sqref="AI61">
    <cfRule type="expression" priority="554" dxfId="3">
      <formula>AND(IF(OR($Q61=1,$Q61=2),1,0),IF($X61&lt;=20,1,0))</formula>
    </cfRule>
    <cfRule type="expression" priority="555" dxfId="2">
      <formula>AND(IF($Q61=2,1,0),IF($X61&lt;30,1,0))</formula>
    </cfRule>
    <cfRule type="expression" priority="556" dxfId="1">
      <formula>AND(IF($Q61=3,1,0),IF($X61&lt;30,1,0))</formula>
    </cfRule>
    <cfRule type="expression" priority="557" dxfId="0">
      <formula>AND(IF($Q61=3,1,IF($Q61=4,1,0)),IF($F61&lt;=85,1,0))</formula>
    </cfRule>
  </conditionalFormatting>
  <conditionalFormatting sqref="AV62">
    <cfRule type="expression" priority="552" dxfId="17">
      <formula>AV62="X"</formula>
    </cfRule>
    <cfRule type="expression" priority="553" dxfId="16">
      <formula>AV62="후보"</formula>
    </cfRule>
  </conditionalFormatting>
  <conditionalFormatting sqref="AC62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62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62">
    <cfRule type="expression" priority="543" dxfId="3">
      <formula>AND(IF(OR($Q62=1,$Q62=2),1,0),IF($X62&lt;=20,1,0))</formula>
    </cfRule>
    <cfRule type="expression" priority="544" dxfId="2">
      <formula>AND(IF($Q62=2,1,0),IF($X62&lt;30,1,0))</formula>
    </cfRule>
    <cfRule type="expression" priority="545" dxfId="1">
      <formula>AND(IF($Q62=3,1,0),IF($X62&lt;30,1,0))</formula>
    </cfRule>
    <cfRule type="expression" priority="546" dxfId="0">
      <formula>AND(IF($Q62=3,1,IF($Q62=4,1,0)),IF($F62&lt;=85,1,0))</formula>
    </cfRule>
  </conditionalFormatting>
  <conditionalFormatting sqref="X62">
    <cfRule type="expression" priority="539" dxfId="3">
      <formula>AND(IF(OR($Q62=1,$Q62=2),1,0),IF($X62&lt;=20,1,0))</formula>
    </cfRule>
    <cfRule type="expression" priority="540" dxfId="2">
      <formula>AND(IF($Q62=2,1,0),IF($X62&lt;30,1,0))</formula>
    </cfRule>
    <cfRule type="expression" priority="541" dxfId="1">
      <formula>AND(IF($Q62=3,1,0),IF($X62&lt;30,1,0))</formula>
    </cfRule>
    <cfRule type="expression" priority="542" dxfId="0">
      <formula>AND(IF($Q62=3,1,IF($Q62=4,1,0)),IF($F62&lt;=85,1,0))</formula>
    </cfRule>
  </conditionalFormatting>
  <conditionalFormatting sqref="AI62">
    <cfRule type="expression" priority="535" dxfId="3">
      <formula>AND(IF(OR($Q62=1,$Q62=2),1,0),IF($X62&lt;=20,1,0))</formula>
    </cfRule>
    <cfRule type="expression" priority="536" dxfId="2">
      <formula>AND(IF($Q62=2,1,0),IF($X62&lt;30,1,0))</formula>
    </cfRule>
    <cfRule type="expression" priority="537" dxfId="1">
      <formula>AND(IF($Q62=3,1,0),IF($X62&lt;30,1,0))</formula>
    </cfRule>
    <cfRule type="expression" priority="538" dxfId="0">
      <formula>AND(IF($Q62=3,1,IF($Q62=4,1,0)),IF($F62&lt;=85,1,0))</formula>
    </cfRule>
  </conditionalFormatting>
  <conditionalFormatting sqref="AV63">
    <cfRule type="expression" priority="533" dxfId="17">
      <formula>AV63="X"</formula>
    </cfRule>
    <cfRule type="expression" priority="534" dxfId="16">
      <formula>AV63="후보"</formula>
    </cfRule>
  </conditionalFormatting>
  <conditionalFormatting sqref="AC63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63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63">
    <cfRule type="expression" priority="524" dxfId="3">
      <formula>AND(IF(OR($Q63=1,$Q63=2),1,0),IF($X63&lt;=20,1,0))</formula>
    </cfRule>
    <cfRule type="expression" priority="525" dxfId="2">
      <formula>AND(IF($Q63=2,1,0),IF($X63&lt;30,1,0))</formula>
    </cfRule>
    <cfRule type="expression" priority="526" dxfId="1">
      <formula>AND(IF($Q63=3,1,0),IF($X63&lt;30,1,0))</formula>
    </cfRule>
    <cfRule type="expression" priority="527" dxfId="0">
      <formula>AND(IF($Q63=3,1,IF($Q63=4,1,0)),IF($F63&lt;=85,1,0))</formula>
    </cfRule>
  </conditionalFormatting>
  <conditionalFormatting sqref="X63">
    <cfRule type="expression" priority="520" dxfId="3">
      <formula>AND(IF(OR($Q63=1,$Q63=2),1,0),IF($X63&lt;=20,1,0))</formula>
    </cfRule>
    <cfRule type="expression" priority="521" dxfId="2">
      <formula>AND(IF($Q63=2,1,0),IF($X63&lt;30,1,0))</formula>
    </cfRule>
    <cfRule type="expression" priority="522" dxfId="1">
      <formula>AND(IF($Q63=3,1,0),IF($X63&lt;30,1,0))</formula>
    </cfRule>
    <cfRule type="expression" priority="523" dxfId="0">
      <formula>AND(IF($Q63=3,1,IF($Q63=4,1,0)),IF($F63&lt;=85,1,0))</formula>
    </cfRule>
  </conditionalFormatting>
  <conditionalFormatting sqref="AI63">
    <cfRule type="expression" priority="516" dxfId="3">
      <formula>AND(IF(OR($Q63=1,$Q63=2),1,0),IF($X63&lt;=20,1,0))</formula>
    </cfRule>
    <cfRule type="expression" priority="517" dxfId="2">
      <formula>AND(IF($Q63=2,1,0),IF($X63&lt;30,1,0))</formula>
    </cfRule>
    <cfRule type="expression" priority="518" dxfId="1">
      <formula>AND(IF($Q63=3,1,0),IF($X63&lt;30,1,0))</formula>
    </cfRule>
    <cfRule type="expression" priority="519" dxfId="0">
      <formula>AND(IF($Q63=3,1,IF($Q63=4,1,0)),IF($F63&lt;=85,1,0))</formula>
    </cfRule>
  </conditionalFormatting>
  <conditionalFormatting sqref="AV64">
    <cfRule type="expression" priority="514" dxfId="17">
      <formula>AV64="X"</formula>
    </cfRule>
    <cfRule type="expression" priority="515" dxfId="16">
      <formula>AV64="후보"</formula>
    </cfRule>
  </conditionalFormatting>
  <conditionalFormatting sqref="AC64 N64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AV65">
    <cfRule type="expression" priority="509" dxfId="17">
      <formula>AV65="X"</formula>
    </cfRule>
    <cfRule type="expression" priority="510" dxfId="16">
      <formula>AV65="후보"</formula>
    </cfRule>
  </conditionalFormatting>
  <conditionalFormatting sqref="AC65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65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65">
    <cfRule type="expression" priority="500" dxfId="3">
      <formula>AND(IF(OR($Q65=1,$Q65=2),1,0),IF($X65&lt;=20,1,0))</formula>
    </cfRule>
    <cfRule type="expression" priority="501" dxfId="2">
      <formula>AND(IF($Q65=2,1,0),IF($X65&lt;30,1,0))</formula>
    </cfRule>
    <cfRule type="expression" priority="502" dxfId="1">
      <formula>AND(IF($Q65=3,1,0),IF($X65&lt;30,1,0))</formula>
    </cfRule>
    <cfRule type="expression" priority="503" dxfId="0">
      <formula>AND(IF($Q65=3,1,IF($Q65=4,1,0)),IF($F65&lt;=85,1,0))</formula>
    </cfRule>
  </conditionalFormatting>
  <conditionalFormatting sqref="X65">
    <cfRule type="expression" priority="496" dxfId="3">
      <formula>AND(IF(OR($Q65=1,$Q65=2),1,0),IF($X65&lt;=20,1,0))</formula>
    </cfRule>
    <cfRule type="expression" priority="497" dxfId="2">
      <formula>AND(IF($Q65=2,1,0),IF($X65&lt;30,1,0))</formula>
    </cfRule>
    <cfRule type="expression" priority="498" dxfId="1">
      <formula>AND(IF($Q65=3,1,0),IF($X65&lt;30,1,0))</formula>
    </cfRule>
    <cfRule type="expression" priority="499" dxfId="0">
      <formula>AND(IF($Q65=3,1,IF($Q65=4,1,0)),IF($F65&lt;=85,1,0))</formula>
    </cfRule>
  </conditionalFormatting>
  <conditionalFormatting sqref="AI65">
    <cfRule type="expression" priority="492" dxfId="3">
      <formula>AND(IF(OR($Q65=1,$Q65=2),1,0),IF($X65&lt;=20,1,0))</formula>
    </cfRule>
    <cfRule type="expression" priority="493" dxfId="2">
      <formula>AND(IF($Q65=2,1,0),IF($X65&lt;30,1,0))</formula>
    </cfRule>
    <cfRule type="expression" priority="494" dxfId="1">
      <formula>AND(IF($Q65=3,1,0),IF($X65&lt;30,1,0))</formula>
    </cfRule>
    <cfRule type="expression" priority="495" dxfId="0">
      <formula>AND(IF($Q65=3,1,IF($Q65=4,1,0)),IF($F65&lt;=85,1,0))</formula>
    </cfRule>
  </conditionalFormatting>
  <conditionalFormatting sqref="AV66">
    <cfRule type="expression" priority="490" dxfId="17">
      <formula>AV66="X"</formula>
    </cfRule>
    <cfRule type="expression" priority="491" dxfId="16">
      <formula>AV66="후보"</formula>
    </cfRule>
  </conditionalFormatting>
  <conditionalFormatting sqref="AC66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66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66">
    <cfRule type="expression" priority="481" dxfId="3">
      <formula>AND(IF(OR($Q66=1,$Q66=2),1,0),IF($X66&lt;=20,1,0))</formula>
    </cfRule>
    <cfRule type="expression" priority="482" dxfId="2">
      <formula>AND(IF($Q66=2,1,0),IF($X66&lt;30,1,0))</formula>
    </cfRule>
    <cfRule type="expression" priority="483" dxfId="1">
      <formula>AND(IF($Q66=3,1,0),IF($X66&lt;30,1,0))</formula>
    </cfRule>
    <cfRule type="expression" priority="484" dxfId="0">
      <formula>AND(IF($Q66=3,1,IF($Q66=4,1,0)),IF($F66&lt;=85,1,0))</formula>
    </cfRule>
  </conditionalFormatting>
  <conditionalFormatting sqref="X66">
    <cfRule type="expression" priority="477" dxfId="3">
      <formula>AND(IF(OR($Q66=1,$Q66=2),1,0),IF($X66&lt;=20,1,0))</formula>
    </cfRule>
    <cfRule type="expression" priority="478" dxfId="2">
      <formula>AND(IF($Q66=2,1,0),IF($X66&lt;30,1,0))</formula>
    </cfRule>
    <cfRule type="expression" priority="479" dxfId="1">
      <formula>AND(IF($Q66=3,1,0),IF($X66&lt;30,1,0))</formula>
    </cfRule>
    <cfRule type="expression" priority="480" dxfId="0">
      <formula>AND(IF($Q66=3,1,IF($Q66=4,1,0)),IF($F66&lt;=85,1,0))</formula>
    </cfRule>
  </conditionalFormatting>
  <conditionalFormatting sqref="AI66">
    <cfRule type="expression" priority="473" dxfId="3">
      <formula>AND(IF(OR($Q66=1,$Q66=2),1,0),IF($X66&lt;=20,1,0))</formula>
    </cfRule>
    <cfRule type="expression" priority="474" dxfId="2">
      <formula>AND(IF($Q66=2,1,0),IF($X66&lt;30,1,0))</formula>
    </cfRule>
    <cfRule type="expression" priority="475" dxfId="1">
      <formula>AND(IF($Q66=3,1,0),IF($X66&lt;30,1,0))</formula>
    </cfRule>
    <cfRule type="expression" priority="476" dxfId="0">
      <formula>AND(IF($Q66=3,1,IF($Q66=4,1,0)),IF($F66&lt;=85,1,0))</formula>
    </cfRule>
  </conditionalFormatting>
  <conditionalFormatting sqref="AV67">
    <cfRule type="expression" priority="471" dxfId="17">
      <formula>AV67="X"</formula>
    </cfRule>
    <cfRule type="expression" priority="472" dxfId="16">
      <formula>AV67="후보"</formula>
    </cfRule>
  </conditionalFormatting>
  <conditionalFormatting sqref="AC67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67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67">
    <cfRule type="expression" priority="462" dxfId="3">
      <formula>AND(IF(OR($Q67=1,$Q67=2),1,0),IF($X67&lt;=20,1,0))</formula>
    </cfRule>
    <cfRule type="expression" priority="463" dxfId="2">
      <formula>AND(IF($Q67=2,1,0),IF($X67&lt;30,1,0))</formula>
    </cfRule>
    <cfRule type="expression" priority="464" dxfId="1">
      <formula>AND(IF($Q67=3,1,0),IF($X67&lt;30,1,0))</formula>
    </cfRule>
    <cfRule type="expression" priority="465" dxfId="0">
      <formula>AND(IF($Q67=3,1,IF($Q67=4,1,0)),IF($F67&lt;=85,1,0))</formula>
    </cfRule>
  </conditionalFormatting>
  <conditionalFormatting sqref="X67">
    <cfRule type="expression" priority="458" dxfId="3">
      <formula>AND(IF(OR($Q67=1,$Q67=2),1,0),IF($X67&lt;=20,1,0))</formula>
    </cfRule>
    <cfRule type="expression" priority="459" dxfId="2">
      <formula>AND(IF($Q67=2,1,0),IF($X67&lt;30,1,0))</formula>
    </cfRule>
    <cfRule type="expression" priority="460" dxfId="1">
      <formula>AND(IF($Q67=3,1,0),IF($X67&lt;30,1,0))</formula>
    </cfRule>
    <cfRule type="expression" priority="461" dxfId="0">
      <formula>AND(IF($Q67=3,1,IF($Q67=4,1,0)),IF($F67&lt;=85,1,0))</formula>
    </cfRule>
  </conditionalFormatting>
  <conditionalFormatting sqref="AI67">
    <cfRule type="expression" priority="454" dxfId="3">
      <formula>AND(IF(OR($Q67=1,$Q67=2),1,0),IF($X67&lt;=20,1,0))</formula>
    </cfRule>
    <cfRule type="expression" priority="455" dxfId="2">
      <formula>AND(IF($Q67=2,1,0),IF($X67&lt;30,1,0))</formula>
    </cfRule>
    <cfRule type="expression" priority="456" dxfId="1">
      <formula>AND(IF($Q67=3,1,0),IF($X67&lt;30,1,0))</formula>
    </cfRule>
    <cfRule type="expression" priority="457" dxfId="0">
      <formula>AND(IF($Q67=3,1,IF($Q67=4,1,0)),IF($F67&lt;=85,1,0))</formula>
    </cfRule>
  </conditionalFormatting>
  <conditionalFormatting sqref="AV68">
    <cfRule type="expression" priority="452" dxfId="17">
      <formula>AV68="X"</formula>
    </cfRule>
    <cfRule type="expression" priority="453" dxfId="16">
      <formula>AV68="후보"</formula>
    </cfRule>
  </conditionalFormatting>
  <conditionalFormatting sqref="AC68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68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68">
    <cfRule type="expression" priority="443" dxfId="3">
      <formula>AND(IF(OR($Q68=1,$Q68=2),1,0),IF($X68&lt;=20,1,0))</formula>
    </cfRule>
    <cfRule type="expression" priority="444" dxfId="2">
      <formula>AND(IF($Q68=2,1,0),IF($X68&lt;30,1,0))</formula>
    </cfRule>
    <cfRule type="expression" priority="445" dxfId="1">
      <formula>AND(IF($Q68=3,1,0),IF($X68&lt;30,1,0))</formula>
    </cfRule>
    <cfRule type="expression" priority="446" dxfId="0">
      <formula>AND(IF($Q68=3,1,IF($Q68=4,1,0)),IF($F68&lt;=85,1,0))</formula>
    </cfRule>
  </conditionalFormatting>
  <conditionalFormatting sqref="X68">
    <cfRule type="expression" priority="439" dxfId="3">
      <formula>AND(IF(OR($Q68=1,$Q68=2),1,0),IF($X68&lt;=20,1,0))</formula>
    </cfRule>
    <cfRule type="expression" priority="440" dxfId="2">
      <formula>AND(IF($Q68=2,1,0),IF($X68&lt;30,1,0))</formula>
    </cfRule>
    <cfRule type="expression" priority="441" dxfId="1">
      <formula>AND(IF($Q68=3,1,0),IF($X68&lt;30,1,0))</formula>
    </cfRule>
    <cfRule type="expression" priority="442" dxfId="0">
      <formula>AND(IF($Q68=3,1,IF($Q68=4,1,0)),IF($F68&lt;=85,1,0))</formula>
    </cfRule>
  </conditionalFormatting>
  <conditionalFormatting sqref="AI68">
    <cfRule type="expression" priority="435" dxfId="3">
      <formula>AND(IF(OR($Q68=1,$Q68=2),1,0),IF($X68&lt;=20,1,0))</formula>
    </cfRule>
    <cfRule type="expression" priority="436" dxfId="2">
      <formula>AND(IF($Q68=2,1,0),IF($X68&lt;30,1,0))</formula>
    </cfRule>
    <cfRule type="expression" priority="437" dxfId="1">
      <formula>AND(IF($Q68=3,1,0),IF($X68&lt;30,1,0))</formula>
    </cfRule>
    <cfRule type="expression" priority="438" dxfId="0">
      <formula>AND(IF($Q68=3,1,IF($Q68=4,1,0)),IF($F68&lt;=85,1,0))</formula>
    </cfRule>
  </conditionalFormatting>
  <conditionalFormatting sqref="AV69">
    <cfRule type="expression" priority="433" dxfId="17">
      <formula>AV69="X"</formula>
    </cfRule>
    <cfRule type="expression" priority="434" dxfId="16">
      <formula>AV69="후보"</formula>
    </cfRule>
  </conditionalFormatting>
  <conditionalFormatting sqref="AC69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69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69">
    <cfRule type="expression" priority="424" dxfId="3">
      <formula>AND(IF(OR($Q69=1,$Q69=2),1,0),IF($X69&lt;=20,1,0))</formula>
    </cfRule>
    <cfRule type="expression" priority="425" dxfId="2">
      <formula>AND(IF($Q69=2,1,0),IF($X69&lt;30,1,0))</formula>
    </cfRule>
    <cfRule type="expression" priority="426" dxfId="1">
      <formula>AND(IF($Q69=3,1,0),IF($X69&lt;30,1,0))</formula>
    </cfRule>
    <cfRule type="expression" priority="427" dxfId="0">
      <formula>AND(IF($Q69=3,1,IF($Q69=4,1,0)),IF($F69&lt;=85,1,0))</formula>
    </cfRule>
  </conditionalFormatting>
  <conditionalFormatting sqref="X69">
    <cfRule type="expression" priority="420" dxfId="3">
      <formula>AND(IF(OR($Q69=1,$Q69=2),1,0),IF($X69&lt;=20,1,0))</formula>
    </cfRule>
    <cfRule type="expression" priority="421" dxfId="2">
      <formula>AND(IF($Q69=2,1,0),IF($X69&lt;30,1,0))</formula>
    </cfRule>
    <cfRule type="expression" priority="422" dxfId="1">
      <formula>AND(IF($Q69=3,1,0),IF($X69&lt;30,1,0))</formula>
    </cfRule>
    <cfRule type="expression" priority="423" dxfId="0">
      <formula>AND(IF($Q69=3,1,IF($Q69=4,1,0)),IF($F69&lt;=85,1,0))</formula>
    </cfRule>
  </conditionalFormatting>
  <conditionalFormatting sqref="AI69">
    <cfRule type="expression" priority="416" dxfId="3">
      <formula>AND(IF(OR($Q69=1,$Q69=2),1,0),IF($X69&lt;=20,1,0))</formula>
    </cfRule>
    <cfRule type="expression" priority="417" dxfId="2">
      <formula>AND(IF($Q69=2,1,0),IF($X69&lt;30,1,0))</formula>
    </cfRule>
    <cfRule type="expression" priority="418" dxfId="1">
      <formula>AND(IF($Q69=3,1,0),IF($X69&lt;30,1,0))</formula>
    </cfRule>
    <cfRule type="expression" priority="419" dxfId="0">
      <formula>AND(IF($Q69=3,1,IF($Q69=4,1,0)),IF($F69&lt;=85,1,0))</formula>
    </cfRule>
  </conditionalFormatting>
  <conditionalFormatting sqref="AV70">
    <cfRule type="expression" priority="414" dxfId="17">
      <formula>AV70="X"</formula>
    </cfRule>
    <cfRule type="expression" priority="415" dxfId="16">
      <formula>AV70="후보"</formula>
    </cfRule>
  </conditionalFormatting>
  <conditionalFormatting sqref="AC70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70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70">
    <cfRule type="expression" priority="405" dxfId="3">
      <formula>AND(IF(OR($Q70=1,$Q70=2),1,0),IF($X70&lt;=20,1,0))</formula>
    </cfRule>
    <cfRule type="expression" priority="406" dxfId="2">
      <formula>AND(IF($Q70=2,1,0),IF($X70&lt;30,1,0))</formula>
    </cfRule>
    <cfRule type="expression" priority="407" dxfId="1">
      <formula>AND(IF($Q70=3,1,0),IF($X70&lt;30,1,0))</formula>
    </cfRule>
    <cfRule type="expression" priority="408" dxfId="0">
      <formula>AND(IF($Q70=3,1,IF($Q70=4,1,0)),IF($F70&lt;=85,1,0))</formula>
    </cfRule>
  </conditionalFormatting>
  <conditionalFormatting sqref="X70">
    <cfRule type="expression" priority="401" dxfId="3">
      <formula>AND(IF(OR($Q70=1,$Q70=2),1,0),IF($X70&lt;=20,1,0))</formula>
    </cfRule>
    <cfRule type="expression" priority="402" dxfId="2">
      <formula>AND(IF($Q70=2,1,0),IF($X70&lt;30,1,0))</formula>
    </cfRule>
    <cfRule type="expression" priority="403" dxfId="1">
      <formula>AND(IF($Q70=3,1,0),IF($X70&lt;30,1,0))</formula>
    </cfRule>
    <cfRule type="expression" priority="404" dxfId="0">
      <formula>AND(IF($Q70=3,1,IF($Q70=4,1,0)),IF($F70&lt;=85,1,0))</formula>
    </cfRule>
  </conditionalFormatting>
  <conditionalFormatting sqref="AI70">
    <cfRule type="expression" priority="397" dxfId="3">
      <formula>AND(IF(OR($Q70=1,$Q70=2),1,0),IF($X70&lt;=20,1,0))</formula>
    </cfRule>
    <cfRule type="expression" priority="398" dxfId="2">
      <formula>AND(IF($Q70=2,1,0),IF($X70&lt;30,1,0))</formula>
    </cfRule>
    <cfRule type="expression" priority="399" dxfId="1">
      <formula>AND(IF($Q70=3,1,0),IF($X70&lt;30,1,0))</formula>
    </cfRule>
    <cfRule type="expression" priority="400" dxfId="0">
      <formula>AND(IF($Q70=3,1,IF($Q70=4,1,0)),IF($F70&lt;=85,1,0))</formula>
    </cfRule>
  </conditionalFormatting>
  <conditionalFormatting sqref="AV71">
    <cfRule type="expression" priority="395" dxfId="17">
      <formula>AV71="X"</formula>
    </cfRule>
    <cfRule type="expression" priority="396" dxfId="16">
      <formula>AV71="후보"</formula>
    </cfRule>
  </conditionalFormatting>
  <conditionalFormatting sqref="AC71 N71">
    <cfRule type="cellIs" priority="392" operator="greaterThan" dxfId="13">
      <formula>0.9</formula>
    </cfRule>
    <cfRule type="cellIs" priority="393" operator="greaterThan" dxfId="12">
      <formula>0.85</formula>
    </cfRule>
  </conditionalFormatting>
  <conditionalFormatting sqref="AV72">
    <cfRule type="expression" priority="390" dxfId="17">
      <formula>AV72="X"</formula>
    </cfRule>
    <cfRule type="expression" priority="391" dxfId="16">
      <formula>AV72="후보"</formula>
    </cfRule>
  </conditionalFormatting>
  <conditionalFormatting sqref="AC72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72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72">
    <cfRule type="expression" priority="381" dxfId="3">
      <formula>AND(IF(OR($Q72=1,$Q72=2),1,0),IF($X72&lt;=20,1,0))</formula>
    </cfRule>
    <cfRule type="expression" priority="382" dxfId="2">
      <formula>AND(IF($Q72=2,1,0),IF($X72&lt;30,1,0))</formula>
    </cfRule>
    <cfRule type="expression" priority="383" dxfId="1">
      <formula>AND(IF($Q72=3,1,0),IF($X72&lt;30,1,0))</formula>
    </cfRule>
    <cfRule type="expression" priority="384" dxfId="0">
      <formula>AND(IF($Q72=3,1,IF($Q72=4,1,0)),IF($F72&lt;=85,1,0))</formula>
    </cfRule>
  </conditionalFormatting>
  <conditionalFormatting sqref="X72">
    <cfRule type="expression" priority="377" dxfId="3">
      <formula>AND(IF(OR($Q72=1,$Q72=2),1,0),IF($X72&lt;=20,1,0))</formula>
    </cfRule>
    <cfRule type="expression" priority="378" dxfId="2">
      <formula>AND(IF($Q72=2,1,0),IF($X72&lt;30,1,0))</formula>
    </cfRule>
    <cfRule type="expression" priority="379" dxfId="1">
      <formula>AND(IF($Q72=3,1,0),IF($X72&lt;30,1,0))</formula>
    </cfRule>
    <cfRule type="expression" priority="380" dxfId="0">
      <formula>AND(IF($Q72=3,1,IF($Q72=4,1,0)),IF($F72&lt;=85,1,0))</formula>
    </cfRule>
  </conditionalFormatting>
  <conditionalFormatting sqref="AI72">
    <cfRule type="expression" priority="373" dxfId="3">
      <formula>AND(IF(OR($Q72=1,$Q72=2),1,0),IF($X72&lt;=20,1,0))</formula>
    </cfRule>
    <cfRule type="expression" priority="374" dxfId="2">
      <formula>AND(IF($Q72=2,1,0),IF($X72&lt;30,1,0))</formula>
    </cfRule>
    <cfRule type="expression" priority="375" dxfId="1">
      <formula>AND(IF($Q72=3,1,0),IF($X72&lt;30,1,0))</formula>
    </cfRule>
    <cfRule type="expression" priority="376" dxfId="0">
      <formula>AND(IF($Q72=3,1,IF($Q72=4,1,0)),IF($F72&lt;=85,1,0))</formula>
    </cfRule>
  </conditionalFormatting>
  <conditionalFormatting sqref="AV73">
    <cfRule type="expression" priority="371" dxfId="17">
      <formula>AV73="X"</formula>
    </cfRule>
    <cfRule type="expression" priority="372" dxfId="16">
      <formula>AV73="후보"</formula>
    </cfRule>
  </conditionalFormatting>
  <conditionalFormatting sqref="AC73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73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73">
    <cfRule type="expression" priority="362" dxfId="3">
      <formula>AND(IF(OR($Q73=1,$Q73=2),1,0),IF($X73&lt;=20,1,0))</formula>
    </cfRule>
    <cfRule type="expression" priority="363" dxfId="2">
      <formula>AND(IF($Q73=2,1,0),IF($X73&lt;30,1,0))</formula>
    </cfRule>
    <cfRule type="expression" priority="364" dxfId="1">
      <formula>AND(IF($Q73=3,1,0),IF($X73&lt;30,1,0))</formula>
    </cfRule>
    <cfRule type="expression" priority="365" dxfId="0">
      <formula>AND(IF($Q73=3,1,IF($Q73=4,1,0)),IF($F73&lt;=85,1,0))</formula>
    </cfRule>
  </conditionalFormatting>
  <conditionalFormatting sqref="X73">
    <cfRule type="expression" priority="358" dxfId="3">
      <formula>AND(IF(OR($Q73=1,$Q73=2),1,0),IF($X73&lt;=20,1,0))</formula>
    </cfRule>
    <cfRule type="expression" priority="359" dxfId="2">
      <formula>AND(IF($Q73=2,1,0),IF($X73&lt;30,1,0))</formula>
    </cfRule>
    <cfRule type="expression" priority="360" dxfId="1">
      <formula>AND(IF($Q73=3,1,0),IF($X73&lt;30,1,0))</formula>
    </cfRule>
    <cfRule type="expression" priority="361" dxfId="0">
      <formula>AND(IF($Q73=3,1,IF($Q73=4,1,0)),IF($F73&lt;=85,1,0))</formula>
    </cfRule>
  </conditionalFormatting>
  <conditionalFormatting sqref="AI73">
    <cfRule type="expression" priority="354" dxfId="3">
      <formula>AND(IF(OR($Q73=1,$Q73=2),1,0),IF($X73&lt;=20,1,0))</formula>
    </cfRule>
    <cfRule type="expression" priority="355" dxfId="2">
      <formula>AND(IF($Q73=2,1,0),IF($X73&lt;30,1,0))</formula>
    </cfRule>
    <cfRule type="expression" priority="356" dxfId="1">
      <formula>AND(IF($Q73=3,1,0),IF($X73&lt;30,1,0))</formula>
    </cfRule>
    <cfRule type="expression" priority="357" dxfId="0">
      <formula>AND(IF($Q73=3,1,IF($Q73=4,1,0)),IF($F73&lt;=85,1,0))</formula>
    </cfRule>
  </conditionalFormatting>
  <conditionalFormatting sqref="AV74">
    <cfRule type="expression" priority="352" dxfId="17">
      <formula>AV74="X"</formula>
    </cfRule>
    <cfRule type="expression" priority="353" dxfId="16">
      <formula>AV74="후보"</formula>
    </cfRule>
  </conditionalFormatting>
  <conditionalFormatting sqref="AC74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74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74">
    <cfRule type="expression" priority="343" dxfId="3">
      <formula>AND(IF(OR($Q74=1,$Q74=2),1,0),IF($X74&lt;=20,1,0))</formula>
    </cfRule>
    <cfRule type="expression" priority="344" dxfId="2">
      <formula>AND(IF($Q74=2,1,0),IF($X74&lt;30,1,0))</formula>
    </cfRule>
    <cfRule type="expression" priority="345" dxfId="1">
      <formula>AND(IF($Q74=3,1,0),IF($X74&lt;30,1,0))</formula>
    </cfRule>
    <cfRule type="expression" priority="346" dxfId="0">
      <formula>AND(IF($Q74=3,1,IF($Q74=4,1,0)),IF($F74&lt;=85,1,0))</formula>
    </cfRule>
  </conditionalFormatting>
  <conditionalFormatting sqref="X74">
    <cfRule type="expression" priority="339" dxfId="3">
      <formula>AND(IF(OR($Q74=1,$Q74=2),1,0),IF($X74&lt;=20,1,0))</formula>
    </cfRule>
    <cfRule type="expression" priority="340" dxfId="2">
      <formula>AND(IF($Q74=2,1,0),IF($X74&lt;30,1,0))</formula>
    </cfRule>
    <cfRule type="expression" priority="341" dxfId="1">
      <formula>AND(IF($Q74=3,1,0),IF($X74&lt;30,1,0))</formula>
    </cfRule>
    <cfRule type="expression" priority="342" dxfId="0">
      <formula>AND(IF($Q74=3,1,IF($Q74=4,1,0)),IF($F74&lt;=85,1,0))</formula>
    </cfRule>
  </conditionalFormatting>
  <conditionalFormatting sqref="AI74">
    <cfRule type="expression" priority="335" dxfId="3">
      <formula>AND(IF(OR($Q74=1,$Q74=2),1,0),IF($X74&lt;=20,1,0))</formula>
    </cfRule>
    <cfRule type="expression" priority="336" dxfId="2">
      <formula>AND(IF($Q74=2,1,0),IF($X74&lt;30,1,0))</formula>
    </cfRule>
    <cfRule type="expression" priority="337" dxfId="1">
      <formula>AND(IF($Q74=3,1,0),IF($X74&lt;30,1,0))</formula>
    </cfRule>
    <cfRule type="expression" priority="338" dxfId="0">
      <formula>AND(IF($Q74=3,1,IF($Q74=4,1,0)),IF($F74&lt;=85,1,0))</formula>
    </cfRule>
  </conditionalFormatting>
  <conditionalFormatting sqref="AV75">
    <cfRule type="expression" priority="333" dxfId="17">
      <formula>AV75="X"</formula>
    </cfRule>
    <cfRule type="expression" priority="334" dxfId="16">
      <formula>AV75="후보"</formula>
    </cfRule>
  </conditionalFormatting>
  <conditionalFormatting sqref="AC75 N75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AV76">
    <cfRule type="expression" priority="328" dxfId="17">
      <formula>AV76="X"</formula>
    </cfRule>
    <cfRule type="expression" priority="329" dxfId="16">
      <formula>AV76="후보"</formula>
    </cfRule>
  </conditionalFormatting>
  <conditionalFormatting sqref="AC76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76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76">
    <cfRule type="expression" priority="319" dxfId="3">
      <formula>AND(IF(OR($Q76=1,$Q76=2),1,0),IF($X76&lt;=20,1,0))</formula>
    </cfRule>
    <cfRule type="expression" priority="320" dxfId="2">
      <formula>AND(IF($Q76=2,1,0),IF($X76&lt;30,1,0))</formula>
    </cfRule>
    <cfRule type="expression" priority="321" dxfId="1">
      <formula>AND(IF($Q76=3,1,0),IF($X76&lt;30,1,0))</formula>
    </cfRule>
    <cfRule type="expression" priority="322" dxfId="0">
      <formula>AND(IF($Q76=3,1,IF($Q76=4,1,0)),IF($F76&lt;=85,1,0))</formula>
    </cfRule>
  </conditionalFormatting>
  <conditionalFormatting sqref="X76">
    <cfRule type="expression" priority="315" dxfId="3">
      <formula>AND(IF(OR($Q76=1,$Q76=2),1,0),IF($X76&lt;=20,1,0))</formula>
    </cfRule>
    <cfRule type="expression" priority="316" dxfId="2">
      <formula>AND(IF($Q76=2,1,0),IF($X76&lt;30,1,0))</formula>
    </cfRule>
    <cfRule type="expression" priority="317" dxfId="1">
      <formula>AND(IF($Q76=3,1,0),IF($X76&lt;30,1,0))</formula>
    </cfRule>
    <cfRule type="expression" priority="318" dxfId="0">
      <formula>AND(IF($Q76=3,1,IF($Q76=4,1,0)),IF($F76&lt;=85,1,0))</formula>
    </cfRule>
  </conditionalFormatting>
  <conditionalFormatting sqref="AI76">
    <cfRule type="expression" priority="311" dxfId="3">
      <formula>AND(IF(OR($Q76=1,$Q76=2),1,0),IF($X76&lt;=20,1,0))</formula>
    </cfRule>
    <cfRule type="expression" priority="312" dxfId="2">
      <formula>AND(IF($Q76=2,1,0),IF($X76&lt;30,1,0))</formula>
    </cfRule>
    <cfRule type="expression" priority="313" dxfId="1">
      <formula>AND(IF($Q76=3,1,0),IF($X76&lt;30,1,0))</formula>
    </cfRule>
    <cfRule type="expression" priority="314" dxfId="0">
      <formula>AND(IF($Q76=3,1,IF($Q76=4,1,0)),IF($F76&lt;=85,1,0))</formula>
    </cfRule>
  </conditionalFormatting>
  <conditionalFormatting sqref="AV77">
    <cfRule type="expression" priority="309" dxfId="17">
      <formula>AV77="X"</formula>
    </cfRule>
    <cfRule type="expression" priority="310" dxfId="16">
      <formula>AV77="후보"</formula>
    </cfRule>
  </conditionalFormatting>
  <conditionalFormatting sqref="AC77 N77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78">
    <cfRule type="expression" priority="304" dxfId="17">
      <formula>AV78="X"</formula>
    </cfRule>
    <cfRule type="expression" priority="305" dxfId="16">
      <formula>AV78="후보"</formula>
    </cfRule>
  </conditionalFormatting>
  <conditionalFormatting sqref="AC7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78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78">
    <cfRule type="expression" priority="295" dxfId="3">
      <formula>AND(IF(OR($Q78=1,$Q78=2),1,0),IF($X78&lt;=20,1,0))</formula>
    </cfRule>
    <cfRule type="expression" priority="296" dxfId="2">
      <formula>AND(IF($Q78=2,1,0),IF($X78&lt;30,1,0))</formula>
    </cfRule>
    <cfRule type="expression" priority="297" dxfId="1">
      <formula>AND(IF($Q78=3,1,0),IF($X78&lt;30,1,0))</formula>
    </cfRule>
    <cfRule type="expression" priority="298" dxfId="0">
      <formula>AND(IF($Q78=3,1,IF($Q78=4,1,0)),IF($F78&lt;=85,1,0))</formula>
    </cfRule>
  </conditionalFormatting>
  <conditionalFormatting sqref="X78">
    <cfRule type="expression" priority="291" dxfId="3">
      <formula>AND(IF(OR($Q78=1,$Q78=2),1,0),IF($X78&lt;=20,1,0))</formula>
    </cfRule>
    <cfRule type="expression" priority="292" dxfId="2">
      <formula>AND(IF($Q78=2,1,0),IF($X78&lt;30,1,0))</formula>
    </cfRule>
    <cfRule type="expression" priority="293" dxfId="1">
      <formula>AND(IF($Q78=3,1,0),IF($X78&lt;30,1,0))</formula>
    </cfRule>
    <cfRule type="expression" priority="294" dxfId="0">
      <formula>AND(IF($Q78=3,1,IF($Q78=4,1,0)),IF($F78&lt;=85,1,0))</formula>
    </cfRule>
  </conditionalFormatting>
  <conditionalFormatting sqref="AI78">
    <cfRule type="expression" priority="287" dxfId="3">
      <formula>AND(IF(OR($Q78=1,$Q78=2),1,0),IF($X78&lt;=20,1,0))</formula>
    </cfRule>
    <cfRule type="expression" priority="288" dxfId="2">
      <formula>AND(IF($Q78=2,1,0),IF($X78&lt;30,1,0))</formula>
    </cfRule>
    <cfRule type="expression" priority="289" dxfId="1">
      <formula>AND(IF($Q78=3,1,0),IF($X78&lt;30,1,0))</formula>
    </cfRule>
    <cfRule type="expression" priority="290" dxfId="0">
      <formula>AND(IF($Q78=3,1,IF($Q78=4,1,0)),IF($F78&lt;=85,1,0))</formula>
    </cfRule>
  </conditionalFormatting>
  <conditionalFormatting sqref="AV79">
    <cfRule type="expression" priority="285" dxfId="17">
      <formula>AV79="X"</formula>
    </cfRule>
    <cfRule type="expression" priority="286" dxfId="16">
      <formula>AV79="후보"</formula>
    </cfRule>
  </conditionalFormatting>
  <conditionalFormatting sqref="AC79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79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79">
    <cfRule type="expression" priority="276" dxfId="3">
      <formula>AND(IF(OR($Q79=1,$Q79=2),1,0),IF($X79&lt;=20,1,0))</formula>
    </cfRule>
    <cfRule type="expression" priority="277" dxfId="2">
      <formula>AND(IF($Q79=2,1,0),IF($X79&lt;30,1,0))</formula>
    </cfRule>
    <cfRule type="expression" priority="278" dxfId="1">
      <formula>AND(IF($Q79=3,1,0),IF($X79&lt;30,1,0))</formula>
    </cfRule>
    <cfRule type="expression" priority="279" dxfId="0">
      <formula>AND(IF($Q79=3,1,IF($Q79=4,1,0)),IF($F79&lt;=85,1,0))</formula>
    </cfRule>
  </conditionalFormatting>
  <conditionalFormatting sqref="X79">
    <cfRule type="expression" priority="272" dxfId="3">
      <formula>AND(IF(OR($Q79=1,$Q79=2),1,0),IF($X79&lt;=20,1,0))</formula>
    </cfRule>
    <cfRule type="expression" priority="273" dxfId="2">
      <formula>AND(IF($Q79=2,1,0),IF($X79&lt;30,1,0))</formula>
    </cfRule>
    <cfRule type="expression" priority="274" dxfId="1">
      <formula>AND(IF($Q79=3,1,0),IF($X79&lt;30,1,0))</formula>
    </cfRule>
    <cfRule type="expression" priority="275" dxfId="0">
      <formula>AND(IF($Q79=3,1,IF($Q79=4,1,0)),IF($F79&lt;=85,1,0))</formula>
    </cfRule>
  </conditionalFormatting>
  <conditionalFormatting sqref="AI79">
    <cfRule type="expression" priority="268" dxfId="3">
      <formula>AND(IF(OR($Q79=1,$Q79=2),1,0),IF($X79&lt;=20,1,0))</formula>
    </cfRule>
    <cfRule type="expression" priority="269" dxfId="2">
      <formula>AND(IF($Q79=2,1,0),IF($X79&lt;30,1,0))</formula>
    </cfRule>
    <cfRule type="expression" priority="270" dxfId="1">
      <formula>AND(IF($Q79=3,1,0),IF($X79&lt;30,1,0))</formula>
    </cfRule>
    <cfRule type="expression" priority="271" dxfId="0">
      <formula>AND(IF($Q79=3,1,IF($Q79=4,1,0)),IF($F79&lt;=85,1,0))</formula>
    </cfRule>
  </conditionalFormatting>
  <conditionalFormatting sqref="AV80">
    <cfRule type="expression" priority="266" dxfId="17">
      <formula>AV80="X"</formula>
    </cfRule>
    <cfRule type="expression" priority="267" dxfId="16">
      <formula>AV80="후보"</formula>
    </cfRule>
  </conditionalFormatting>
  <conditionalFormatting sqref="AC80 N80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81">
    <cfRule type="expression" priority="261" dxfId="17">
      <formula>AV81="X"</formula>
    </cfRule>
    <cfRule type="expression" priority="262" dxfId="16">
      <formula>AV81="후보"</formula>
    </cfRule>
  </conditionalFormatting>
  <conditionalFormatting sqref="AC81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81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81">
    <cfRule type="expression" priority="252" dxfId="3">
      <formula>AND(IF(OR($Q81=1,$Q81=2),1,0),IF($X81&lt;=20,1,0))</formula>
    </cfRule>
    <cfRule type="expression" priority="253" dxfId="2">
      <formula>AND(IF($Q81=2,1,0),IF($X81&lt;30,1,0))</formula>
    </cfRule>
    <cfRule type="expression" priority="254" dxfId="1">
      <formula>AND(IF($Q81=3,1,0),IF($X81&lt;30,1,0))</formula>
    </cfRule>
    <cfRule type="expression" priority="255" dxfId="0">
      <formula>AND(IF($Q81=3,1,IF($Q81=4,1,0)),IF($F81&lt;=85,1,0))</formula>
    </cfRule>
  </conditionalFormatting>
  <conditionalFormatting sqref="X81">
    <cfRule type="expression" priority="248" dxfId="3">
      <formula>AND(IF(OR($Q81=1,$Q81=2),1,0),IF($X81&lt;=20,1,0))</formula>
    </cfRule>
    <cfRule type="expression" priority="249" dxfId="2">
      <formula>AND(IF($Q81=2,1,0),IF($X81&lt;30,1,0))</formula>
    </cfRule>
    <cfRule type="expression" priority="250" dxfId="1">
      <formula>AND(IF($Q81=3,1,0),IF($X81&lt;30,1,0))</formula>
    </cfRule>
    <cfRule type="expression" priority="251" dxfId="0">
      <formula>AND(IF($Q81=3,1,IF($Q81=4,1,0)),IF($F81&lt;=85,1,0))</formula>
    </cfRule>
  </conditionalFormatting>
  <conditionalFormatting sqref="AI81">
    <cfRule type="expression" priority="244" dxfId="3">
      <formula>AND(IF(OR($Q81=1,$Q81=2),1,0),IF($X81&lt;=20,1,0))</formula>
    </cfRule>
    <cfRule type="expression" priority="245" dxfId="2">
      <formula>AND(IF($Q81=2,1,0),IF($X81&lt;30,1,0))</formula>
    </cfRule>
    <cfRule type="expression" priority="246" dxfId="1">
      <formula>AND(IF($Q81=3,1,0),IF($X81&lt;30,1,0))</formula>
    </cfRule>
    <cfRule type="expression" priority="247" dxfId="0">
      <formula>AND(IF($Q81=3,1,IF($Q81=4,1,0)),IF($F81&lt;=85,1,0))</formula>
    </cfRule>
  </conditionalFormatting>
  <conditionalFormatting sqref="AV82">
    <cfRule type="expression" priority="242" dxfId="17">
      <formula>AV82="X"</formula>
    </cfRule>
    <cfRule type="expression" priority="243" dxfId="16">
      <formula>AV82="후보"</formula>
    </cfRule>
  </conditionalFormatting>
  <conditionalFormatting sqref="AC8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82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82">
    <cfRule type="expression" priority="233" dxfId="3">
      <formula>AND(IF(OR($Q82=1,$Q82=2),1,0),IF($X82&lt;=20,1,0))</formula>
    </cfRule>
    <cfRule type="expression" priority="234" dxfId="2">
      <formula>AND(IF($Q82=2,1,0),IF($X82&lt;30,1,0))</formula>
    </cfRule>
    <cfRule type="expression" priority="235" dxfId="1">
      <formula>AND(IF($Q82=3,1,0),IF($X82&lt;30,1,0))</formula>
    </cfRule>
    <cfRule type="expression" priority="236" dxfId="0">
      <formula>AND(IF($Q82=3,1,IF($Q82=4,1,0)),IF($F82&lt;=85,1,0))</formula>
    </cfRule>
  </conditionalFormatting>
  <conditionalFormatting sqref="X82">
    <cfRule type="expression" priority="229" dxfId="3">
      <formula>AND(IF(OR($Q82=1,$Q82=2),1,0),IF($X82&lt;=20,1,0))</formula>
    </cfRule>
    <cfRule type="expression" priority="230" dxfId="2">
      <formula>AND(IF($Q82=2,1,0),IF($X82&lt;30,1,0))</formula>
    </cfRule>
    <cfRule type="expression" priority="231" dxfId="1">
      <formula>AND(IF($Q82=3,1,0),IF($X82&lt;30,1,0))</formula>
    </cfRule>
    <cfRule type="expression" priority="232" dxfId="0">
      <formula>AND(IF($Q82=3,1,IF($Q82=4,1,0)),IF($F82&lt;=85,1,0))</formula>
    </cfRule>
  </conditionalFormatting>
  <conditionalFormatting sqref="AI82">
    <cfRule type="expression" priority="225" dxfId="3">
      <formula>AND(IF(OR($Q82=1,$Q82=2),1,0),IF($X82&lt;=20,1,0))</formula>
    </cfRule>
    <cfRule type="expression" priority="226" dxfId="2">
      <formula>AND(IF($Q82=2,1,0),IF($X82&lt;30,1,0))</formula>
    </cfRule>
    <cfRule type="expression" priority="227" dxfId="1">
      <formula>AND(IF($Q82=3,1,0),IF($X82&lt;30,1,0))</formula>
    </cfRule>
    <cfRule type="expression" priority="228" dxfId="0">
      <formula>AND(IF($Q82=3,1,IF($Q82=4,1,0)),IF($F82&lt;=85,1,0))</formula>
    </cfRule>
  </conditionalFormatting>
  <conditionalFormatting sqref="AV83">
    <cfRule type="expression" priority="223" dxfId="17">
      <formula>AV83="X"</formula>
    </cfRule>
    <cfRule type="expression" priority="224" dxfId="16">
      <formula>AV83="후보"</formula>
    </cfRule>
  </conditionalFormatting>
  <conditionalFormatting sqref="AC83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83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83">
    <cfRule type="expression" priority="214" dxfId="3">
      <formula>AND(IF(OR($Q83=1,$Q83=2),1,0),IF($X83&lt;=20,1,0))</formula>
    </cfRule>
    <cfRule type="expression" priority="215" dxfId="2">
      <formula>AND(IF($Q83=2,1,0),IF($X83&lt;30,1,0))</formula>
    </cfRule>
    <cfRule type="expression" priority="216" dxfId="1">
      <formula>AND(IF($Q83=3,1,0),IF($X83&lt;30,1,0))</formula>
    </cfRule>
    <cfRule type="expression" priority="217" dxfId="0">
      <formula>AND(IF($Q83=3,1,IF($Q83=4,1,0)),IF($F83&lt;=85,1,0))</formula>
    </cfRule>
  </conditionalFormatting>
  <conditionalFormatting sqref="X83">
    <cfRule type="expression" priority="210" dxfId="3">
      <formula>AND(IF(OR($Q83=1,$Q83=2),1,0),IF($X83&lt;=20,1,0))</formula>
    </cfRule>
    <cfRule type="expression" priority="211" dxfId="2">
      <formula>AND(IF($Q83=2,1,0),IF($X83&lt;30,1,0))</formula>
    </cfRule>
    <cfRule type="expression" priority="212" dxfId="1">
      <formula>AND(IF($Q83=3,1,0),IF($X83&lt;30,1,0))</formula>
    </cfRule>
    <cfRule type="expression" priority="213" dxfId="0">
      <formula>AND(IF($Q83=3,1,IF($Q83=4,1,0)),IF($F83&lt;=85,1,0))</formula>
    </cfRule>
  </conditionalFormatting>
  <conditionalFormatting sqref="AI83">
    <cfRule type="expression" priority="206" dxfId="3">
      <formula>AND(IF(OR($Q83=1,$Q83=2),1,0),IF($X83&lt;=20,1,0))</formula>
    </cfRule>
    <cfRule type="expression" priority="207" dxfId="2">
      <formula>AND(IF($Q83=2,1,0),IF($X83&lt;30,1,0))</formula>
    </cfRule>
    <cfRule type="expression" priority="208" dxfId="1">
      <formula>AND(IF($Q83=3,1,0),IF($X83&lt;30,1,0))</formula>
    </cfRule>
    <cfRule type="expression" priority="209" dxfId="0">
      <formula>AND(IF($Q83=3,1,IF($Q83=4,1,0)),IF($F83&lt;=85,1,0))</formula>
    </cfRule>
  </conditionalFormatting>
  <conditionalFormatting sqref="AV84">
    <cfRule type="expression" priority="204" dxfId="17">
      <formula>AV84="X"</formula>
    </cfRule>
    <cfRule type="expression" priority="205" dxfId="16">
      <formula>AV84="후보"</formula>
    </cfRule>
  </conditionalFormatting>
  <conditionalFormatting sqref="AC84 N84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85">
    <cfRule type="expression" priority="199" dxfId="17">
      <formula>AV85="X"</formula>
    </cfRule>
    <cfRule type="expression" priority="200" dxfId="16">
      <formula>AV85="후보"</formula>
    </cfRule>
  </conditionalFormatting>
  <conditionalFormatting sqref="AC8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85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85">
    <cfRule type="expression" priority="190" dxfId="3">
      <formula>AND(IF(OR($Q85=1,$Q85=2),1,0),IF($X85&lt;=20,1,0))</formula>
    </cfRule>
    <cfRule type="expression" priority="191" dxfId="2">
      <formula>AND(IF($Q85=2,1,0),IF($X85&lt;30,1,0))</formula>
    </cfRule>
    <cfRule type="expression" priority="192" dxfId="1">
      <formula>AND(IF($Q85=3,1,0),IF($X85&lt;30,1,0))</formula>
    </cfRule>
    <cfRule type="expression" priority="193" dxfId="0">
      <formula>AND(IF($Q85=3,1,IF($Q85=4,1,0)),IF($F85&lt;=85,1,0))</formula>
    </cfRule>
  </conditionalFormatting>
  <conditionalFormatting sqref="X85">
    <cfRule type="expression" priority="186" dxfId="3">
      <formula>AND(IF(OR($Q85=1,$Q85=2),1,0),IF($X85&lt;=20,1,0))</formula>
    </cfRule>
    <cfRule type="expression" priority="187" dxfId="2">
      <formula>AND(IF($Q85=2,1,0),IF($X85&lt;30,1,0))</formula>
    </cfRule>
    <cfRule type="expression" priority="188" dxfId="1">
      <formula>AND(IF($Q85=3,1,0),IF($X85&lt;30,1,0))</formula>
    </cfRule>
    <cfRule type="expression" priority="189" dxfId="0">
      <formula>AND(IF($Q85=3,1,IF($Q85=4,1,0)),IF($F85&lt;=85,1,0))</formula>
    </cfRule>
  </conditionalFormatting>
  <conditionalFormatting sqref="AI85">
    <cfRule type="expression" priority="182" dxfId="3">
      <formula>AND(IF(OR($Q85=1,$Q85=2),1,0),IF($X85&lt;=20,1,0))</formula>
    </cfRule>
    <cfRule type="expression" priority="183" dxfId="2">
      <formula>AND(IF($Q85=2,1,0),IF($X85&lt;30,1,0))</formula>
    </cfRule>
    <cfRule type="expression" priority="184" dxfId="1">
      <formula>AND(IF($Q85=3,1,0),IF($X85&lt;30,1,0))</formula>
    </cfRule>
    <cfRule type="expression" priority="185" dxfId="0">
      <formula>AND(IF($Q85=3,1,IF($Q85=4,1,0)),IF($F85&lt;=85,1,0))</formula>
    </cfRule>
  </conditionalFormatting>
  <conditionalFormatting sqref="AV86">
    <cfRule type="expression" priority="180" dxfId="17">
      <formula>AV86="X"</formula>
    </cfRule>
    <cfRule type="expression" priority="181" dxfId="16">
      <formula>AV86="후보"</formula>
    </cfRule>
  </conditionalFormatting>
  <conditionalFormatting sqref="AC86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8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86">
    <cfRule type="expression" priority="171" dxfId="3">
      <formula>AND(IF(OR($Q86=1,$Q86=2),1,0),IF($X86&lt;=20,1,0))</formula>
    </cfRule>
    <cfRule type="expression" priority="172" dxfId="2">
      <formula>AND(IF($Q86=2,1,0),IF($X86&lt;30,1,0))</formula>
    </cfRule>
    <cfRule type="expression" priority="173" dxfId="1">
      <formula>AND(IF($Q86=3,1,0),IF($X86&lt;30,1,0))</formula>
    </cfRule>
    <cfRule type="expression" priority="174" dxfId="0">
      <formula>AND(IF($Q86=3,1,IF($Q86=4,1,0)),IF($F86&lt;=85,1,0))</formula>
    </cfRule>
  </conditionalFormatting>
  <conditionalFormatting sqref="X86">
    <cfRule type="expression" priority="167" dxfId="3">
      <formula>AND(IF(OR($Q86=1,$Q86=2),1,0),IF($X86&lt;=20,1,0))</formula>
    </cfRule>
    <cfRule type="expression" priority="168" dxfId="2">
      <formula>AND(IF($Q86=2,1,0),IF($X86&lt;30,1,0))</formula>
    </cfRule>
    <cfRule type="expression" priority="169" dxfId="1">
      <formula>AND(IF($Q86=3,1,0),IF($X86&lt;30,1,0))</formula>
    </cfRule>
    <cfRule type="expression" priority="170" dxfId="0">
      <formula>AND(IF($Q86=3,1,IF($Q86=4,1,0)),IF($F86&lt;=85,1,0))</formula>
    </cfRule>
  </conditionalFormatting>
  <conditionalFormatting sqref="AI86">
    <cfRule type="expression" priority="163" dxfId="3">
      <formula>AND(IF(OR($Q86=1,$Q86=2),1,0),IF($X86&lt;=20,1,0))</formula>
    </cfRule>
    <cfRule type="expression" priority="164" dxfId="2">
      <formula>AND(IF($Q86=2,1,0),IF($X86&lt;30,1,0))</formula>
    </cfRule>
    <cfRule type="expression" priority="165" dxfId="1">
      <formula>AND(IF($Q86=3,1,0),IF($X86&lt;30,1,0))</formula>
    </cfRule>
    <cfRule type="expression" priority="166" dxfId="0">
      <formula>AND(IF($Q86=3,1,IF($Q86=4,1,0)),IF($F86&lt;=85,1,0))</formula>
    </cfRule>
  </conditionalFormatting>
  <conditionalFormatting sqref="AV87">
    <cfRule type="expression" priority="161" dxfId="17">
      <formula>AV87="X"</formula>
    </cfRule>
    <cfRule type="expression" priority="162" dxfId="16">
      <formula>AV87="후보"</formula>
    </cfRule>
  </conditionalFormatting>
  <conditionalFormatting sqref="AC8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87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87">
    <cfRule type="expression" priority="152" dxfId="3">
      <formula>AND(IF(OR($Q87=1,$Q87=2),1,0),IF($X87&lt;=20,1,0))</formula>
    </cfRule>
    <cfRule type="expression" priority="153" dxfId="2">
      <formula>AND(IF($Q87=2,1,0),IF($X87&lt;30,1,0))</formula>
    </cfRule>
    <cfRule type="expression" priority="154" dxfId="1">
      <formula>AND(IF($Q87=3,1,0),IF($X87&lt;30,1,0))</formula>
    </cfRule>
    <cfRule type="expression" priority="155" dxfId="0">
      <formula>AND(IF($Q87=3,1,IF($Q87=4,1,0)),IF($F87&lt;=85,1,0))</formula>
    </cfRule>
  </conditionalFormatting>
  <conditionalFormatting sqref="X87">
    <cfRule type="expression" priority="148" dxfId="3">
      <formula>AND(IF(OR($Q87=1,$Q87=2),1,0),IF($X87&lt;=20,1,0))</formula>
    </cfRule>
    <cfRule type="expression" priority="149" dxfId="2">
      <formula>AND(IF($Q87=2,1,0),IF($X87&lt;30,1,0))</formula>
    </cfRule>
    <cfRule type="expression" priority="150" dxfId="1">
      <formula>AND(IF($Q87=3,1,0),IF($X87&lt;30,1,0))</formula>
    </cfRule>
    <cfRule type="expression" priority="151" dxfId="0">
      <formula>AND(IF($Q87=3,1,IF($Q87=4,1,0)),IF($F87&lt;=85,1,0))</formula>
    </cfRule>
  </conditionalFormatting>
  <conditionalFormatting sqref="AI87">
    <cfRule type="expression" priority="144" dxfId="3">
      <formula>AND(IF(OR($Q87=1,$Q87=2),1,0),IF($X87&lt;=20,1,0))</formula>
    </cfRule>
    <cfRule type="expression" priority="145" dxfId="2">
      <formula>AND(IF($Q87=2,1,0),IF($X87&lt;30,1,0))</formula>
    </cfRule>
    <cfRule type="expression" priority="146" dxfId="1">
      <formula>AND(IF($Q87=3,1,0),IF($X87&lt;30,1,0))</formula>
    </cfRule>
    <cfRule type="expression" priority="147" dxfId="0">
      <formula>AND(IF($Q87=3,1,IF($Q87=4,1,0)),IF($F87&lt;=85,1,0))</formula>
    </cfRule>
  </conditionalFormatting>
  <conditionalFormatting sqref="AV88">
    <cfRule type="expression" priority="142" dxfId="17">
      <formula>AV88="X"</formula>
    </cfRule>
    <cfRule type="expression" priority="143" dxfId="16">
      <formula>AV88="후보"</formula>
    </cfRule>
  </conditionalFormatting>
  <conditionalFormatting sqref="AC8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8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88">
    <cfRule type="expression" priority="133" dxfId="3">
      <formula>AND(IF(OR($Q88=1,$Q88=2),1,0),IF($X88&lt;=20,1,0))</formula>
    </cfRule>
    <cfRule type="expression" priority="134" dxfId="2">
      <formula>AND(IF($Q88=2,1,0),IF($X88&lt;30,1,0))</formula>
    </cfRule>
    <cfRule type="expression" priority="135" dxfId="1">
      <formula>AND(IF($Q88=3,1,0),IF($X88&lt;30,1,0))</formula>
    </cfRule>
    <cfRule type="expression" priority="136" dxfId="0">
      <formula>AND(IF($Q88=3,1,IF($Q88=4,1,0)),IF($F88&lt;=85,1,0))</formula>
    </cfRule>
  </conditionalFormatting>
  <conditionalFormatting sqref="X88">
    <cfRule type="expression" priority="129" dxfId="3">
      <formula>AND(IF(OR($Q88=1,$Q88=2),1,0),IF($X88&lt;=20,1,0))</formula>
    </cfRule>
    <cfRule type="expression" priority="130" dxfId="2">
      <formula>AND(IF($Q88=2,1,0),IF($X88&lt;30,1,0))</formula>
    </cfRule>
    <cfRule type="expression" priority="131" dxfId="1">
      <formula>AND(IF($Q88=3,1,0),IF($X88&lt;30,1,0))</formula>
    </cfRule>
    <cfRule type="expression" priority="132" dxfId="0">
      <formula>AND(IF($Q88=3,1,IF($Q88=4,1,0)),IF($F88&lt;=85,1,0))</formula>
    </cfRule>
  </conditionalFormatting>
  <conditionalFormatting sqref="AI88">
    <cfRule type="expression" priority="125" dxfId="3">
      <formula>AND(IF(OR($Q88=1,$Q88=2),1,0),IF($X88&lt;=20,1,0))</formula>
    </cfRule>
    <cfRule type="expression" priority="126" dxfId="2">
      <formula>AND(IF($Q88=2,1,0),IF($X88&lt;30,1,0))</formula>
    </cfRule>
    <cfRule type="expression" priority="127" dxfId="1">
      <formula>AND(IF($Q88=3,1,0),IF($X88&lt;30,1,0))</formula>
    </cfRule>
    <cfRule type="expression" priority="128" dxfId="0">
      <formula>AND(IF($Q88=3,1,IF($Q88=4,1,0)),IF($F88&lt;=85,1,0))</formula>
    </cfRule>
  </conditionalFormatting>
  <conditionalFormatting sqref="AV89">
    <cfRule type="expression" priority="123" dxfId="17">
      <formula>AV89="X"</formula>
    </cfRule>
    <cfRule type="expression" priority="124" dxfId="16">
      <formula>AV89="후보"</formula>
    </cfRule>
  </conditionalFormatting>
  <conditionalFormatting sqref="AC89 N8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90">
    <cfRule type="expression" priority="118" dxfId="17">
      <formula>AV90="X"</formula>
    </cfRule>
    <cfRule type="expression" priority="119" dxfId="16">
      <formula>AV90="후보"</formula>
    </cfRule>
  </conditionalFormatting>
  <conditionalFormatting sqref="AC9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9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90">
    <cfRule type="expression" priority="109" dxfId="3">
      <formula>AND(IF(OR($Q90=1,$Q90=2),1,0),IF($X90&lt;=20,1,0))</formula>
    </cfRule>
    <cfRule type="expression" priority="110" dxfId="2">
      <formula>AND(IF($Q90=2,1,0),IF($X90&lt;30,1,0))</formula>
    </cfRule>
    <cfRule type="expression" priority="111" dxfId="1">
      <formula>AND(IF($Q90=3,1,0),IF($X90&lt;30,1,0))</formula>
    </cfRule>
    <cfRule type="expression" priority="112" dxfId="0">
      <formula>AND(IF($Q90=3,1,IF($Q90=4,1,0)),IF($F90&lt;=85,1,0))</formula>
    </cfRule>
  </conditionalFormatting>
  <conditionalFormatting sqref="X90">
    <cfRule type="expression" priority="105" dxfId="3">
      <formula>AND(IF(OR($Q90=1,$Q90=2),1,0),IF($X90&lt;=20,1,0))</formula>
    </cfRule>
    <cfRule type="expression" priority="106" dxfId="2">
      <formula>AND(IF($Q90=2,1,0),IF($X90&lt;30,1,0))</formula>
    </cfRule>
    <cfRule type="expression" priority="107" dxfId="1">
      <formula>AND(IF($Q90=3,1,0),IF($X90&lt;30,1,0))</formula>
    </cfRule>
    <cfRule type="expression" priority="108" dxfId="0">
      <formula>AND(IF($Q90=3,1,IF($Q90=4,1,0)),IF($F90&lt;=85,1,0))</formula>
    </cfRule>
  </conditionalFormatting>
  <conditionalFormatting sqref="AI90">
    <cfRule type="expression" priority="101" dxfId="3">
      <formula>AND(IF(OR($Q90=1,$Q90=2),1,0),IF($X90&lt;=20,1,0))</formula>
    </cfRule>
    <cfRule type="expression" priority="102" dxfId="2">
      <formula>AND(IF($Q90=2,1,0),IF($X90&lt;30,1,0))</formula>
    </cfRule>
    <cfRule type="expression" priority="103" dxfId="1">
      <formula>AND(IF($Q90=3,1,0),IF($X90&lt;30,1,0))</formula>
    </cfRule>
    <cfRule type="expression" priority="104" dxfId="0">
      <formula>AND(IF($Q90=3,1,IF($Q90=4,1,0)),IF($F90&lt;=85,1,0))</formula>
    </cfRule>
  </conditionalFormatting>
  <conditionalFormatting sqref="AV91">
    <cfRule type="expression" priority="99" dxfId="17">
      <formula>AV91="X"</formula>
    </cfRule>
    <cfRule type="expression" priority="100" dxfId="16">
      <formula>AV91="후보"</formula>
    </cfRule>
  </conditionalFormatting>
  <conditionalFormatting sqref="AC9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9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91">
    <cfRule type="expression" priority="90" dxfId="3">
      <formula>AND(IF(OR($Q91=1,$Q91=2),1,0),IF($X91&lt;=20,1,0))</formula>
    </cfRule>
    <cfRule type="expression" priority="91" dxfId="2">
      <formula>AND(IF($Q91=2,1,0),IF($X91&lt;30,1,0))</formula>
    </cfRule>
    <cfRule type="expression" priority="92" dxfId="1">
      <formula>AND(IF($Q91=3,1,0),IF($X91&lt;30,1,0))</formula>
    </cfRule>
    <cfRule type="expression" priority="93" dxfId="0">
      <formula>AND(IF($Q91=3,1,IF($Q91=4,1,0)),IF($F91&lt;=85,1,0))</formula>
    </cfRule>
  </conditionalFormatting>
  <conditionalFormatting sqref="X91">
    <cfRule type="expression" priority="86" dxfId="3">
      <formula>AND(IF(OR($Q91=1,$Q91=2),1,0),IF($X91&lt;=20,1,0))</formula>
    </cfRule>
    <cfRule type="expression" priority="87" dxfId="2">
      <formula>AND(IF($Q91=2,1,0),IF($X91&lt;30,1,0))</formula>
    </cfRule>
    <cfRule type="expression" priority="88" dxfId="1">
      <formula>AND(IF($Q91=3,1,0),IF($X91&lt;30,1,0))</formula>
    </cfRule>
    <cfRule type="expression" priority="89" dxfId="0">
      <formula>AND(IF($Q91=3,1,IF($Q91=4,1,0)),IF($F91&lt;=85,1,0))</formula>
    </cfRule>
  </conditionalFormatting>
  <conditionalFormatting sqref="AI91">
    <cfRule type="expression" priority="82" dxfId="3">
      <formula>AND(IF(OR($Q91=1,$Q91=2),1,0),IF($X91&lt;=20,1,0))</formula>
    </cfRule>
    <cfRule type="expression" priority="83" dxfId="2">
      <formula>AND(IF($Q91=2,1,0),IF($X91&lt;30,1,0))</formula>
    </cfRule>
    <cfRule type="expression" priority="84" dxfId="1">
      <formula>AND(IF($Q91=3,1,0),IF($X91&lt;30,1,0))</formula>
    </cfRule>
    <cfRule type="expression" priority="85" dxfId="0">
      <formula>AND(IF($Q91=3,1,IF($Q91=4,1,0)),IF($F91&lt;=85,1,0))</formula>
    </cfRule>
  </conditionalFormatting>
  <conditionalFormatting sqref="AV92">
    <cfRule type="expression" priority="80" dxfId="17">
      <formula>AV92="X"</formula>
    </cfRule>
    <cfRule type="expression" priority="81" dxfId="16">
      <formula>AV92="후보"</formula>
    </cfRule>
  </conditionalFormatting>
  <conditionalFormatting sqref="AC9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9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92">
    <cfRule type="expression" priority="71" dxfId="3">
      <formula>AND(IF(OR($Q92=1,$Q92=2),1,0),IF($X92&lt;=20,1,0))</formula>
    </cfRule>
    <cfRule type="expression" priority="72" dxfId="2">
      <formula>AND(IF($Q92=2,1,0),IF($X92&lt;30,1,0))</formula>
    </cfRule>
    <cfRule type="expression" priority="73" dxfId="1">
      <formula>AND(IF($Q92=3,1,0),IF($X92&lt;30,1,0))</formula>
    </cfRule>
    <cfRule type="expression" priority="74" dxfId="0">
      <formula>AND(IF($Q92=3,1,IF($Q92=4,1,0)),IF($F92&lt;=85,1,0))</formula>
    </cfRule>
  </conditionalFormatting>
  <conditionalFormatting sqref="X92">
    <cfRule type="expression" priority="67" dxfId="3">
      <formula>AND(IF(OR($Q92=1,$Q92=2),1,0),IF($X92&lt;=20,1,0))</formula>
    </cfRule>
    <cfRule type="expression" priority="68" dxfId="2">
      <formula>AND(IF($Q92=2,1,0),IF($X92&lt;30,1,0))</formula>
    </cfRule>
    <cfRule type="expression" priority="69" dxfId="1">
      <formula>AND(IF($Q92=3,1,0),IF($X92&lt;30,1,0))</formula>
    </cfRule>
    <cfRule type="expression" priority="70" dxfId="0">
      <formula>AND(IF($Q92=3,1,IF($Q92=4,1,0)),IF($F92&lt;=85,1,0))</formula>
    </cfRule>
  </conditionalFormatting>
  <conditionalFormatting sqref="AI92">
    <cfRule type="expression" priority="63" dxfId="3">
      <formula>AND(IF(OR($Q92=1,$Q92=2),1,0),IF($X92&lt;=20,1,0))</formula>
    </cfRule>
    <cfRule type="expression" priority="64" dxfId="2">
      <formula>AND(IF($Q92=2,1,0),IF($X92&lt;30,1,0))</formula>
    </cfRule>
    <cfRule type="expression" priority="65" dxfId="1">
      <formula>AND(IF($Q92=3,1,0),IF($X92&lt;30,1,0))</formula>
    </cfRule>
    <cfRule type="expression" priority="66" dxfId="0">
      <formula>AND(IF($Q92=3,1,IF($Q92=4,1,0)),IF($F92&lt;=85,1,0))</formula>
    </cfRule>
  </conditionalFormatting>
  <conditionalFormatting sqref="AV93">
    <cfRule type="expression" priority="61" dxfId="17">
      <formula>AV93="X"</formula>
    </cfRule>
    <cfRule type="expression" priority="62" dxfId="16">
      <formula>AV93="후보"</formula>
    </cfRule>
  </conditionalFormatting>
  <conditionalFormatting sqref="AC9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93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93">
    <cfRule type="expression" priority="52" dxfId="3">
      <formula>AND(IF(OR($Q93=1,$Q93=2),1,0),IF($X93&lt;=20,1,0))</formula>
    </cfRule>
    <cfRule type="expression" priority="53" dxfId="2">
      <formula>AND(IF($Q93=2,1,0),IF($X93&lt;30,1,0))</formula>
    </cfRule>
    <cfRule type="expression" priority="54" dxfId="1">
      <formula>AND(IF($Q93=3,1,0),IF($X93&lt;30,1,0))</formula>
    </cfRule>
    <cfRule type="expression" priority="55" dxfId="0">
      <formula>AND(IF($Q93=3,1,IF($Q93=4,1,0)),IF($F93&lt;=85,1,0))</formula>
    </cfRule>
  </conditionalFormatting>
  <conditionalFormatting sqref="X93">
    <cfRule type="expression" priority="48" dxfId="3">
      <formula>AND(IF(OR($Q93=1,$Q93=2),1,0),IF($X93&lt;=20,1,0))</formula>
    </cfRule>
    <cfRule type="expression" priority="49" dxfId="2">
      <formula>AND(IF($Q93=2,1,0),IF($X93&lt;30,1,0))</formula>
    </cfRule>
    <cfRule type="expression" priority="50" dxfId="1">
      <formula>AND(IF($Q93=3,1,0),IF($X93&lt;30,1,0))</formula>
    </cfRule>
    <cfRule type="expression" priority="51" dxfId="0">
      <formula>AND(IF($Q93=3,1,IF($Q93=4,1,0)),IF($F93&lt;=85,1,0))</formula>
    </cfRule>
  </conditionalFormatting>
  <conditionalFormatting sqref="AI93">
    <cfRule type="expression" priority="44" dxfId="3">
      <formula>AND(IF(OR($Q93=1,$Q93=2),1,0),IF($X93&lt;=20,1,0))</formula>
    </cfRule>
    <cfRule type="expression" priority="45" dxfId="2">
      <formula>AND(IF($Q93=2,1,0),IF($X93&lt;30,1,0))</formula>
    </cfRule>
    <cfRule type="expression" priority="46" dxfId="1">
      <formula>AND(IF($Q93=3,1,0),IF($X93&lt;30,1,0))</formula>
    </cfRule>
    <cfRule type="expression" priority="47" dxfId="0">
      <formula>AND(IF($Q93=3,1,IF($Q93=4,1,0)),IF($F93&lt;=85,1,0))</formula>
    </cfRule>
  </conditionalFormatting>
  <conditionalFormatting sqref="AV94">
    <cfRule type="expression" priority="42" dxfId="17">
      <formula>AV94="X"</formula>
    </cfRule>
    <cfRule type="expression" priority="43" dxfId="16">
      <formula>AV94="후보"</formula>
    </cfRule>
  </conditionalFormatting>
  <conditionalFormatting sqref="AC94 N94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95">
    <cfRule type="expression" priority="37" dxfId="17">
      <formula>AV95="X"</formula>
    </cfRule>
    <cfRule type="expression" priority="38" dxfId="16">
      <formula>AV95="후보"</formula>
    </cfRule>
  </conditionalFormatting>
  <conditionalFormatting sqref="AC9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5">
    <cfRule type="expression" priority="28" dxfId="3">
      <formula>AND(IF(OR($Q95=1,$Q95=2),1,0),IF($X95&lt;=20,1,0))</formula>
    </cfRule>
    <cfRule type="expression" priority="29" dxfId="2">
      <formula>AND(IF($Q95=2,1,0),IF($X95&lt;30,1,0))</formula>
    </cfRule>
    <cfRule type="expression" priority="30" dxfId="1">
      <formula>AND(IF($Q95=3,1,0),IF($X95&lt;30,1,0))</formula>
    </cfRule>
    <cfRule type="expression" priority="31" dxfId="0">
      <formula>AND(IF($Q95=3,1,IF($Q95=4,1,0)),IF($F95&lt;=85,1,0))</formula>
    </cfRule>
  </conditionalFormatting>
  <conditionalFormatting sqref="X95">
    <cfRule type="expression" priority="24" dxfId="3">
      <formula>AND(IF(OR($Q95=1,$Q95=2),1,0),IF($X95&lt;=20,1,0))</formula>
    </cfRule>
    <cfRule type="expression" priority="25" dxfId="2">
      <formula>AND(IF($Q95=2,1,0),IF($X95&lt;30,1,0))</formula>
    </cfRule>
    <cfRule type="expression" priority="26" dxfId="1">
      <formula>AND(IF($Q95=3,1,0),IF($X95&lt;30,1,0))</formula>
    </cfRule>
    <cfRule type="expression" priority="27" dxfId="0">
      <formula>AND(IF($Q95=3,1,IF($Q95=4,1,0)),IF($F95&lt;=85,1,0))</formula>
    </cfRule>
  </conditionalFormatting>
  <conditionalFormatting sqref="AI95">
    <cfRule type="expression" priority="20" dxfId="3">
      <formula>AND(IF(OR($Q95=1,$Q95=2),1,0),IF($X95&lt;=20,1,0))</formula>
    </cfRule>
    <cfRule type="expression" priority="21" dxfId="2">
      <formula>AND(IF($Q95=2,1,0),IF($X95&lt;30,1,0))</formula>
    </cfRule>
    <cfRule type="expression" priority="22" dxfId="1">
      <formula>AND(IF($Q95=3,1,0),IF($X95&lt;30,1,0))</formula>
    </cfRule>
    <cfRule type="expression" priority="23" dxfId="0">
      <formula>AND(IF($Q95=3,1,IF($Q95=4,1,0)),IF($F95&lt;=85,1,0))</formula>
    </cfRule>
  </conditionalFormatting>
  <conditionalFormatting sqref="AV96">
    <cfRule type="expression" priority="18" dxfId="17">
      <formula>AV96="X"</formula>
    </cfRule>
    <cfRule type="expression" priority="19" dxfId="16">
      <formula>AV96="후보"</formula>
    </cfRule>
  </conditionalFormatting>
  <conditionalFormatting sqref="AC9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6">
    <cfRule type="expression" priority="9" dxfId="3">
      <formula>AND(IF(OR($Q96=1,$Q96=2),1,0),IF($X96&lt;=20,1,0))</formula>
    </cfRule>
    <cfRule type="expression" priority="10" dxfId="2">
      <formula>AND(IF($Q96=2,1,0),IF($X96&lt;30,1,0))</formula>
    </cfRule>
    <cfRule type="expression" priority="11" dxfId="1">
      <formula>AND(IF($Q96=3,1,0),IF($X96&lt;30,1,0))</formula>
    </cfRule>
    <cfRule type="expression" priority="12" dxfId="0">
      <formula>AND(IF($Q96=3,1,IF($Q96=4,1,0)),IF($F96&lt;=85,1,0))</formula>
    </cfRule>
  </conditionalFormatting>
  <conditionalFormatting sqref="X96">
    <cfRule type="expression" priority="5" dxfId="3">
      <formula>AND(IF(OR($Q96=1,$Q96=2),1,0),IF($X96&lt;=20,1,0))</formula>
    </cfRule>
    <cfRule type="expression" priority="6" dxfId="2">
      <formula>AND(IF($Q96=2,1,0),IF($X96&lt;30,1,0))</formula>
    </cfRule>
    <cfRule type="expression" priority="7" dxfId="1">
      <formula>AND(IF($Q96=3,1,0),IF($X96&lt;30,1,0))</formula>
    </cfRule>
    <cfRule type="expression" priority="8" dxfId="0">
      <formula>AND(IF($Q96=3,1,IF($Q96=4,1,0)),IF($F96&lt;=85,1,0))</formula>
    </cfRule>
  </conditionalFormatting>
  <conditionalFormatting sqref="AI96">
    <cfRule type="expression" priority="1" dxfId="3">
      <formula>AND(IF(OR($Q96=1,$Q96=2),1,0),IF($X96&lt;=20,1,0))</formula>
    </cfRule>
    <cfRule type="expression" priority="2" dxfId="2">
      <formula>AND(IF($Q96=2,1,0),IF($X96&lt;30,1,0))</formula>
    </cfRule>
    <cfRule type="expression" priority="3" dxfId="1">
      <formula>AND(IF($Q96=3,1,0),IF($X96&lt;30,1,0))</formula>
    </cfRule>
    <cfRule type="expression" priority="4" dxfId="0">
      <formula>AND(IF($Q96=3,1,IF($Q96=4,1,0)),IF($F96&lt;=85,1,0))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검암동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신명스카이뷰</t>
        </is>
      </c>
      <c r="B6" s="16" t="inlineStr">
        <is>
          <t>'03.07.</t>
        </is>
      </c>
      <c r="C6" s="164" t="n">
        <v>268</v>
      </c>
      <c r="D6" s="161" t="n">
        <v>79.40000000000001</v>
      </c>
      <c r="E6" s="163" t="n">
        <v>24</v>
      </c>
      <c r="F6" s="161" t="n">
        <v>59.9</v>
      </c>
      <c r="G6" s="27" t="n">
        <v>18</v>
      </c>
      <c r="H6" s="164" t="n">
        <v>30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신명스카이뷰</t>
        </is>
      </c>
      <c r="B7" s="16" t="inlineStr">
        <is>
          <t>'03.07.</t>
        </is>
      </c>
      <c r="C7" s="164" t="n">
        <v>268</v>
      </c>
      <c r="D7" s="161" t="n">
        <v>109.3</v>
      </c>
      <c r="E7" s="163" t="n">
        <v>33</v>
      </c>
      <c r="F7" s="161" t="n">
        <v>85</v>
      </c>
      <c r="G7" s="27" t="n">
        <v>26</v>
      </c>
      <c r="H7" s="164" t="n">
        <v>238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109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삼보해피하임1차</t>
        </is>
      </c>
      <c r="B9" s="16" t="inlineStr">
        <is>
          <t>'03.08.</t>
        </is>
      </c>
      <c r="C9" s="164" t="n">
        <v>252</v>
      </c>
      <c r="D9" s="161" t="n">
        <v>92.59999999999999</v>
      </c>
      <c r="E9" s="163" t="n">
        <v>28</v>
      </c>
      <c r="F9" s="161" t="n">
        <v>71.59999999999999</v>
      </c>
      <c r="G9" s="27" t="n">
        <v>22</v>
      </c>
      <c r="H9" s="164" t="n">
        <v>60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92B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삼보해피하임1차</t>
        </is>
      </c>
      <c r="B10" s="16" t="inlineStr">
        <is>
          <t>'03.08.</t>
        </is>
      </c>
      <c r="C10" s="164" t="n">
        <v>252</v>
      </c>
      <c r="D10" s="161" t="n">
        <v>93.90000000000001</v>
      </c>
      <c r="E10" s="163" t="n">
        <v>28</v>
      </c>
      <c r="F10" s="161" t="n">
        <v>71.59999999999999</v>
      </c>
      <c r="G10" s="27" t="n">
        <v>22</v>
      </c>
      <c r="H10" s="164" t="n">
        <v>64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93A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삼보해피하임1차</t>
        </is>
      </c>
      <c r="B11" s="16" t="inlineStr">
        <is>
          <t>'03.08.</t>
        </is>
      </c>
      <c r="C11" s="164" t="n">
        <v>252</v>
      </c>
      <c r="D11" s="161" t="n">
        <v>108.6</v>
      </c>
      <c r="E11" s="163" t="n">
        <v>33</v>
      </c>
      <c r="F11" s="161" t="n">
        <v>84.8</v>
      </c>
      <c r="G11" s="27" t="n">
        <v>26</v>
      </c>
      <c r="H11" s="164" t="n">
        <v>128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108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검암신명스카이뷰3차</t>
        </is>
      </c>
      <c r="B13" s="16" t="inlineStr">
        <is>
          <t>'04.05.</t>
        </is>
      </c>
      <c r="C13" s="164" t="n">
        <v>282</v>
      </c>
      <c r="D13" s="161" t="n">
        <v>80.3</v>
      </c>
      <c r="E13" s="163" t="n">
        <v>24</v>
      </c>
      <c r="F13" s="161" t="n">
        <v>59.9</v>
      </c>
      <c r="G13" s="27" t="n">
        <v>18</v>
      </c>
      <c r="H13" s="164" t="n">
        <v>62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80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검암신명스카이뷰3차</t>
        </is>
      </c>
      <c r="B14" s="16" t="inlineStr">
        <is>
          <t>'04.05.</t>
        </is>
      </c>
      <c r="C14" s="164" t="n">
        <v>282</v>
      </c>
      <c r="D14" s="161" t="n">
        <v>109.7</v>
      </c>
      <c r="E14" s="163" t="n">
        <v>33</v>
      </c>
      <c r="F14" s="161" t="n">
        <v>85</v>
      </c>
      <c r="G14" s="27" t="n">
        <v>26</v>
      </c>
      <c r="H14" s="164" t="n">
        <v>220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109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검암신명스카이뷰2차</t>
        </is>
      </c>
      <c r="B16" s="16" t="inlineStr">
        <is>
          <t>'03.10.</t>
        </is>
      </c>
      <c r="C16" s="164" t="n">
        <v>325</v>
      </c>
      <c r="D16" s="161" t="n">
        <v>109.5</v>
      </c>
      <c r="E16" s="163" t="n">
        <v>33</v>
      </c>
      <c r="F16" s="161" t="n">
        <v>85</v>
      </c>
      <c r="G16" s="27" t="n">
        <v>26</v>
      </c>
      <c r="H16" s="164" t="n">
        <v>325</v>
      </c>
      <c r="I16" s="165" t="n">
        <v>41000</v>
      </c>
      <c r="J16" s="165" t="inlineStr">
        <is>
          <t>5</t>
        </is>
      </c>
      <c r="K16" s="165" t="n">
        <v>33000</v>
      </c>
      <c r="L16" s="165" t="inlineStr">
        <is>
          <t>16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109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서해그랑블</t>
        </is>
      </c>
      <c r="B18" s="16" t="inlineStr">
        <is>
          <t>'03.09.</t>
        </is>
      </c>
      <c r="C18" s="164" t="n">
        <v>950</v>
      </c>
      <c r="D18" s="161" t="n">
        <v>90.3</v>
      </c>
      <c r="E18" s="163" t="n">
        <v>27</v>
      </c>
      <c r="F18" s="161" t="n">
        <v>69.7</v>
      </c>
      <c r="G18" s="27" t="n">
        <v>21</v>
      </c>
      <c r="H18" s="164" t="n">
        <v>488</v>
      </c>
      <c r="I18" s="165" t="n">
        <v>54000</v>
      </c>
      <c r="J18" s="165" t="inlineStr">
        <is>
          <t>중</t>
        </is>
      </c>
      <c r="K18" s="165" t="n">
        <v>36000</v>
      </c>
      <c r="L18" s="165" t="inlineStr">
        <is>
          <t>17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90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서해그랑블</t>
        </is>
      </c>
      <c r="B19" s="16" t="inlineStr">
        <is>
          <t>'03.09.</t>
        </is>
      </c>
      <c r="C19" s="164" t="n">
        <v>950</v>
      </c>
      <c r="D19" s="161" t="n">
        <v>106.9</v>
      </c>
      <c r="E19" s="163" t="n">
        <v>32</v>
      </c>
      <c r="F19" s="161" t="n">
        <v>85</v>
      </c>
      <c r="G19" s="27" t="n">
        <v>26</v>
      </c>
      <c r="H19" s="164" t="n">
        <v>462</v>
      </c>
      <c r="I19" s="165" t="n">
        <v>68000</v>
      </c>
      <c r="J19" s="165" t="inlineStr">
        <is>
          <t>19</t>
        </is>
      </c>
      <c r="K19" s="165" t="n">
        <v>29000</v>
      </c>
      <c r="L19" s="165" t="inlineStr">
        <is>
          <t>13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106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풍림아이원2차</t>
        </is>
      </c>
      <c r="B21" s="16" t="inlineStr">
        <is>
          <t>'04.05.</t>
        </is>
      </c>
      <c r="C21" s="164" t="n">
        <v>718</v>
      </c>
      <c r="D21" s="161" t="n">
        <v>81.5</v>
      </c>
      <c r="E21" s="163" t="n">
        <v>25</v>
      </c>
      <c r="F21" s="161" t="n">
        <v>59.9</v>
      </c>
      <c r="G21" s="27" t="n">
        <v>18</v>
      </c>
      <c r="H21" s="164" t="n">
        <v>128</v>
      </c>
      <c r="I21" s="165" t="n">
        <v>46500</v>
      </c>
      <c r="J21" s="165" t="inlineStr">
        <is>
          <t>15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81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풍림아이원2차</t>
        </is>
      </c>
      <c r="B22" s="16" t="inlineStr">
        <is>
          <t>'04.05.</t>
        </is>
      </c>
      <c r="C22" s="164" t="n">
        <v>718</v>
      </c>
      <c r="D22" s="161" t="n">
        <v>100.7</v>
      </c>
      <c r="E22" s="163" t="n">
        <v>30</v>
      </c>
      <c r="F22" s="161" t="n">
        <v>75.09999999999999</v>
      </c>
      <c r="G22" s="27" t="n">
        <v>23</v>
      </c>
      <c r="H22" s="164" t="n">
        <v>219</v>
      </c>
      <c r="I22" s="165" t="n">
        <v>45500</v>
      </c>
      <c r="J22" s="165" t="inlineStr">
        <is>
          <t>17</t>
        </is>
      </c>
      <c r="K22" s="165" t="n">
        <v>31000</v>
      </c>
      <c r="L22" s="165" t="inlineStr">
        <is>
          <t>중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100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풍림아이원2차</t>
        </is>
      </c>
      <c r="B23" s="16" t="inlineStr">
        <is>
          <t>'04.05.</t>
        </is>
      </c>
      <c r="C23" s="164" t="n">
        <v>718</v>
      </c>
      <c r="D23" s="161" t="n">
        <v>109.5</v>
      </c>
      <c r="E23" s="163" t="n">
        <v>33</v>
      </c>
      <c r="F23" s="161" t="n">
        <v>84.90000000000001</v>
      </c>
      <c r="G23" s="27" t="n">
        <v>26</v>
      </c>
      <c r="H23" s="164" t="n">
        <v>371</v>
      </c>
      <c r="I23" s="165" t="n">
        <v>53000</v>
      </c>
      <c r="J23" s="165" t="inlineStr">
        <is>
          <t>9</t>
        </is>
      </c>
      <c r="K23" s="165" t="n">
        <v>35000</v>
      </c>
      <c r="L23" s="165" t="inlineStr">
        <is>
          <t>14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109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삼보해피하임2차</t>
        </is>
      </c>
      <c r="B25" s="16" t="inlineStr">
        <is>
          <t>'03.08.</t>
        </is>
      </c>
      <c r="C25" s="164" t="n">
        <v>288</v>
      </c>
      <c r="D25" s="161" t="n">
        <v>93.7</v>
      </c>
      <c r="E25" s="163" t="n">
        <v>28</v>
      </c>
      <c r="F25" s="161" t="n">
        <v>71.59999999999999</v>
      </c>
      <c r="G25" s="27" t="n">
        <v>22</v>
      </c>
      <c r="H25" s="164" t="n">
        <v>110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93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삼보해피하임2차</t>
        </is>
      </c>
      <c r="B26" s="16" t="inlineStr">
        <is>
          <t>'03.08.</t>
        </is>
      </c>
      <c r="C26" s="164" t="n">
        <v>288</v>
      </c>
      <c r="D26" s="161" t="n">
        <v>108.6</v>
      </c>
      <c r="E26" s="163" t="n">
        <v>33</v>
      </c>
      <c r="F26" s="161" t="n">
        <v>84.8</v>
      </c>
      <c r="G26" s="27" t="n">
        <v>26</v>
      </c>
      <c r="H26" s="164" t="n">
        <v>106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108B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삼보해피하임2차</t>
        </is>
      </c>
      <c r="B27" s="16" t="inlineStr">
        <is>
          <t>'03.08.</t>
        </is>
      </c>
      <c r="C27" s="164" t="n">
        <v>288</v>
      </c>
      <c r="D27" s="161" t="n">
        <v>108.4</v>
      </c>
      <c r="E27" s="163" t="n">
        <v>33</v>
      </c>
      <c r="F27" s="161" t="n">
        <v>84.8</v>
      </c>
      <c r="G27" s="27" t="n">
        <v>26</v>
      </c>
      <c r="H27" s="164" t="n">
        <v>72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108A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1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2" t="n"/>
      <c r="P28" s="162" t="n"/>
      <c r="Q28" s="163" t="n"/>
      <c r="R28" s="163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0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풍림아이원3차</t>
        </is>
      </c>
      <c r="B29" s="16" t="inlineStr">
        <is>
          <t>'04.07.</t>
        </is>
      </c>
      <c r="C29" s="164" t="n">
        <v>341</v>
      </c>
      <c r="D29" s="161" t="n">
        <v>82.3</v>
      </c>
      <c r="E29" s="163" t="n">
        <v>25</v>
      </c>
      <c r="F29" s="161" t="n">
        <v>59.8</v>
      </c>
      <c r="G29" s="27" t="n">
        <v>18</v>
      </c>
      <c r="H29" s="164" t="n">
        <v>154</v>
      </c>
      <c r="I29" s="165" t="n">
        <v>38000</v>
      </c>
      <c r="J29" s="165" t="inlineStr">
        <is>
          <t>13</t>
        </is>
      </c>
      <c r="K29" s="165" t="n">
        <v>27000</v>
      </c>
      <c r="L29" s="165" t="inlineStr">
        <is>
          <t>11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82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풍림아이원3차</t>
        </is>
      </c>
      <c r="B30" s="16" t="inlineStr">
        <is>
          <t>'04.07.</t>
        </is>
      </c>
      <c r="C30" s="164" t="n">
        <v>341</v>
      </c>
      <c r="D30" s="161" t="n">
        <v>111.3</v>
      </c>
      <c r="E30" s="163" t="n">
        <v>34</v>
      </c>
      <c r="F30" s="161" t="n">
        <v>84.90000000000001</v>
      </c>
      <c r="G30" s="27" t="n">
        <v>26</v>
      </c>
      <c r="H30" s="164" t="n">
        <v>187</v>
      </c>
      <c r="I30" s="165" t="n">
        <v>42000</v>
      </c>
      <c r="J30" s="165" t="inlineStr">
        <is>
          <t>11</t>
        </is>
      </c>
      <c r="K30" s="165" t="n">
        <v>31000</v>
      </c>
      <c r="L30" s="165" t="inlineStr">
        <is>
          <t>중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n">
        <v>111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풍림아이원1차</t>
        </is>
      </c>
      <c r="B32" s="16" t="inlineStr">
        <is>
          <t>'03.09.</t>
        </is>
      </c>
      <c r="C32" s="164" t="n">
        <v>280</v>
      </c>
      <c r="D32" s="161" t="n">
        <v>92.7</v>
      </c>
      <c r="E32" s="163" t="n">
        <v>28</v>
      </c>
      <c r="F32" s="161" t="n">
        <v>71.59999999999999</v>
      </c>
      <c r="G32" s="27" t="n">
        <v>22</v>
      </c>
      <c r="H32" s="164" t="n">
        <v>30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92B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풍림아이원1차</t>
        </is>
      </c>
      <c r="B33" s="16" t="inlineStr">
        <is>
          <t>'03.09.</t>
        </is>
      </c>
      <c r="C33" s="164" t="n">
        <v>280</v>
      </c>
      <c r="D33" s="161" t="n">
        <v>93.90000000000001</v>
      </c>
      <c r="E33" s="163" t="n">
        <v>28</v>
      </c>
      <c r="F33" s="161" t="n">
        <v>71.59999999999999</v>
      </c>
      <c r="G33" s="27" t="n">
        <v>22</v>
      </c>
      <c r="H33" s="164" t="n">
        <v>108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93A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풍림아이원1차</t>
        </is>
      </c>
      <c r="B34" s="16" t="inlineStr">
        <is>
          <t>'03.09.</t>
        </is>
      </c>
      <c r="C34" s="164" t="n">
        <v>280</v>
      </c>
      <c r="D34" s="161" t="n">
        <v>108.4</v>
      </c>
      <c r="E34" s="163" t="n">
        <v>33</v>
      </c>
      <c r="F34" s="161" t="n">
        <v>84.7</v>
      </c>
      <c r="G34" s="27" t="n">
        <v>26</v>
      </c>
      <c r="H34" s="164" t="n">
        <v>72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n">
        <v>108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풍림아이원1차</t>
        </is>
      </c>
      <c r="B35" s="16" t="inlineStr">
        <is>
          <t>'03.09.</t>
        </is>
      </c>
      <c r="C35" s="164" t="n">
        <v>280</v>
      </c>
      <c r="D35" s="161" t="n">
        <v>139</v>
      </c>
      <c r="E35" s="163" t="n">
        <v>42</v>
      </c>
      <c r="F35" s="161" t="n">
        <v>115.2</v>
      </c>
      <c r="G35" s="27" t="n">
        <v>35</v>
      </c>
      <c r="H35" s="164" t="n">
        <v>70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n">
        <v>138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1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2" t="n"/>
      <c r="P36" s="162" t="n"/>
      <c r="Q36" s="163" t="n"/>
      <c r="R36" s="163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0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검암신명스카이뷰골드4차</t>
        </is>
      </c>
      <c r="B37" s="16" t="inlineStr">
        <is>
          <t>'04.08.</t>
        </is>
      </c>
      <c r="C37" s="164" t="n">
        <v>311</v>
      </c>
      <c r="D37" s="161" t="n">
        <v>111.8</v>
      </c>
      <c r="E37" s="163" t="n">
        <v>34</v>
      </c>
      <c r="F37" s="161" t="n">
        <v>84.59999999999999</v>
      </c>
      <c r="G37" s="27" t="n">
        <v>26</v>
      </c>
      <c r="H37" s="164" t="n">
        <v>311</v>
      </c>
      <c r="I37" s="165" t="n">
        <v>44000</v>
      </c>
      <c r="J37" s="165" t="inlineStr">
        <is>
          <t>12</t>
        </is>
      </c>
      <c r="K37" s="165" t="n">
        <v>36000</v>
      </c>
      <c r="L37" s="165" t="inlineStr">
        <is>
          <t>13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n">
        <v>111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483" dxfId="17">
      <formula>AV4="X"</formula>
    </cfRule>
    <cfRule type="expression" priority="484" dxfId="16">
      <formula>AV4="후보"</formula>
    </cfRule>
  </conditionalFormatting>
  <conditionalFormatting sqref="AC1:AC2 AC4:AC6 N4:N5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N1:N2">
    <cfRule type="cellIs" priority="478" operator="greaterThan" dxfId="13">
      <formula>0.9</formula>
    </cfRule>
    <cfRule type="cellIs" priority="479" operator="greaterThan" dxfId="12">
      <formula>0.85</formula>
    </cfRule>
  </conditionalFormatting>
  <conditionalFormatting sqref="N6">
    <cfRule type="cellIs" priority="476" operator="greaterThan" dxfId="13">
      <formula>0.9</formula>
    </cfRule>
    <cfRule type="cellIs" priority="477" operator="greaterThan" dxfId="12">
      <formula>0.85</formula>
    </cfRule>
  </conditionalFormatting>
  <conditionalFormatting sqref="E6">
    <cfRule type="expression" priority="472" dxfId="3">
      <formula>AND(IF(OR($Q6=1,$Q6=2),1,0),IF($X6&lt;=20,1,0))</formula>
    </cfRule>
    <cfRule type="expression" priority="473" dxfId="2">
      <formula>AND(IF($Q6=2,1,0),IF($X6&lt;30,1,0))</formula>
    </cfRule>
    <cfRule type="expression" priority="474" dxfId="1">
      <formula>AND(IF($Q6=3,1,0),IF($X6&lt;30,1,0))</formula>
    </cfRule>
    <cfRule type="expression" priority="475" dxfId="0">
      <formula>AND(IF($Q6=3,1,IF($Q6=4,1,0)),IF($F6&lt;=85,1,0))</formula>
    </cfRule>
  </conditionalFormatting>
  <conditionalFormatting sqref="X6">
    <cfRule type="expression" priority="468" dxfId="3">
      <formula>AND(IF(OR($Q6=1,$Q6=2),1,0),IF($X6&lt;=20,1,0))</formula>
    </cfRule>
    <cfRule type="expression" priority="469" dxfId="2">
      <formula>AND(IF($Q6=2,1,0),IF($X6&lt;30,1,0))</formula>
    </cfRule>
    <cfRule type="expression" priority="470" dxfId="1">
      <formula>AND(IF($Q6=3,1,0),IF($X6&lt;30,1,0))</formula>
    </cfRule>
    <cfRule type="expression" priority="471" dxfId="0">
      <formula>AND(IF($Q6=3,1,IF($Q6=4,1,0)),IF($F6&lt;=85,1,0))</formula>
    </cfRule>
  </conditionalFormatting>
  <conditionalFormatting sqref="AI6">
    <cfRule type="expression" priority="464" dxfId="3">
      <formula>AND(IF(OR($Q6=1,$Q6=2),1,0),IF($X6&lt;=20,1,0))</formula>
    </cfRule>
    <cfRule type="expression" priority="465" dxfId="2">
      <formula>AND(IF($Q6=2,1,0),IF($X6&lt;30,1,0))</formula>
    </cfRule>
    <cfRule type="expression" priority="466" dxfId="1">
      <formula>AND(IF($Q6=3,1,0),IF($X6&lt;30,1,0))</formula>
    </cfRule>
    <cfRule type="expression" priority="467" dxfId="0">
      <formula>AND(IF($Q6=3,1,IF($Q6=4,1,0)),IF($F6&lt;=85,1,0))</formula>
    </cfRule>
  </conditionalFormatting>
  <conditionalFormatting sqref="AV7">
    <cfRule type="expression" priority="462" dxfId="17">
      <formula>AV7="X"</formula>
    </cfRule>
    <cfRule type="expression" priority="463" dxfId="16">
      <formula>AV7="후보"</formula>
    </cfRule>
  </conditionalFormatting>
  <conditionalFormatting sqref="AC7">
    <cfRule type="cellIs" priority="459" operator="greaterThan" dxfId="13">
      <formula>0.9</formula>
    </cfRule>
    <cfRule type="cellIs" priority="460" operator="greaterThan" dxfId="12">
      <formula>0.85</formula>
    </cfRule>
  </conditionalFormatting>
  <conditionalFormatting sqref="N7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E7">
    <cfRule type="expression" priority="453" dxfId="3">
      <formula>AND(IF(OR($Q7=1,$Q7=2),1,0),IF($X7&lt;=20,1,0))</formula>
    </cfRule>
    <cfRule type="expression" priority="454" dxfId="2">
      <formula>AND(IF($Q7=2,1,0),IF($X7&lt;30,1,0))</formula>
    </cfRule>
    <cfRule type="expression" priority="455" dxfId="1">
      <formula>AND(IF($Q7=3,1,0),IF($X7&lt;30,1,0))</formula>
    </cfRule>
    <cfRule type="expression" priority="456" dxfId="0">
      <formula>AND(IF($Q7=3,1,IF($Q7=4,1,0)),IF($F7&lt;=85,1,0))</formula>
    </cfRule>
  </conditionalFormatting>
  <conditionalFormatting sqref="X7">
    <cfRule type="expression" priority="449" dxfId="3">
      <formula>AND(IF(OR($Q7=1,$Q7=2),1,0),IF($X7&lt;=20,1,0))</formula>
    </cfRule>
    <cfRule type="expression" priority="450" dxfId="2">
      <formula>AND(IF($Q7=2,1,0),IF($X7&lt;30,1,0))</formula>
    </cfRule>
    <cfRule type="expression" priority="451" dxfId="1">
      <formula>AND(IF($Q7=3,1,0),IF($X7&lt;30,1,0))</formula>
    </cfRule>
    <cfRule type="expression" priority="452" dxfId="0">
      <formula>AND(IF($Q7=3,1,IF($Q7=4,1,0)),IF($F7&lt;=85,1,0))</formula>
    </cfRule>
  </conditionalFormatting>
  <conditionalFormatting sqref="AI7">
    <cfRule type="expression" priority="445" dxfId="3">
      <formula>AND(IF(OR($Q7=1,$Q7=2),1,0),IF($X7&lt;=20,1,0))</formula>
    </cfRule>
    <cfRule type="expression" priority="446" dxfId="2">
      <formula>AND(IF($Q7=2,1,0),IF($X7&lt;30,1,0))</formula>
    </cfRule>
    <cfRule type="expression" priority="447" dxfId="1">
      <formula>AND(IF($Q7=3,1,0),IF($X7&lt;30,1,0))</formula>
    </cfRule>
    <cfRule type="expression" priority="448" dxfId="0">
      <formula>AND(IF($Q7=3,1,IF($Q7=4,1,0)),IF($F7&lt;=85,1,0))</formula>
    </cfRule>
  </conditionalFormatting>
  <conditionalFormatting sqref="AV8">
    <cfRule type="expression" priority="443" dxfId="17">
      <formula>AV8="X"</formula>
    </cfRule>
    <cfRule type="expression" priority="444" dxfId="16">
      <formula>AV8="후보"</formula>
    </cfRule>
  </conditionalFormatting>
  <conditionalFormatting sqref="AC8 N8">
    <cfRule type="cellIs" priority="440" operator="greaterThan" dxfId="13">
      <formula>0.9</formula>
    </cfRule>
    <cfRule type="cellIs" priority="441" operator="greaterThan" dxfId="12">
      <formula>0.85</formula>
    </cfRule>
  </conditionalFormatting>
  <conditionalFormatting sqref="AV9">
    <cfRule type="expression" priority="438" dxfId="17">
      <formula>AV9="X"</formula>
    </cfRule>
    <cfRule type="expression" priority="439" dxfId="16">
      <formula>AV9="후보"</formula>
    </cfRule>
  </conditionalFormatting>
  <conditionalFormatting sqref="AC9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9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9">
    <cfRule type="expression" priority="429" dxfId="3">
      <formula>AND(IF(OR($Q9=1,$Q9=2),1,0),IF($X9&lt;=20,1,0))</formula>
    </cfRule>
    <cfRule type="expression" priority="430" dxfId="2">
      <formula>AND(IF($Q9=2,1,0),IF($X9&lt;30,1,0))</formula>
    </cfRule>
    <cfRule type="expression" priority="431" dxfId="1">
      <formula>AND(IF($Q9=3,1,0),IF($X9&lt;30,1,0))</formula>
    </cfRule>
    <cfRule type="expression" priority="432" dxfId="0">
      <formula>AND(IF($Q9=3,1,IF($Q9=4,1,0)),IF($F9&lt;=85,1,0))</formula>
    </cfRule>
  </conditionalFormatting>
  <conditionalFormatting sqref="X9">
    <cfRule type="expression" priority="425" dxfId="3">
      <formula>AND(IF(OR($Q9=1,$Q9=2),1,0),IF($X9&lt;=20,1,0))</formula>
    </cfRule>
    <cfRule type="expression" priority="426" dxfId="2">
      <formula>AND(IF($Q9=2,1,0),IF($X9&lt;30,1,0))</formula>
    </cfRule>
    <cfRule type="expression" priority="427" dxfId="1">
      <formula>AND(IF($Q9=3,1,0),IF($X9&lt;30,1,0))</formula>
    </cfRule>
    <cfRule type="expression" priority="428" dxfId="0">
      <formula>AND(IF($Q9=3,1,IF($Q9=4,1,0)),IF($F9&lt;=85,1,0))</formula>
    </cfRule>
  </conditionalFormatting>
  <conditionalFormatting sqref="AI9">
    <cfRule type="expression" priority="421" dxfId="3">
      <formula>AND(IF(OR($Q9=1,$Q9=2),1,0),IF($X9&lt;=20,1,0))</formula>
    </cfRule>
    <cfRule type="expression" priority="422" dxfId="2">
      <formula>AND(IF($Q9=2,1,0),IF($X9&lt;30,1,0))</formula>
    </cfRule>
    <cfRule type="expression" priority="423" dxfId="1">
      <formula>AND(IF($Q9=3,1,0),IF($X9&lt;30,1,0))</formula>
    </cfRule>
    <cfRule type="expression" priority="424" dxfId="0">
      <formula>AND(IF($Q9=3,1,IF($Q9=4,1,0)),IF($F9&lt;=85,1,0))</formula>
    </cfRule>
  </conditionalFormatting>
  <conditionalFormatting sqref="AV10">
    <cfRule type="expression" priority="419" dxfId="17">
      <formula>AV10="X"</formula>
    </cfRule>
    <cfRule type="expression" priority="420" dxfId="16">
      <formula>AV10="후보"</formula>
    </cfRule>
  </conditionalFormatting>
  <conditionalFormatting sqref="AC10">
    <cfRule type="cellIs" priority="416" operator="greaterThan" dxfId="13">
      <formula>0.9</formula>
    </cfRule>
    <cfRule type="cellIs" priority="417" operator="greaterThan" dxfId="12">
      <formula>0.85</formula>
    </cfRule>
  </conditionalFormatting>
  <conditionalFormatting sqref="N10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E10">
    <cfRule type="expression" priority="410" dxfId="3">
      <formula>AND(IF(OR($Q10=1,$Q10=2),1,0),IF($X10&lt;=20,1,0))</formula>
    </cfRule>
    <cfRule type="expression" priority="411" dxfId="2">
      <formula>AND(IF($Q10=2,1,0),IF($X10&lt;30,1,0))</formula>
    </cfRule>
    <cfRule type="expression" priority="412" dxfId="1">
      <formula>AND(IF($Q10=3,1,0),IF($X10&lt;30,1,0))</formula>
    </cfRule>
    <cfRule type="expression" priority="413" dxfId="0">
      <formula>AND(IF($Q10=3,1,IF($Q10=4,1,0)),IF($F10&lt;=85,1,0))</formula>
    </cfRule>
  </conditionalFormatting>
  <conditionalFormatting sqref="X10">
    <cfRule type="expression" priority="406" dxfId="3">
      <formula>AND(IF(OR($Q10=1,$Q10=2),1,0),IF($X10&lt;=20,1,0))</formula>
    </cfRule>
    <cfRule type="expression" priority="407" dxfId="2">
      <formula>AND(IF($Q10=2,1,0),IF($X10&lt;30,1,0))</formula>
    </cfRule>
    <cfRule type="expression" priority="408" dxfId="1">
      <formula>AND(IF($Q10=3,1,0),IF($X10&lt;30,1,0))</formula>
    </cfRule>
    <cfRule type="expression" priority="409" dxfId="0">
      <formula>AND(IF($Q10=3,1,IF($Q10=4,1,0)),IF($F10&lt;=85,1,0))</formula>
    </cfRule>
  </conditionalFormatting>
  <conditionalFormatting sqref="AI10">
    <cfRule type="expression" priority="402" dxfId="3">
      <formula>AND(IF(OR($Q10=1,$Q10=2),1,0),IF($X10&lt;=20,1,0))</formula>
    </cfRule>
    <cfRule type="expression" priority="403" dxfId="2">
      <formula>AND(IF($Q10=2,1,0),IF($X10&lt;30,1,0))</formula>
    </cfRule>
    <cfRule type="expression" priority="404" dxfId="1">
      <formula>AND(IF($Q10=3,1,0),IF($X10&lt;30,1,0))</formula>
    </cfRule>
    <cfRule type="expression" priority="405" dxfId="0">
      <formula>AND(IF($Q10=3,1,IF($Q10=4,1,0)),IF($F10&lt;=85,1,0))</formula>
    </cfRule>
  </conditionalFormatting>
  <conditionalFormatting sqref="AV11">
    <cfRule type="expression" priority="400" dxfId="17">
      <formula>AV11="X"</formula>
    </cfRule>
    <cfRule type="expression" priority="401" dxfId="16">
      <formula>AV11="후보"</formula>
    </cfRule>
  </conditionalFormatting>
  <conditionalFormatting sqref="AC11">
    <cfRule type="cellIs" priority="397" operator="greaterThan" dxfId="13">
      <formula>0.9</formula>
    </cfRule>
    <cfRule type="cellIs" priority="398" operator="greaterThan" dxfId="12">
      <formula>0.85</formula>
    </cfRule>
  </conditionalFormatting>
  <conditionalFormatting sqref="N11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E11">
    <cfRule type="expression" priority="391" dxfId="3">
      <formula>AND(IF(OR($Q11=1,$Q11=2),1,0),IF($X11&lt;=20,1,0))</formula>
    </cfRule>
    <cfRule type="expression" priority="392" dxfId="2">
      <formula>AND(IF($Q11=2,1,0),IF($X11&lt;30,1,0))</formula>
    </cfRule>
    <cfRule type="expression" priority="393" dxfId="1">
      <formula>AND(IF($Q11=3,1,0),IF($X11&lt;30,1,0))</formula>
    </cfRule>
    <cfRule type="expression" priority="394" dxfId="0">
      <formula>AND(IF($Q11=3,1,IF($Q11=4,1,0)),IF($F11&lt;=85,1,0))</formula>
    </cfRule>
  </conditionalFormatting>
  <conditionalFormatting sqref="X11">
    <cfRule type="expression" priority="387" dxfId="3">
      <formula>AND(IF(OR($Q11=1,$Q11=2),1,0),IF($X11&lt;=20,1,0))</formula>
    </cfRule>
    <cfRule type="expression" priority="388" dxfId="2">
      <formula>AND(IF($Q11=2,1,0),IF($X11&lt;30,1,0))</formula>
    </cfRule>
    <cfRule type="expression" priority="389" dxfId="1">
      <formula>AND(IF($Q11=3,1,0),IF($X11&lt;30,1,0))</formula>
    </cfRule>
    <cfRule type="expression" priority="390" dxfId="0">
      <formula>AND(IF($Q11=3,1,IF($Q11=4,1,0)),IF($F11&lt;=85,1,0))</formula>
    </cfRule>
  </conditionalFormatting>
  <conditionalFormatting sqref="AI11">
    <cfRule type="expression" priority="383" dxfId="3">
      <formula>AND(IF(OR($Q11=1,$Q11=2),1,0),IF($X11&lt;=20,1,0))</formula>
    </cfRule>
    <cfRule type="expression" priority="384" dxfId="2">
      <formula>AND(IF($Q11=2,1,0),IF($X11&lt;30,1,0))</formula>
    </cfRule>
    <cfRule type="expression" priority="385" dxfId="1">
      <formula>AND(IF($Q11=3,1,0),IF($X11&lt;30,1,0))</formula>
    </cfRule>
    <cfRule type="expression" priority="386" dxfId="0">
      <formula>AND(IF($Q11=3,1,IF($Q11=4,1,0)),IF($F11&lt;=85,1,0))</formula>
    </cfRule>
  </conditionalFormatting>
  <conditionalFormatting sqref="AV12">
    <cfRule type="expression" priority="381" dxfId="17">
      <formula>AV12="X"</formula>
    </cfRule>
    <cfRule type="expression" priority="382" dxfId="16">
      <formula>AV12="후보"</formula>
    </cfRule>
  </conditionalFormatting>
  <conditionalFormatting sqref="AC12 N12">
    <cfRule type="cellIs" priority="378" operator="greaterThan" dxfId="13">
      <formula>0.9</formula>
    </cfRule>
    <cfRule type="cellIs" priority="379" operator="greaterThan" dxfId="12">
      <formula>0.85</formula>
    </cfRule>
  </conditionalFormatting>
  <conditionalFormatting sqref="AV13">
    <cfRule type="expression" priority="376" dxfId="17">
      <formula>AV13="X"</formula>
    </cfRule>
    <cfRule type="expression" priority="377" dxfId="16">
      <formula>AV13="후보"</formula>
    </cfRule>
  </conditionalFormatting>
  <conditionalFormatting sqref="AC13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13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E13">
    <cfRule type="expression" priority="367" dxfId="3">
      <formula>AND(IF(OR($Q13=1,$Q13=2),1,0),IF($X13&lt;=20,1,0))</formula>
    </cfRule>
    <cfRule type="expression" priority="368" dxfId="2">
      <formula>AND(IF($Q13=2,1,0),IF($X13&lt;30,1,0))</formula>
    </cfRule>
    <cfRule type="expression" priority="369" dxfId="1">
      <formula>AND(IF($Q13=3,1,0),IF($X13&lt;30,1,0))</formula>
    </cfRule>
    <cfRule type="expression" priority="370" dxfId="0">
      <formula>AND(IF($Q13=3,1,IF($Q13=4,1,0)),IF($F13&lt;=85,1,0))</formula>
    </cfRule>
  </conditionalFormatting>
  <conditionalFormatting sqref="X13">
    <cfRule type="expression" priority="363" dxfId="3">
      <formula>AND(IF(OR($Q13=1,$Q13=2),1,0),IF($X13&lt;=20,1,0))</formula>
    </cfRule>
    <cfRule type="expression" priority="364" dxfId="2">
      <formula>AND(IF($Q13=2,1,0),IF($X13&lt;30,1,0))</formula>
    </cfRule>
    <cfRule type="expression" priority="365" dxfId="1">
      <formula>AND(IF($Q13=3,1,0),IF($X13&lt;30,1,0))</formula>
    </cfRule>
    <cfRule type="expression" priority="366" dxfId="0">
      <formula>AND(IF($Q13=3,1,IF($Q13=4,1,0)),IF($F13&lt;=85,1,0))</formula>
    </cfRule>
  </conditionalFormatting>
  <conditionalFormatting sqref="AI13">
    <cfRule type="expression" priority="359" dxfId="3">
      <formula>AND(IF(OR($Q13=1,$Q13=2),1,0),IF($X13&lt;=20,1,0))</formula>
    </cfRule>
    <cfRule type="expression" priority="360" dxfId="2">
      <formula>AND(IF($Q13=2,1,0),IF($X13&lt;30,1,0))</formula>
    </cfRule>
    <cfRule type="expression" priority="361" dxfId="1">
      <formula>AND(IF($Q13=3,1,0),IF($X13&lt;30,1,0))</formula>
    </cfRule>
    <cfRule type="expression" priority="362" dxfId="0">
      <formula>AND(IF($Q13=3,1,IF($Q13=4,1,0)),IF($F13&lt;=85,1,0))</formula>
    </cfRule>
  </conditionalFormatting>
  <conditionalFormatting sqref="AV14">
    <cfRule type="expression" priority="357" dxfId="17">
      <formula>AV14="X"</formula>
    </cfRule>
    <cfRule type="expression" priority="358" dxfId="16">
      <formula>AV14="후보"</formula>
    </cfRule>
  </conditionalFormatting>
  <conditionalFormatting sqref="AC14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N14">
    <cfRule type="cellIs" priority="352" operator="greaterThan" dxfId="13">
      <formula>0.9</formula>
    </cfRule>
    <cfRule type="cellIs" priority="353" operator="greaterThan" dxfId="12">
      <formula>0.85</formula>
    </cfRule>
  </conditionalFormatting>
  <conditionalFormatting sqref="E14">
    <cfRule type="expression" priority="348" dxfId="3">
      <formula>AND(IF(OR($Q14=1,$Q14=2),1,0),IF($X14&lt;=20,1,0))</formula>
    </cfRule>
    <cfRule type="expression" priority="349" dxfId="2">
      <formula>AND(IF($Q14=2,1,0),IF($X14&lt;30,1,0))</formula>
    </cfRule>
    <cfRule type="expression" priority="350" dxfId="1">
      <formula>AND(IF($Q14=3,1,0),IF($X14&lt;30,1,0))</formula>
    </cfRule>
    <cfRule type="expression" priority="351" dxfId="0">
      <formula>AND(IF($Q14=3,1,IF($Q14=4,1,0)),IF($F14&lt;=85,1,0))</formula>
    </cfRule>
  </conditionalFormatting>
  <conditionalFormatting sqref="X14">
    <cfRule type="expression" priority="344" dxfId="3">
      <formula>AND(IF(OR($Q14=1,$Q14=2),1,0),IF($X14&lt;=20,1,0))</formula>
    </cfRule>
    <cfRule type="expression" priority="345" dxfId="2">
      <formula>AND(IF($Q14=2,1,0),IF($X14&lt;30,1,0))</formula>
    </cfRule>
    <cfRule type="expression" priority="346" dxfId="1">
      <formula>AND(IF($Q14=3,1,0),IF($X14&lt;30,1,0))</formula>
    </cfRule>
    <cfRule type="expression" priority="347" dxfId="0">
      <formula>AND(IF($Q14=3,1,IF($Q14=4,1,0)),IF($F14&lt;=85,1,0))</formula>
    </cfRule>
  </conditionalFormatting>
  <conditionalFormatting sqref="AI14">
    <cfRule type="expression" priority="340" dxfId="3">
      <formula>AND(IF(OR($Q14=1,$Q14=2),1,0),IF($X14&lt;=20,1,0))</formula>
    </cfRule>
    <cfRule type="expression" priority="341" dxfId="2">
      <formula>AND(IF($Q14=2,1,0),IF($X14&lt;30,1,0))</formula>
    </cfRule>
    <cfRule type="expression" priority="342" dxfId="1">
      <formula>AND(IF($Q14=3,1,0),IF($X14&lt;30,1,0))</formula>
    </cfRule>
    <cfRule type="expression" priority="343" dxfId="0">
      <formula>AND(IF($Q14=3,1,IF($Q14=4,1,0)),IF($F14&lt;=85,1,0))</formula>
    </cfRule>
  </conditionalFormatting>
  <conditionalFormatting sqref="AV15">
    <cfRule type="expression" priority="338" dxfId="17">
      <formula>AV15="X"</formula>
    </cfRule>
    <cfRule type="expression" priority="339" dxfId="16">
      <formula>AV15="후보"</formula>
    </cfRule>
  </conditionalFormatting>
  <conditionalFormatting sqref="AC15 N15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AV16">
    <cfRule type="expression" priority="333" dxfId="17">
      <formula>AV16="X"</formula>
    </cfRule>
    <cfRule type="expression" priority="334" dxfId="16">
      <formula>AV16="후보"</formula>
    </cfRule>
  </conditionalFormatting>
  <conditionalFormatting sqref="AC16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16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16">
    <cfRule type="expression" priority="324" dxfId="3">
      <formula>AND(IF(OR($Q16=1,$Q16=2),1,0),IF($X16&lt;=20,1,0))</formula>
    </cfRule>
    <cfRule type="expression" priority="325" dxfId="2">
      <formula>AND(IF($Q16=2,1,0),IF($X16&lt;30,1,0))</formula>
    </cfRule>
    <cfRule type="expression" priority="326" dxfId="1">
      <formula>AND(IF($Q16=3,1,0),IF($X16&lt;30,1,0))</formula>
    </cfRule>
    <cfRule type="expression" priority="327" dxfId="0">
      <formula>AND(IF($Q16=3,1,IF($Q16=4,1,0)),IF($F16&lt;=85,1,0))</formula>
    </cfRule>
  </conditionalFormatting>
  <conditionalFormatting sqref="X16">
    <cfRule type="expression" priority="320" dxfId="3">
      <formula>AND(IF(OR($Q16=1,$Q16=2),1,0),IF($X16&lt;=20,1,0))</formula>
    </cfRule>
    <cfRule type="expression" priority="321" dxfId="2">
      <formula>AND(IF($Q16=2,1,0),IF($X16&lt;30,1,0))</formula>
    </cfRule>
    <cfRule type="expression" priority="322" dxfId="1">
      <formula>AND(IF($Q16=3,1,0),IF($X16&lt;30,1,0))</formula>
    </cfRule>
    <cfRule type="expression" priority="323" dxfId="0">
      <formula>AND(IF($Q16=3,1,IF($Q16=4,1,0)),IF($F16&lt;=85,1,0))</formula>
    </cfRule>
  </conditionalFormatting>
  <conditionalFormatting sqref="AI16">
    <cfRule type="expression" priority="316" dxfId="3">
      <formula>AND(IF(OR($Q16=1,$Q16=2),1,0),IF($X16&lt;=20,1,0))</formula>
    </cfRule>
    <cfRule type="expression" priority="317" dxfId="2">
      <formula>AND(IF($Q16=2,1,0),IF($X16&lt;30,1,0))</formula>
    </cfRule>
    <cfRule type="expression" priority="318" dxfId="1">
      <formula>AND(IF($Q16=3,1,0),IF($X16&lt;30,1,0))</formula>
    </cfRule>
    <cfRule type="expression" priority="319" dxfId="0">
      <formula>AND(IF($Q16=3,1,IF($Q16=4,1,0)),IF($F16&lt;=85,1,0))</formula>
    </cfRule>
  </conditionalFormatting>
  <conditionalFormatting sqref="AV17">
    <cfRule type="expression" priority="314" dxfId="17">
      <formula>AV17="X"</formula>
    </cfRule>
    <cfRule type="expression" priority="315" dxfId="16">
      <formula>AV17="후보"</formula>
    </cfRule>
  </conditionalFormatting>
  <conditionalFormatting sqref="AC17 N17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AV18">
    <cfRule type="expression" priority="309" dxfId="17">
      <formula>AV18="X"</formula>
    </cfRule>
    <cfRule type="expression" priority="310" dxfId="16">
      <formula>AV18="후보"</formula>
    </cfRule>
  </conditionalFormatting>
  <conditionalFormatting sqref="AC18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18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18">
    <cfRule type="expression" priority="300" dxfId="3">
      <formula>AND(IF(OR($Q18=1,$Q18=2),1,0),IF($X18&lt;=20,1,0))</formula>
    </cfRule>
    <cfRule type="expression" priority="301" dxfId="2">
      <formula>AND(IF($Q18=2,1,0),IF($X18&lt;30,1,0))</formula>
    </cfRule>
    <cfRule type="expression" priority="302" dxfId="1">
      <formula>AND(IF($Q18=3,1,0),IF($X18&lt;30,1,0))</formula>
    </cfRule>
    <cfRule type="expression" priority="303" dxfId="0">
      <formula>AND(IF($Q18=3,1,IF($Q18=4,1,0)),IF($F18&lt;=85,1,0))</formula>
    </cfRule>
  </conditionalFormatting>
  <conditionalFormatting sqref="X18">
    <cfRule type="expression" priority="296" dxfId="3">
      <formula>AND(IF(OR($Q18=1,$Q18=2),1,0),IF($X18&lt;=20,1,0))</formula>
    </cfRule>
    <cfRule type="expression" priority="297" dxfId="2">
      <formula>AND(IF($Q18=2,1,0),IF($X18&lt;30,1,0))</formula>
    </cfRule>
    <cfRule type="expression" priority="298" dxfId="1">
      <formula>AND(IF($Q18=3,1,0),IF($X18&lt;30,1,0))</formula>
    </cfRule>
    <cfRule type="expression" priority="299" dxfId="0">
      <formula>AND(IF($Q18=3,1,IF($Q18=4,1,0)),IF($F18&lt;=85,1,0))</formula>
    </cfRule>
  </conditionalFormatting>
  <conditionalFormatting sqref="AI18">
    <cfRule type="expression" priority="292" dxfId="3">
      <formula>AND(IF(OR($Q18=1,$Q18=2),1,0),IF($X18&lt;=20,1,0))</formula>
    </cfRule>
    <cfRule type="expression" priority="293" dxfId="2">
      <formula>AND(IF($Q18=2,1,0),IF($X18&lt;30,1,0))</formula>
    </cfRule>
    <cfRule type="expression" priority="294" dxfId="1">
      <formula>AND(IF($Q18=3,1,0),IF($X18&lt;30,1,0))</formula>
    </cfRule>
    <cfRule type="expression" priority="295" dxfId="0">
      <formula>AND(IF($Q18=3,1,IF($Q18=4,1,0)),IF($F18&lt;=85,1,0))</formula>
    </cfRule>
  </conditionalFormatting>
  <conditionalFormatting sqref="AV19">
    <cfRule type="expression" priority="290" dxfId="17">
      <formula>AV19="X"</formula>
    </cfRule>
    <cfRule type="expression" priority="291" dxfId="16">
      <formula>AV19="후보"</formula>
    </cfRule>
  </conditionalFormatting>
  <conditionalFormatting sqref="AC19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19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19">
    <cfRule type="expression" priority="281" dxfId="3">
      <formula>AND(IF(OR($Q19=1,$Q19=2),1,0),IF($X19&lt;=20,1,0))</formula>
    </cfRule>
    <cfRule type="expression" priority="282" dxfId="2">
      <formula>AND(IF($Q19=2,1,0),IF($X19&lt;30,1,0))</formula>
    </cfRule>
    <cfRule type="expression" priority="283" dxfId="1">
      <formula>AND(IF($Q19=3,1,0),IF($X19&lt;30,1,0))</formula>
    </cfRule>
    <cfRule type="expression" priority="284" dxfId="0">
      <formula>AND(IF($Q19=3,1,IF($Q19=4,1,0)),IF($F19&lt;=85,1,0))</formula>
    </cfRule>
  </conditionalFormatting>
  <conditionalFormatting sqref="X19">
    <cfRule type="expression" priority="277" dxfId="3">
      <formula>AND(IF(OR($Q19=1,$Q19=2),1,0),IF($X19&lt;=20,1,0))</formula>
    </cfRule>
    <cfRule type="expression" priority="278" dxfId="2">
      <formula>AND(IF($Q19=2,1,0),IF($X19&lt;30,1,0))</formula>
    </cfRule>
    <cfRule type="expression" priority="279" dxfId="1">
      <formula>AND(IF($Q19=3,1,0),IF($X19&lt;30,1,0))</formula>
    </cfRule>
    <cfRule type="expression" priority="280" dxfId="0">
      <formula>AND(IF($Q19=3,1,IF($Q19=4,1,0)),IF($F19&lt;=85,1,0))</formula>
    </cfRule>
  </conditionalFormatting>
  <conditionalFormatting sqref="AI19">
    <cfRule type="expression" priority="273" dxfId="3">
      <formula>AND(IF(OR($Q19=1,$Q19=2),1,0),IF($X19&lt;=20,1,0))</formula>
    </cfRule>
    <cfRule type="expression" priority="274" dxfId="2">
      <formula>AND(IF($Q19=2,1,0),IF($X19&lt;30,1,0))</formula>
    </cfRule>
    <cfRule type="expression" priority="275" dxfId="1">
      <formula>AND(IF($Q19=3,1,0),IF($X19&lt;30,1,0))</formula>
    </cfRule>
    <cfRule type="expression" priority="276" dxfId="0">
      <formula>AND(IF($Q19=3,1,IF($Q19=4,1,0)),IF($F19&lt;=85,1,0))</formula>
    </cfRule>
  </conditionalFormatting>
  <conditionalFormatting sqref="AV20">
    <cfRule type="expression" priority="271" dxfId="17">
      <formula>AV20="X"</formula>
    </cfRule>
    <cfRule type="expression" priority="272" dxfId="16">
      <formula>AV20="후보"</formula>
    </cfRule>
  </conditionalFormatting>
  <conditionalFormatting sqref="AC20 N20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AV21">
    <cfRule type="expression" priority="266" dxfId="17">
      <formula>AV21="X"</formula>
    </cfRule>
    <cfRule type="expression" priority="267" dxfId="16">
      <formula>AV21="후보"</formula>
    </cfRule>
  </conditionalFormatting>
  <conditionalFormatting sqref="AC21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21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21">
    <cfRule type="expression" priority="257" dxfId="3">
      <formula>AND(IF(OR($Q21=1,$Q21=2),1,0),IF($X21&lt;=20,1,0))</formula>
    </cfRule>
    <cfRule type="expression" priority="258" dxfId="2">
      <formula>AND(IF($Q21=2,1,0),IF($X21&lt;30,1,0))</formula>
    </cfRule>
    <cfRule type="expression" priority="259" dxfId="1">
      <formula>AND(IF($Q21=3,1,0),IF($X21&lt;30,1,0))</formula>
    </cfRule>
    <cfRule type="expression" priority="260" dxfId="0">
      <formula>AND(IF($Q21=3,1,IF($Q21=4,1,0)),IF($F21&lt;=85,1,0))</formula>
    </cfRule>
  </conditionalFormatting>
  <conditionalFormatting sqref="X21">
    <cfRule type="expression" priority="253" dxfId="3">
      <formula>AND(IF(OR($Q21=1,$Q21=2),1,0),IF($X21&lt;=20,1,0))</formula>
    </cfRule>
    <cfRule type="expression" priority="254" dxfId="2">
      <formula>AND(IF($Q21=2,1,0),IF($X21&lt;30,1,0))</formula>
    </cfRule>
    <cfRule type="expression" priority="255" dxfId="1">
      <formula>AND(IF($Q21=3,1,0),IF($X21&lt;30,1,0))</formula>
    </cfRule>
    <cfRule type="expression" priority="256" dxfId="0">
      <formula>AND(IF($Q21=3,1,IF($Q21=4,1,0)),IF($F21&lt;=85,1,0))</formula>
    </cfRule>
  </conditionalFormatting>
  <conditionalFormatting sqref="AI21">
    <cfRule type="expression" priority="249" dxfId="3">
      <formula>AND(IF(OR($Q21=1,$Q21=2),1,0),IF($X21&lt;=20,1,0))</formula>
    </cfRule>
    <cfRule type="expression" priority="250" dxfId="2">
      <formula>AND(IF($Q21=2,1,0),IF($X21&lt;30,1,0))</formula>
    </cfRule>
    <cfRule type="expression" priority="251" dxfId="1">
      <formula>AND(IF($Q21=3,1,0),IF($X21&lt;30,1,0))</formula>
    </cfRule>
    <cfRule type="expression" priority="252" dxfId="0">
      <formula>AND(IF($Q21=3,1,IF($Q21=4,1,0)),IF($F21&lt;=85,1,0))</formula>
    </cfRule>
  </conditionalFormatting>
  <conditionalFormatting sqref="AV22">
    <cfRule type="expression" priority="247" dxfId="17">
      <formula>AV22="X"</formula>
    </cfRule>
    <cfRule type="expression" priority="248" dxfId="16">
      <formula>AV22="후보"</formula>
    </cfRule>
  </conditionalFormatting>
  <conditionalFormatting sqref="AC22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22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22">
    <cfRule type="expression" priority="238" dxfId="3">
      <formula>AND(IF(OR($Q22=1,$Q22=2),1,0),IF($X22&lt;=20,1,0))</formula>
    </cfRule>
    <cfRule type="expression" priority="239" dxfId="2">
      <formula>AND(IF($Q22=2,1,0),IF($X22&lt;30,1,0))</formula>
    </cfRule>
    <cfRule type="expression" priority="240" dxfId="1">
      <formula>AND(IF($Q22=3,1,0),IF($X22&lt;30,1,0))</formula>
    </cfRule>
    <cfRule type="expression" priority="241" dxfId="0">
      <formula>AND(IF($Q22=3,1,IF($Q22=4,1,0)),IF($F22&lt;=85,1,0))</formula>
    </cfRule>
  </conditionalFormatting>
  <conditionalFormatting sqref="X22">
    <cfRule type="expression" priority="234" dxfId="3">
      <formula>AND(IF(OR($Q22=1,$Q22=2),1,0),IF($X22&lt;=20,1,0))</formula>
    </cfRule>
    <cfRule type="expression" priority="235" dxfId="2">
      <formula>AND(IF($Q22=2,1,0),IF($X22&lt;30,1,0))</formula>
    </cfRule>
    <cfRule type="expression" priority="236" dxfId="1">
      <formula>AND(IF($Q22=3,1,0),IF($X22&lt;30,1,0))</formula>
    </cfRule>
    <cfRule type="expression" priority="237" dxfId="0">
      <formula>AND(IF($Q22=3,1,IF($Q22=4,1,0)),IF($F22&lt;=85,1,0))</formula>
    </cfRule>
  </conditionalFormatting>
  <conditionalFormatting sqref="AI22">
    <cfRule type="expression" priority="230" dxfId="3">
      <formula>AND(IF(OR($Q22=1,$Q22=2),1,0),IF($X22&lt;=20,1,0))</formula>
    </cfRule>
    <cfRule type="expression" priority="231" dxfId="2">
      <formula>AND(IF($Q22=2,1,0),IF($X22&lt;30,1,0))</formula>
    </cfRule>
    <cfRule type="expression" priority="232" dxfId="1">
      <formula>AND(IF($Q22=3,1,0),IF($X22&lt;30,1,0))</formula>
    </cfRule>
    <cfRule type="expression" priority="233" dxfId="0">
      <formula>AND(IF($Q22=3,1,IF($Q22=4,1,0)),IF($F22&lt;=85,1,0))</formula>
    </cfRule>
  </conditionalFormatting>
  <conditionalFormatting sqref="AV23">
    <cfRule type="expression" priority="228" dxfId="17">
      <formula>AV23="X"</formula>
    </cfRule>
    <cfRule type="expression" priority="229" dxfId="16">
      <formula>AV23="후보"</formula>
    </cfRule>
  </conditionalFormatting>
  <conditionalFormatting sqref="AC23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23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23">
    <cfRule type="expression" priority="219" dxfId="3">
      <formula>AND(IF(OR($Q23=1,$Q23=2),1,0),IF($X23&lt;=20,1,0))</formula>
    </cfRule>
    <cfRule type="expression" priority="220" dxfId="2">
      <formula>AND(IF($Q23=2,1,0),IF($X23&lt;30,1,0))</formula>
    </cfRule>
    <cfRule type="expression" priority="221" dxfId="1">
      <formula>AND(IF($Q23=3,1,0),IF($X23&lt;30,1,0))</formula>
    </cfRule>
    <cfRule type="expression" priority="222" dxfId="0">
      <formula>AND(IF($Q23=3,1,IF($Q23=4,1,0)),IF($F23&lt;=85,1,0))</formula>
    </cfRule>
  </conditionalFormatting>
  <conditionalFormatting sqref="X23">
    <cfRule type="expression" priority="215" dxfId="3">
      <formula>AND(IF(OR($Q23=1,$Q23=2),1,0),IF($X23&lt;=20,1,0))</formula>
    </cfRule>
    <cfRule type="expression" priority="216" dxfId="2">
      <formula>AND(IF($Q23=2,1,0),IF($X23&lt;30,1,0))</formula>
    </cfRule>
    <cfRule type="expression" priority="217" dxfId="1">
      <formula>AND(IF($Q23=3,1,0),IF($X23&lt;30,1,0))</formula>
    </cfRule>
    <cfRule type="expression" priority="218" dxfId="0">
      <formula>AND(IF($Q23=3,1,IF($Q23=4,1,0)),IF($F23&lt;=85,1,0))</formula>
    </cfRule>
  </conditionalFormatting>
  <conditionalFormatting sqref="AI23">
    <cfRule type="expression" priority="211" dxfId="3">
      <formula>AND(IF(OR($Q23=1,$Q23=2),1,0),IF($X23&lt;=20,1,0))</formula>
    </cfRule>
    <cfRule type="expression" priority="212" dxfId="2">
      <formula>AND(IF($Q23=2,1,0),IF($X23&lt;30,1,0))</formula>
    </cfRule>
    <cfRule type="expression" priority="213" dxfId="1">
      <formula>AND(IF($Q23=3,1,0),IF($X23&lt;30,1,0))</formula>
    </cfRule>
    <cfRule type="expression" priority="214" dxfId="0">
      <formula>AND(IF($Q23=3,1,IF($Q23=4,1,0)),IF($F23&lt;=85,1,0))</formula>
    </cfRule>
  </conditionalFormatting>
  <conditionalFormatting sqref="AV24">
    <cfRule type="expression" priority="209" dxfId="17">
      <formula>AV24="X"</formula>
    </cfRule>
    <cfRule type="expression" priority="210" dxfId="16">
      <formula>AV24="후보"</formula>
    </cfRule>
  </conditionalFormatting>
  <conditionalFormatting sqref="AC24 N24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25">
    <cfRule type="expression" priority="204" dxfId="17">
      <formula>AV25="X"</formula>
    </cfRule>
    <cfRule type="expression" priority="205" dxfId="16">
      <formula>AV25="후보"</formula>
    </cfRule>
  </conditionalFormatting>
  <conditionalFormatting sqref="AC25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5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5">
    <cfRule type="expression" priority="195" dxfId="3">
      <formula>AND(IF(OR($Q25=1,$Q25=2),1,0),IF($X25&lt;=20,1,0))</formula>
    </cfRule>
    <cfRule type="expression" priority="196" dxfId="2">
      <formula>AND(IF($Q25=2,1,0),IF($X25&lt;30,1,0))</formula>
    </cfRule>
    <cfRule type="expression" priority="197" dxfId="1">
      <formula>AND(IF($Q25=3,1,0),IF($X25&lt;30,1,0))</formula>
    </cfRule>
    <cfRule type="expression" priority="198" dxfId="0">
      <formula>AND(IF($Q25=3,1,IF($Q25=4,1,0)),IF($F25&lt;=85,1,0))</formula>
    </cfRule>
  </conditionalFormatting>
  <conditionalFormatting sqref="X25">
    <cfRule type="expression" priority="191" dxfId="3">
      <formula>AND(IF(OR($Q25=1,$Q25=2),1,0),IF($X25&lt;=20,1,0))</formula>
    </cfRule>
    <cfRule type="expression" priority="192" dxfId="2">
      <formula>AND(IF($Q25=2,1,0),IF($X25&lt;30,1,0))</formula>
    </cfRule>
    <cfRule type="expression" priority="193" dxfId="1">
      <formula>AND(IF($Q25=3,1,0),IF($X25&lt;30,1,0))</formula>
    </cfRule>
    <cfRule type="expression" priority="194" dxfId="0">
      <formula>AND(IF($Q25=3,1,IF($Q25=4,1,0)),IF($F25&lt;=85,1,0))</formula>
    </cfRule>
  </conditionalFormatting>
  <conditionalFormatting sqref="AI25">
    <cfRule type="expression" priority="187" dxfId="3">
      <formula>AND(IF(OR($Q25=1,$Q25=2),1,0),IF($X25&lt;=20,1,0))</formula>
    </cfRule>
    <cfRule type="expression" priority="188" dxfId="2">
      <formula>AND(IF($Q25=2,1,0),IF($X25&lt;30,1,0))</formula>
    </cfRule>
    <cfRule type="expression" priority="189" dxfId="1">
      <formula>AND(IF($Q25=3,1,0),IF($X25&lt;30,1,0))</formula>
    </cfRule>
    <cfRule type="expression" priority="190" dxfId="0">
      <formula>AND(IF($Q25=3,1,IF($Q25=4,1,0)),IF($F25&lt;=85,1,0))</formula>
    </cfRule>
  </conditionalFormatting>
  <conditionalFormatting sqref="AV26">
    <cfRule type="expression" priority="185" dxfId="17">
      <formula>AV26="X"</formula>
    </cfRule>
    <cfRule type="expression" priority="186" dxfId="16">
      <formula>AV26="후보"</formula>
    </cfRule>
  </conditionalFormatting>
  <conditionalFormatting sqref="AC26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26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26">
    <cfRule type="expression" priority="176" dxfId="3">
      <formula>AND(IF(OR($Q26=1,$Q26=2),1,0),IF($X26&lt;=20,1,0))</formula>
    </cfRule>
    <cfRule type="expression" priority="177" dxfId="2">
      <formula>AND(IF($Q26=2,1,0),IF($X26&lt;30,1,0))</formula>
    </cfRule>
    <cfRule type="expression" priority="178" dxfId="1">
      <formula>AND(IF($Q26=3,1,0),IF($X26&lt;30,1,0))</formula>
    </cfRule>
    <cfRule type="expression" priority="179" dxfId="0">
      <formula>AND(IF($Q26=3,1,IF($Q26=4,1,0)),IF($F26&lt;=85,1,0))</formula>
    </cfRule>
  </conditionalFormatting>
  <conditionalFormatting sqref="X26">
    <cfRule type="expression" priority="172" dxfId="3">
      <formula>AND(IF(OR($Q26=1,$Q26=2),1,0),IF($X26&lt;=20,1,0))</formula>
    </cfRule>
    <cfRule type="expression" priority="173" dxfId="2">
      <formula>AND(IF($Q26=2,1,0),IF($X26&lt;30,1,0))</formula>
    </cfRule>
    <cfRule type="expression" priority="174" dxfId="1">
      <formula>AND(IF($Q26=3,1,0),IF($X26&lt;30,1,0))</formula>
    </cfRule>
    <cfRule type="expression" priority="175" dxfId="0">
      <formula>AND(IF($Q26=3,1,IF($Q26=4,1,0)),IF($F26&lt;=85,1,0))</formula>
    </cfRule>
  </conditionalFormatting>
  <conditionalFormatting sqref="AI26">
    <cfRule type="expression" priority="168" dxfId="3">
      <formula>AND(IF(OR($Q26=1,$Q26=2),1,0),IF($X26&lt;=20,1,0))</formula>
    </cfRule>
    <cfRule type="expression" priority="169" dxfId="2">
      <formula>AND(IF($Q26=2,1,0),IF($X26&lt;30,1,0))</formula>
    </cfRule>
    <cfRule type="expression" priority="170" dxfId="1">
      <formula>AND(IF($Q26=3,1,0),IF($X26&lt;30,1,0))</formula>
    </cfRule>
    <cfRule type="expression" priority="171" dxfId="0">
      <formula>AND(IF($Q26=3,1,IF($Q26=4,1,0)),IF($F26&lt;=85,1,0))</formula>
    </cfRule>
  </conditionalFormatting>
  <conditionalFormatting sqref="AV27">
    <cfRule type="expression" priority="166" dxfId="17">
      <formula>AV27="X"</formula>
    </cfRule>
    <cfRule type="expression" priority="167" dxfId="16">
      <formula>AV27="후보"</formula>
    </cfRule>
  </conditionalFormatting>
  <conditionalFormatting sqref="AC27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27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27">
    <cfRule type="expression" priority="157" dxfId="3">
      <formula>AND(IF(OR($Q27=1,$Q27=2),1,0),IF($X27&lt;=20,1,0))</formula>
    </cfRule>
    <cfRule type="expression" priority="158" dxfId="2">
      <formula>AND(IF($Q27=2,1,0),IF($X27&lt;30,1,0))</formula>
    </cfRule>
    <cfRule type="expression" priority="159" dxfId="1">
      <formula>AND(IF($Q27=3,1,0),IF($X27&lt;30,1,0))</formula>
    </cfRule>
    <cfRule type="expression" priority="160" dxfId="0">
      <formula>AND(IF($Q27=3,1,IF($Q27=4,1,0)),IF($F27&lt;=85,1,0))</formula>
    </cfRule>
  </conditionalFormatting>
  <conditionalFormatting sqref="X27">
    <cfRule type="expression" priority="153" dxfId="3">
      <formula>AND(IF(OR($Q27=1,$Q27=2),1,0),IF($X27&lt;=20,1,0))</formula>
    </cfRule>
    <cfRule type="expression" priority="154" dxfId="2">
      <formula>AND(IF($Q27=2,1,0),IF($X27&lt;30,1,0))</formula>
    </cfRule>
    <cfRule type="expression" priority="155" dxfId="1">
      <formula>AND(IF($Q27=3,1,0),IF($X27&lt;30,1,0))</formula>
    </cfRule>
    <cfRule type="expression" priority="156" dxfId="0">
      <formula>AND(IF($Q27=3,1,IF($Q27=4,1,0)),IF($F27&lt;=85,1,0))</formula>
    </cfRule>
  </conditionalFormatting>
  <conditionalFormatting sqref="AI27">
    <cfRule type="expression" priority="149" dxfId="3">
      <formula>AND(IF(OR($Q27=1,$Q27=2),1,0),IF($X27&lt;=20,1,0))</formula>
    </cfRule>
    <cfRule type="expression" priority="150" dxfId="2">
      <formula>AND(IF($Q27=2,1,0),IF($X27&lt;30,1,0))</formula>
    </cfRule>
    <cfRule type="expression" priority="151" dxfId="1">
      <formula>AND(IF($Q27=3,1,0),IF($X27&lt;30,1,0))</formula>
    </cfRule>
    <cfRule type="expression" priority="152" dxfId="0">
      <formula>AND(IF($Q27=3,1,IF($Q27=4,1,0)),IF($F27&lt;=85,1,0))</formula>
    </cfRule>
  </conditionalFormatting>
  <conditionalFormatting sqref="AV28">
    <cfRule type="expression" priority="147" dxfId="17">
      <formula>AV28="X"</formula>
    </cfRule>
    <cfRule type="expression" priority="148" dxfId="16">
      <formula>AV28="후보"</formula>
    </cfRule>
  </conditionalFormatting>
  <conditionalFormatting sqref="AC28 N28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29">
    <cfRule type="expression" priority="142" dxfId="17">
      <formula>AV29="X"</formula>
    </cfRule>
    <cfRule type="expression" priority="143" dxfId="16">
      <formula>AV29="후보"</formula>
    </cfRule>
  </conditionalFormatting>
  <conditionalFormatting sqref="AC2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9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9">
    <cfRule type="expression" priority="133" dxfId="3">
      <formula>AND(IF(OR($Q29=1,$Q29=2),1,0),IF($X29&lt;=20,1,0))</formula>
    </cfRule>
    <cfRule type="expression" priority="134" dxfId="2">
      <formula>AND(IF($Q29=2,1,0),IF($X29&lt;30,1,0))</formula>
    </cfRule>
    <cfRule type="expression" priority="135" dxfId="1">
      <formula>AND(IF($Q29=3,1,0),IF($X29&lt;30,1,0))</formula>
    </cfRule>
    <cfRule type="expression" priority="136" dxfId="0">
      <formula>AND(IF($Q29=3,1,IF($Q29=4,1,0)),IF($F29&lt;=85,1,0))</formula>
    </cfRule>
  </conditionalFormatting>
  <conditionalFormatting sqref="X29">
    <cfRule type="expression" priority="129" dxfId="3">
      <formula>AND(IF(OR($Q29=1,$Q29=2),1,0),IF($X29&lt;=20,1,0))</formula>
    </cfRule>
    <cfRule type="expression" priority="130" dxfId="2">
      <formula>AND(IF($Q29=2,1,0),IF($X29&lt;30,1,0))</formula>
    </cfRule>
    <cfRule type="expression" priority="131" dxfId="1">
      <formula>AND(IF($Q29=3,1,0),IF($X29&lt;30,1,0))</formula>
    </cfRule>
    <cfRule type="expression" priority="132" dxfId="0">
      <formula>AND(IF($Q29=3,1,IF($Q29=4,1,0)),IF($F29&lt;=85,1,0))</formula>
    </cfRule>
  </conditionalFormatting>
  <conditionalFormatting sqref="AI29">
    <cfRule type="expression" priority="125" dxfId="3">
      <formula>AND(IF(OR($Q29=1,$Q29=2),1,0),IF($X29&lt;=20,1,0))</formula>
    </cfRule>
    <cfRule type="expression" priority="126" dxfId="2">
      <formula>AND(IF($Q29=2,1,0),IF($X29&lt;30,1,0))</formula>
    </cfRule>
    <cfRule type="expression" priority="127" dxfId="1">
      <formula>AND(IF($Q29=3,1,0),IF($X29&lt;30,1,0))</formula>
    </cfRule>
    <cfRule type="expression" priority="128" dxfId="0">
      <formula>AND(IF($Q29=3,1,IF($Q29=4,1,0)),IF($F29&lt;=85,1,0))</formula>
    </cfRule>
  </conditionalFormatting>
  <conditionalFormatting sqref="AV30">
    <cfRule type="expression" priority="123" dxfId="17">
      <formula>AV30="X"</formula>
    </cfRule>
    <cfRule type="expression" priority="124" dxfId="16">
      <formula>AV30="후보"</formula>
    </cfRule>
  </conditionalFormatting>
  <conditionalFormatting sqref="AC30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30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30">
    <cfRule type="expression" priority="114" dxfId="3">
      <formula>AND(IF(OR($Q30=1,$Q30=2),1,0),IF($X30&lt;=20,1,0))</formula>
    </cfRule>
    <cfRule type="expression" priority="115" dxfId="2">
      <formula>AND(IF($Q30=2,1,0),IF($X30&lt;30,1,0))</formula>
    </cfRule>
    <cfRule type="expression" priority="116" dxfId="1">
      <formula>AND(IF($Q30=3,1,0),IF($X30&lt;30,1,0))</formula>
    </cfRule>
    <cfRule type="expression" priority="117" dxfId="0">
      <formula>AND(IF($Q30=3,1,IF($Q30=4,1,0)),IF($F30&lt;=85,1,0))</formula>
    </cfRule>
  </conditionalFormatting>
  <conditionalFormatting sqref="X30">
    <cfRule type="expression" priority="110" dxfId="3">
      <formula>AND(IF(OR($Q30=1,$Q30=2),1,0),IF($X30&lt;=20,1,0))</formula>
    </cfRule>
    <cfRule type="expression" priority="111" dxfId="2">
      <formula>AND(IF($Q30=2,1,0),IF($X30&lt;30,1,0))</formula>
    </cfRule>
    <cfRule type="expression" priority="112" dxfId="1">
      <formula>AND(IF($Q30=3,1,0),IF($X30&lt;30,1,0))</formula>
    </cfRule>
    <cfRule type="expression" priority="113" dxfId="0">
      <formula>AND(IF($Q30=3,1,IF($Q30=4,1,0)),IF($F30&lt;=85,1,0))</formula>
    </cfRule>
  </conditionalFormatting>
  <conditionalFormatting sqref="AI30">
    <cfRule type="expression" priority="106" dxfId="3">
      <formula>AND(IF(OR($Q30=1,$Q30=2),1,0),IF($X30&lt;=20,1,0))</formula>
    </cfRule>
    <cfRule type="expression" priority="107" dxfId="2">
      <formula>AND(IF($Q30=2,1,0),IF($X30&lt;30,1,0))</formula>
    </cfRule>
    <cfRule type="expression" priority="108" dxfId="1">
      <formula>AND(IF($Q30=3,1,0),IF($X30&lt;30,1,0))</formula>
    </cfRule>
    <cfRule type="expression" priority="109" dxfId="0">
      <formula>AND(IF($Q30=3,1,IF($Q30=4,1,0)),IF($F30&lt;=85,1,0))</formula>
    </cfRule>
  </conditionalFormatting>
  <conditionalFormatting sqref="AV31">
    <cfRule type="expression" priority="104" dxfId="17">
      <formula>AV31="X"</formula>
    </cfRule>
    <cfRule type="expression" priority="105" dxfId="16">
      <formula>AV31="후보"</formula>
    </cfRule>
  </conditionalFormatting>
  <conditionalFormatting sqref="AC31 N31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32">
    <cfRule type="expression" priority="99" dxfId="17">
      <formula>AV32="X"</formula>
    </cfRule>
    <cfRule type="expression" priority="100" dxfId="16">
      <formula>AV32="후보"</formula>
    </cfRule>
  </conditionalFormatting>
  <conditionalFormatting sqref="AC3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2">
    <cfRule type="expression" priority="90" dxfId="3">
      <formula>AND(IF(OR($Q32=1,$Q32=2),1,0),IF($X32&lt;=20,1,0))</formula>
    </cfRule>
    <cfRule type="expression" priority="91" dxfId="2">
      <formula>AND(IF($Q32=2,1,0),IF($X32&lt;30,1,0))</formula>
    </cfRule>
    <cfRule type="expression" priority="92" dxfId="1">
      <formula>AND(IF($Q32=3,1,0),IF($X32&lt;30,1,0))</formula>
    </cfRule>
    <cfRule type="expression" priority="93" dxfId="0">
      <formula>AND(IF($Q32=3,1,IF($Q32=4,1,0)),IF($F32&lt;=85,1,0))</formula>
    </cfRule>
  </conditionalFormatting>
  <conditionalFormatting sqref="X32">
    <cfRule type="expression" priority="86" dxfId="3">
      <formula>AND(IF(OR($Q32=1,$Q32=2),1,0),IF($X32&lt;=20,1,0))</formula>
    </cfRule>
    <cfRule type="expression" priority="87" dxfId="2">
      <formula>AND(IF($Q32=2,1,0),IF($X32&lt;30,1,0))</formula>
    </cfRule>
    <cfRule type="expression" priority="88" dxfId="1">
      <formula>AND(IF($Q32=3,1,0),IF($X32&lt;30,1,0))</formula>
    </cfRule>
    <cfRule type="expression" priority="89" dxfId="0">
      <formula>AND(IF($Q32=3,1,IF($Q32=4,1,0)),IF($F32&lt;=85,1,0))</formula>
    </cfRule>
  </conditionalFormatting>
  <conditionalFormatting sqref="AI32">
    <cfRule type="expression" priority="82" dxfId="3">
      <formula>AND(IF(OR($Q32=1,$Q32=2),1,0),IF($X32&lt;=20,1,0))</formula>
    </cfRule>
    <cfRule type="expression" priority="83" dxfId="2">
      <formula>AND(IF($Q32=2,1,0),IF($X32&lt;30,1,0))</formula>
    </cfRule>
    <cfRule type="expression" priority="84" dxfId="1">
      <formula>AND(IF($Q32=3,1,0),IF($X32&lt;30,1,0))</formula>
    </cfRule>
    <cfRule type="expression" priority="85" dxfId="0">
      <formula>AND(IF($Q32=3,1,IF($Q32=4,1,0)),IF($F32&lt;=85,1,0))</formula>
    </cfRule>
  </conditionalFormatting>
  <conditionalFormatting sqref="AV33">
    <cfRule type="expression" priority="80" dxfId="17">
      <formula>AV33="X"</formula>
    </cfRule>
    <cfRule type="expression" priority="81" dxfId="16">
      <formula>AV33="후보"</formula>
    </cfRule>
  </conditionalFormatting>
  <conditionalFormatting sqref="AC3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3">
    <cfRule type="expression" priority="71" dxfId="3">
      <formula>AND(IF(OR($Q33=1,$Q33=2),1,0),IF($X33&lt;=20,1,0))</formula>
    </cfRule>
    <cfRule type="expression" priority="72" dxfId="2">
      <formula>AND(IF($Q33=2,1,0),IF($X33&lt;30,1,0))</formula>
    </cfRule>
    <cfRule type="expression" priority="73" dxfId="1">
      <formula>AND(IF($Q33=3,1,0),IF($X33&lt;30,1,0))</formula>
    </cfRule>
    <cfRule type="expression" priority="74" dxfId="0">
      <formula>AND(IF($Q33=3,1,IF($Q33=4,1,0)),IF($F33&lt;=85,1,0))</formula>
    </cfRule>
  </conditionalFormatting>
  <conditionalFormatting sqref="X33">
    <cfRule type="expression" priority="67" dxfId="3">
      <formula>AND(IF(OR($Q33=1,$Q33=2),1,0),IF($X33&lt;=20,1,0))</formula>
    </cfRule>
    <cfRule type="expression" priority="68" dxfId="2">
      <formula>AND(IF($Q33=2,1,0),IF($X33&lt;30,1,0))</formula>
    </cfRule>
    <cfRule type="expression" priority="69" dxfId="1">
      <formula>AND(IF($Q33=3,1,0),IF($X33&lt;30,1,0))</formula>
    </cfRule>
    <cfRule type="expression" priority="70" dxfId="0">
      <formula>AND(IF($Q33=3,1,IF($Q33=4,1,0)),IF($F33&lt;=85,1,0))</formula>
    </cfRule>
  </conditionalFormatting>
  <conditionalFormatting sqref="AI33">
    <cfRule type="expression" priority="63" dxfId="3">
      <formula>AND(IF(OR($Q33=1,$Q33=2),1,0),IF($X33&lt;=20,1,0))</formula>
    </cfRule>
    <cfRule type="expression" priority="64" dxfId="2">
      <formula>AND(IF($Q33=2,1,0),IF($X33&lt;30,1,0))</formula>
    </cfRule>
    <cfRule type="expression" priority="65" dxfId="1">
      <formula>AND(IF($Q33=3,1,0),IF($X33&lt;30,1,0))</formula>
    </cfRule>
    <cfRule type="expression" priority="66" dxfId="0">
      <formula>AND(IF($Q33=3,1,IF($Q33=4,1,0)),IF($F33&lt;=85,1,0))</formula>
    </cfRule>
  </conditionalFormatting>
  <conditionalFormatting sqref="AV34">
    <cfRule type="expression" priority="61" dxfId="17">
      <formula>AV34="X"</formula>
    </cfRule>
    <cfRule type="expression" priority="62" dxfId="16">
      <formula>AV34="후보"</formula>
    </cfRule>
  </conditionalFormatting>
  <conditionalFormatting sqref="AC3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34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34">
    <cfRule type="expression" priority="52" dxfId="3">
      <formula>AND(IF(OR($Q34=1,$Q34=2),1,0),IF($X34&lt;=20,1,0))</formula>
    </cfRule>
    <cfRule type="expression" priority="53" dxfId="2">
      <formula>AND(IF($Q34=2,1,0),IF($X34&lt;30,1,0))</formula>
    </cfRule>
    <cfRule type="expression" priority="54" dxfId="1">
      <formula>AND(IF($Q34=3,1,0),IF($X34&lt;30,1,0))</formula>
    </cfRule>
    <cfRule type="expression" priority="55" dxfId="0">
      <formula>AND(IF($Q34=3,1,IF($Q34=4,1,0)),IF($F34&lt;=85,1,0))</formula>
    </cfRule>
  </conditionalFormatting>
  <conditionalFormatting sqref="X34">
    <cfRule type="expression" priority="48" dxfId="3">
      <formula>AND(IF(OR($Q34=1,$Q34=2),1,0),IF($X34&lt;=20,1,0))</formula>
    </cfRule>
    <cfRule type="expression" priority="49" dxfId="2">
      <formula>AND(IF($Q34=2,1,0),IF($X34&lt;30,1,0))</formula>
    </cfRule>
    <cfRule type="expression" priority="50" dxfId="1">
      <formula>AND(IF($Q34=3,1,0),IF($X34&lt;30,1,0))</formula>
    </cfRule>
    <cfRule type="expression" priority="51" dxfId="0">
      <formula>AND(IF($Q34=3,1,IF($Q34=4,1,0)),IF($F34&lt;=85,1,0))</formula>
    </cfRule>
  </conditionalFormatting>
  <conditionalFormatting sqref="AI34">
    <cfRule type="expression" priority="44" dxfId="3">
      <formula>AND(IF(OR($Q34=1,$Q34=2),1,0),IF($X34&lt;=20,1,0))</formula>
    </cfRule>
    <cfRule type="expression" priority="45" dxfId="2">
      <formula>AND(IF($Q34=2,1,0),IF($X34&lt;30,1,0))</formula>
    </cfRule>
    <cfRule type="expression" priority="46" dxfId="1">
      <formula>AND(IF($Q34=3,1,0),IF($X34&lt;30,1,0))</formula>
    </cfRule>
    <cfRule type="expression" priority="47" dxfId="0">
      <formula>AND(IF($Q34=3,1,IF($Q34=4,1,0)),IF($F34&lt;=85,1,0))</formula>
    </cfRule>
  </conditionalFormatting>
  <conditionalFormatting sqref="AV35">
    <cfRule type="expression" priority="42" dxfId="17">
      <formula>AV35="X"</formula>
    </cfRule>
    <cfRule type="expression" priority="43" dxfId="16">
      <formula>AV35="후보"</formula>
    </cfRule>
  </conditionalFormatting>
  <conditionalFormatting sqref="AC35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35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35">
    <cfRule type="expression" priority="33" dxfId="3">
      <formula>AND(IF(OR($Q35=1,$Q35=2),1,0),IF($X35&lt;=20,1,0))</formula>
    </cfRule>
    <cfRule type="expression" priority="34" dxfId="2">
      <formula>AND(IF($Q35=2,1,0),IF($X35&lt;30,1,0))</formula>
    </cfRule>
    <cfRule type="expression" priority="35" dxfId="1">
      <formula>AND(IF($Q35=3,1,0),IF($X35&lt;30,1,0))</formula>
    </cfRule>
    <cfRule type="expression" priority="36" dxfId="0">
      <formula>AND(IF($Q35=3,1,IF($Q35=4,1,0)),IF($F35&lt;=85,1,0))</formula>
    </cfRule>
  </conditionalFormatting>
  <conditionalFormatting sqref="X35">
    <cfRule type="expression" priority="29" dxfId="3">
      <formula>AND(IF(OR($Q35=1,$Q35=2),1,0),IF($X35&lt;=20,1,0))</formula>
    </cfRule>
    <cfRule type="expression" priority="30" dxfId="2">
      <formula>AND(IF($Q35=2,1,0),IF($X35&lt;30,1,0))</formula>
    </cfRule>
    <cfRule type="expression" priority="31" dxfId="1">
      <formula>AND(IF($Q35=3,1,0),IF($X35&lt;30,1,0))</formula>
    </cfRule>
    <cfRule type="expression" priority="32" dxfId="0">
      <formula>AND(IF($Q35=3,1,IF($Q35=4,1,0)),IF($F35&lt;=85,1,0))</formula>
    </cfRule>
  </conditionalFormatting>
  <conditionalFormatting sqref="AI35">
    <cfRule type="expression" priority="25" dxfId="3">
      <formula>AND(IF(OR($Q35=1,$Q35=2),1,0),IF($X35&lt;=20,1,0))</formula>
    </cfRule>
    <cfRule type="expression" priority="26" dxfId="2">
      <formula>AND(IF($Q35=2,1,0),IF($X35&lt;30,1,0))</formula>
    </cfRule>
    <cfRule type="expression" priority="27" dxfId="1">
      <formula>AND(IF($Q35=3,1,0),IF($X35&lt;30,1,0))</formula>
    </cfRule>
    <cfRule type="expression" priority="28" dxfId="0">
      <formula>AND(IF($Q35=3,1,IF($Q35=4,1,0)),IF($F35&lt;=85,1,0))</formula>
    </cfRule>
  </conditionalFormatting>
  <conditionalFormatting sqref="AV36">
    <cfRule type="expression" priority="23" dxfId="17">
      <formula>AV36="X"</formula>
    </cfRule>
    <cfRule type="expression" priority="24" dxfId="16">
      <formula>AV36="후보"</formula>
    </cfRule>
  </conditionalFormatting>
  <conditionalFormatting sqref="AC36 N36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37">
    <cfRule type="expression" priority="18" dxfId="17">
      <formula>AV37="X"</formula>
    </cfRule>
    <cfRule type="expression" priority="19" dxfId="16">
      <formula>AV37="후보"</formula>
    </cfRule>
  </conditionalFormatting>
  <conditionalFormatting sqref="AC3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경서동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북청라하우스토리</t>
        </is>
      </c>
      <c r="B6" s="16" t="inlineStr">
        <is>
          <t>'22.02.</t>
        </is>
      </c>
      <c r="C6" s="164" t="n">
        <v>430</v>
      </c>
      <c r="D6" s="161" t="n">
        <v>79.2</v>
      </c>
      <c r="E6" s="163" t="n">
        <v>24</v>
      </c>
      <c r="F6" s="161" t="n">
        <v>59.9</v>
      </c>
      <c r="G6" s="27" t="n">
        <v>18</v>
      </c>
      <c r="H6" s="164" t="n">
        <v>174</v>
      </c>
      <c r="I6" s="165" t="n">
        <v>48300</v>
      </c>
      <c r="J6" s="165" t="inlineStr">
        <is>
          <t>고</t>
        </is>
      </c>
      <c r="K6" s="165" t="n">
        <v>30000</v>
      </c>
      <c r="L6" s="165" t="inlineStr">
        <is>
          <t>중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79A-1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북청라하우스토리</t>
        </is>
      </c>
      <c r="B7" s="16" t="inlineStr">
        <is>
          <t>'22.02.</t>
        </is>
      </c>
      <c r="C7" s="164" t="n">
        <v>430</v>
      </c>
      <c r="D7" s="161" t="n">
        <v>79.3</v>
      </c>
      <c r="E7" s="163" t="n">
        <v>24</v>
      </c>
      <c r="F7" s="161" t="n">
        <v>60</v>
      </c>
      <c r="G7" s="27" t="n">
        <v>18</v>
      </c>
      <c r="H7" s="164" t="n">
        <v>163</v>
      </c>
      <c r="I7" s="165" t="n">
        <v>44787</v>
      </c>
      <c r="J7" s="165" t="inlineStr">
        <is>
          <t>중</t>
        </is>
      </c>
      <c r="K7" s="165" t="n">
        <v>32000</v>
      </c>
      <c r="L7" s="165" t="inlineStr">
        <is>
          <t>20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79A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북청라하우스토리</t>
        </is>
      </c>
      <c r="B8" s="16" t="inlineStr">
        <is>
          <t>'22.02.</t>
        </is>
      </c>
      <c r="C8" s="164" t="n">
        <v>430</v>
      </c>
      <c r="D8" s="161" t="n">
        <v>79.40000000000001</v>
      </c>
      <c r="E8" s="163" t="n">
        <v>24</v>
      </c>
      <c r="F8" s="161" t="n">
        <v>60</v>
      </c>
      <c r="G8" s="27" t="n">
        <v>18</v>
      </c>
      <c r="H8" s="164" t="n">
        <v>68</v>
      </c>
      <c r="I8" s="165" t="n"/>
      <c r="J8" s="165" t="n"/>
      <c r="K8" s="165" t="n">
        <v>33000</v>
      </c>
      <c r="L8" s="165" t="inlineStr">
        <is>
          <t>중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79B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북청라하우스토리</t>
        </is>
      </c>
      <c r="B9" s="16" t="inlineStr">
        <is>
          <t>'22.02.</t>
        </is>
      </c>
      <c r="C9" s="164" t="n">
        <v>430</v>
      </c>
      <c r="D9" s="161" t="n">
        <v>79.90000000000001</v>
      </c>
      <c r="E9" s="163" t="n">
        <v>24</v>
      </c>
      <c r="F9" s="161" t="n">
        <v>59.9</v>
      </c>
      <c r="G9" s="27" t="n">
        <v>18</v>
      </c>
      <c r="H9" s="164" t="n">
        <v>14</v>
      </c>
      <c r="I9" s="165" t="n">
        <v>42500</v>
      </c>
      <c r="J9" s="165" t="inlineStr">
        <is>
          <t>중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79C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북청라하우스토리</t>
        </is>
      </c>
      <c r="B10" s="16" t="inlineStr">
        <is>
          <t>'22.02.</t>
        </is>
      </c>
      <c r="C10" s="164" t="n">
        <v>430</v>
      </c>
      <c r="D10" s="161" t="n">
        <v>81.90000000000001</v>
      </c>
      <c r="E10" s="163" t="n">
        <v>25</v>
      </c>
      <c r="F10" s="161" t="n">
        <v>59.9</v>
      </c>
      <c r="G10" s="27" t="n">
        <v>18</v>
      </c>
      <c r="H10" s="164" t="n">
        <v>3</v>
      </c>
      <c r="I10" s="165" t="n"/>
      <c r="J10" s="165" t="n"/>
      <c r="K10" s="165" t="n">
        <v>27000</v>
      </c>
      <c r="L10" s="165" t="inlineStr">
        <is>
          <t>중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81D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북청라하우스토리</t>
        </is>
      </c>
      <c r="B11" s="16" t="inlineStr">
        <is>
          <t>'22.02.</t>
        </is>
      </c>
      <c r="C11" s="164" t="n">
        <v>430</v>
      </c>
      <c r="D11" s="161" t="n">
        <v>81.09999999999999</v>
      </c>
      <c r="E11" s="163" t="n">
        <v>25</v>
      </c>
      <c r="F11" s="161" t="n">
        <v>59.9</v>
      </c>
      <c r="G11" s="27" t="n">
        <v>18</v>
      </c>
      <c r="H11" s="164" t="n">
        <v>2</v>
      </c>
      <c r="I11" s="165" t="n"/>
      <c r="J11" s="165" t="n"/>
      <c r="K11" s="165" t="n">
        <v>40000</v>
      </c>
      <c r="L11" s="165" t="inlineStr">
        <is>
          <t>15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81E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북청라하우스토리</t>
        </is>
      </c>
      <c r="B12" s="16" t="inlineStr">
        <is>
          <t>'22.02.</t>
        </is>
      </c>
      <c r="C12" s="164" t="n">
        <v>430</v>
      </c>
      <c r="D12" s="161" t="n">
        <v>82</v>
      </c>
      <c r="E12" s="163" t="n">
        <v>25</v>
      </c>
      <c r="F12" s="161" t="n">
        <v>59.9</v>
      </c>
      <c r="G12" s="27" t="n">
        <v>18</v>
      </c>
      <c r="H12" s="164" t="n">
        <v>6</v>
      </c>
      <c r="I12" s="165" t="n"/>
      <c r="J12" s="165" t="n"/>
      <c r="K12" s="165" t="n">
        <v>40000</v>
      </c>
      <c r="L12" s="165" t="inlineStr">
        <is>
          <t>19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82D-1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인천경서아시아드대광로제비앙</t>
        </is>
      </c>
      <c r="B14" s="16" t="inlineStr">
        <is>
          <t>'17.12.</t>
        </is>
      </c>
      <c r="C14" s="164" t="n">
        <v>720</v>
      </c>
      <c r="D14" s="161" t="n">
        <v>109.8</v>
      </c>
      <c r="E14" s="163" t="n">
        <v>33</v>
      </c>
      <c r="F14" s="161" t="n">
        <v>84.09999999999999</v>
      </c>
      <c r="G14" s="27" t="n">
        <v>25</v>
      </c>
      <c r="H14" s="164" t="n">
        <v>587</v>
      </c>
      <c r="I14" s="165" t="n">
        <v>52000</v>
      </c>
      <c r="J14" s="165" t="inlineStr">
        <is>
          <t>중</t>
        </is>
      </c>
      <c r="K14" s="165" t="n">
        <v>31000</v>
      </c>
      <c r="L14" s="165" t="inlineStr">
        <is>
          <t>고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109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인천경서아시아드대광로제비앙</t>
        </is>
      </c>
      <c r="B15" s="16" t="inlineStr">
        <is>
          <t>'17.12.</t>
        </is>
      </c>
      <c r="C15" s="164" t="n">
        <v>720</v>
      </c>
      <c r="D15" s="161" t="n">
        <v>115.4</v>
      </c>
      <c r="E15" s="163" t="n">
        <v>35</v>
      </c>
      <c r="F15" s="161" t="n">
        <v>88.40000000000001</v>
      </c>
      <c r="G15" s="27" t="n">
        <v>27</v>
      </c>
      <c r="H15" s="164" t="n">
        <v>87</v>
      </c>
      <c r="I15" s="165" t="n">
        <v>63000</v>
      </c>
      <c r="J15" s="165" t="inlineStr">
        <is>
          <t>5</t>
        </is>
      </c>
      <c r="K15" s="165" t="n">
        <v>33000</v>
      </c>
      <c r="L15" s="165" t="inlineStr">
        <is>
          <t>고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115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인천경서아시아드대광로제비앙</t>
        </is>
      </c>
      <c r="B16" s="16" t="inlineStr">
        <is>
          <t>'17.12.</t>
        </is>
      </c>
      <c r="C16" s="164" t="n">
        <v>720</v>
      </c>
      <c r="D16" s="161" t="n">
        <v>171.2</v>
      </c>
      <c r="E16" s="163" t="n">
        <v>52</v>
      </c>
      <c r="F16" s="161" t="n">
        <v>128.3</v>
      </c>
      <c r="G16" s="27" t="n">
        <v>39</v>
      </c>
      <c r="H16" s="164" t="n">
        <v>46</v>
      </c>
      <c r="I16" s="165" t="n">
        <v>95000</v>
      </c>
      <c r="J16" s="165" t="inlineStr">
        <is>
          <t>14</t>
        </is>
      </c>
      <c r="K16" s="165" t="n">
        <v>70000</v>
      </c>
      <c r="L16" s="165" t="inlineStr">
        <is>
          <t>고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3</v>
      </c>
      <c r="S16" s="113" t="inlineStr">
        <is>
          <t>계</t>
        </is>
      </c>
      <c r="T16" s="8" t="n">
        <v>171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우정에쉐르</t>
        </is>
      </c>
      <c r="B18" s="16" t="inlineStr">
        <is>
          <t>'06.05.</t>
        </is>
      </c>
      <c r="C18" s="164" t="n">
        <v>292</v>
      </c>
      <c r="D18" s="161" t="n">
        <v>79.8</v>
      </c>
      <c r="E18" s="163" t="n">
        <v>24</v>
      </c>
      <c r="F18" s="161" t="n">
        <v>59.6</v>
      </c>
      <c r="G18" s="27" t="n">
        <v>18</v>
      </c>
      <c r="H18" s="164" t="n">
        <v>72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79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우정에쉐르</t>
        </is>
      </c>
      <c r="B19" s="16" t="inlineStr">
        <is>
          <t>'06.05.</t>
        </is>
      </c>
      <c r="C19" s="164" t="n">
        <v>292</v>
      </c>
      <c r="D19" s="161" t="n">
        <v>110.3</v>
      </c>
      <c r="E19" s="163" t="n">
        <v>33</v>
      </c>
      <c r="F19" s="161" t="n">
        <v>84.7</v>
      </c>
      <c r="G19" s="27" t="n">
        <v>26</v>
      </c>
      <c r="H19" s="164" t="n">
        <v>220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110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가이아샹베르2차</t>
        </is>
      </c>
      <c r="B21" s="16" t="inlineStr">
        <is>
          <t>'05.03.</t>
        </is>
      </c>
      <c r="C21" s="164" t="n">
        <v>560</v>
      </c>
      <c r="D21" s="161" t="n">
        <v>79.59999999999999</v>
      </c>
      <c r="E21" s="163" t="n">
        <v>24</v>
      </c>
      <c r="F21" s="161" t="n">
        <v>59.6</v>
      </c>
      <c r="G21" s="27" t="n">
        <v>18</v>
      </c>
      <c r="H21" s="164" t="n">
        <v>128</v>
      </c>
      <c r="I21" s="165" t="n">
        <v>29000</v>
      </c>
      <c r="J21" s="165" t="inlineStr">
        <is>
          <t>8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79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가이아샹베르2차</t>
        </is>
      </c>
      <c r="B22" s="16" t="inlineStr">
        <is>
          <t>'05.03.</t>
        </is>
      </c>
      <c r="C22" s="164" t="n">
        <v>560</v>
      </c>
      <c r="D22" s="161" t="n">
        <v>109.5</v>
      </c>
      <c r="E22" s="163" t="n">
        <v>33</v>
      </c>
      <c r="F22" s="161" t="n">
        <v>84.5</v>
      </c>
      <c r="G22" s="27" t="n">
        <v>26</v>
      </c>
      <c r="H22" s="164" t="n">
        <v>432</v>
      </c>
      <c r="I22" s="165" t="n">
        <v>36000</v>
      </c>
      <c r="J22" s="165" t="inlineStr">
        <is>
          <t>16</t>
        </is>
      </c>
      <c r="K22" s="165" t="n">
        <v>28000</v>
      </c>
      <c r="L22" s="165" t="inlineStr">
        <is>
          <t>9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109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1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2" t="n"/>
      <c r="P23" s="162" t="n"/>
      <c r="Q23" s="163" t="n"/>
      <c r="R23" s="163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0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태평샹베르1차</t>
        </is>
      </c>
      <c r="B24" s="16" t="inlineStr">
        <is>
          <t>'05.02.</t>
        </is>
      </c>
      <c r="C24" s="164" t="n">
        <v>572</v>
      </c>
      <c r="D24" s="161" t="n">
        <v>79.40000000000001</v>
      </c>
      <c r="E24" s="163" t="n">
        <v>24</v>
      </c>
      <c r="F24" s="161" t="n">
        <v>59.6</v>
      </c>
      <c r="G24" s="27" t="n">
        <v>18</v>
      </c>
      <c r="H24" s="164" t="n">
        <v>132</v>
      </c>
      <c r="I24" s="165" t="n">
        <v>28500</v>
      </c>
      <c r="J24" s="165" t="inlineStr">
        <is>
          <t>6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79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태평샹베르1차</t>
        </is>
      </c>
      <c r="B25" s="16" t="inlineStr">
        <is>
          <t>'05.02.</t>
        </is>
      </c>
      <c r="C25" s="164" t="n">
        <v>572</v>
      </c>
      <c r="D25" s="161" t="n">
        <v>109.1</v>
      </c>
      <c r="E25" s="163" t="n">
        <v>33</v>
      </c>
      <c r="F25" s="161" t="n">
        <v>84.5</v>
      </c>
      <c r="G25" s="27" t="n">
        <v>26</v>
      </c>
      <c r="H25" s="164" t="n">
        <v>376</v>
      </c>
      <c r="I25" s="165" t="n">
        <v>35000</v>
      </c>
      <c r="J25" s="165" t="inlineStr">
        <is>
          <t>14</t>
        </is>
      </c>
      <c r="K25" s="165" t="n">
        <v>26000</v>
      </c>
      <c r="L25" s="165" t="inlineStr">
        <is>
          <t>중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109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태평샹베르1차</t>
        </is>
      </c>
      <c r="B26" s="16" t="inlineStr">
        <is>
          <t>'05.02.</t>
        </is>
      </c>
      <c r="C26" s="164" t="n">
        <v>572</v>
      </c>
      <c r="D26" s="161" t="n">
        <v>139.6</v>
      </c>
      <c r="E26" s="163" t="n">
        <v>42</v>
      </c>
      <c r="F26" s="161" t="n">
        <v>114.8</v>
      </c>
      <c r="G26" s="27" t="n">
        <v>35</v>
      </c>
      <c r="H26" s="164" t="n">
        <v>64</v>
      </c>
      <c r="I26" s="165" t="n">
        <v>45000</v>
      </c>
      <c r="J26" s="165" t="inlineStr">
        <is>
          <t>10</t>
        </is>
      </c>
      <c r="K26" s="165" t="n">
        <v>30000</v>
      </c>
      <c r="L26" s="165" t="inlineStr">
        <is>
          <t>12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n">
        <v>139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44" dxfId="17">
      <formula>AV4="X"</formula>
    </cfRule>
    <cfRule type="expression" priority="345" dxfId="16">
      <formula>AV4="후보"</formula>
    </cfRule>
  </conditionalFormatting>
  <conditionalFormatting sqref="AC1:AC2 AC4:AC6 N4:N5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N1:N2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6">
    <cfRule type="expression" priority="333" dxfId="3">
      <formula>AND(IF(OR($Q6=1,$Q6=2),1,0),IF($X6&lt;=20,1,0))</formula>
    </cfRule>
    <cfRule type="expression" priority="334" dxfId="2">
      <formula>AND(IF($Q6=2,1,0),IF($X6&lt;30,1,0))</formula>
    </cfRule>
    <cfRule type="expression" priority="335" dxfId="1">
      <formula>AND(IF($Q6=3,1,0),IF($X6&lt;30,1,0))</formula>
    </cfRule>
    <cfRule type="expression" priority="336" dxfId="0">
      <formula>AND(IF($Q6=3,1,IF($Q6=4,1,0)),IF($F6&lt;=85,1,0))</formula>
    </cfRule>
  </conditionalFormatting>
  <conditionalFormatting sqref="X6">
    <cfRule type="expression" priority="329" dxfId="3">
      <formula>AND(IF(OR($Q6=1,$Q6=2),1,0),IF($X6&lt;=20,1,0))</formula>
    </cfRule>
    <cfRule type="expression" priority="330" dxfId="2">
      <formula>AND(IF($Q6=2,1,0),IF($X6&lt;30,1,0))</formula>
    </cfRule>
    <cfRule type="expression" priority="331" dxfId="1">
      <formula>AND(IF($Q6=3,1,0),IF($X6&lt;30,1,0))</formula>
    </cfRule>
    <cfRule type="expression" priority="332" dxfId="0">
      <formula>AND(IF($Q6=3,1,IF($Q6=4,1,0)),IF($F6&lt;=85,1,0))</formula>
    </cfRule>
  </conditionalFormatting>
  <conditionalFormatting sqref="AI6">
    <cfRule type="expression" priority="325" dxfId="3">
      <formula>AND(IF(OR($Q6=1,$Q6=2),1,0),IF($X6&lt;=20,1,0))</formula>
    </cfRule>
    <cfRule type="expression" priority="326" dxfId="2">
      <formula>AND(IF($Q6=2,1,0),IF($X6&lt;30,1,0))</formula>
    </cfRule>
    <cfRule type="expression" priority="327" dxfId="1">
      <formula>AND(IF($Q6=3,1,0),IF($X6&lt;30,1,0))</formula>
    </cfRule>
    <cfRule type="expression" priority="328" dxfId="0">
      <formula>AND(IF($Q6=3,1,IF($Q6=4,1,0)),IF($F6&lt;=85,1,0))</formula>
    </cfRule>
  </conditionalFormatting>
  <conditionalFormatting sqref="AV7">
    <cfRule type="expression" priority="323" dxfId="17">
      <formula>AV7="X"</formula>
    </cfRule>
    <cfRule type="expression" priority="324" dxfId="16">
      <formula>AV7="후보"</formula>
    </cfRule>
  </conditionalFormatting>
  <conditionalFormatting sqref="AC7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7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7">
    <cfRule type="expression" priority="314" dxfId="3">
      <formula>AND(IF(OR($Q7=1,$Q7=2),1,0),IF($X7&lt;=20,1,0))</formula>
    </cfRule>
    <cfRule type="expression" priority="315" dxfId="2">
      <formula>AND(IF($Q7=2,1,0),IF($X7&lt;30,1,0))</formula>
    </cfRule>
    <cfRule type="expression" priority="316" dxfId="1">
      <formula>AND(IF($Q7=3,1,0),IF($X7&lt;30,1,0))</formula>
    </cfRule>
    <cfRule type="expression" priority="317" dxfId="0">
      <formula>AND(IF($Q7=3,1,IF($Q7=4,1,0)),IF($F7&lt;=85,1,0))</formula>
    </cfRule>
  </conditionalFormatting>
  <conditionalFormatting sqref="X7">
    <cfRule type="expression" priority="310" dxfId="3">
      <formula>AND(IF(OR($Q7=1,$Q7=2),1,0),IF($X7&lt;=20,1,0))</formula>
    </cfRule>
    <cfRule type="expression" priority="311" dxfId="2">
      <formula>AND(IF($Q7=2,1,0),IF($X7&lt;30,1,0))</formula>
    </cfRule>
    <cfRule type="expression" priority="312" dxfId="1">
      <formula>AND(IF($Q7=3,1,0),IF($X7&lt;30,1,0))</formula>
    </cfRule>
    <cfRule type="expression" priority="313" dxfId="0">
      <formula>AND(IF($Q7=3,1,IF($Q7=4,1,0)),IF($F7&lt;=85,1,0))</formula>
    </cfRule>
  </conditionalFormatting>
  <conditionalFormatting sqref="AI7">
    <cfRule type="expression" priority="306" dxfId="3">
      <formula>AND(IF(OR($Q7=1,$Q7=2),1,0),IF($X7&lt;=20,1,0))</formula>
    </cfRule>
    <cfRule type="expression" priority="307" dxfId="2">
      <formula>AND(IF($Q7=2,1,0),IF($X7&lt;30,1,0))</formula>
    </cfRule>
    <cfRule type="expression" priority="308" dxfId="1">
      <formula>AND(IF($Q7=3,1,0),IF($X7&lt;30,1,0))</formula>
    </cfRule>
    <cfRule type="expression" priority="309" dxfId="0">
      <formula>AND(IF($Q7=3,1,IF($Q7=4,1,0)),IF($F7&lt;=85,1,0))</formula>
    </cfRule>
  </conditionalFormatting>
  <conditionalFormatting sqref="AV8">
    <cfRule type="expression" priority="304" dxfId="17">
      <formula>AV8="X"</formula>
    </cfRule>
    <cfRule type="expression" priority="305" dxfId="16">
      <formula>AV8="후보"</formula>
    </cfRule>
  </conditionalFormatting>
  <conditionalFormatting sqref="AC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8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8">
    <cfRule type="expression" priority="295" dxfId="3">
      <formula>AND(IF(OR($Q8=1,$Q8=2),1,0),IF($X8&lt;=20,1,0))</formula>
    </cfRule>
    <cfRule type="expression" priority="296" dxfId="2">
      <formula>AND(IF($Q8=2,1,0),IF($X8&lt;30,1,0))</formula>
    </cfRule>
    <cfRule type="expression" priority="297" dxfId="1">
      <formula>AND(IF($Q8=3,1,0),IF($X8&lt;30,1,0))</formula>
    </cfRule>
    <cfRule type="expression" priority="298" dxfId="0">
      <formula>AND(IF($Q8=3,1,IF($Q8=4,1,0)),IF($F8&lt;=85,1,0))</formula>
    </cfRule>
  </conditionalFormatting>
  <conditionalFormatting sqref="X8">
    <cfRule type="expression" priority="291" dxfId="3">
      <formula>AND(IF(OR($Q8=1,$Q8=2),1,0),IF($X8&lt;=20,1,0))</formula>
    </cfRule>
    <cfRule type="expression" priority="292" dxfId="2">
      <formula>AND(IF($Q8=2,1,0),IF($X8&lt;30,1,0))</formula>
    </cfRule>
    <cfRule type="expression" priority="293" dxfId="1">
      <formula>AND(IF($Q8=3,1,0),IF($X8&lt;30,1,0))</formula>
    </cfRule>
    <cfRule type="expression" priority="294" dxfId="0">
      <formula>AND(IF($Q8=3,1,IF($Q8=4,1,0)),IF($F8&lt;=85,1,0))</formula>
    </cfRule>
  </conditionalFormatting>
  <conditionalFormatting sqref="AI8">
    <cfRule type="expression" priority="287" dxfId="3">
      <formula>AND(IF(OR($Q8=1,$Q8=2),1,0),IF($X8&lt;=20,1,0))</formula>
    </cfRule>
    <cfRule type="expression" priority="288" dxfId="2">
      <formula>AND(IF($Q8=2,1,0),IF($X8&lt;30,1,0))</formula>
    </cfRule>
    <cfRule type="expression" priority="289" dxfId="1">
      <formula>AND(IF($Q8=3,1,0),IF($X8&lt;30,1,0))</formula>
    </cfRule>
    <cfRule type="expression" priority="290" dxfId="0">
      <formula>AND(IF($Q8=3,1,IF($Q8=4,1,0)),IF($F8&lt;=85,1,0))</formula>
    </cfRule>
  </conditionalFormatting>
  <conditionalFormatting sqref="AV9">
    <cfRule type="expression" priority="285" dxfId="17">
      <formula>AV9="X"</formula>
    </cfRule>
    <cfRule type="expression" priority="286" dxfId="16">
      <formula>AV9="후보"</formula>
    </cfRule>
  </conditionalFormatting>
  <conditionalFormatting sqref="AC9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9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9">
    <cfRule type="expression" priority="276" dxfId="3">
      <formula>AND(IF(OR($Q9=1,$Q9=2),1,0),IF($X9&lt;=20,1,0))</formula>
    </cfRule>
    <cfRule type="expression" priority="277" dxfId="2">
      <formula>AND(IF($Q9=2,1,0),IF($X9&lt;30,1,0))</formula>
    </cfRule>
    <cfRule type="expression" priority="278" dxfId="1">
      <formula>AND(IF($Q9=3,1,0),IF($X9&lt;30,1,0))</formula>
    </cfRule>
    <cfRule type="expression" priority="279" dxfId="0">
      <formula>AND(IF($Q9=3,1,IF($Q9=4,1,0)),IF($F9&lt;=85,1,0))</formula>
    </cfRule>
  </conditionalFormatting>
  <conditionalFormatting sqref="X9">
    <cfRule type="expression" priority="272" dxfId="3">
      <formula>AND(IF(OR($Q9=1,$Q9=2),1,0),IF($X9&lt;=20,1,0))</formula>
    </cfRule>
    <cfRule type="expression" priority="273" dxfId="2">
      <formula>AND(IF($Q9=2,1,0),IF($X9&lt;30,1,0))</formula>
    </cfRule>
    <cfRule type="expression" priority="274" dxfId="1">
      <formula>AND(IF($Q9=3,1,0),IF($X9&lt;30,1,0))</formula>
    </cfRule>
    <cfRule type="expression" priority="275" dxfId="0">
      <formula>AND(IF($Q9=3,1,IF($Q9=4,1,0)),IF($F9&lt;=85,1,0))</formula>
    </cfRule>
  </conditionalFormatting>
  <conditionalFormatting sqref="AI9">
    <cfRule type="expression" priority="268" dxfId="3">
      <formula>AND(IF(OR($Q9=1,$Q9=2),1,0),IF($X9&lt;=20,1,0))</formula>
    </cfRule>
    <cfRule type="expression" priority="269" dxfId="2">
      <formula>AND(IF($Q9=2,1,0),IF($X9&lt;30,1,0))</formula>
    </cfRule>
    <cfRule type="expression" priority="270" dxfId="1">
      <formula>AND(IF($Q9=3,1,0),IF($X9&lt;30,1,0))</formula>
    </cfRule>
    <cfRule type="expression" priority="271" dxfId="0">
      <formula>AND(IF($Q9=3,1,IF($Q9=4,1,0)),IF($F9&lt;=85,1,0))</formula>
    </cfRule>
  </conditionalFormatting>
  <conditionalFormatting sqref="AV10">
    <cfRule type="expression" priority="266" dxfId="17">
      <formula>AV10="X"</formula>
    </cfRule>
    <cfRule type="expression" priority="267" dxfId="16">
      <formula>AV10="후보"</formula>
    </cfRule>
  </conditionalFormatting>
  <conditionalFormatting sqref="AC10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0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0">
    <cfRule type="expression" priority="257" dxfId="3">
      <formula>AND(IF(OR($Q10=1,$Q10=2),1,0),IF($X10&lt;=20,1,0))</formula>
    </cfRule>
    <cfRule type="expression" priority="258" dxfId="2">
      <formula>AND(IF($Q10=2,1,0),IF($X10&lt;30,1,0))</formula>
    </cfRule>
    <cfRule type="expression" priority="259" dxfId="1">
      <formula>AND(IF($Q10=3,1,0),IF($X10&lt;30,1,0))</formula>
    </cfRule>
    <cfRule type="expression" priority="260" dxfId="0">
      <formula>AND(IF($Q10=3,1,IF($Q10=4,1,0)),IF($F10&lt;=85,1,0))</formula>
    </cfRule>
  </conditionalFormatting>
  <conditionalFormatting sqref="X10">
    <cfRule type="expression" priority="253" dxfId="3">
      <formula>AND(IF(OR($Q10=1,$Q10=2),1,0),IF($X10&lt;=20,1,0))</formula>
    </cfRule>
    <cfRule type="expression" priority="254" dxfId="2">
      <formula>AND(IF($Q10=2,1,0),IF($X10&lt;30,1,0))</formula>
    </cfRule>
    <cfRule type="expression" priority="255" dxfId="1">
      <formula>AND(IF($Q10=3,1,0),IF($X10&lt;30,1,0))</formula>
    </cfRule>
    <cfRule type="expression" priority="256" dxfId="0">
      <formula>AND(IF($Q10=3,1,IF($Q10=4,1,0)),IF($F10&lt;=85,1,0))</formula>
    </cfRule>
  </conditionalFormatting>
  <conditionalFormatting sqref="AI10">
    <cfRule type="expression" priority="249" dxfId="3">
      <formula>AND(IF(OR($Q10=1,$Q10=2),1,0),IF($X10&lt;=20,1,0))</formula>
    </cfRule>
    <cfRule type="expression" priority="250" dxfId="2">
      <formula>AND(IF($Q10=2,1,0),IF($X10&lt;30,1,0))</formula>
    </cfRule>
    <cfRule type="expression" priority="251" dxfId="1">
      <formula>AND(IF($Q10=3,1,0),IF($X10&lt;30,1,0))</formula>
    </cfRule>
    <cfRule type="expression" priority="252" dxfId="0">
      <formula>AND(IF($Q10=3,1,IF($Q10=4,1,0)),IF($F10&lt;=85,1,0))</formula>
    </cfRule>
  </conditionalFormatting>
  <conditionalFormatting sqref="AV11">
    <cfRule type="expression" priority="247" dxfId="17">
      <formula>AV11="X"</formula>
    </cfRule>
    <cfRule type="expression" priority="248" dxfId="16">
      <formula>AV11="후보"</formula>
    </cfRule>
  </conditionalFormatting>
  <conditionalFormatting sqref="AC11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11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11">
    <cfRule type="expression" priority="238" dxfId="3">
      <formula>AND(IF(OR($Q11=1,$Q11=2),1,0),IF($X11&lt;=20,1,0))</formula>
    </cfRule>
    <cfRule type="expression" priority="239" dxfId="2">
      <formula>AND(IF($Q11=2,1,0),IF($X11&lt;30,1,0))</formula>
    </cfRule>
    <cfRule type="expression" priority="240" dxfId="1">
      <formula>AND(IF($Q11=3,1,0),IF($X11&lt;30,1,0))</formula>
    </cfRule>
    <cfRule type="expression" priority="241" dxfId="0">
      <formula>AND(IF($Q11=3,1,IF($Q11=4,1,0)),IF($F11&lt;=85,1,0))</formula>
    </cfRule>
  </conditionalFormatting>
  <conditionalFormatting sqref="X11">
    <cfRule type="expression" priority="234" dxfId="3">
      <formula>AND(IF(OR($Q11=1,$Q11=2),1,0),IF($X11&lt;=20,1,0))</formula>
    </cfRule>
    <cfRule type="expression" priority="235" dxfId="2">
      <formula>AND(IF($Q11=2,1,0),IF($X11&lt;30,1,0))</formula>
    </cfRule>
    <cfRule type="expression" priority="236" dxfId="1">
      <formula>AND(IF($Q11=3,1,0),IF($X11&lt;30,1,0))</formula>
    </cfRule>
    <cfRule type="expression" priority="237" dxfId="0">
      <formula>AND(IF($Q11=3,1,IF($Q11=4,1,0)),IF($F11&lt;=85,1,0))</formula>
    </cfRule>
  </conditionalFormatting>
  <conditionalFormatting sqref="AI11">
    <cfRule type="expression" priority="230" dxfId="3">
      <formula>AND(IF(OR($Q11=1,$Q11=2),1,0),IF($X11&lt;=20,1,0))</formula>
    </cfRule>
    <cfRule type="expression" priority="231" dxfId="2">
      <formula>AND(IF($Q11=2,1,0),IF($X11&lt;30,1,0))</formula>
    </cfRule>
    <cfRule type="expression" priority="232" dxfId="1">
      <formula>AND(IF($Q11=3,1,0),IF($X11&lt;30,1,0))</formula>
    </cfRule>
    <cfRule type="expression" priority="233" dxfId="0">
      <formula>AND(IF($Q11=3,1,IF($Q11=4,1,0)),IF($F11&lt;=85,1,0))</formula>
    </cfRule>
  </conditionalFormatting>
  <conditionalFormatting sqref="AV12">
    <cfRule type="expression" priority="228" dxfId="17">
      <formula>AV12="X"</formula>
    </cfRule>
    <cfRule type="expression" priority="229" dxfId="16">
      <formula>AV12="후보"</formula>
    </cfRule>
  </conditionalFormatting>
  <conditionalFormatting sqref="AC12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12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12">
    <cfRule type="expression" priority="219" dxfId="3">
      <formula>AND(IF(OR($Q12=1,$Q12=2),1,0),IF($X12&lt;=20,1,0))</formula>
    </cfRule>
    <cfRule type="expression" priority="220" dxfId="2">
      <formula>AND(IF($Q12=2,1,0),IF($X12&lt;30,1,0))</formula>
    </cfRule>
    <cfRule type="expression" priority="221" dxfId="1">
      <formula>AND(IF($Q12=3,1,0),IF($X12&lt;30,1,0))</formula>
    </cfRule>
    <cfRule type="expression" priority="222" dxfId="0">
      <formula>AND(IF($Q12=3,1,IF($Q12=4,1,0)),IF($F12&lt;=85,1,0))</formula>
    </cfRule>
  </conditionalFormatting>
  <conditionalFormatting sqref="X12">
    <cfRule type="expression" priority="215" dxfId="3">
      <formula>AND(IF(OR($Q12=1,$Q12=2),1,0),IF($X12&lt;=20,1,0))</formula>
    </cfRule>
    <cfRule type="expression" priority="216" dxfId="2">
      <formula>AND(IF($Q12=2,1,0),IF($X12&lt;30,1,0))</formula>
    </cfRule>
    <cfRule type="expression" priority="217" dxfId="1">
      <formula>AND(IF($Q12=3,1,0),IF($X12&lt;30,1,0))</formula>
    </cfRule>
    <cfRule type="expression" priority="218" dxfId="0">
      <formula>AND(IF($Q12=3,1,IF($Q12=4,1,0)),IF($F12&lt;=85,1,0))</formula>
    </cfRule>
  </conditionalFormatting>
  <conditionalFormatting sqref="AI12">
    <cfRule type="expression" priority="211" dxfId="3">
      <formula>AND(IF(OR($Q12=1,$Q12=2),1,0),IF($X12&lt;=20,1,0))</formula>
    </cfRule>
    <cfRule type="expression" priority="212" dxfId="2">
      <formula>AND(IF($Q12=2,1,0),IF($X12&lt;30,1,0))</formula>
    </cfRule>
    <cfRule type="expression" priority="213" dxfId="1">
      <formula>AND(IF($Q12=3,1,0),IF($X12&lt;30,1,0))</formula>
    </cfRule>
    <cfRule type="expression" priority="214" dxfId="0">
      <formula>AND(IF($Q12=3,1,IF($Q12=4,1,0)),IF($F12&lt;=85,1,0))</formula>
    </cfRule>
  </conditionalFormatting>
  <conditionalFormatting sqref="AV13">
    <cfRule type="expression" priority="209" dxfId="17">
      <formula>AV13="X"</formula>
    </cfRule>
    <cfRule type="expression" priority="210" dxfId="16">
      <formula>AV13="후보"</formula>
    </cfRule>
  </conditionalFormatting>
  <conditionalFormatting sqref="AC13 N13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14">
    <cfRule type="expression" priority="204" dxfId="17">
      <formula>AV14="X"</formula>
    </cfRule>
    <cfRule type="expression" priority="205" dxfId="16">
      <formula>AV14="후보"</formula>
    </cfRule>
  </conditionalFormatting>
  <conditionalFormatting sqref="AC14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4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4">
    <cfRule type="expression" priority="195" dxfId="3">
      <formula>AND(IF(OR($Q14=1,$Q14=2),1,0),IF($X14&lt;=20,1,0))</formula>
    </cfRule>
    <cfRule type="expression" priority="196" dxfId="2">
      <formula>AND(IF($Q14=2,1,0),IF($X14&lt;30,1,0))</formula>
    </cfRule>
    <cfRule type="expression" priority="197" dxfId="1">
      <formula>AND(IF($Q14=3,1,0),IF($X14&lt;30,1,0))</formula>
    </cfRule>
    <cfRule type="expression" priority="198" dxfId="0">
      <formula>AND(IF($Q14=3,1,IF($Q14=4,1,0)),IF($F14&lt;=85,1,0))</formula>
    </cfRule>
  </conditionalFormatting>
  <conditionalFormatting sqref="X14">
    <cfRule type="expression" priority="191" dxfId="3">
      <formula>AND(IF(OR($Q14=1,$Q14=2),1,0),IF($X14&lt;=20,1,0))</formula>
    </cfRule>
    <cfRule type="expression" priority="192" dxfId="2">
      <formula>AND(IF($Q14=2,1,0),IF($X14&lt;30,1,0))</formula>
    </cfRule>
    <cfRule type="expression" priority="193" dxfId="1">
      <formula>AND(IF($Q14=3,1,0),IF($X14&lt;30,1,0))</formula>
    </cfRule>
    <cfRule type="expression" priority="194" dxfId="0">
      <formula>AND(IF($Q14=3,1,IF($Q14=4,1,0)),IF($F14&lt;=85,1,0))</formula>
    </cfRule>
  </conditionalFormatting>
  <conditionalFormatting sqref="AI14">
    <cfRule type="expression" priority="187" dxfId="3">
      <formula>AND(IF(OR($Q14=1,$Q14=2),1,0),IF($X14&lt;=20,1,0))</formula>
    </cfRule>
    <cfRule type="expression" priority="188" dxfId="2">
      <formula>AND(IF($Q14=2,1,0),IF($X14&lt;30,1,0))</formula>
    </cfRule>
    <cfRule type="expression" priority="189" dxfId="1">
      <formula>AND(IF($Q14=3,1,0),IF($X14&lt;30,1,0))</formula>
    </cfRule>
    <cfRule type="expression" priority="190" dxfId="0">
      <formula>AND(IF($Q14=3,1,IF($Q14=4,1,0)),IF($F14&lt;=85,1,0))</formula>
    </cfRule>
  </conditionalFormatting>
  <conditionalFormatting sqref="AV15">
    <cfRule type="expression" priority="185" dxfId="17">
      <formula>AV15="X"</formula>
    </cfRule>
    <cfRule type="expression" priority="186" dxfId="16">
      <formula>AV15="후보"</formula>
    </cfRule>
  </conditionalFormatting>
  <conditionalFormatting sqref="AC15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15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15">
    <cfRule type="expression" priority="176" dxfId="3">
      <formula>AND(IF(OR($Q15=1,$Q15=2),1,0),IF($X15&lt;=20,1,0))</formula>
    </cfRule>
    <cfRule type="expression" priority="177" dxfId="2">
      <formula>AND(IF($Q15=2,1,0),IF($X15&lt;30,1,0))</formula>
    </cfRule>
    <cfRule type="expression" priority="178" dxfId="1">
      <formula>AND(IF($Q15=3,1,0),IF($X15&lt;30,1,0))</formula>
    </cfRule>
    <cfRule type="expression" priority="179" dxfId="0">
      <formula>AND(IF($Q15=3,1,IF($Q15=4,1,0)),IF($F15&lt;=85,1,0))</formula>
    </cfRule>
  </conditionalFormatting>
  <conditionalFormatting sqref="X15">
    <cfRule type="expression" priority="172" dxfId="3">
      <formula>AND(IF(OR($Q15=1,$Q15=2),1,0),IF($X15&lt;=20,1,0))</formula>
    </cfRule>
    <cfRule type="expression" priority="173" dxfId="2">
      <formula>AND(IF($Q15=2,1,0),IF($X15&lt;30,1,0))</formula>
    </cfRule>
    <cfRule type="expression" priority="174" dxfId="1">
      <formula>AND(IF($Q15=3,1,0),IF($X15&lt;30,1,0))</formula>
    </cfRule>
    <cfRule type="expression" priority="175" dxfId="0">
      <formula>AND(IF($Q15=3,1,IF($Q15=4,1,0)),IF($F15&lt;=85,1,0))</formula>
    </cfRule>
  </conditionalFormatting>
  <conditionalFormatting sqref="AI15">
    <cfRule type="expression" priority="168" dxfId="3">
      <formula>AND(IF(OR($Q15=1,$Q15=2),1,0),IF($X15&lt;=20,1,0))</formula>
    </cfRule>
    <cfRule type="expression" priority="169" dxfId="2">
      <formula>AND(IF($Q15=2,1,0),IF($X15&lt;30,1,0))</formula>
    </cfRule>
    <cfRule type="expression" priority="170" dxfId="1">
      <formula>AND(IF($Q15=3,1,0),IF($X15&lt;30,1,0))</formula>
    </cfRule>
    <cfRule type="expression" priority="171" dxfId="0">
      <formula>AND(IF($Q15=3,1,IF($Q15=4,1,0)),IF($F15&lt;=85,1,0))</formula>
    </cfRule>
  </conditionalFormatting>
  <conditionalFormatting sqref="AV16">
    <cfRule type="expression" priority="166" dxfId="17">
      <formula>AV16="X"</formula>
    </cfRule>
    <cfRule type="expression" priority="167" dxfId="16">
      <formula>AV16="후보"</formula>
    </cfRule>
  </conditionalFormatting>
  <conditionalFormatting sqref="AC16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16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16">
    <cfRule type="expression" priority="157" dxfId="3">
      <formula>AND(IF(OR($Q16=1,$Q16=2),1,0),IF($X16&lt;=20,1,0))</formula>
    </cfRule>
    <cfRule type="expression" priority="158" dxfId="2">
      <formula>AND(IF($Q16=2,1,0),IF($X16&lt;30,1,0))</formula>
    </cfRule>
    <cfRule type="expression" priority="159" dxfId="1">
      <formula>AND(IF($Q16=3,1,0),IF($X16&lt;30,1,0))</formula>
    </cfRule>
    <cfRule type="expression" priority="160" dxfId="0">
      <formula>AND(IF($Q16=3,1,IF($Q16=4,1,0)),IF($F16&lt;=85,1,0))</formula>
    </cfRule>
  </conditionalFormatting>
  <conditionalFormatting sqref="X16">
    <cfRule type="expression" priority="153" dxfId="3">
      <formula>AND(IF(OR($Q16=1,$Q16=2),1,0),IF($X16&lt;=20,1,0))</formula>
    </cfRule>
    <cfRule type="expression" priority="154" dxfId="2">
      <formula>AND(IF($Q16=2,1,0),IF($X16&lt;30,1,0))</formula>
    </cfRule>
    <cfRule type="expression" priority="155" dxfId="1">
      <formula>AND(IF($Q16=3,1,0),IF($X16&lt;30,1,0))</formula>
    </cfRule>
    <cfRule type="expression" priority="156" dxfId="0">
      <formula>AND(IF($Q16=3,1,IF($Q16=4,1,0)),IF($F16&lt;=85,1,0))</formula>
    </cfRule>
  </conditionalFormatting>
  <conditionalFormatting sqref="AI16">
    <cfRule type="expression" priority="149" dxfId="3">
      <formula>AND(IF(OR($Q16=1,$Q16=2),1,0),IF($X16&lt;=20,1,0))</formula>
    </cfRule>
    <cfRule type="expression" priority="150" dxfId="2">
      <formula>AND(IF($Q16=2,1,0),IF($X16&lt;30,1,0))</formula>
    </cfRule>
    <cfRule type="expression" priority="151" dxfId="1">
      <formula>AND(IF($Q16=3,1,0),IF($X16&lt;30,1,0))</formula>
    </cfRule>
    <cfRule type="expression" priority="152" dxfId="0">
      <formula>AND(IF($Q16=3,1,IF($Q16=4,1,0)),IF($F16&lt;=85,1,0))</formula>
    </cfRule>
  </conditionalFormatting>
  <conditionalFormatting sqref="AV17">
    <cfRule type="expression" priority="147" dxfId="17">
      <formula>AV17="X"</formula>
    </cfRule>
    <cfRule type="expression" priority="148" dxfId="16">
      <formula>AV17="후보"</formula>
    </cfRule>
  </conditionalFormatting>
  <conditionalFormatting sqref="AC17 N17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18">
    <cfRule type="expression" priority="142" dxfId="17">
      <formula>AV18="X"</formula>
    </cfRule>
    <cfRule type="expression" priority="143" dxfId="16">
      <formula>AV18="후보"</formula>
    </cfRule>
  </conditionalFormatting>
  <conditionalFormatting sqref="AC1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8">
    <cfRule type="expression" priority="133" dxfId="3">
      <formula>AND(IF(OR($Q18=1,$Q18=2),1,0),IF($X18&lt;=20,1,0))</formula>
    </cfRule>
    <cfRule type="expression" priority="134" dxfId="2">
      <formula>AND(IF($Q18=2,1,0),IF($X18&lt;30,1,0))</formula>
    </cfRule>
    <cfRule type="expression" priority="135" dxfId="1">
      <formula>AND(IF($Q18=3,1,0),IF($X18&lt;30,1,0))</formula>
    </cfRule>
    <cfRule type="expression" priority="136" dxfId="0">
      <formula>AND(IF($Q18=3,1,IF($Q18=4,1,0)),IF($F18&lt;=85,1,0))</formula>
    </cfRule>
  </conditionalFormatting>
  <conditionalFormatting sqref="X18">
    <cfRule type="expression" priority="129" dxfId="3">
      <formula>AND(IF(OR($Q18=1,$Q18=2),1,0),IF($X18&lt;=20,1,0))</formula>
    </cfRule>
    <cfRule type="expression" priority="130" dxfId="2">
      <formula>AND(IF($Q18=2,1,0),IF($X18&lt;30,1,0))</formula>
    </cfRule>
    <cfRule type="expression" priority="131" dxfId="1">
      <formula>AND(IF($Q18=3,1,0),IF($X18&lt;30,1,0))</formula>
    </cfRule>
    <cfRule type="expression" priority="132" dxfId="0">
      <formula>AND(IF($Q18=3,1,IF($Q18=4,1,0)),IF($F18&lt;=85,1,0))</formula>
    </cfRule>
  </conditionalFormatting>
  <conditionalFormatting sqref="AI18">
    <cfRule type="expression" priority="125" dxfId="3">
      <formula>AND(IF(OR($Q18=1,$Q18=2),1,0),IF($X18&lt;=20,1,0))</formula>
    </cfRule>
    <cfRule type="expression" priority="126" dxfId="2">
      <formula>AND(IF($Q18=2,1,0),IF($X18&lt;30,1,0))</formula>
    </cfRule>
    <cfRule type="expression" priority="127" dxfId="1">
      <formula>AND(IF($Q18=3,1,0),IF($X18&lt;30,1,0))</formula>
    </cfRule>
    <cfRule type="expression" priority="128" dxfId="0">
      <formula>AND(IF($Q18=3,1,IF($Q18=4,1,0)),IF($F18&lt;=85,1,0))</formula>
    </cfRule>
  </conditionalFormatting>
  <conditionalFormatting sqref="AV19">
    <cfRule type="expression" priority="123" dxfId="17">
      <formula>AV19="X"</formula>
    </cfRule>
    <cfRule type="expression" priority="124" dxfId="16">
      <formula>AV19="후보"</formula>
    </cfRule>
  </conditionalFormatting>
  <conditionalFormatting sqref="AC1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9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9">
    <cfRule type="expression" priority="114" dxfId="3">
      <formula>AND(IF(OR($Q19=1,$Q19=2),1,0),IF($X19&lt;=20,1,0))</formula>
    </cfRule>
    <cfRule type="expression" priority="115" dxfId="2">
      <formula>AND(IF($Q19=2,1,0),IF($X19&lt;30,1,0))</formula>
    </cfRule>
    <cfRule type="expression" priority="116" dxfId="1">
      <formula>AND(IF($Q19=3,1,0),IF($X19&lt;30,1,0))</formula>
    </cfRule>
    <cfRule type="expression" priority="117" dxfId="0">
      <formula>AND(IF($Q19=3,1,IF($Q19=4,1,0)),IF($F19&lt;=85,1,0))</formula>
    </cfRule>
  </conditionalFormatting>
  <conditionalFormatting sqref="X19">
    <cfRule type="expression" priority="110" dxfId="3">
      <formula>AND(IF(OR($Q19=1,$Q19=2),1,0),IF($X19&lt;=20,1,0))</formula>
    </cfRule>
    <cfRule type="expression" priority="111" dxfId="2">
      <formula>AND(IF($Q19=2,1,0),IF($X19&lt;30,1,0))</formula>
    </cfRule>
    <cfRule type="expression" priority="112" dxfId="1">
      <formula>AND(IF($Q19=3,1,0),IF($X19&lt;30,1,0))</formula>
    </cfRule>
    <cfRule type="expression" priority="113" dxfId="0">
      <formula>AND(IF($Q19=3,1,IF($Q19=4,1,0)),IF($F19&lt;=85,1,0))</formula>
    </cfRule>
  </conditionalFormatting>
  <conditionalFormatting sqref="AI19">
    <cfRule type="expression" priority="106" dxfId="3">
      <formula>AND(IF(OR($Q19=1,$Q19=2),1,0),IF($X19&lt;=20,1,0))</formula>
    </cfRule>
    <cfRule type="expression" priority="107" dxfId="2">
      <formula>AND(IF($Q19=2,1,0),IF($X19&lt;30,1,0))</formula>
    </cfRule>
    <cfRule type="expression" priority="108" dxfId="1">
      <formula>AND(IF($Q19=3,1,0),IF($X19&lt;30,1,0))</formula>
    </cfRule>
    <cfRule type="expression" priority="109" dxfId="0">
      <formula>AND(IF($Q19=3,1,IF($Q19=4,1,0)),IF($F19&lt;=85,1,0))</formula>
    </cfRule>
  </conditionalFormatting>
  <conditionalFormatting sqref="AV20">
    <cfRule type="expression" priority="104" dxfId="17">
      <formula>AV20="X"</formula>
    </cfRule>
    <cfRule type="expression" priority="105" dxfId="16">
      <formula>AV20="후보"</formula>
    </cfRule>
  </conditionalFormatting>
  <conditionalFormatting sqref="AC20 N20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21">
    <cfRule type="expression" priority="99" dxfId="17">
      <formula>AV21="X"</formula>
    </cfRule>
    <cfRule type="expression" priority="100" dxfId="16">
      <formula>AV21="후보"</formula>
    </cfRule>
  </conditionalFormatting>
  <conditionalFormatting sqref="AC2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1">
    <cfRule type="expression" priority="90" dxfId="3">
      <formula>AND(IF(OR($Q21=1,$Q21=2),1,0),IF($X21&lt;=20,1,0))</formula>
    </cfRule>
    <cfRule type="expression" priority="91" dxfId="2">
      <formula>AND(IF($Q21=2,1,0),IF($X21&lt;30,1,0))</formula>
    </cfRule>
    <cfRule type="expression" priority="92" dxfId="1">
      <formula>AND(IF($Q21=3,1,0),IF($X21&lt;30,1,0))</formula>
    </cfRule>
    <cfRule type="expression" priority="93" dxfId="0">
      <formula>AND(IF($Q21=3,1,IF($Q21=4,1,0)),IF($F21&lt;=85,1,0))</formula>
    </cfRule>
  </conditionalFormatting>
  <conditionalFormatting sqref="X21">
    <cfRule type="expression" priority="86" dxfId="3">
      <formula>AND(IF(OR($Q21=1,$Q21=2),1,0),IF($X21&lt;=20,1,0))</formula>
    </cfRule>
    <cfRule type="expression" priority="87" dxfId="2">
      <formula>AND(IF($Q21=2,1,0),IF($X21&lt;30,1,0))</formula>
    </cfRule>
    <cfRule type="expression" priority="88" dxfId="1">
      <formula>AND(IF($Q21=3,1,0),IF($X21&lt;30,1,0))</formula>
    </cfRule>
    <cfRule type="expression" priority="89" dxfId="0">
      <formula>AND(IF($Q21=3,1,IF($Q21=4,1,0)),IF($F21&lt;=85,1,0))</formula>
    </cfRule>
  </conditionalFormatting>
  <conditionalFormatting sqref="AI21">
    <cfRule type="expression" priority="82" dxfId="3">
      <formula>AND(IF(OR($Q21=1,$Q21=2),1,0),IF($X21&lt;=20,1,0))</formula>
    </cfRule>
    <cfRule type="expression" priority="83" dxfId="2">
      <formula>AND(IF($Q21=2,1,0),IF($X21&lt;30,1,0))</formula>
    </cfRule>
    <cfRule type="expression" priority="84" dxfId="1">
      <formula>AND(IF($Q21=3,1,0),IF($X21&lt;30,1,0))</formula>
    </cfRule>
    <cfRule type="expression" priority="85" dxfId="0">
      <formula>AND(IF($Q21=3,1,IF($Q21=4,1,0)),IF($F21&lt;=85,1,0))</formula>
    </cfRule>
  </conditionalFormatting>
  <conditionalFormatting sqref="AV22">
    <cfRule type="expression" priority="80" dxfId="17">
      <formula>AV22="X"</formula>
    </cfRule>
    <cfRule type="expression" priority="81" dxfId="16">
      <formula>AV22="후보"</formula>
    </cfRule>
  </conditionalFormatting>
  <conditionalFormatting sqref="AC2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2">
    <cfRule type="expression" priority="71" dxfId="3">
      <formula>AND(IF(OR($Q22=1,$Q22=2),1,0),IF($X22&lt;=20,1,0))</formula>
    </cfRule>
    <cfRule type="expression" priority="72" dxfId="2">
      <formula>AND(IF($Q22=2,1,0),IF($X22&lt;30,1,0))</formula>
    </cfRule>
    <cfRule type="expression" priority="73" dxfId="1">
      <formula>AND(IF($Q22=3,1,0),IF($X22&lt;30,1,0))</formula>
    </cfRule>
    <cfRule type="expression" priority="74" dxfId="0">
      <formula>AND(IF($Q22=3,1,IF($Q22=4,1,0)),IF($F22&lt;=85,1,0))</formula>
    </cfRule>
  </conditionalFormatting>
  <conditionalFormatting sqref="X22">
    <cfRule type="expression" priority="67" dxfId="3">
      <formula>AND(IF(OR($Q22=1,$Q22=2),1,0),IF($X22&lt;=20,1,0))</formula>
    </cfRule>
    <cfRule type="expression" priority="68" dxfId="2">
      <formula>AND(IF($Q22=2,1,0),IF($X22&lt;30,1,0))</formula>
    </cfRule>
    <cfRule type="expression" priority="69" dxfId="1">
      <formula>AND(IF($Q22=3,1,0),IF($X22&lt;30,1,0))</formula>
    </cfRule>
    <cfRule type="expression" priority="70" dxfId="0">
      <formula>AND(IF($Q22=3,1,IF($Q22=4,1,0)),IF($F22&lt;=85,1,0))</formula>
    </cfRule>
  </conditionalFormatting>
  <conditionalFormatting sqref="AI22">
    <cfRule type="expression" priority="63" dxfId="3">
      <formula>AND(IF(OR($Q22=1,$Q22=2),1,0),IF($X22&lt;=20,1,0))</formula>
    </cfRule>
    <cfRule type="expression" priority="64" dxfId="2">
      <formula>AND(IF($Q22=2,1,0),IF($X22&lt;30,1,0))</formula>
    </cfRule>
    <cfRule type="expression" priority="65" dxfId="1">
      <formula>AND(IF($Q22=3,1,0),IF($X22&lt;30,1,0))</formula>
    </cfRule>
    <cfRule type="expression" priority="66" dxfId="0">
      <formula>AND(IF($Q22=3,1,IF($Q22=4,1,0)),IF($F22&lt;=85,1,0))</formula>
    </cfRule>
  </conditionalFormatting>
  <conditionalFormatting sqref="AV23">
    <cfRule type="expression" priority="61" dxfId="17">
      <formula>AV23="X"</formula>
    </cfRule>
    <cfRule type="expression" priority="62" dxfId="16">
      <formula>AV23="후보"</formula>
    </cfRule>
  </conditionalFormatting>
  <conditionalFormatting sqref="AC23 N2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24">
    <cfRule type="expression" priority="56" dxfId="17">
      <formula>AV24="X"</formula>
    </cfRule>
    <cfRule type="expression" priority="57" dxfId="16">
      <formula>AV24="후보"</formula>
    </cfRule>
  </conditionalFormatting>
  <conditionalFormatting sqref="AC2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17">
      <formula>AV25="X"</formula>
    </cfRule>
    <cfRule type="expression" priority="38" dxfId="16">
      <formula>AV25="후보"</formula>
    </cfRule>
  </conditionalFormatting>
  <conditionalFormatting sqref="AC2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17">
      <formula>AV26="X"</formula>
    </cfRule>
    <cfRule type="expression" priority="19" dxfId="16">
      <formula>AV26="후보"</formula>
    </cfRule>
  </conditionalFormatting>
  <conditionalFormatting sqref="AC2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공촌동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경남</t>
        </is>
      </c>
      <c r="B6" s="16" t="inlineStr">
        <is>
          <t>'98.11.</t>
        </is>
      </c>
      <c r="C6" s="164" t="n">
        <v>232</v>
      </c>
      <c r="D6" s="161" t="n">
        <v>81.3</v>
      </c>
      <c r="E6" s="163" t="n">
        <v>25</v>
      </c>
      <c r="F6" s="161" t="n">
        <v>60</v>
      </c>
      <c r="G6" s="27" t="n">
        <v>18</v>
      </c>
      <c r="H6" s="164" t="n">
        <v>72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81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경남</t>
        </is>
      </c>
      <c r="B7" s="16" t="inlineStr">
        <is>
          <t>'98.11.</t>
        </is>
      </c>
      <c r="C7" s="164" t="n">
        <v>232</v>
      </c>
      <c r="D7" s="161" t="n">
        <v>104.9</v>
      </c>
      <c r="E7" s="163" t="n">
        <v>32</v>
      </c>
      <c r="F7" s="161" t="n">
        <v>84.90000000000001</v>
      </c>
      <c r="G7" s="27" t="n">
        <v>26</v>
      </c>
      <c r="H7" s="164" t="n">
        <v>79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104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경남</t>
        </is>
      </c>
      <c r="B8" s="16" t="inlineStr">
        <is>
          <t>'98.11.</t>
        </is>
      </c>
      <c r="C8" s="164" t="n">
        <v>232</v>
      </c>
      <c r="D8" s="161" t="n">
        <v>109.7</v>
      </c>
      <c r="E8" s="163" t="n">
        <v>33</v>
      </c>
      <c r="F8" s="161" t="n">
        <v>84.90000000000001</v>
      </c>
      <c r="G8" s="27" t="n">
        <v>26</v>
      </c>
      <c r="H8" s="164" t="n">
        <v>81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109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광명</t>
        </is>
      </c>
      <c r="B10" s="16" t="inlineStr">
        <is>
          <t>'98.10.</t>
        </is>
      </c>
      <c r="C10" s="164" t="n">
        <v>299</v>
      </c>
      <c r="D10" s="161" t="n">
        <v>82.3</v>
      </c>
      <c r="E10" s="163" t="n">
        <v>25</v>
      </c>
      <c r="F10" s="161" t="n">
        <v>59.5</v>
      </c>
      <c r="G10" s="27" t="n">
        <v>18</v>
      </c>
      <c r="H10" s="164" t="n">
        <v>65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1</v>
      </c>
      <c r="S10" s="113" t="inlineStr">
        <is>
          <t>계</t>
        </is>
      </c>
      <c r="T10" s="8" t="n">
        <v>82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광명</t>
        </is>
      </c>
      <c r="B11" s="16" t="inlineStr">
        <is>
          <t>'98.10.</t>
        </is>
      </c>
      <c r="C11" s="164" t="n">
        <v>299</v>
      </c>
      <c r="D11" s="161" t="n">
        <v>107.8</v>
      </c>
      <c r="E11" s="163" t="n">
        <v>33</v>
      </c>
      <c r="F11" s="161" t="n">
        <v>84.5</v>
      </c>
      <c r="G11" s="27" t="n">
        <v>26</v>
      </c>
      <c r="H11" s="164" t="n">
        <v>212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107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광명</t>
        </is>
      </c>
      <c r="B12" s="16" t="inlineStr">
        <is>
          <t>'98.10.</t>
        </is>
      </c>
      <c r="C12" s="164" t="n">
        <v>299</v>
      </c>
      <c r="D12" s="161" t="n">
        <v>165.8</v>
      </c>
      <c r="E12" s="163" t="n">
        <v>50</v>
      </c>
      <c r="F12" s="161" t="n">
        <v>134.8</v>
      </c>
      <c r="G12" s="27" t="n">
        <v>41</v>
      </c>
      <c r="H12" s="164" t="n">
        <v>22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165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20" dxfId="17">
      <formula>AV4="X"</formula>
    </cfRule>
    <cfRule type="expression" priority="121" dxfId="16">
      <formula>AV4="후보"</formula>
    </cfRule>
  </conditionalFormatting>
  <conditionalFormatting sqref="AC1:AC2 AC4:AC6 N4:N5">
    <cfRule type="cellIs" priority="117" operator="greaterThan" dxfId="13">
      <formula>0.9</formula>
    </cfRule>
    <cfRule type="cellIs" priority="118" operator="greaterThan" dxfId="12">
      <formula>0.85</formula>
    </cfRule>
  </conditionalFormatting>
  <conditionalFormatting sqref="N1:N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">
    <cfRule type="expression" priority="109" dxfId="3">
      <formula>AND(IF(OR($Q6=1,$Q6=2),1,0),IF($X6&lt;=20,1,0))</formula>
    </cfRule>
    <cfRule type="expression" priority="110" dxfId="2">
      <formula>AND(IF($Q6=2,1,0),IF($X6&lt;30,1,0))</formula>
    </cfRule>
    <cfRule type="expression" priority="111" dxfId="1">
      <formula>AND(IF($Q6=3,1,0),IF($X6&lt;30,1,0))</formula>
    </cfRule>
    <cfRule type="expression" priority="112" dxfId="0">
      <formula>AND(IF($Q6=3,1,IF($Q6=4,1,0)),IF($F6&lt;=85,1,0))</formula>
    </cfRule>
  </conditionalFormatting>
  <conditionalFormatting sqref="X6">
    <cfRule type="expression" priority="105" dxfId="3">
      <formula>AND(IF(OR($Q6=1,$Q6=2),1,0),IF($X6&lt;=20,1,0))</formula>
    </cfRule>
    <cfRule type="expression" priority="106" dxfId="2">
      <formula>AND(IF($Q6=2,1,0),IF($X6&lt;30,1,0))</formula>
    </cfRule>
    <cfRule type="expression" priority="107" dxfId="1">
      <formula>AND(IF($Q6=3,1,0),IF($X6&lt;30,1,0))</formula>
    </cfRule>
    <cfRule type="expression" priority="108" dxfId="0">
      <formula>AND(IF($Q6=3,1,IF($Q6=4,1,0)),IF($F6&lt;=85,1,0))</formula>
    </cfRule>
  </conditionalFormatting>
  <conditionalFormatting sqref="AI6">
    <cfRule type="expression" priority="101" dxfId="3">
      <formula>AND(IF(OR($Q6=1,$Q6=2),1,0),IF($X6&lt;=20,1,0))</formula>
    </cfRule>
    <cfRule type="expression" priority="102" dxfId="2">
      <formula>AND(IF($Q6=2,1,0),IF($X6&lt;30,1,0))</formula>
    </cfRule>
    <cfRule type="expression" priority="103" dxfId="1">
      <formula>AND(IF($Q6=3,1,0),IF($X6&lt;30,1,0))</formula>
    </cfRule>
    <cfRule type="expression" priority="104" dxfId="0">
      <formula>AND(IF($Q6=3,1,IF($Q6=4,1,0)),IF($F6&lt;=85,1,0))</formula>
    </cfRule>
  </conditionalFormatting>
  <conditionalFormatting sqref="AV7">
    <cfRule type="expression" priority="99" dxfId="17">
      <formula>AV7="X"</formula>
    </cfRule>
    <cfRule type="expression" priority="100" dxfId="16">
      <formula>AV7="후보"</formula>
    </cfRule>
  </conditionalFormatting>
  <conditionalFormatting sqref="AC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">
    <cfRule type="expression" priority="90" dxfId="3">
      <formula>AND(IF(OR($Q7=1,$Q7=2),1,0),IF($X7&lt;=20,1,0))</formula>
    </cfRule>
    <cfRule type="expression" priority="91" dxfId="2">
      <formula>AND(IF($Q7=2,1,0),IF($X7&lt;30,1,0))</formula>
    </cfRule>
    <cfRule type="expression" priority="92" dxfId="1">
      <formula>AND(IF($Q7=3,1,0),IF($X7&lt;30,1,0))</formula>
    </cfRule>
    <cfRule type="expression" priority="93" dxfId="0">
      <formula>AND(IF($Q7=3,1,IF($Q7=4,1,0)),IF($F7&lt;=85,1,0))</formula>
    </cfRule>
  </conditionalFormatting>
  <conditionalFormatting sqref="X7">
    <cfRule type="expression" priority="86" dxfId="3">
      <formula>AND(IF(OR($Q7=1,$Q7=2),1,0),IF($X7&lt;=20,1,0))</formula>
    </cfRule>
    <cfRule type="expression" priority="87" dxfId="2">
      <formula>AND(IF($Q7=2,1,0),IF($X7&lt;30,1,0))</formula>
    </cfRule>
    <cfRule type="expression" priority="88" dxfId="1">
      <formula>AND(IF($Q7=3,1,0),IF($X7&lt;30,1,0))</formula>
    </cfRule>
    <cfRule type="expression" priority="89" dxfId="0">
      <formula>AND(IF($Q7=3,1,IF($Q7=4,1,0)),IF($F7&lt;=85,1,0))</formula>
    </cfRule>
  </conditionalFormatting>
  <conditionalFormatting sqref="AI7">
    <cfRule type="expression" priority="82" dxfId="3">
      <formula>AND(IF(OR($Q7=1,$Q7=2),1,0),IF($X7&lt;=20,1,0))</formula>
    </cfRule>
    <cfRule type="expression" priority="83" dxfId="2">
      <formula>AND(IF($Q7=2,1,0),IF($X7&lt;30,1,0))</formula>
    </cfRule>
    <cfRule type="expression" priority="84" dxfId="1">
      <formula>AND(IF($Q7=3,1,0),IF($X7&lt;30,1,0))</formula>
    </cfRule>
    <cfRule type="expression" priority="85" dxfId="0">
      <formula>AND(IF($Q7=3,1,IF($Q7=4,1,0)),IF($F7&lt;=85,1,0))</formula>
    </cfRule>
  </conditionalFormatting>
  <conditionalFormatting sqref="AV8">
    <cfRule type="expression" priority="80" dxfId="17">
      <formula>AV8="X"</formula>
    </cfRule>
    <cfRule type="expression" priority="81" dxfId="16">
      <formula>AV8="후보"</formula>
    </cfRule>
  </conditionalFormatting>
  <conditionalFormatting sqref="AC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8">
    <cfRule type="expression" priority="71" dxfId="3">
      <formula>AND(IF(OR($Q8=1,$Q8=2),1,0),IF($X8&lt;=20,1,0))</formula>
    </cfRule>
    <cfRule type="expression" priority="72" dxfId="2">
      <formula>AND(IF($Q8=2,1,0),IF($X8&lt;30,1,0))</formula>
    </cfRule>
    <cfRule type="expression" priority="73" dxfId="1">
      <formula>AND(IF($Q8=3,1,0),IF($X8&lt;30,1,0))</formula>
    </cfRule>
    <cfRule type="expression" priority="74" dxfId="0">
      <formula>AND(IF($Q8=3,1,IF($Q8=4,1,0)),IF($F8&lt;=85,1,0))</formula>
    </cfRule>
  </conditionalFormatting>
  <conditionalFormatting sqref="X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AI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V9">
    <cfRule type="expression" priority="61" dxfId="17">
      <formula>AV9="X"</formula>
    </cfRule>
    <cfRule type="expression" priority="62" dxfId="16">
      <formula>AV9="후보"</formula>
    </cfRule>
  </conditionalFormatting>
  <conditionalFormatting sqref="AC9 N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0">
    <cfRule type="expression" priority="56" dxfId="17">
      <formula>AV10="X"</formula>
    </cfRule>
    <cfRule type="expression" priority="57" dxfId="16">
      <formula>AV10="후보"</formula>
    </cfRule>
  </conditionalFormatting>
  <conditionalFormatting sqref="AC1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17">
      <formula>AV11="X"</formula>
    </cfRule>
    <cfRule type="expression" priority="38" dxfId="16">
      <formula>AV11="후보"</formula>
    </cfRule>
  </conditionalFormatting>
  <conditionalFormatting sqref="AC1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17">
      <formula>AV12="X"</formula>
    </cfRule>
    <cfRule type="expression" priority="19" dxfId="16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금곡동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검단우방아이유쉘</t>
        </is>
      </c>
      <c r="B6" s="16" t="inlineStr">
        <is>
          <t>'17.08.</t>
        </is>
      </c>
      <c r="C6" s="164" t="n">
        <v>555</v>
      </c>
      <c r="D6" s="161" t="n">
        <v>80</v>
      </c>
      <c r="E6" s="163" t="n">
        <v>24</v>
      </c>
      <c r="F6" s="161" t="n">
        <v>59.8</v>
      </c>
      <c r="G6" s="27" t="n">
        <v>18</v>
      </c>
      <c r="H6" s="164" t="n">
        <v>117</v>
      </c>
      <c r="I6" s="165" t="n">
        <v>40500</v>
      </c>
      <c r="J6" s="165" t="inlineStr">
        <is>
          <t>9</t>
        </is>
      </c>
      <c r="K6" s="165" t="n">
        <v>30000</v>
      </c>
      <c r="L6" s="165" t="inlineStr">
        <is>
          <t>9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검단우방아이유쉘</t>
        </is>
      </c>
      <c r="B7" s="16" t="inlineStr">
        <is>
          <t>'17.08.</t>
        </is>
      </c>
      <c r="C7" s="164" t="n">
        <v>555</v>
      </c>
      <c r="D7" s="161" t="n">
        <v>114.9</v>
      </c>
      <c r="E7" s="163" t="n">
        <v>35</v>
      </c>
      <c r="F7" s="161" t="n">
        <v>85</v>
      </c>
      <c r="G7" s="27" t="n">
        <v>26</v>
      </c>
      <c r="H7" s="164" t="n">
        <v>219</v>
      </c>
      <c r="I7" s="165" t="n">
        <v>43000</v>
      </c>
      <c r="J7" s="165" t="inlineStr">
        <is>
          <t>중</t>
        </is>
      </c>
      <c r="K7" s="165" t="n">
        <v>34000</v>
      </c>
      <c r="L7" s="165" t="inlineStr">
        <is>
          <t>중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4</v>
      </c>
      <c r="R7" s="113" t="n">
        <v>2</v>
      </c>
      <c r="S7" s="113" t="inlineStr">
        <is>
          <t>계</t>
        </is>
      </c>
      <c r="T7" s="8" t="inlineStr">
        <is>
          <t>114A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검단우방아이유쉘</t>
        </is>
      </c>
      <c r="B8" s="16" t="inlineStr">
        <is>
          <t>'17.08.</t>
        </is>
      </c>
      <c r="C8" s="164" t="n">
        <v>555</v>
      </c>
      <c r="D8" s="161" t="n">
        <v>115.2</v>
      </c>
      <c r="E8" s="163" t="n">
        <v>35</v>
      </c>
      <c r="F8" s="161" t="n">
        <v>84.3</v>
      </c>
      <c r="G8" s="27" t="n">
        <v>26</v>
      </c>
      <c r="H8" s="164" t="n">
        <v>164</v>
      </c>
      <c r="I8" s="165" t="n">
        <v>43000</v>
      </c>
      <c r="J8" s="165" t="inlineStr">
        <is>
          <t>중</t>
        </is>
      </c>
      <c r="K8" s="165" t="n">
        <v>35000</v>
      </c>
      <c r="L8" s="165" t="inlineStr">
        <is>
          <t>8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4</v>
      </c>
      <c r="R8" s="113" t="n">
        <v>2</v>
      </c>
      <c r="S8" s="113" t="inlineStr">
        <is>
          <t>계</t>
        </is>
      </c>
      <c r="T8" s="8" t="inlineStr">
        <is>
          <t>115B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검단우방아이유쉘</t>
        </is>
      </c>
      <c r="B9" s="16" t="inlineStr">
        <is>
          <t>'17.08.</t>
        </is>
      </c>
      <c r="C9" s="164" t="n">
        <v>555</v>
      </c>
      <c r="D9" s="161" t="n">
        <v>115.8</v>
      </c>
      <c r="E9" s="163" t="n">
        <v>35</v>
      </c>
      <c r="F9" s="161" t="n">
        <v>84.90000000000001</v>
      </c>
      <c r="G9" s="27" t="n">
        <v>26</v>
      </c>
      <c r="H9" s="164" t="n">
        <v>55</v>
      </c>
      <c r="I9" s="165" t="n">
        <v>55000</v>
      </c>
      <c r="J9" s="165" t="inlineStr">
        <is>
          <t>14</t>
        </is>
      </c>
      <c r="K9" s="165" t="n">
        <v>35000</v>
      </c>
      <c r="L9" s="165" t="inlineStr">
        <is>
          <t>고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115C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동남</t>
        </is>
      </c>
      <c r="B11" s="16" t="inlineStr">
        <is>
          <t>'99.11.</t>
        </is>
      </c>
      <c r="C11" s="164" t="n">
        <v>370</v>
      </c>
      <c r="D11" s="161" t="n">
        <v>77.90000000000001</v>
      </c>
      <c r="E11" s="163" t="n">
        <v>24</v>
      </c>
      <c r="F11" s="161" t="n">
        <v>59.7</v>
      </c>
      <c r="G11" s="27" t="n">
        <v>18</v>
      </c>
      <c r="H11" s="164" t="n">
        <v>146</v>
      </c>
      <c r="I11" s="165" t="n">
        <v>24200</v>
      </c>
      <c r="J11" s="165" t="inlineStr">
        <is>
          <t>고</t>
        </is>
      </c>
      <c r="K11" s="165" t="n">
        <v>21000</v>
      </c>
      <c r="L11" s="165" t="inlineStr">
        <is>
          <t>17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1</v>
      </c>
      <c r="S11" s="113" t="inlineStr">
        <is>
          <t>계</t>
        </is>
      </c>
      <c r="T11" s="8" t="n">
        <v>77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동남</t>
        </is>
      </c>
      <c r="B12" s="16" t="inlineStr">
        <is>
          <t>'99.11.</t>
        </is>
      </c>
      <c r="C12" s="164" t="n">
        <v>370</v>
      </c>
      <c r="D12" s="161" t="n">
        <v>110.5</v>
      </c>
      <c r="E12" s="163" t="n">
        <v>33</v>
      </c>
      <c r="F12" s="161" t="n">
        <v>84.7</v>
      </c>
      <c r="G12" s="27" t="n">
        <v>26</v>
      </c>
      <c r="H12" s="164" t="n">
        <v>224</v>
      </c>
      <c r="I12" s="165" t="n">
        <v>28000</v>
      </c>
      <c r="J12" s="165" t="inlineStr">
        <is>
          <t>16</t>
        </is>
      </c>
      <c r="K12" s="165" t="n">
        <v>26000</v>
      </c>
      <c r="L12" s="165" t="inlineStr">
        <is>
          <t>고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110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하나</t>
        </is>
      </c>
      <c r="B14" s="16" t="inlineStr">
        <is>
          <t>'99.07.</t>
        </is>
      </c>
      <c r="C14" s="164" t="n">
        <v>299</v>
      </c>
      <c r="D14" s="161" t="n">
        <v>76.7</v>
      </c>
      <c r="E14" s="163" t="n">
        <v>23</v>
      </c>
      <c r="F14" s="161" t="n">
        <v>59.8</v>
      </c>
      <c r="G14" s="27" t="n">
        <v>18</v>
      </c>
      <c r="H14" s="164" t="n">
        <v>107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1</v>
      </c>
      <c r="S14" s="113" t="inlineStr">
        <is>
          <t>계</t>
        </is>
      </c>
      <c r="T14" s="8" t="n">
        <v>76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하나</t>
        </is>
      </c>
      <c r="B15" s="16" t="inlineStr">
        <is>
          <t>'99.07.</t>
        </is>
      </c>
      <c r="C15" s="164" t="n">
        <v>299</v>
      </c>
      <c r="D15" s="161" t="n">
        <v>108.9</v>
      </c>
      <c r="E15" s="163" t="n">
        <v>33</v>
      </c>
      <c r="F15" s="161" t="n">
        <v>85</v>
      </c>
      <c r="G15" s="27" t="n">
        <v>26</v>
      </c>
      <c r="H15" s="164" t="n">
        <v>138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108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하나</t>
        </is>
      </c>
      <c r="B16" s="16" t="inlineStr">
        <is>
          <t>'99.07.</t>
        </is>
      </c>
      <c r="C16" s="164" t="n">
        <v>299</v>
      </c>
      <c r="D16" s="161" t="n">
        <v>128.1</v>
      </c>
      <c r="E16" s="163" t="n">
        <v>39</v>
      </c>
      <c r="F16" s="161" t="n">
        <v>99.90000000000001</v>
      </c>
      <c r="G16" s="27" t="n">
        <v>30</v>
      </c>
      <c r="H16" s="164" t="n">
        <v>32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n">
        <v>128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하나</t>
        </is>
      </c>
      <c r="B17" s="16" t="inlineStr">
        <is>
          <t>'99.07.</t>
        </is>
      </c>
      <c r="C17" s="164" t="n">
        <v>299</v>
      </c>
      <c r="D17" s="161" t="n">
        <v>153.3</v>
      </c>
      <c r="E17" s="163" t="n">
        <v>46</v>
      </c>
      <c r="F17" s="161" t="n">
        <v>119.6</v>
      </c>
      <c r="G17" s="27" t="n">
        <v>36</v>
      </c>
      <c r="H17" s="164" t="n">
        <v>22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n">
        <v>153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</sheetData>
  <mergeCells count="1">
    <mergeCell ref="AJ1:AN1"/>
  </mergeCells>
  <conditionalFormatting sqref="AV4:AV6">
    <cfRule type="expression" priority="201" dxfId="17">
      <formula>AV4="X"</formula>
    </cfRule>
    <cfRule type="expression" priority="202" dxfId="16">
      <formula>AV4="후보"</formula>
    </cfRule>
  </conditionalFormatting>
  <conditionalFormatting sqref="AC1:AC2 AC4:AC6 N4:N5">
    <cfRule type="cellIs" priority="198" operator="greaterThan" dxfId="13">
      <formula>0.9</formula>
    </cfRule>
    <cfRule type="cellIs" priority="199" operator="greaterThan" dxfId="12">
      <formula>0.85</formula>
    </cfRule>
  </conditionalFormatting>
  <conditionalFormatting sqref="N1:N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">
    <cfRule type="expression" priority="190" dxfId="3">
      <formula>AND(IF(OR($Q6=1,$Q6=2),1,0),IF($X6&lt;=20,1,0))</formula>
    </cfRule>
    <cfRule type="expression" priority="191" dxfId="2">
      <formula>AND(IF($Q6=2,1,0),IF($X6&lt;30,1,0))</formula>
    </cfRule>
    <cfRule type="expression" priority="192" dxfId="1">
      <formula>AND(IF($Q6=3,1,0),IF($X6&lt;30,1,0))</formula>
    </cfRule>
    <cfRule type="expression" priority="193" dxfId="0">
      <formula>AND(IF($Q6=3,1,IF($Q6=4,1,0)),IF($F6&lt;=85,1,0))</formula>
    </cfRule>
  </conditionalFormatting>
  <conditionalFormatting sqref="X6">
    <cfRule type="expression" priority="186" dxfId="3">
      <formula>AND(IF(OR($Q6=1,$Q6=2),1,0),IF($X6&lt;=20,1,0))</formula>
    </cfRule>
    <cfRule type="expression" priority="187" dxfId="2">
      <formula>AND(IF($Q6=2,1,0),IF($X6&lt;30,1,0))</formula>
    </cfRule>
    <cfRule type="expression" priority="188" dxfId="1">
      <formula>AND(IF($Q6=3,1,0),IF($X6&lt;30,1,0))</formula>
    </cfRule>
    <cfRule type="expression" priority="189" dxfId="0">
      <formula>AND(IF($Q6=3,1,IF($Q6=4,1,0)),IF($F6&lt;=85,1,0))</formula>
    </cfRule>
  </conditionalFormatting>
  <conditionalFormatting sqref="AI6">
    <cfRule type="expression" priority="182" dxfId="3">
      <formula>AND(IF(OR($Q6=1,$Q6=2),1,0),IF($X6&lt;=20,1,0))</formula>
    </cfRule>
    <cfRule type="expression" priority="183" dxfId="2">
      <formula>AND(IF($Q6=2,1,0),IF($X6&lt;30,1,0))</formula>
    </cfRule>
    <cfRule type="expression" priority="184" dxfId="1">
      <formula>AND(IF($Q6=3,1,0),IF($X6&lt;30,1,0))</formula>
    </cfRule>
    <cfRule type="expression" priority="185" dxfId="0">
      <formula>AND(IF($Q6=3,1,IF($Q6=4,1,0)),IF($F6&lt;=85,1,0))</formula>
    </cfRule>
  </conditionalFormatting>
  <conditionalFormatting sqref="AV7">
    <cfRule type="expression" priority="180" dxfId="17">
      <formula>AV7="X"</formula>
    </cfRule>
    <cfRule type="expression" priority="181" dxfId="16">
      <formula>AV7="후보"</formula>
    </cfRule>
  </conditionalFormatting>
  <conditionalFormatting sqref="AC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7">
    <cfRule type="expression" priority="171" dxfId="3">
      <formula>AND(IF(OR($Q7=1,$Q7=2),1,0),IF($X7&lt;=20,1,0))</formula>
    </cfRule>
    <cfRule type="expression" priority="172" dxfId="2">
      <formula>AND(IF($Q7=2,1,0),IF($X7&lt;30,1,0))</formula>
    </cfRule>
    <cfRule type="expression" priority="173" dxfId="1">
      <formula>AND(IF($Q7=3,1,0),IF($X7&lt;30,1,0))</formula>
    </cfRule>
    <cfRule type="expression" priority="174" dxfId="0">
      <formula>AND(IF($Q7=3,1,IF($Q7=4,1,0)),IF($F7&lt;=85,1,0))</formula>
    </cfRule>
  </conditionalFormatting>
  <conditionalFormatting sqref="X7">
    <cfRule type="expression" priority="167" dxfId="3">
      <formula>AND(IF(OR($Q7=1,$Q7=2),1,0),IF($X7&lt;=20,1,0))</formula>
    </cfRule>
    <cfRule type="expression" priority="168" dxfId="2">
      <formula>AND(IF($Q7=2,1,0),IF($X7&lt;30,1,0))</formula>
    </cfRule>
    <cfRule type="expression" priority="169" dxfId="1">
      <formula>AND(IF($Q7=3,1,0),IF($X7&lt;30,1,0))</formula>
    </cfRule>
    <cfRule type="expression" priority="170" dxfId="0">
      <formula>AND(IF($Q7=3,1,IF($Q7=4,1,0)),IF($F7&lt;=85,1,0))</formula>
    </cfRule>
  </conditionalFormatting>
  <conditionalFormatting sqref="AI7">
    <cfRule type="expression" priority="163" dxfId="3">
      <formula>AND(IF(OR($Q7=1,$Q7=2),1,0),IF($X7&lt;=20,1,0))</formula>
    </cfRule>
    <cfRule type="expression" priority="164" dxfId="2">
      <formula>AND(IF($Q7=2,1,0),IF($X7&lt;30,1,0))</formula>
    </cfRule>
    <cfRule type="expression" priority="165" dxfId="1">
      <formula>AND(IF($Q7=3,1,0),IF($X7&lt;30,1,0))</formula>
    </cfRule>
    <cfRule type="expression" priority="166" dxfId="0">
      <formula>AND(IF($Q7=3,1,IF($Q7=4,1,0)),IF($F7&lt;=85,1,0))</formula>
    </cfRule>
  </conditionalFormatting>
  <conditionalFormatting sqref="AV8">
    <cfRule type="expression" priority="161" dxfId="17">
      <formula>AV8="X"</formula>
    </cfRule>
    <cfRule type="expression" priority="162" dxfId="16">
      <formula>AV8="후보"</formula>
    </cfRule>
  </conditionalFormatting>
  <conditionalFormatting sqref="AC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8">
    <cfRule type="expression" priority="152" dxfId="3">
      <formula>AND(IF(OR($Q8=1,$Q8=2),1,0),IF($X8&lt;=20,1,0))</formula>
    </cfRule>
    <cfRule type="expression" priority="153" dxfId="2">
      <formula>AND(IF($Q8=2,1,0),IF($X8&lt;30,1,0))</formula>
    </cfRule>
    <cfRule type="expression" priority="154" dxfId="1">
      <formula>AND(IF($Q8=3,1,0),IF($X8&lt;30,1,0))</formula>
    </cfRule>
    <cfRule type="expression" priority="155" dxfId="0">
      <formula>AND(IF($Q8=3,1,IF($Q8=4,1,0)),IF($F8&lt;=85,1,0))</formula>
    </cfRule>
  </conditionalFormatting>
  <conditionalFormatting sqref="X8">
    <cfRule type="expression" priority="148" dxfId="3">
      <formula>AND(IF(OR($Q8=1,$Q8=2),1,0),IF($X8&lt;=20,1,0))</formula>
    </cfRule>
    <cfRule type="expression" priority="149" dxfId="2">
      <formula>AND(IF($Q8=2,1,0),IF($X8&lt;30,1,0))</formula>
    </cfRule>
    <cfRule type="expression" priority="150" dxfId="1">
      <formula>AND(IF($Q8=3,1,0),IF($X8&lt;30,1,0))</formula>
    </cfRule>
    <cfRule type="expression" priority="151" dxfId="0">
      <formula>AND(IF($Q8=3,1,IF($Q8=4,1,0)),IF($F8&lt;=85,1,0))</formula>
    </cfRule>
  </conditionalFormatting>
  <conditionalFormatting sqref="AI8">
    <cfRule type="expression" priority="144" dxfId="3">
      <formula>AND(IF(OR($Q8=1,$Q8=2),1,0),IF($X8&lt;=20,1,0))</formula>
    </cfRule>
    <cfRule type="expression" priority="145" dxfId="2">
      <formula>AND(IF($Q8=2,1,0),IF($X8&lt;30,1,0))</formula>
    </cfRule>
    <cfRule type="expression" priority="146" dxfId="1">
      <formula>AND(IF($Q8=3,1,0),IF($X8&lt;30,1,0))</formula>
    </cfRule>
    <cfRule type="expression" priority="147" dxfId="0">
      <formula>AND(IF($Q8=3,1,IF($Q8=4,1,0)),IF($F8&lt;=85,1,0))</formula>
    </cfRule>
  </conditionalFormatting>
  <conditionalFormatting sqref="AV9">
    <cfRule type="expression" priority="142" dxfId="17">
      <formula>AV9="X"</formula>
    </cfRule>
    <cfRule type="expression" priority="143" dxfId="16">
      <formula>AV9="후보"</formula>
    </cfRule>
  </conditionalFormatting>
  <conditionalFormatting sqref="AC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9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9">
    <cfRule type="expression" priority="133" dxfId="3">
      <formula>AND(IF(OR($Q9=1,$Q9=2),1,0),IF($X9&lt;=20,1,0))</formula>
    </cfRule>
    <cfRule type="expression" priority="134" dxfId="2">
      <formula>AND(IF($Q9=2,1,0),IF($X9&lt;30,1,0))</formula>
    </cfRule>
    <cfRule type="expression" priority="135" dxfId="1">
      <formula>AND(IF($Q9=3,1,0),IF($X9&lt;30,1,0))</formula>
    </cfRule>
    <cfRule type="expression" priority="136" dxfId="0">
      <formula>AND(IF($Q9=3,1,IF($Q9=4,1,0)),IF($F9&lt;=85,1,0))</formula>
    </cfRule>
  </conditionalFormatting>
  <conditionalFormatting sqref="X9">
    <cfRule type="expression" priority="129" dxfId="3">
      <formula>AND(IF(OR($Q9=1,$Q9=2),1,0),IF($X9&lt;=20,1,0))</formula>
    </cfRule>
    <cfRule type="expression" priority="130" dxfId="2">
      <formula>AND(IF($Q9=2,1,0),IF($X9&lt;30,1,0))</formula>
    </cfRule>
    <cfRule type="expression" priority="131" dxfId="1">
      <formula>AND(IF($Q9=3,1,0),IF($X9&lt;30,1,0))</formula>
    </cfRule>
    <cfRule type="expression" priority="132" dxfId="0">
      <formula>AND(IF($Q9=3,1,IF($Q9=4,1,0)),IF($F9&lt;=85,1,0))</formula>
    </cfRule>
  </conditionalFormatting>
  <conditionalFormatting sqref="AI9">
    <cfRule type="expression" priority="125" dxfId="3">
      <formula>AND(IF(OR($Q9=1,$Q9=2),1,0),IF($X9&lt;=20,1,0))</formula>
    </cfRule>
    <cfRule type="expression" priority="126" dxfId="2">
      <formula>AND(IF($Q9=2,1,0),IF($X9&lt;30,1,0))</formula>
    </cfRule>
    <cfRule type="expression" priority="127" dxfId="1">
      <formula>AND(IF($Q9=3,1,0),IF($X9&lt;30,1,0))</formula>
    </cfRule>
    <cfRule type="expression" priority="128" dxfId="0">
      <formula>AND(IF($Q9=3,1,IF($Q9=4,1,0)),IF($F9&lt;=85,1,0))</formula>
    </cfRule>
  </conditionalFormatting>
  <conditionalFormatting sqref="AV10">
    <cfRule type="expression" priority="123" dxfId="17">
      <formula>AV10="X"</formula>
    </cfRule>
    <cfRule type="expression" priority="124" dxfId="16">
      <formula>AV10="후보"</formula>
    </cfRule>
  </conditionalFormatting>
  <conditionalFormatting sqref="AC10 N10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11">
    <cfRule type="expression" priority="118" dxfId="17">
      <formula>AV11="X"</formula>
    </cfRule>
    <cfRule type="expression" priority="119" dxfId="16">
      <formula>AV11="후보"</formula>
    </cfRule>
  </conditionalFormatting>
  <conditionalFormatting sqref="AC1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1">
    <cfRule type="expression" priority="109" dxfId="3">
      <formula>AND(IF(OR($Q11=1,$Q11=2),1,0),IF($X11&lt;=20,1,0))</formula>
    </cfRule>
    <cfRule type="expression" priority="110" dxfId="2">
      <formula>AND(IF($Q11=2,1,0),IF($X11&lt;30,1,0))</formula>
    </cfRule>
    <cfRule type="expression" priority="111" dxfId="1">
      <formula>AND(IF($Q11=3,1,0),IF($X11&lt;30,1,0))</formula>
    </cfRule>
    <cfRule type="expression" priority="112" dxfId="0">
      <formula>AND(IF($Q11=3,1,IF($Q11=4,1,0)),IF($F11&lt;=85,1,0))</formula>
    </cfRule>
  </conditionalFormatting>
  <conditionalFormatting sqref="X11">
    <cfRule type="expression" priority="105" dxfId="3">
      <formula>AND(IF(OR($Q11=1,$Q11=2),1,0),IF($X11&lt;=20,1,0))</formula>
    </cfRule>
    <cfRule type="expression" priority="106" dxfId="2">
      <formula>AND(IF($Q11=2,1,0),IF($X11&lt;30,1,0))</formula>
    </cfRule>
    <cfRule type="expression" priority="107" dxfId="1">
      <formula>AND(IF($Q11=3,1,0),IF($X11&lt;30,1,0))</formula>
    </cfRule>
    <cfRule type="expression" priority="108" dxfId="0">
      <formula>AND(IF($Q11=3,1,IF($Q11=4,1,0)),IF($F11&lt;=85,1,0))</formula>
    </cfRule>
  </conditionalFormatting>
  <conditionalFormatting sqref="AI11">
    <cfRule type="expression" priority="101" dxfId="3">
      <formula>AND(IF(OR($Q11=1,$Q11=2),1,0),IF($X11&lt;=20,1,0))</formula>
    </cfRule>
    <cfRule type="expression" priority="102" dxfId="2">
      <formula>AND(IF($Q11=2,1,0),IF($X11&lt;30,1,0))</formula>
    </cfRule>
    <cfRule type="expression" priority="103" dxfId="1">
      <formula>AND(IF($Q11=3,1,0),IF($X11&lt;30,1,0))</formula>
    </cfRule>
    <cfRule type="expression" priority="104" dxfId="0">
      <formula>AND(IF($Q11=3,1,IF($Q11=4,1,0)),IF($F11&lt;=85,1,0))</formula>
    </cfRule>
  </conditionalFormatting>
  <conditionalFormatting sqref="AV12">
    <cfRule type="expression" priority="99" dxfId="17">
      <formula>AV12="X"</formula>
    </cfRule>
    <cfRule type="expression" priority="100" dxfId="16">
      <formula>AV12="후보"</formula>
    </cfRule>
  </conditionalFormatting>
  <conditionalFormatting sqref="AC1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2">
    <cfRule type="expression" priority="90" dxfId="3">
      <formula>AND(IF(OR($Q12=1,$Q12=2),1,0),IF($X12&lt;=20,1,0))</formula>
    </cfRule>
    <cfRule type="expression" priority="91" dxfId="2">
      <formula>AND(IF($Q12=2,1,0),IF($X12&lt;30,1,0))</formula>
    </cfRule>
    <cfRule type="expression" priority="92" dxfId="1">
      <formula>AND(IF($Q12=3,1,0),IF($X12&lt;30,1,0))</formula>
    </cfRule>
    <cfRule type="expression" priority="93" dxfId="0">
      <formula>AND(IF($Q12=3,1,IF($Q12=4,1,0)),IF($F12&lt;=85,1,0))</formula>
    </cfRule>
  </conditionalFormatting>
  <conditionalFormatting sqref="X12">
    <cfRule type="expression" priority="86" dxfId="3">
      <formula>AND(IF(OR($Q12=1,$Q12=2),1,0),IF($X12&lt;=20,1,0))</formula>
    </cfRule>
    <cfRule type="expression" priority="87" dxfId="2">
      <formula>AND(IF($Q12=2,1,0),IF($X12&lt;30,1,0))</formula>
    </cfRule>
    <cfRule type="expression" priority="88" dxfId="1">
      <formula>AND(IF($Q12=3,1,0),IF($X12&lt;30,1,0))</formula>
    </cfRule>
    <cfRule type="expression" priority="89" dxfId="0">
      <formula>AND(IF($Q12=3,1,IF($Q12=4,1,0)),IF($F12&lt;=85,1,0))</formula>
    </cfRule>
  </conditionalFormatting>
  <conditionalFormatting sqref="AI12">
    <cfRule type="expression" priority="82" dxfId="3">
      <formula>AND(IF(OR($Q12=1,$Q12=2),1,0),IF($X12&lt;=20,1,0))</formula>
    </cfRule>
    <cfRule type="expression" priority="83" dxfId="2">
      <formula>AND(IF($Q12=2,1,0),IF($X12&lt;30,1,0))</formula>
    </cfRule>
    <cfRule type="expression" priority="84" dxfId="1">
      <formula>AND(IF($Q12=3,1,0),IF($X12&lt;30,1,0))</formula>
    </cfRule>
    <cfRule type="expression" priority="85" dxfId="0">
      <formula>AND(IF($Q12=3,1,IF($Q12=4,1,0)),IF($F12&lt;=85,1,0))</formula>
    </cfRule>
  </conditionalFormatting>
  <conditionalFormatting sqref="AV13">
    <cfRule type="expression" priority="80" dxfId="17">
      <formula>AV13="X"</formula>
    </cfRule>
    <cfRule type="expression" priority="81" dxfId="16">
      <formula>AV13="후보"</formula>
    </cfRule>
  </conditionalFormatting>
  <conditionalFormatting sqref="AC13 N1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4">
    <cfRule type="expression" priority="75" dxfId="17">
      <formula>AV14="X"</formula>
    </cfRule>
    <cfRule type="expression" priority="76" dxfId="16">
      <formula>AV14="후보"</formula>
    </cfRule>
  </conditionalFormatting>
  <conditionalFormatting sqref="AC1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4">
    <cfRule type="expression" priority="66" dxfId="3">
      <formula>AND(IF(OR($Q14=1,$Q14=2),1,0),IF($X14&lt;=20,1,0))</formula>
    </cfRule>
    <cfRule type="expression" priority="67" dxfId="2">
      <formula>AND(IF($Q14=2,1,0),IF($X14&lt;30,1,0))</formula>
    </cfRule>
    <cfRule type="expression" priority="68" dxfId="1">
      <formula>AND(IF($Q14=3,1,0),IF($X14&lt;30,1,0))</formula>
    </cfRule>
    <cfRule type="expression" priority="69" dxfId="0">
      <formula>AND(IF($Q14=3,1,IF($Q14=4,1,0)),IF($F14&lt;=85,1,0))</formula>
    </cfRule>
  </conditionalFormatting>
  <conditionalFormatting sqref="X14">
    <cfRule type="expression" priority="62" dxfId="3">
      <formula>AND(IF(OR($Q14=1,$Q14=2),1,0),IF($X14&lt;=20,1,0))</formula>
    </cfRule>
    <cfRule type="expression" priority="63" dxfId="2">
      <formula>AND(IF($Q14=2,1,0),IF($X14&lt;30,1,0))</formula>
    </cfRule>
    <cfRule type="expression" priority="64" dxfId="1">
      <formula>AND(IF($Q14=3,1,0),IF($X14&lt;30,1,0))</formula>
    </cfRule>
    <cfRule type="expression" priority="65" dxfId="0">
      <formula>AND(IF($Q14=3,1,IF($Q14=4,1,0)),IF($F14&lt;=85,1,0))</formula>
    </cfRule>
  </conditionalFormatting>
  <conditionalFormatting sqref="AI14">
    <cfRule type="expression" priority="58" dxfId="3">
      <formula>AND(IF(OR($Q14=1,$Q14=2),1,0),IF($X14&lt;=20,1,0))</formula>
    </cfRule>
    <cfRule type="expression" priority="59" dxfId="2">
      <formula>AND(IF($Q14=2,1,0),IF($X14&lt;30,1,0))</formula>
    </cfRule>
    <cfRule type="expression" priority="60" dxfId="1">
      <formula>AND(IF($Q14=3,1,0),IF($X14&lt;30,1,0))</formula>
    </cfRule>
    <cfRule type="expression" priority="61" dxfId="0">
      <formula>AND(IF($Q14=3,1,IF($Q14=4,1,0)),IF($F14&lt;=85,1,0))</formula>
    </cfRule>
  </conditionalFormatting>
  <conditionalFormatting sqref="AV15">
    <cfRule type="expression" priority="56" dxfId="17">
      <formula>AV15="X"</formula>
    </cfRule>
    <cfRule type="expression" priority="57" dxfId="16">
      <formula>AV15="후보"</formula>
    </cfRule>
  </conditionalFormatting>
  <conditionalFormatting sqref="AC1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5">
    <cfRule type="expression" priority="47" dxfId="3">
      <formula>AND(IF(OR($Q15=1,$Q15=2),1,0),IF($X15&lt;=20,1,0))</formula>
    </cfRule>
    <cfRule type="expression" priority="48" dxfId="2">
      <formula>AND(IF($Q15=2,1,0),IF($X15&lt;30,1,0))</formula>
    </cfRule>
    <cfRule type="expression" priority="49" dxfId="1">
      <formula>AND(IF($Q15=3,1,0),IF($X15&lt;30,1,0))</formula>
    </cfRule>
    <cfRule type="expression" priority="50" dxfId="0">
      <formula>AND(IF($Q15=3,1,IF($Q15=4,1,0)),IF($F15&lt;=85,1,0))</formula>
    </cfRule>
  </conditionalFormatting>
  <conditionalFormatting sqref="X15">
    <cfRule type="expression" priority="43" dxfId="3">
      <formula>AND(IF(OR($Q15=1,$Q15=2),1,0),IF($X15&lt;=20,1,0))</formula>
    </cfRule>
    <cfRule type="expression" priority="44" dxfId="2">
      <formula>AND(IF($Q15=2,1,0),IF($X15&lt;30,1,0))</formula>
    </cfRule>
    <cfRule type="expression" priority="45" dxfId="1">
      <formula>AND(IF($Q15=3,1,0),IF($X15&lt;30,1,0))</formula>
    </cfRule>
    <cfRule type="expression" priority="46" dxfId="0">
      <formula>AND(IF($Q15=3,1,IF($Q15=4,1,0)),IF($F15&lt;=85,1,0))</formula>
    </cfRule>
  </conditionalFormatting>
  <conditionalFormatting sqref="AI15">
    <cfRule type="expression" priority="39" dxfId="3">
      <formula>AND(IF(OR($Q15=1,$Q15=2),1,0),IF($X15&lt;=20,1,0))</formula>
    </cfRule>
    <cfRule type="expression" priority="40" dxfId="2">
      <formula>AND(IF($Q15=2,1,0),IF($X15&lt;30,1,0))</formula>
    </cfRule>
    <cfRule type="expression" priority="41" dxfId="1">
      <formula>AND(IF($Q15=3,1,0),IF($X15&lt;30,1,0))</formula>
    </cfRule>
    <cfRule type="expression" priority="42" dxfId="0">
      <formula>AND(IF($Q15=3,1,IF($Q15=4,1,0)),IF($F15&lt;=85,1,0))</formula>
    </cfRule>
  </conditionalFormatting>
  <conditionalFormatting sqref="AV16">
    <cfRule type="expression" priority="37" dxfId="17">
      <formula>AV16="X"</formula>
    </cfRule>
    <cfRule type="expression" priority="38" dxfId="16">
      <formula>AV16="후보"</formula>
    </cfRule>
  </conditionalFormatting>
  <conditionalFormatting sqref="AC1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6">
    <cfRule type="expression" priority="28" dxfId="3">
      <formula>AND(IF(OR($Q16=1,$Q16=2),1,0),IF($X16&lt;=20,1,0))</formula>
    </cfRule>
    <cfRule type="expression" priority="29" dxfId="2">
      <formula>AND(IF($Q16=2,1,0),IF($X16&lt;30,1,0))</formula>
    </cfRule>
    <cfRule type="expression" priority="30" dxfId="1">
      <formula>AND(IF($Q16=3,1,0),IF($X16&lt;30,1,0))</formula>
    </cfRule>
    <cfRule type="expression" priority="31" dxfId="0">
      <formula>AND(IF($Q16=3,1,IF($Q16=4,1,0)),IF($F16&lt;=85,1,0))</formula>
    </cfRule>
  </conditionalFormatting>
  <conditionalFormatting sqref="X16">
    <cfRule type="expression" priority="24" dxfId="3">
      <formula>AND(IF(OR($Q16=1,$Q16=2),1,0),IF($X16&lt;=20,1,0))</formula>
    </cfRule>
    <cfRule type="expression" priority="25" dxfId="2">
      <formula>AND(IF($Q16=2,1,0),IF($X16&lt;30,1,0))</formula>
    </cfRule>
    <cfRule type="expression" priority="26" dxfId="1">
      <formula>AND(IF($Q16=3,1,0),IF($X16&lt;30,1,0))</formula>
    </cfRule>
    <cfRule type="expression" priority="27" dxfId="0">
      <formula>AND(IF($Q16=3,1,IF($Q16=4,1,0)),IF($F16&lt;=85,1,0))</formula>
    </cfRule>
  </conditionalFormatting>
  <conditionalFormatting sqref="AI16">
    <cfRule type="expression" priority="20" dxfId="3">
      <formula>AND(IF(OR($Q16=1,$Q16=2),1,0),IF($X16&lt;=20,1,0))</formula>
    </cfRule>
    <cfRule type="expression" priority="21" dxfId="2">
      <formula>AND(IF($Q16=2,1,0),IF($X16&lt;30,1,0))</formula>
    </cfRule>
    <cfRule type="expression" priority="22" dxfId="1">
      <formula>AND(IF($Q16=3,1,0),IF($X16&lt;30,1,0))</formula>
    </cfRule>
    <cfRule type="expression" priority="23" dxfId="0">
      <formula>AND(IF($Q16=3,1,IF($Q16=4,1,0)),IF($F16&lt;=85,1,0))</formula>
    </cfRule>
  </conditionalFormatting>
  <conditionalFormatting sqref="AV17">
    <cfRule type="expression" priority="18" dxfId="17">
      <formula>AV17="X"</formula>
    </cfRule>
    <cfRule type="expression" priority="19" dxfId="16">
      <formula>AV17="후보"</formula>
    </cfRule>
  </conditionalFormatting>
  <conditionalFormatting sqref="AC1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7">
    <cfRule type="expression" priority="9" dxfId="3">
      <formula>AND(IF(OR($Q17=1,$Q17=2),1,0),IF($X17&lt;=20,1,0))</formula>
    </cfRule>
    <cfRule type="expression" priority="10" dxfId="2">
      <formula>AND(IF($Q17=2,1,0),IF($X17&lt;30,1,0))</formula>
    </cfRule>
    <cfRule type="expression" priority="11" dxfId="1">
      <formula>AND(IF($Q17=3,1,0),IF($X17&lt;30,1,0))</formula>
    </cfRule>
    <cfRule type="expression" priority="12" dxfId="0">
      <formula>AND(IF($Q17=3,1,IF($Q17=4,1,0)),IF($F17&lt;=85,1,0))</formula>
    </cfRule>
  </conditionalFormatting>
  <conditionalFormatting sqref="X17">
    <cfRule type="expression" priority="5" dxfId="3">
      <formula>AND(IF(OR($Q17=1,$Q17=2),1,0),IF($X17&lt;=20,1,0))</formula>
    </cfRule>
    <cfRule type="expression" priority="6" dxfId="2">
      <formula>AND(IF($Q17=2,1,0),IF($X17&lt;30,1,0))</formula>
    </cfRule>
    <cfRule type="expression" priority="7" dxfId="1">
      <formula>AND(IF($Q17=3,1,0),IF($X17&lt;30,1,0))</formula>
    </cfRule>
    <cfRule type="expression" priority="8" dxfId="0">
      <formula>AND(IF($Q17=3,1,IF($Q17=4,1,0)),IF($F17&lt;=85,1,0))</formula>
    </cfRule>
  </conditionalFormatting>
  <conditionalFormatting sqref="AI17">
    <cfRule type="expression" priority="1" dxfId="3">
      <formula>AND(IF(OR($Q17=1,$Q17=2),1,0),IF($X17&lt;=20,1,0))</formula>
    </cfRule>
    <cfRule type="expression" priority="2" dxfId="2">
      <formula>AND(IF($Q17=2,1,0),IF($X17&lt;30,1,0))</formula>
    </cfRule>
    <cfRule type="expression" priority="3" dxfId="1">
      <formula>AND(IF($Q17=3,1,0),IF($X17&lt;30,1,0))</formula>
    </cfRule>
    <cfRule type="expression" priority="4" dxfId="0">
      <formula>AND(IF($Q17=3,1,IF($Q17=4,1,0)),IF($F17&lt;=85,1,0))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7" sqref="A117:XFD11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당하동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검단신도시대성베르힐</t>
        </is>
      </c>
      <c r="B6" s="16" t="inlineStr">
        <is>
          <t>'22.11.</t>
        </is>
      </c>
      <c r="C6" s="164" t="n">
        <v>745</v>
      </c>
      <c r="D6" s="161" t="n">
        <v>110.6</v>
      </c>
      <c r="E6" s="163" t="n">
        <v>33</v>
      </c>
      <c r="F6" s="161" t="n">
        <v>84.90000000000001</v>
      </c>
      <c r="G6" s="27" t="n">
        <v>26</v>
      </c>
      <c r="H6" s="164" t="n">
        <v>409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inlineStr">
        <is>
          <t>-</t>
        </is>
      </c>
      <c r="R6" s="113" t="inlineStr">
        <is>
          <t>-</t>
        </is>
      </c>
      <c r="S6" s="113" t="inlineStr">
        <is>
          <t>계</t>
        </is>
      </c>
      <c r="T6" s="8" t="inlineStr">
        <is>
          <t>110A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검단신도시대성베르힐</t>
        </is>
      </c>
      <c r="B7" s="16" t="inlineStr">
        <is>
          <t>'22.11.</t>
        </is>
      </c>
      <c r="C7" s="164" t="n">
        <v>745</v>
      </c>
      <c r="D7" s="161" t="n">
        <v>110.4</v>
      </c>
      <c r="E7" s="163" t="n">
        <v>33</v>
      </c>
      <c r="F7" s="161" t="n">
        <v>84.40000000000001</v>
      </c>
      <c r="G7" s="27" t="n">
        <v>26</v>
      </c>
      <c r="H7" s="164" t="n">
        <v>124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inlineStr">
        <is>
          <t>-</t>
        </is>
      </c>
      <c r="R7" s="113" t="inlineStr">
        <is>
          <t>-</t>
        </is>
      </c>
      <c r="S7" s="113" t="inlineStr">
        <is>
          <t>계</t>
        </is>
      </c>
      <c r="T7" s="8" t="inlineStr">
        <is>
          <t>110B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검단신도시대성베르힐</t>
        </is>
      </c>
      <c r="B8" s="16" t="inlineStr">
        <is>
          <t>'22.11.</t>
        </is>
      </c>
      <c r="C8" s="164" t="n">
        <v>745</v>
      </c>
      <c r="D8" s="161" t="n">
        <v>135.4</v>
      </c>
      <c r="E8" s="163" t="n">
        <v>41</v>
      </c>
      <c r="F8" s="161" t="n">
        <v>110.4</v>
      </c>
      <c r="G8" s="27" t="n">
        <v>33</v>
      </c>
      <c r="H8" s="164" t="n">
        <v>212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inlineStr">
        <is>
          <t>-</t>
        </is>
      </c>
      <c r="R8" s="113" t="inlineStr">
        <is>
          <t>-</t>
        </is>
      </c>
      <c r="S8" s="113" t="inlineStr">
        <is>
          <t>계</t>
        </is>
      </c>
      <c r="T8" s="8" t="n">
        <v>135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신안실크밸리</t>
        </is>
      </c>
      <c r="B10" s="16" t="inlineStr">
        <is>
          <t>'04.12.</t>
        </is>
      </c>
      <c r="C10" s="164" t="n">
        <v>936</v>
      </c>
      <c r="D10" s="161" t="n">
        <v>87.59999999999999</v>
      </c>
      <c r="E10" s="163" t="n">
        <v>26</v>
      </c>
      <c r="F10" s="161" t="n">
        <v>60</v>
      </c>
      <c r="G10" s="27" t="n">
        <v>18</v>
      </c>
      <c r="H10" s="164" t="n">
        <v>629</v>
      </c>
      <c r="I10" s="165" t="n">
        <v>29000</v>
      </c>
      <c r="J10" s="165" t="inlineStr">
        <is>
          <t>14</t>
        </is>
      </c>
      <c r="K10" s="165" t="n">
        <v>24000</v>
      </c>
      <c r="L10" s="165" t="inlineStr">
        <is>
          <t>10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87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신안실크밸리</t>
        </is>
      </c>
      <c r="B11" s="16" t="inlineStr">
        <is>
          <t>'04.12.</t>
        </is>
      </c>
      <c r="C11" s="164" t="n">
        <v>936</v>
      </c>
      <c r="D11" s="161" t="n">
        <v>116.1</v>
      </c>
      <c r="E11" s="163" t="n">
        <v>35</v>
      </c>
      <c r="F11" s="161" t="n">
        <v>85</v>
      </c>
      <c r="G11" s="27" t="n">
        <v>26</v>
      </c>
      <c r="H11" s="164" t="n">
        <v>307</v>
      </c>
      <c r="I11" s="165" t="n">
        <v>34600</v>
      </c>
      <c r="J11" s="165" t="inlineStr">
        <is>
          <t>7</t>
        </is>
      </c>
      <c r="K11" s="165" t="n">
        <v>26000</v>
      </c>
      <c r="L11" s="165" t="inlineStr">
        <is>
          <t>18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116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풍림아이원</t>
        </is>
      </c>
      <c r="B13" s="16" t="inlineStr">
        <is>
          <t>'04.09.</t>
        </is>
      </c>
      <c r="C13" s="164" t="n">
        <v>1739</v>
      </c>
      <c r="D13" s="161" t="n">
        <v>81.40000000000001</v>
      </c>
      <c r="E13" s="163" t="n">
        <v>25</v>
      </c>
      <c r="F13" s="161" t="n">
        <v>59.8</v>
      </c>
      <c r="G13" s="27" t="n">
        <v>18</v>
      </c>
      <c r="H13" s="164" t="n">
        <v>415</v>
      </c>
      <c r="I13" s="165" t="n">
        <v>27000</v>
      </c>
      <c r="J13" s="165" t="inlineStr">
        <is>
          <t>중</t>
        </is>
      </c>
      <c r="K13" s="165" t="n">
        <v>20000</v>
      </c>
      <c r="L13" s="165" t="inlineStr">
        <is>
          <t>중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81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풍림아이원</t>
        </is>
      </c>
      <c r="B14" s="16" t="inlineStr">
        <is>
          <t>'04.09.</t>
        </is>
      </c>
      <c r="C14" s="164" t="n">
        <v>1739</v>
      </c>
      <c r="D14" s="161" t="n">
        <v>96.09999999999999</v>
      </c>
      <c r="E14" s="163" t="n">
        <v>29</v>
      </c>
      <c r="F14" s="161" t="n">
        <v>74.09999999999999</v>
      </c>
      <c r="G14" s="27" t="n">
        <v>22</v>
      </c>
      <c r="H14" s="164" t="n">
        <v>433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96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풍림아이원</t>
        </is>
      </c>
      <c r="B15" s="16" t="inlineStr">
        <is>
          <t>'04.09.</t>
        </is>
      </c>
      <c r="C15" s="164" t="n">
        <v>1739</v>
      </c>
      <c r="D15" s="161" t="n">
        <v>112.1</v>
      </c>
      <c r="E15" s="163" t="n">
        <v>34</v>
      </c>
      <c r="F15" s="161" t="n">
        <v>84.59999999999999</v>
      </c>
      <c r="G15" s="27" t="n">
        <v>26</v>
      </c>
      <c r="H15" s="164" t="n">
        <v>764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112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풍림아이원</t>
        </is>
      </c>
      <c r="B16" s="16" t="inlineStr">
        <is>
          <t>'04.09.</t>
        </is>
      </c>
      <c r="C16" s="164" t="n">
        <v>1739</v>
      </c>
      <c r="D16" s="161" t="n">
        <v>132.3</v>
      </c>
      <c r="E16" s="163" t="n">
        <v>40</v>
      </c>
      <c r="F16" s="161" t="n">
        <v>109.4</v>
      </c>
      <c r="G16" s="27" t="n">
        <v>33</v>
      </c>
      <c r="H16" s="164" t="n">
        <v>127</v>
      </c>
      <c r="I16" s="165" t="n">
        <v>45500</v>
      </c>
      <c r="J16" s="165" t="inlineStr">
        <is>
          <t>15</t>
        </is>
      </c>
      <c r="K16" s="165" t="n">
        <v>33000</v>
      </c>
      <c r="L16" s="165" t="inlineStr">
        <is>
          <t>5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n">
        <v>132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영남,신대진,성웅(당하탑스빌)</t>
        </is>
      </c>
      <c r="B18" s="16" t="inlineStr">
        <is>
          <t>'98.03.</t>
        </is>
      </c>
      <c r="C18" s="164" t="n">
        <v>1368</v>
      </c>
      <c r="D18" s="161" t="n">
        <v>85.3</v>
      </c>
      <c r="E18" s="163" t="n">
        <v>26</v>
      </c>
      <c r="F18" s="161" t="n">
        <v>60</v>
      </c>
      <c r="G18" s="27" t="n">
        <v>18</v>
      </c>
      <c r="H18" s="164" t="n">
        <v>452</v>
      </c>
      <c r="I18" s="165" t="n">
        <v>32500</v>
      </c>
      <c r="J18" s="165" t="inlineStr">
        <is>
          <t>18</t>
        </is>
      </c>
      <c r="K18" s="165" t="n">
        <v>25000</v>
      </c>
      <c r="L18" s="165" t="inlineStr">
        <is>
          <t>9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85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영남,신대진,성웅(당하탑스빌)</t>
        </is>
      </c>
      <c r="B19" s="16" t="inlineStr">
        <is>
          <t>'98.03.</t>
        </is>
      </c>
      <c r="C19" s="164" t="n">
        <v>1368</v>
      </c>
      <c r="D19" s="161" t="n">
        <v>111.8</v>
      </c>
      <c r="E19" s="163" t="n">
        <v>34</v>
      </c>
      <c r="F19" s="161" t="n">
        <v>84.90000000000001</v>
      </c>
      <c r="G19" s="27" t="n">
        <v>26</v>
      </c>
      <c r="H19" s="164" t="n">
        <v>639</v>
      </c>
      <c r="I19" s="165" t="n">
        <v>39000</v>
      </c>
      <c r="J19" s="165" t="inlineStr">
        <is>
          <t>고</t>
        </is>
      </c>
      <c r="K19" s="165" t="n">
        <v>30000</v>
      </c>
      <c r="L19" s="165" t="inlineStr">
        <is>
          <t>13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111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영남,신대진,성웅(당하탑스빌)</t>
        </is>
      </c>
      <c r="B20" s="16" t="inlineStr">
        <is>
          <t>'98.03.</t>
        </is>
      </c>
      <c r="C20" s="164" t="n">
        <v>1368</v>
      </c>
      <c r="D20" s="161" t="n">
        <v>147.7</v>
      </c>
      <c r="E20" s="163" t="n">
        <v>45</v>
      </c>
      <c r="F20" s="161" t="n">
        <v>116.2</v>
      </c>
      <c r="G20" s="27" t="n">
        <v>35</v>
      </c>
      <c r="H20" s="164" t="n">
        <v>101</v>
      </c>
      <c r="I20" s="165" t="n">
        <v>50000</v>
      </c>
      <c r="J20" s="165" t="inlineStr">
        <is>
          <t>고</t>
        </is>
      </c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4</v>
      </c>
      <c r="R20" s="113" t="n">
        <v>2</v>
      </c>
      <c r="S20" s="113" t="inlineStr">
        <is>
          <t>계</t>
        </is>
      </c>
      <c r="T20" s="8" t="n">
        <v>147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영남,신대진,성웅(당하탑스빌)</t>
        </is>
      </c>
      <c r="B21" s="16" t="inlineStr">
        <is>
          <t>'98.03.</t>
        </is>
      </c>
      <c r="C21" s="164" t="n">
        <v>1368</v>
      </c>
      <c r="D21" s="161" t="n">
        <v>170.7</v>
      </c>
      <c r="E21" s="163" t="n">
        <v>52</v>
      </c>
      <c r="F21" s="161" t="n">
        <v>137</v>
      </c>
      <c r="G21" s="27" t="n">
        <v>41</v>
      </c>
      <c r="H21" s="164" t="n">
        <v>176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4</v>
      </c>
      <c r="R21" s="113" t="n">
        <v>2</v>
      </c>
      <c r="S21" s="113" t="inlineStr">
        <is>
          <t>계</t>
        </is>
      </c>
      <c r="T21" s="8" t="n">
        <v>170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검단신도시모아미래도엘리트파크</t>
        </is>
      </c>
      <c r="B23" s="16" t="inlineStr">
        <is>
          <t>'22.10.</t>
        </is>
      </c>
      <c r="C23" s="164" t="n">
        <v>658</v>
      </c>
      <c r="D23" s="161" t="n">
        <v>109.2</v>
      </c>
      <c r="E23" s="163" t="n">
        <v>33</v>
      </c>
      <c r="F23" s="161" t="n">
        <v>84.7</v>
      </c>
      <c r="G23" s="27" t="n">
        <v>26</v>
      </c>
      <c r="H23" s="164" t="n">
        <v>524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109A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검단신도시모아미래도엘리트파크</t>
        </is>
      </c>
      <c r="B24" s="16" t="inlineStr">
        <is>
          <t>'22.10.</t>
        </is>
      </c>
      <c r="C24" s="164" t="n">
        <v>658</v>
      </c>
      <c r="D24" s="161" t="n">
        <v>110.3</v>
      </c>
      <c r="E24" s="163" t="n">
        <v>33</v>
      </c>
      <c r="F24" s="161" t="n">
        <v>84.90000000000001</v>
      </c>
      <c r="G24" s="27" t="n">
        <v>26</v>
      </c>
      <c r="H24" s="164" t="n">
        <v>134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110B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검단신도시우미린파크뷰1단지</t>
        </is>
      </c>
      <c r="B26" s="16" t="inlineStr">
        <is>
          <t>'23.07.</t>
        </is>
      </c>
      <c r="C26" s="164" t="n">
        <v>370</v>
      </c>
      <c r="D26" s="161" t="n">
        <v>83.59999999999999</v>
      </c>
      <c r="E26" s="163" t="n">
        <v>25</v>
      </c>
      <c r="F26" s="161" t="n">
        <v>59.9</v>
      </c>
      <c r="G26" s="27" t="n">
        <v>18</v>
      </c>
      <c r="H26" s="164" t="n">
        <v>165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83A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검단신도시우미린파크뷰1단지</t>
        </is>
      </c>
      <c r="B27" s="16" t="inlineStr">
        <is>
          <t>'23.07.</t>
        </is>
      </c>
      <c r="C27" s="164" t="n">
        <v>370</v>
      </c>
      <c r="D27" s="161" t="n">
        <v>83.5</v>
      </c>
      <c r="E27" s="163" t="n">
        <v>25</v>
      </c>
      <c r="F27" s="161" t="n">
        <v>59.8</v>
      </c>
      <c r="G27" s="27" t="n">
        <v>18</v>
      </c>
      <c r="H27" s="164" t="n">
        <v>92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83B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검단신도시우미린파크뷰1단지</t>
        </is>
      </c>
      <c r="B28" s="16" t="inlineStr">
        <is>
          <t>'23.07.</t>
        </is>
      </c>
      <c r="C28" s="164" t="n">
        <v>370</v>
      </c>
      <c r="D28" s="161" t="n">
        <v>116.5</v>
      </c>
      <c r="E28" s="163" t="n">
        <v>35</v>
      </c>
      <c r="F28" s="161" t="n">
        <v>84.90000000000001</v>
      </c>
      <c r="G28" s="27" t="n">
        <v>26</v>
      </c>
      <c r="H28" s="164" t="n">
        <v>113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116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당하KCC스위첸</t>
        </is>
      </c>
      <c r="B30" s="16" t="inlineStr">
        <is>
          <t>'05.04.</t>
        </is>
      </c>
      <c r="C30" s="164" t="n">
        <v>1015</v>
      </c>
      <c r="D30" s="161" t="n">
        <v>92</v>
      </c>
      <c r="E30" s="163" t="n">
        <v>28</v>
      </c>
      <c r="F30" s="161" t="n">
        <v>73.3</v>
      </c>
      <c r="G30" s="27" t="n">
        <v>22</v>
      </c>
      <c r="H30" s="164" t="n">
        <v>201</v>
      </c>
      <c r="I30" s="165" t="n">
        <v>41000</v>
      </c>
      <c r="J30" s="165" t="inlineStr">
        <is>
          <t>7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n">
        <v>91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당하KCC스위첸</t>
        </is>
      </c>
      <c r="B31" s="16" t="inlineStr">
        <is>
          <t>'05.04.</t>
        </is>
      </c>
      <c r="C31" s="164" t="n">
        <v>1015</v>
      </c>
      <c r="D31" s="161" t="n">
        <v>107.8</v>
      </c>
      <c r="E31" s="163" t="n">
        <v>33</v>
      </c>
      <c r="F31" s="161" t="n">
        <v>85</v>
      </c>
      <c r="G31" s="27" t="n">
        <v>26</v>
      </c>
      <c r="H31" s="164" t="n">
        <v>736</v>
      </c>
      <c r="I31" s="165" t="n">
        <v>40000</v>
      </c>
      <c r="J31" s="165" t="inlineStr">
        <is>
          <t>17</t>
        </is>
      </c>
      <c r="K31" s="165" t="n">
        <v>32000</v>
      </c>
      <c r="L31" s="165" t="inlineStr">
        <is>
          <t>10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n">
        <v>107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당하KCC스위첸</t>
        </is>
      </c>
      <c r="B32" s="16" t="inlineStr">
        <is>
          <t>'05.04.</t>
        </is>
      </c>
      <c r="C32" s="164" t="n">
        <v>1015</v>
      </c>
      <c r="D32" s="161" t="n">
        <v>133.9</v>
      </c>
      <c r="E32" s="163" t="n">
        <v>40</v>
      </c>
      <c r="F32" s="161" t="n">
        <v>105.5</v>
      </c>
      <c r="G32" s="27" t="n">
        <v>32</v>
      </c>
      <c r="H32" s="164" t="n">
        <v>78</v>
      </c>
      <c r="I32" s="165" t="n">
        <v>55000</v>
      </c>
      <c r="J32" s="165" t="inlineStr">
        <is>
          <t>고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133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금호어울림1차</t>
        </is>
      </c>
      <c r="B34" s="16" t="inlineStr">
        <is>
          <t>'04.03.</t>
        </is>
      </c>
      <c r="C34" s="164" t="n">
        <v>341</v>
      </c>
      <c r="D34" s="161" t="n">
        <v>105.8</v>
      </c>
      <c r="E34" s="163" t="n">
        <v>32</v>
      </c>
      <c r="F34" s="161" t="n">
        <v>85</v>
      </c>
      <c r="G34" s="27" t="n">
        <v>26</v>
      </c>
      <c r="H34" s="164" t="n">
        <v>341</v>
      </c>
      <c r="I34" s="165" t="n">
        <v>37000</v>
      </c>
      <c r="J34" s="165" t="inlineStr">
        <is>
          <t>중</t>
        </is>
      </c>
      <c r="K34" s="165" t="n">
        <v>26000</v>
      </c>
      <c r="L34" s="165" t="inlineStr">
        <is>
          <t>5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n">
        <v>105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보미골드리즌빌(실버주택)</t>
        </is>
      </c>
      <c r="B36" s="16" t="inlineStr">
        <is>
          <t>'09.02.</t>
        </is>
      </c>
      <c r="C36" s="164" t="n">
        <v>216</v>
      </c>
      <c r="D36" s="161" t="n">
        <v>101.4</v>
      </c>
      <c r="E36" s="163" t="n">
        <v>31</v>
      </c>
      <c r="F36" s="161" t="n">
        <v>78.59999999999999</v>
      </c>
      <c r="G36" s="27" t="n">
        <v>24</v>
      </c>
      <c r="H36" s="164" t="n">
        <v>81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101A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보미골드리즌빌(실버주택)</t>
        </is>
      </c>
      <c r="B37" s="16" t="inlineStr">
        <is>
          <t>'09.02.</t>
        </is>
      </c>
      <c r="C37" s="164" t="n">
        <v>216</v>
      </c>
      <c r="D37" s="161" t="n">
        <v>102.6</v>
      </c>
      <c r="E37" s="163" t="n">
        <v>31</v>
      </c>
      <c r="F37" s="161" t="n">
        <v>79.5</v>
      </c>
      <c r="G37" s="27" t="n">
        <v>24</v>
      </c>
      <c r="H37" s="164" t="n">
        <v>36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102B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보미골드리즌빌(실버주택)</t>
        </is>
      </c>
      <c r="B38" s="16" t="inlineStr">
        <is>
          <t>'09.02.</t>
        </is>
      </c>
      <c r="C38" s="164" t="n">
        <v>216</v>
      </c>
      <c r="D38" s="161" t="n">
        <v>103.4</v>
      </c>
      <c r="E38" s="163" t="n">
        <v>31</v>
      </c>
      <c r="F38" s="161" t="n">
        <v>80.2</v>
      </c>
      <c r="G38" s="27" t="n">
        <v>24</v>
      </c>
      <c r="H38" s="164" t="n">
        <v>18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103C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보미골드리즌빌(실버주택)</t>
        </is>
      </c>
      <c r="B39" s="16" t="inlineStr">
        <is>
          <t>'09.02.</t>
        </is>
      </c>
      <c r="C39" s="164" t="n">
        <v>216</v>
      </c>
      <c r="D39" s="161" t="n">
        <v>125.1</v>
      </c>
      <c r="E39" s="163" t="n">
        <v>38</v>
      </c>
      <c r="F39" s="161" t="n">
        <v>96.90000000000001</v>
      </c>
      <c r="G39" s="27" t="n">
        <v>29</v>
      </c>
      <c r="H39" s="164" t="n">
        <v>72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n">
        <v>125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보미골드리즌빌(실버주택)</t>
        </is>
      </c>
      <c r="B40" s="16" t="inlineStr">
        <is>
          <t>'09.02.</t>
        </is>
      </c>
      <c r="C40" s="164" t="n">
        <v>216</v>
      </c>
      <c r="D40" s="161" t="n">
        <v>165.1</v>
      </c>
      <c r="E40" s="163" t="n">
        <v>50</v>
      </c>
      <c r="F40" s="161" t="n">
        <v>127.9</v>
      </c>
      <c r="G40" s="27" t="n">
        <v>39</v>
      </c>
      <c r="H40" s="164" t="n">
        <v>9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4</v>
      </c>
      <c r="R40" s="113" t="n">
        <v>2</v>
      </c>
      <c r="S40" s="113" t="inlineStr">
        <is>
          <t>계</t>
        </is>
      </c>
      <c r="T40" s="8" t="n">
        <v>165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1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2" t="n"/>
      <c r="P41" s="162" t="n"/>
      <c r="Q41" s="163" t="n"/>
      <c r="R41" s="163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0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검단신도시한신더휴캐널파크</t>
        </is>
      </c>
      <c r="B42" s="16" t="inlineStr">
        <is>
          <t>'21.09.</t>
        </is>
      </c>
      <c r="C42" s="164" t="n">
        <v>936</v>
      </c>
      <c r="D42" s="161" t="n">
        <v>95.40000000000001</v>
      </c>
      <c r="E42" s="163" t="n">
        <v>29</v>
      </c>
      <c r="F42" s="161" t="n">
        <v>74.3</v>
      </c>
      <c r="G42" s="27" t="n">
        <v>22</v>
      </c>
      <c r="H42" s="164" t="n">
        <v>250</v>
      </c>
      <c r="I42" s="165" t="n"/>
      <c r="J42" s="165" t="n"/>
      <c r="K42" s="165" t="n">
        <v>33000</v>
      </c>
      <c r="L42" s="165" t="inlineStr">
        <is>
          <t>고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95A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검단신도시한신더휴캐널파크</t>
        </is>
      </c>
      <c r="B43" s="16" t="inlineStr">
        <is>
          <t>'21.09.</t>
        </is>
      </c>
      <c r="C43" s="164" t="n">
        <v>936</v>
      </c>
      <c r="D43" s="161" t="n">
        <v>96.3</v>
      </c>
      <c r="E43" s="163" t="n">
        <v>29</v>
      </c>
      <c r="F43" s="161" t="n">
        <v>74.40000000000001</v>
      </c>
      <c r="G43" s="27" t="n">
        <v>23</v>
      </c>
      <c r="H43" s="164" t="n">
        <v>74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96B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검단신도시한신더휴캐널파크</t>
        </is>
      </c>
      <c r="B44" s="16" t="inlineStr">
        <is>
          <t>'21.09.</t>
        </is>
      </c>
      <c r="C44" s="164" t="n">
        <v>936</v>
      </c>
      <c r="D44" s="161" t="n">
        <v>108.4</v>
      </c>
      <c r="E44" s="163" t="n">
        <v>33</v>
      </c>
      <c r="F44" s="161" t="n">
        <v>84.2</v>
      </c>
      <c r="G44" s="27" t="n">
        <v>25</v>
      </c>
      <c r="H44" s="164" t="n">
        <v>366</v>
      </c>
      <c r="I44" s="165" t="n">
        <v>75000</v>
      </c>
      <c r="J44" s="165" t="inlineStr">
        <is>
          <t>중</t>
        </is>
      </c>
      <c r="K44" s="165" t="n">
        <v>35000</v>
      </c>
      <c r="L44" s="165" t="inlineStr">
        <is>
          <t>중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108B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검단신도시한신더휴캐널파크</t>
        </is>
      </c>
      <c r="B45" s="16" t="inlineStr">
        <is>
          <t>'21.09.</t>
        </is>
      </c>
      <c r="C45" s="164" t="n">
        <v>936</v>
      </c>
      <c r="D45" s="161" t="n">
        <v>108.4</v>
      </c>
      <c r="E45" s="163" t="n">
        <v>33</v>
      </c>
      <c r="F45" s="161" t="n">
        <v>84.3</v>
      </c>
      <c r="G45" s="27" t="n">
        <v>26</v>
      </c>
      <c r="H45" s="164" t="n">
        <v>246</v>
      </c>
      <c r="I45" s="165" t="n">
        <v>82000</v>
      </c>
      <c r="J45" s="165" t="inlineStr">
        <is>
          <t>중</t>
        </is>
      </c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4</v>
      </c>
      <c r="R45" s="113" t="n">
        <v>2</v>
      </c>
      <c r="S45" s="113" t="inlineStr">
        <is>
          <t>계</t>
        </is>
      </c>
      <c r="T45" s="8" t="inlineStr">
        <is>
          <t>108A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n"/>
      <c r="B46" s="113" t="n"/>
      <c r="C46" s="10" t="n"/>
      <c r="D46" s="13" t="n"/>
      <c r="E46" s="20" t="n"/>
      <c r="F46" s="161" t="n"/>
      <c r="G46" s="13" t="n"/>
      <c r="H46" s="13" t="n"/>
      <c r="I46" s="13" t="n"/>
      <c r="J46" s="13" t="n"/>
      <c r="K46" s="13" t="n"/>
      <c r="L46" s="13" t="n"/>
      <c r="M46" s="13" t="n"/>
      <c r="N46" s="13" t="n"/>
      <c r="O46" s="162" t="n"/>
      <c r="P46" s="162" t="n"/>
      <c r="Q46" s="163" t="n"/>
      <c r="R46" s="163" t="n"/>
      <c r="S46" s="13" t="n"/>
      <c r="T46" s="70" t="n"/>
      <c r="U46" s="13" t="n"/>
      <c r="W46" s="107">
        <f>$A$4&amp;" "&amp;A47&amp;"("&amp;B47&amp;","&amp;C47&amp;"^)"</f>
        <v/>
      </c>
      <c r="X46" s="108" t="n"/>
      <c r="Y46" s="108" t="n"/>
      <c r="Z46" s="108" t="n"/>
      <c r="AA46" s="108" t="n"/>
      <c r="AB46" s="108" t="n"/>
      <c r="AC46" s="108" t="n"/>
      <c r="AD46" s="108" t="n"/>
      <c r="AE46" s="108" t="n"/>
      <c r="AF46" s="109" t="n"/>
      <c r="AH46" s="36">
        <f>IF(A46="","",A46)</f>
        <v/>
      </c>
      <c r="AI46" s="160">
        <f>IF(E46="","",E46)</f>
        <v/>
      </c>
      <c r="AJ46" s="113" t="n"/>
      <c r="AK46" s="113" t="n"/>
      <c r="AL46" s="113" t="n"/>
      <c r="AM46" s="113" t="n"/>
      <c r="AN46" s="113" t="n"/>
      <c r="AO46" s="113" t="n"/>
      <c r="AP46" s="113" t="n"/>
      <c r="AQ46" s="113" t="n"/>
      <c r="AR46" s="113" t="n"/>
      <c r="AS46" s="113" t="n"/>
      <c r="AT46" s="113" t="n"/>
      <c r="AU46" s="113" t="n"/>
      <c r="AV46" s="113" t="n"/>
    </row>
    <row r="47">
      <c r="A47" s="13" t="inlineStr">
        <is>
          <t>호반써밋인천검단2차</t>
        </is>
      </c>
      <c r="B47" s="16" t="inlineStr">
        <is>
          <t>'22.05.</t>
        </is>
      </c>
      <c r="C47" s="164" t="n">
        <v>719</v>
      </c>
      <c r="D47" s="161" t="n">
        <v>96.5</v>
      </c>
      <c r="E47" s="163" t="n">
        <v>29</v>
      </c>
      <c r="F47" s="161" t="n">
        <v>72.59999999999999</v>
      </c>
      <c r="G47" s="27" t="n">
        <v>22</v>
      </c>
      <c r="H47" s="164" t="n">
        <v>84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96A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호반써밋인천검단2차</t>
        </is>
      </c>
      <c r="B48" s="16" t="inlineStr">
        <is>
          <t>'22.05.</t>
        </is>
      </c>
      <c r="C48" s="164" t="n">
        <v>719</v>
      </c>
      <c r="D48" s="161" t="n">
        <v>97.2</v>
      </c>
      <c r="E48" s="163" t="n">
        <v>29</v>
      </c>
      <c r="F48" s="161" t="n">
        <v>72.7</v>
      </c>
      <c r="G48" s="27" t="n">
        <v>22</v>
      </c>
      <c r="H48" s="164" t="n">
        <v>84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97B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호반써밋인천검단2차</t>
        </is>
      </c>
      <c r="B49" s="16" t="inlineStr">
        <is>
          <t>'22.05.</t>
        </is>
      </c>
      <c r="C49" s="164" t="n">
        <v>719</v>
      </c>
      <c r="D49" s="161" t="n">
        <v>106.5</v>
      </c>
      <c r="E49" s="163" t="n">
        <v>32</v>
      </c>
      <c r="F49" s="161" t="n">
        <v>80.7</v>
      </c>
      <c r="G49" s="27" t="n">
        <v>24</v>
      </c>
      <c r="H49" s="164" t="n">
        <v>8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106A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호반써밋인천검단2차</t>
        </is>
      </c>
      <c r="B50" s="16" t="inlineStr">
        <is>
          <t>'22.05.</t>
        </is>
      </c>
      <c r="C50" s="164" t="n">
        <v>719</v>
      </c>
      <c r="D50" s="161" t="n">
        <v>107.3</v>
      </c>
      <c r="E50" s="163" t="n">
        <v>32</v>
      </c>
      <c r="F50" s="161" t="n">
        <v>80.90000000000001</v>
      </c>
      <c r="G50" s="27" t="n">
        <v>24</v>
      </c>
      <c r="H50" s="164" t="n">
        <v>8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107B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호반써밋인천검단2차</t>
        </is>
      </c>
      <c r="B51" s="16" t="inlineStr">
        <is>
          <t>'22.05.</t>
        </is>
      </c>
      <c r="C51" s="164" t="n">
        <v>719</v>
      </c>
      <c r="D51" s="161" t="n">
        <v>110.7</v>
      </c>
      <c r="E51" s="163" t="n">
        <v>33</v>
      </c>
      <c r="F51" s="161" t="n">
        <v>84.3</v>
      </c>
      <c r="G51" s="27" t="n">
        <v>25</v>
      </c>
      <c r="H51" s="164" t="n">
        <v>276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4</v>
      </c>
      <c r="R51" s="113" t="n">
        <v>2</v>
      </c>
      <c r="S51" s="113" t="inlineStr">
        <is>
          <t>계</t>
        </is>
      </c>
      <c r="T51" s="8" t="inlineStr">
        <is>
          <t>110A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호반써밋인천검단2차</t>
        </is>
      </c>
      <c r="B52" s="16" t="inlineStr">
        <is>
          <t>'22.05.</t>
        </is>
      </c>
      <c r="C52" s="164" t="n">
        <v>719</v>
      </c>
      <c r="D52" s="161" t="n">
        <v>110.9</v>
      </c>
      <c r="E52" s="163" t="n">
        <v>34</v>
      </c>
      <c r="F52" s="161" t="n">
        <v>84.09999999999999</v>
      </c>
      <c r="G52" s="27" t="n">
        <v>25</v>
      </c>
      <c r="H52" s="164" t="n">
        <v>46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110B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호반써밋인천검단2차</t>
        </is>
      </c>
      <c r="B53" s="16" t="inlineStr">
        <is>
          <t>'22.05.</t>
        </is>
      </c>
      <c r="C53" s="164" t="n">
        <v>719</v>
      </c>
      <c r="D53" s="161" t="n">
        <v>122.4</v>
      </c>
      <c r="E53" s="163" t="n">
        <v>37</v>
      </c>
      <c r="F53" s="161" t="n">
        <v>97.5</v>
      </c>
      <c r="G53" s="27" t="n">
        <v>29</v>
      </c>
      <c r="H53" s="164" t="n">
        <v>184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122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호반써밋인천검단2차</t>
        </is>
      </c>
      <c r="B54" s="16" t="inlineStr">
        <is>
          <t>'22.05.</t>
        </is>
      </c>
      <c r="C54" s="164" t="n">
        <v>719</v>
      </c>
      <c r="D54" s="161" t="n">
        <v>122.1</v>
      </c>
      <c r="E54" s="163" t="n">
        <v>37</v>
      </c>
      <c r="F54" s="161" t="n">
        <v>93.59999999999999</v>
      </c>
      <c r="G54" s="27" t="n">
        <v>28</v>
      </c>
      <c r="H54" s="164" t="n">
        <v>15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122A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호반써밋인천검단2차</t>
        </is>
      </c>
      <c r="B55" s="16" t="inlineStr">
        <is>
          <t>'22.05.</t>
        </is>
      </c>
      <c r="C55" s="164" t="n">
        <v>719</v>
      </c>
      <c r="D55" s="161" t="n">
        <v>122.3</v>
      </c>
      <c r="E55" s="163" t="n">
        <v>37</v>
      </c>
      <c r="F55" s="161" t="n">
        <v>93.5</v>
      </c>
      <c r="G55" s="27" t="n">
        <v>28</v>
      </c>
      <c r="H55" s="164" t="n">
        <v>4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122B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호반써밋인천검단2차</t>
        </is>
      </c>
      <c r="B56" s="16" t="inlineStr">
        <is>
          <t>'22.05.</t>
        </is>
      </c>
      <c r="C56" s="164" t="n">
        <v>719</v>
      </c>
      <c r="D56" s="161" t="n">
        <v>134.1</v>
      </c>
      <c r="E56" s="163" t="n">
        <v>41</v>
      </c>
      <c r="F56" s="161" t="n">
        <v>107.4</v>
      </c>
      <c r="G56" s="27" t="n">
        <v>33</v>
      </c>
      <c r="H56" s="164" t="n">
        <v>10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4</v>
      </c>
      <c r="R56" s="113" t="n">
        <v>2</v>
      </c>
      <c r="S56" s="113" t="inlineStr">
        <is>
          <t>계</t>
        </is>
      </c>
      <c r="T56" s="8" t="n">
        <v>134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n"/>
      <c r="B57" s="113" t="n"/>
      <c r="C57" s="10" t="n"/>
      <c r="D57" s="13" t="n"/>
      <c r="E57" s="20" t="n"/>
      <c r="F57" s="161" t="n"/>
      <c r="G57" s="13" t="n"/>
      <c r="H57" s="13" t="n"/>
      <c r="I57" s="13" t="n"/>
      <c r="J57" s="13" t="n"/>
      <c r="K57" s="13" t="n"/>
      <c r="L57" s="13" t="n"/>
      <c r="M57" s="13" t="n"/>
      <c r="N57" s="13" t="n"/>
      <c r="O57" s="162" t="n"/>
      <c r="P57" s="162" t="n"/>
      <c r="Q57" s="163" t="n"/>
      <c r="R57" s="163" t="n"/>
      <c r="S57" s="13" t="n"/>
      <c r="T57" s="70" t="n"/>
      <c r="U57" s="13" t="n"/>
      <c r="W57" s="107">
        <f>$A$4&amp;" "&amp;A58&amp;"("&amp;B58&amp;","&amp;C58&amp;"^)"</f>
        <v/>
      </c>
      <c r="X57" s="108" t="n"/>
      <c r="Y57" s="108" t="n"/>
      <c r="Z57" s="108" t="n"/>
      <c r="AA57" s="108" t="n"/>
      <c r="AB57" s="108" t="n"/>
      <c r="AC57" s="108" t="n"/>
      <c r="AD57" s="108" t="n"/>
      <c r="AE57" s="108" t="n"/>
      <c r="AF57" s="109" t="n"/>
      <c r="AH57" s="36">
        <f>IF(A57="","",A57)</f>
        <v/>
      </c>
      <c r="AI57" s="160">
        <f>IF(E57="","",E57)</f>
        <v/>
      </c>
      <c r="AJ57" s="113" t="n"/>
      <c r="AK57" s="113" t="n"/>
      <c r="AL57" s="113" t="n"/>
      <c r="AM57" s="113" t="n"/>
      <c r="AN57" s="113" t="n"/>
      <c r="AO57" s="113" t="n"/>
      <c r="AP57" s="113" t="n"/>
      <c r="AQ57" s="113" t="n"/>
      <c r="AR57" s="113" t="n"/>
      <c r="AS57" s="113" t="n"/>
      <c r="AT57" s="113" t="n"/>
      <c r="AU57" s="113" t="n"/>
      <c r="AV57" s="113" t="n"/>
    </row>
    <row r="58">
      <c r="A58" s="13" t="inlineStr">
        <is>
          <t>인천검단힐스테이트5차</t>
        </is>
      </c>
      <c r="B58" s="16" t="inlineStr">
        <is>
          <t>'13.02.</t>
        </is>
      </c>
      <c r="C58" s="164" t="n">
        <v>412</v>
      </c>
      <c r="D58" s="161" t="n">
        <v>106.8</v>
      </c>
      <c r="E58" s="163" t="n">
        <v>32</v>
      </c>
      <c r="F58" s="161" t="n">
        <v>85</v>
      </c>
      <c r="G58" s="27" t="n">
        <v>26</v>
      </c>
      <c r="H58" s="164" t="n">
        <v>112</v>
      </c>
      <c r="I58" s="165" t="n">
        <v>55000</v>
      </c>
      <c r="J58" s="165" t="inlineStr">
        <is>
          <t>고</t>
        </is>
      </c>
      <c r="K58" s="165" t="n">
        <v>36000</v>
      </c>
      <c r="L58" s="165" t="inlineStr">
        <is>
          <t>12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106C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인천검단힐스테이트5차</t>
        </is>
      </c>
      <c r="B59" s="16" t="inlineStr">
        <is>
          <t>'13.02.</t>
        </is>
      </c>
      <c r="C59" s="164" t="n">
        <v>412</v>
      </c>
      <c r="D59" s="161" t="n">
        <v>107</v>
      </c>
      <c r="E59" s="163" t="n">
        <v>32</v>
      </c>
      <c r="F59" s="161" t="n">
        <v>85</v>
      </c>
      <c r="G59" s="27" t="n">
        <v>26</v>
      </c>
      <c r="H59" s="164" t="n">
        <v>120</v>
      </c>
      <c r="I59" s="165" t="n">
        <v>52000</v>
      </c>
      <c r="J59" s="165" t="inlineStr">
        <is>
          <t>5</t>
        </is>
      </c>
      <c r="K59" s="165" t="n">
        <v>34000</v>
      </c>
      <c r="L59" s="165" t="inlineStr">
        <is>
          <t>고</t>
        </is>
      </c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107A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인천검단힐스테이트5차</t>
        </is>
      </c>
      <c r="B60" s="16" t="inlineStr">
        <is>
          <t>'13.02.</t>
        </is>
      </c>
      <c r="C60" s="164" t="n">
        <v>412</v>
      </c>
      <c r="D60" s="161" t="n">
        <v>108.5</v>
      </c>
      <c r="E60" s="163" t="n">
        <v>33</v>
      </c>
      <c r="F60" s="161" t="n">
        <v>85</v>
      </c>
      <c r="G60" s="27" t="n">
        <v>26</v>
      </c>
      <c r="H60" s="164" t="n">
        <v>60</v>
      </c>
      <c r="I60" s="165" t="n">
        <v>57000</v>
      </c>
      <c r="J60" s="165" t="inlineStr">
        <is>
          <t>5</t>
        </is>
      </c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108B</t>
        </is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인천검단힐스테이트5차</t>
        </is>
      </c>
      <c r="B61" s="16" t="inlineStr">
        <is>
          <t>'13.02.</t>
        </is>
      </c>
      <c r="C61" s="164" t="n">
        <v>412</v>
      </c>
      <c r="D61" s="161" t="n">
        <v>125.6</v>
      </c>
      <c r="E61" s="163" t="n">
        <v>38</v>
      </c>
      <c r="F61" s="161" t="n">
        <v>99.5</v>
      </c>
      <c r="G61" s="27" t="n">
        <v>30</v>
      </c>
      <c r="H61" s="164" t="n">
        <v>120</v>
      </c>
      <c r="I61" s="165" t="n">
        <v>63000</v>
      </c>
      <c r="J61" s="165" t="inlineStr">
        <is>
          <t>12</t>
        </is>
      </c>
      <c r="K61" s="165" t="n">
        <v>39000</v>
      </c>
      <c r="L61" s="165" t="inlineStr">
        <is>
          <t>7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n">
        <v>125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n"/>
      <c r="B62" s="113" t="n"/>
      <c r="C62" s="10" t="n"/>
      <c r="D62" s="13" t="n"/>
      <c r="E62" s="20" t="n"/>
      <c r="F62" s="161" t="n"/>
      <c r="G62" s="13" t="n"/>
      <c r="H62" s="13" t="n"/>
      <c r="I62" s="13" t="n"/>
      <c r="J62" s="13" t="n"/>
      <c r="K62" s="13" t="n"/>
      <c r="L62" s="13" t="n"/>
      <c r="M62" s="13" t="n"/>
      <c r="N62" s="13" t="n"/>
      <c r="O62" s="162" t="n"/>
      <c r="P62" s="162" t="n"/>
      <c r="Q62" s="163" t="n"/>
      <c r="R62" s="163" t="n"/>
      <c r="S62" s="13" t="n"/>
      <c r="T62" s="70" t="n"/>
      <c r="U62" s="13" t="n"/>
      <c r="W62" s="107">
        <f>$A$4&amp;" "&amp;A63&amp;"("&amp;B63&amp;","&amp;C63&amp;"^)"</f>
        <v/>
      </c>
      <c r="X62" s="108" t="n"/>
      <c r="Y62" s="108" t="n"/>
      <c r="Z62" s="108" t="n"/>
      <c r="AA62" s="108" t="n"/>
      <c r="AB62" s="108" t="n"/>
      <c r="AC62" s="108" t="n"/>
      <c r="AD62" s="108" t="n"/>
      <c r="AE62" s="108" t="n"/>
      <c r="AF62" s="109" t="n"/>
      <c r="AH62" s="36">
        <f>IF(A62="","",A62)</f>
        <v/>
      </c>
      <c r="AI62" s="160">
        <f>IF(E62="","",E62)</f>
        <v/>
      </c>
      <c r="AJ62" s="113" t="n"/>
      <c r="AK62" s="113" t="n"/>
      <c r="AL62" s="113" t="n"/>
      <c r="AM62" s="113" t="n"/>
      <c r="AN62" s="113" t="n"/>
      <c r="AO62" s="113" t="n"/>
      <c r="AP62" s="113" t="n"/>
      <c r="AQ62" s="113" t="n"/>
      <c r="AR62" s="113" t="n"/>
      <c r="AS62" s="113" t="n"/>
      <c r="AT62" s="113" t="n"/>
      <c r="AU62" s="113" t="n"/>
      <c r="AV62" s="113" t="n"/>
    </row>
    <row r="63">
      <c r="A63" s="13" t="inlineStr">
        <is>
          <t>검단신도시우미린파크뷰2단지</t>
        </is>
      </c>
      <c r="B63" s="16" t="inlineStr">
        <is>
          <t>'23.07.</t>
        </is>
      </c>
      <c r="C63" s="164" t="n">
        <v>810</v>
      </c>
      <c r="D63" s="161" t="n">
        <v>82.3</v>
      </c>
      <c r="E63" s="163" t="n">
        <v>25</v>
      </c>
      <c r="F63" s="161" t="n">
        <v>59.9</v>
      </c>
      <c r="G63" s="27" t="n">
        <v>18</v>
      </c>
      <c r="H63" s="164" t="n">
        <v>375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82A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검단신도시우미린파크뷰2단지</t>
        </is>
      </c>
      <c r="B64" s="16" t="inlineStr">
        <is>
          <t>'23.07.</t>
        </is>
      </c>
      <c r="C64" s="164" t="n">
        <v>810</v>
      </c>
      <c r="D64" s="161" t="n">
        <v>82.2</v>
      </c>
      <c r="E64" s="163" t="n">
        <v>25</v>
      </c>
      <c r="F64" s="161" t="n">
        <v>59.8</v>
      </c>
      <c r="G64" s="27" t="n">
        <v>18</v>
      </c>
      <c r="H64" s="164" t="n">
        <v>170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82B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검단신도시우미린파크뷰2단지</t>
        </is>
      </c>
      <c r="B65" s="16" t="inlineStr">
        <is>
          <t>'23.07.</t>
        </is>
      </c>
      <c r="C65" s="164" t="n">
        <v>810</v>
      </c>
      <c r="D65" s="161" t="n">
        <v>114.7</v>
      </c>
      <c r="E65" s="163" t="n">
        <v>35</v>
      </c>
      <c r="F65" s="161" t="n">
        <v>84.90000000000001</v>
      </c>
      <c r="G65" s="27" t="n">
        <v>26</v>
      </c>
      <c r="H65" s="164" t="n">
        <v>265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n">
        <v>114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n"/>
      <c r="B66" s="113" t="n"/>
      <c r="C66" s="10" t="n"/>
      <c r="D66" s="13" t="n"/>
      <c r="E66" s="20" t="n"/>
      <c r="F66" s="161" t="n"/>
      <c r="G66" s="13" t="n"/>
      <c r="H66" s="13" t="n"/>
      <c r="I66" s="13" t="n"/>
      <c r="J66" s="13" t="n"/>
      <c r="K66" s="13" t="n"/>
      <c r="L66" s="13" t="n"/>
      <c r="M66" s="13" t="n"/>
      <c r="N66" s="13" t="n"/>
      <c r="O66" s="162" t="n"/>
      <c r="P66" s="162" t="n"/>
      <c r="Q66" s="163" t="n"/>
      <c r="R66" s="163" t="n"/>
      <c r="S66" s="13" t="n"/>
      <c r="T66" s="70" t="n"/>
      <c r="U66" s="13" t="n"/>
      <c r="W66" s="107">
        <f>$A$4&amp;" "&amp;A67&amp;"("&amp;B67&amp;","&amp;C67&amp;"^)"</f>
        <v/>
      </c>
      <c r="X66" s="108" t="n"/>
      <c r="Y66" s="108" t="n"/>
      <c r="Z66" s="108" t="n"/>
      <c r="AA66" s="108" t="n"/>
      <c r="AB66" s="108" t="n"/>
      <c r="AC66" s="108" t="n"/>
      <c r="AD66" s="108" t="n"/>
      <c r="AE66" s="108" t="n"/>
      <c r="AF66" s="109" t="n"/>
      <c r="AH66" s="36">
        <f>IF(A66="","",A66)</f>
        <v/>
      </c>
      <c r="AI66" s="160">
        <f>IF(E66="","",E66)</f>
        <v/>
      </c>
      <c r="AJ66" s="113" t="n"/>
      <c r="AK66" s="113" t="n"/>
      <c r="AL66" s="113" t="n"/>
      <c r="AM66" s="113" t="n"/>
      <c r="AN66" s="113" t="n"/>
      <c r="AO66" s="113" t="n"/>
      <c r="AP66" s="113" t="n"/>
      <c r="AQ66" s="113" t="n"/>
      <c r="AR66" s="113" t="n"/>
      <c r="AS66" s="113" t="n"/>
      <c r="AT66" s="113" t="n"/>
      <c r="AU66" s="113" t="n"/>
      <c r="AV66" s="113" t="n"/>
    </row>
    <row r="67">
      <c r="A67" s="13" t="inlineStr">
        <is>
          <t>검단파라곤센트럴파크</t>
        </is>
      </c>
      <c r="B67" s="16" t="inlineStr">
        <is>
          <t>'22.06.</t>
        </is>
      </c>
      <c r="C67" s="164" t="n">
        <v>1122</v>
      </c>
      <c r="D67" s="161" t="n">
        <v>111.3</v>
      </c>
      <c r="E67" s="163" t="n">
        <v>34</v>
      </c>
      <c r="F67" s="161" t="n">
        <v>85</v>
      </c>
      <c r="G67" s="27" t="n">
        <v>26</v>
      </c>
      <c r="H67" s="164" t="n">
        <v>582</v>
      </c>
      <c r="I67" s="165" t="n"/>
      <c r="J67" s="165" t="n"/>
      <c r="K67" s="165" t="n">
        <v>28000</v>
      </c>
      <c r="L67" s="165" t="inlineStr">
        <is>
          <t>13</t>
        </is>
      </c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111A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검단파라곤센트럴파크</t>
        </is>
      </c>
      <c r="B68" s="16" t="inlineStr">
        <is>
          <t>'22.06.</t>
        </is>
      </c>
      <c r="C68" s="164" t="n">
        <v>1122</v>
      </c>
      <c r="D68" s="161" t="n">
        <v>111.4</v>
      </c>
      <c r="E68" s="163" t="n">
        <v>34</v>
      </c>
      <c r="F68" s="161" t="n">
        <v>85</v>
      </c>
      <c r="G68" s="27" t="n">
        <v>26</v>
      </c>
      <c r="H68" s="164" t="n">
        <v>540</v>
      </c>
      <c r="I68" s="165" t="n"/>
      <c r="J68" s="165" t="n"/>
      <c r="K68" s="165" t="n">
        <v>29000</v>
      </c>
      <c r="L68" s="165" t="inlineStr">
        <is>
          <t>중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111B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n"/>
      <c r="B69" s="113" t="n"/>
      <c r="C69" s="10" t="n"/>
      <c r="D69" s="13" t="n"/>
      <c r="E69" s="20" t="n"/>
      <c r="F69" s="161" t="n"/>
      <c r="G69" s="13" t="n"/>
      <c r="H69" s="13" t="n"/>
      <c r="I69" s="13" t="n"/>
      <c r="J69" s="13" t="n"/>
      <c r="K69" s="13" t="n"/>
      <c r="L69" s="13" t="n"/>
      <c r="M69" s="13" t="n"/>
      <c r="N69" s="13" t="n"/>
      <c r="O69" s="162" t="n"/>
      <c r="P69" s="162" t="n"/>
      <c r="Q69" s="163" t="n"/>
      <c r="R69" s="163" t="n"/>
      <c r="S69" s="13" t="n"/>
      <c r="T69" s="70" t="n"/>
      <c r="U69" s="13" t="n"/>
      <c r="W69" s="107">
        <f>$A$4&amp;" "&amp;A70&amp;"("&amp;B70&amp;","&amp;C70&amp;"^)"</f>
        <v/>
      </c>
      <c r="X69" s="108" t="n"/>
      <c r="Y69" s="108" t="n"/>
      <c r="Z69" s="108" t="n"/>
      <c r="AA69" s="108" t="n"/>
      <c r="AB69" s="108" t="n"/>
      <c r="AC69" s="108" t="n"/>
      <c r="AD69" s="108" t="n"/>
      <c r="AE69" s="108" t="n"/>
      <c r="AF69" s="109" t="n"/>
      <c r="AH69" s="36">
        <f>IF(A69="","",A69)</f>
        <v/>
      </c>
      <c r="AI69" s="160">
        <f>IF(E69="","",E69)</f>
        <v/>
      </c>
      <c r="AJ69" s="113" t="n"/>
      <c r="AK69" s="113" t="n"/>
      <c r="AL69" s="113" t="n"/>
      <c r="AM69" s="113" t="n"/>
      <c r="AN69" s="113" t="n"/>
      <c r="AO69" s="113" t="n"/>
      <c r="AP69" s="113" t="n"/>
      <c r="AQ69" s="113" t="n"/>
      <c r="AR69" s="113" t="n"/>
      <c r="AS69" s="113" t="n"/>
      <c r="AT69" s="113" t="n"/>
      <c r="AU69" s="113" t="n"/>
      <c r="AV69" s="113" t="n"/>
    </row>
    <row r="70">
      <c r="A70" s="13" t="inlineStr">
        <is>
          <t>인천당하대주파크빌</t>
        </is>
      </c>
      <c r="B70" s="16" t="inlineStr">
        <is>
          <t>'06.01.</t>
        </is>
      </c>
      <c r="C70" s="164" t="n">
        <v>276</v>
      </c>
      <c r="D70" s="161" t="n">
        <v>118.7</v>
      </c>
      <c r="E70" s="163" t="n">
        <v>36</v>
      </c>
      <c r="F70" s="161" t="n">
        <v>84.59999999999999</v>
      </c>
      <c r="G70" s="27" t="n">
        <v>26</v>
      </c>
      <c r="H70" s="164" t="n">
        <v>80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n">
        <v>118</v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인천당하대주파크빌</t>
        </is>
      </c>
      <c r="B71" s="16" t="inlineStr">
        <is>
          <t>'06.01.</t>
        </is>
      </c>
      <c r="C71" s="164" t="n">
        <v>276</v>
      </c>
      <c r="D71" s="161" t="n">
        <v>123</v>
      </c>
      <c r="E71" s="163" t="n">
        <v>37</v>
      </c>
      <c r="F71" s="161" t="n">
        <v>84.8</v>
      </c>
      <c r="G71" s="27" t="n">
        <v>26</v>
      </c>
      <c r="H71" s="164" t="n">
        <v>196</v>
      </c>
      <c r="I71" s="165" t="n"/>
      <c r="J71" s="165" t="n"/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n">
        <v>123</v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n"/>
      <c r="B72" s="113" t="n"/>
      <c r="C72" s="10" t="n"/>
      <c r="D72" s="13" t="n"/>
      <c r="E72" s="20" t="n"/>
      <c r="F72" s="161" t="n"/>
      <c r="G72" s="13" t="n"/>
      <c r="H72" s="13" t="n"/>
      <c r="I72" s="13" t="n"/>
      <c r="J72" s="13" t="n"/>
      <c r="K72" s="13" t="n"/>
      <c r="L72" s="13" t="n"/>
      <c r="M72" s="13" t="n"/>
      <c r="N72" s="13" t="n"/>
      <c r="O72" s="162" t="n"/>
      <c r="P72" s="162" t="n"/>
      <c r="Q72" s="163" t="n"/>
      <c r="R72" s="163" t="n"/>
      <c r="S72" s="13" t="n"/>
      <c r="T72" s="70" t="n"/>
      <c r="U72" s="13" t="n"/>
      <c r="W72" s="107">
        <f>$A$4&amp;" "&amp;A73&amp;"("&amp;B73&amp;","&amp;C73&amp;"^)"</f>
        <v/>
      </c>
      <c r="X72" s="108" t="n"/>
      <c r="Y72" s="108" t="n"/>
      <c r="Z72" s="108" t="n"/>
      <c r="AA72" s="108" t="n"/>
      <c r="AB72" s="108" t="n"/>
      <c r="AC72" s="108" t="n"/>
      <c r="AD72" s="108" t="n"/>
      <c r="AE72" s="108" t="n"/>
      <c r="AF72" s="109" t="n"/>
      <c r="AH72" s="36">
        <f>IF(A72="","",A72)</f>
        <v/>
      </c>
      <c r="AI72" s="160">
        <f>IF(E72="","",E72)</f>
        <v/>
      </c>
      <c r="AJ72" s="113" t="n"/>
      <c r="AK72" s="113" t="n"/>
      <c r="AL72" s="113" t="n"/>
      <c r="AM72" s="113" t="n"/>
      <c r="AN72" s="113" t="n"/>
      <c r="AO72" s="113" t="n"/>
      <c r="AP72" s="113" t="n"/>
      <c r="AQ72" s="113" t="n"/>
      <c r="AR72" s="113" t="n"/>
      <c r="AS72" s="113" t="n"/>
      <c r="AT72" s="113" t="n"/>
      <c r="AU72" s="113" t="n"/>
      <c r="AV72" s="113" t="n"/>
    </row>
    <row r="73">
      <c r="A73" s="13" t="inlineStr">
        <is>
          <t>태평</t>
        </is>
      </c>
      <c r="B73" s="16" t="inlineStr">
        <is>
          <t>'99.06.</t>
        </is>
      </c>
      <c r="C73" s="164" t="n">
        <v>528</v>
      </c>
      <c r="D73" s="161" t="n">
        <v>82</v>
      </c>
      <c r="E73" s="163" t="n">
        <v>25</v>
      </c>
      <c r="F73" s="161" t="n">
        <v>60</v>
      </c>
      <c r="G73" s="27" t="n">
        <v>18</v>
      </c>
      <c r="H73" s="164" t="n">
        <v>384</v>
      </c>
      <c r="I73" s="165" t="n">
        <v>32000</v>
      </c>
      <c r="J73" s="165" t="inlineStr">
        <is>
          <t>17</t>
        </is>
      </c>
      <c r="K73" s="165" t="n">
        <v>21000</v>
      </c>
      <c r="L73" s="165" t="inlineStr">
        <is>
          <t>고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1</v>
      </c>
      <c r="S73" s="113" t="inlineStr">
        <is>
          <t>계</t>
        </is>
      </c>
      <c r="T73" s="8" t="inlineStr">
        <is>
          <t>81A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태평</t>
        </is>
      </c>
      <c r="B74" s="16" t="inlineStr">
        <is>
          <t>'99.06.</t>
        </is>
      </c>
      <c r="C74" s="164" t="n">
        <v>528</v>
      </c>
      <c r="D74" s="161" t="n">
        <v>82</v>
      </c>
      <c r="E74" s="163" t="n">
        <v>25</v>
      </c>
      <c r="F74" s="161" t="n">
        <v>60</v>
      </c>
      <c r="G74" s="27" t="n">
        <v>18</v>
      </c>
      <c r="H74" s="164" t="n">
        <v>144</v>
      </c>
      <c r="I74" s="165" t="n">
        <v>32000</v>
      </c>
      <c r="J74" s="165" t="inlineStr">
        <is>
          <t>17</t>
        </is>
      </c>
      <c r="K74" s="165" t="n">
        <v>21000</v>
      </c>
      <c r="L74" s="165" t="inlineStr">
        <is>
          <t>고</t>
        </is>
      </c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2</v>
      </c>
      <c r="R74" s="113" t="n">
        <v>1</v>
      </c>
      <c r="S74" s="113" t="inlineStr">
        <is>
          <t>계</t>
        </is>
      </c>
      <c r="T74" s="8" t="inlineStr">
        <is>
          <t>82B</t>
        </is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n"/>
      <c r="B75" s="113" t="n"/>
      <c r="C75" s="10" t="n"/>
      <c r="D75" s="13" t="n"/>
      <c r="E75" s="20" t="n"/>
      <c r="F75" s="161" t="n"/>
      <c r="G75" s="13" t="n"/>
      <c r="H75" s="13" t="n"/>
      <c r="I75" s="13" t="n"/>
      <c r="J75" s="13" t="n"/>
      <c r="K75" s="13" t="n"/>
      <c r="L75" s="13" t="n"/>
      <c r="M75" s="13" t="n"/>
      <c r="N75" s="13" t="n"/>
      <c r="O75" s="162" t="n"/>
      <c r="P75" s="162" t="n"/>
      <c r="Q75" s="163" t="n"/>
      <c r="R75" s="163" t="n"/>
      <c r="S75" s="13" t="n"/>
      <c r="T75" s="70" t="n"/>
      <c r="U75" s="13" t="n"/>
      <c r="W75" s="107">
        <f>$A$4&amp;" "&amp;A76&amp;"("&amp;B76&amp;","&amp;C76&amp;"^)"</f>
        <v/>
      </c>
      <c r="X75" s="108" t="n"/>
      <c r="Y75" s="108" t="n"/>
      <c r="Z75" s="108" t="n"/>
      <c r="AA75" s="108" t="n"/>
      <c r="AB75" s="108" t="n"/>
      <c r="AC75" s="108" t="n"/>
      <c r="AD75" s="108" t="n"/>
      <c r="AE75" s="108" t="n"/>
      <c r="AF75" s="109" t="n"/>
      <c r="AH75" s="36">
        <f>IF(A75="","",A75)</f>
        <v/>
      </c>
      <c r="AI75" s="160">
        <f>IF(E75="","",E75)</f>
        <v/>
      </c>
      <c r="AJ75" s="113" t="n"/>
      <c r="AK75" s="113" t="n"/>
      <c r="AL75" s="113" t="n"/>
      <c r="AM75" s="113" t="n"/>
      <c r="AN75" s="113" t="n"/>
      <c r="AO75" s="113" t="n"/>
      <c r="AP75" s="113" t="n"/>
      <c r="AQ75" s="113" t="n"/>
      <c r="AR75" s="113" t="n"/>
      <c r="AS75" s="113" t="n"/>
      <c r="AT75" s="113" t="n"/>
      <c r="AU75" s="113" t="n"/>
      <c r="AV75" s="113" t="n"/>
    </row>
    <row r="76">
      <c r="A76" s="13" t="inlineStr">
        <is>
          <t>동문굿모닝힐</t>
        </is>
      </c>
      <c r="B76" s="16" t="inlineStr">
        <is>
          <t>'04.12.</t>
        </is>
      </c>
      <c r="C76" s="164" t="n">
        <v>434</v>
      </c>
      <c r="D76" s="161" t="n">
        <v>95.3</v>
      </c>
      <c r="E76" s="163" t="n">
        <v>29</v>
      </c>
      <c r="F76" s="161" t="n">
        <v>74.09999999999999</v>
      </c>
      <c r="G76" s="27" t="n">
        <v>22</v>
      </c>
      <c r="H76" s="164" t="n">
        <v>30</v>
      </c>
      <c r="I76" s="165" t="n">
        <v>35000</v>
      </c>
      <c r="J76" s="165" t="inlineStr">
        <is>
          <t>10</t>
        </is>
      </c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n">
        <v>95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동문굿모닝힐</t>
        </is>
      </c>
      <c r="B77" s="16" t="inlineStr">
        <is>
          <t>'04.12.</t>
        </is>
      </c>
      <c r="C77" s="164" t="n">
        <v>434</v>
      </c>
      <c r="D77" s="161" t="n">
        <v>107.3</v>
      </c>
      <c r="E77" s="163" t="n">
        <v>32</v>
      </c>
      <c r="F77" s="161" t="n">
        <v>85</v>
      </c>
      <c r="G77" s="27" t="n">
        <v>26</v>
      </c>
      <c r="H77" s="164" t="n">
        <v>404</v>
      </c>
      <c r="I77" s="165" t="n"/>
      <c r="J77" s="165" t="n"/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n">
        <v>107</v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n"/>
      <c r="B78" s="113" t="n"/>
      <c r="C78" s="10" t="n"/>
      <c r="D78" s="13" t="n"/>
      <c r="E78" s="20" t="n"/>
      <c r="F78" s="161" t="n"/>
      <c r="G78" s="13" t="n"/>
      <c r="H78" s="13" t="n"/>
      <c r="I78" s="13" t="n"/>
      <c r="J78" s="13" t="n"/>
      <c r="K78" s="13" t="n"/>
      <c r="L78" s="13" t="n"/>
      <c r="M78" s="13" t="n"/>
      <c r="N78" s="13" t="n"/>
      <c r="O78" s="162" t="n"/>
      <c r="P78" s="162" t="n"/>
      <c r="Q78" s="163" t="n"/>
      <c r="R78" s="163" t="n"/>
      <c r="S78" s="13" t="n"/>
      <c r="T78" s="70" t="n"/>
      <c r="U78" s="13" t="n"/>
      <c r="W78" s="107">
        <f>$A$4&amp;" "&amp;A79&amp;"("&amp;B79&amp;","&amp;C79&amp;"^)"</f>
        <v/>
      </c>
      <c r="X78" s="108" t="n"/>
      <c r="Y78" s="108" t="n"/>
      <c r="Z78" s="108" t="n"/>
      <c r="AA78" s="108" t="n"/>
      <c r="AB78" s="108" t="n"/>
      <c r="AC78" s="108" t="n"/>
      <c r="AD78" s="108" t="n"/>
      <c r="AE78" s="108" t="n"/>
      <c r="AF78" s="109" t="n"/>
      <c r="AH78" s="36">
        <f>IF(A78="","",A78)</f>
        <v/>
      </c>
      <c r="AI78" s="160">
        <f>IF(E78="","",E78)</f>
        <v/>
      </c>
      <c r="AJ78" s="113" t="n"/>
      <c r="AK78" s="113" t="n"/>
      <c r="AL78" s="113" t="n"/>
      <c r="AM78" s="113" t="n"/>
      <c r="AN78" s="113" t="n"/>
      <c r="AO78" s="113" t="n"/>
      <c r="AP78" s="113" t="n"/>
      <c r="AQ78" s="113" t="n"/>
      <c r="AR78" s="113" t="n"/>
      <c r="AS78" s="113" t="n"/>
      <c r="AT78" s="113" t="n"/>
      <c r="AU78" s="113" t="n"/>
      <c r="AV78" s="113" t="n"/>
    </row>
    <row r="79">
      <c r="A79" s="13" t="inlineStr">
        <is>
          <t>검단신도시유승한내들에듀파크</t>
        </is>
      </c>
      <c r="B79" s="16" t="inlineStr">
        <is>
          <t>'21.09.</t>
        </is>
      </c>
      <c r="C79" s="164" t="n">
        <v>938</v>
      </c>
      <c r="D79" s="161" t="n">
        <v>109.4</v>
      </c>
      <c r="E79" s="163" t="n">
        <v>33</v>
      </c>
      <c r="F79" s="161" t="n">
        <v>84.2</v>
      </c>
      <c r="G79" s="27" t="n">
        <v>25</v>
      </c>
      <c r="H79" s="164" t="n">
        <v>475</v>
      </c>
      <c r="I79" s="165" t="n">
        <v>76000</v>
      </c>
      <c r="J79" s="165" t="inlineStr">
        <is>
          <t>고</t>
        </is>
      </c>
      <c r="K79" s="165" t="n">
        <v>35000</v>
      </c>
      <c r="L79" s="165" t="inlineStr">
        <is>
          <t>12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109A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검단신도시유승한내들에듀파크</t>
        </is>
      </c>
      <c r="B80" s="16" t="inlineStr">
        <is>
          <t>'21.09.</t>
        </is>
      </c>
      <c r="C80" s="164" t="n">
        <v>938</v>
      </c>
      <c r="D80" s="161" t="n">
        <v>109.3</v>
      </c>
      <c r="E80" s="163" t="n">
        <v>33</v>
      </c>
      <c r="F80" s="161" t="n">
        <v>84.90000000000001</v>
      </c>
      <c r="G80" s="27" t="n">
        <v>26</v>
      </c>
      <c r="H80" s="164" t="n">
        <v>138</v>
      </c>
      <c r="I80" s="165" t="n"/>
      <c r="J80" s="165" t="n"/>
      <c r="K80" s="165" t="n">
        <v>35000</v>
      </c>
      <c r="L80" s="165" t="inlineStr">
        <is>
          <t>20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109C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검단신도시유승한내들에듀파크</t>
        </is>
      </c>
      <c r="B81" s="16" t="inlineStr">
        <is>
          <t>'21.09.</t>
        </is>
      </c>
      <c r="C81" s="164" t="n">
        <v>938</v>
      </c>
      <c r="D81" s="161" t="n">
        <v>109.1</v>
      </c>
      <c r="E81" s="163" t="n">
        <v>33</v>
      </c>
      <c r="F81" s="161" t="n">
        <v>84.5</v>
      </c>
      <c r="G81" s="27" t="n">
        <v>26</v>
      </c>
      <c r="H81" s="164" t="n">
        <v>115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inlineStr">
        <is>
          <t>109B</t>
        </is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검단신도시유승한내들에듀파크</t>
        </is>
      </c>
      <c r="B82" s="16" t="inlineStr">
        <is>
          <t>'21.09.</t>
        </is>
      </c>
      <c r="C82" s="164" t="n">
        <v>938</v>
      </c>
      <c r="D82" s="161" t="n">
        <v>119.3</v>
      </c>
      <c r="E82" s="163" t="n">
        <v>36</v>
      </c>
      <c r="F82" s="161" t="n">
        <v>92.2</v>
      </c>
      <c r="G82" s="27" t="n">
        <v>28</v>
      </c>
      <c r="H82" s="164" t="n">
        <v>192</v>
      </c>
      <c r="I82" s="165" t="n">
        <v>75000</v>
      </c>
      <c r="J82" s="165" t="inlineStr">
        <is>
          <t>중</t>
        </is>
      </c>
      <c r="K82" s="165" t="n">
        <v>25000</v>
      </c>
      <c r="L82" s="165" t="inlineStr">
        <is>
          <t>13</t>
        </is>
      </c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119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검단신도시유승한내들에듀파크</t>
        </is>
      </c>
      <c r="B83" s="16" t="inlineStr">
        <is>
          <t>'21.09.</t>
        </is>
      </c>
      <c r="C83" s="164" t="n">
        <v>938</v>
      </c>
      <c r="D83" s="161" t="n">
        <v>121.8</v>
      </c>
      <c r="E83" s="163" t="n">
        <v>37</v>
      </c>
      <c r="F83" s="161" t="n">
        <v>95</v>
      </c>
      <c r="G83" s="27" t="n">
        <v>29</v>
      </c>
      <c r="H83" s="164" t="n">
        <v>6</v>
      </c>
      <c r="I83" s="165" t="n"/>
      <c r="J83" s="165" t="n"/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inlineStr">
        <is>
          <t>121B</t>
        </is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검단신도시유승한내들에듀파크</t>
        </is>
      </c>
      <c r="B84" s="16" t="inlineStr">
        <is>
          <t>'21.09.</t>
        </is>
      </c>
      <c r="C84" s="164" t="n">
        <v>938</v>
      </c>
      <c r="D84" s="161" t="n">
        <v>121.9</v>
      </c>
      <c r="E84" s="163" t="n">
        <v>37</v>
      </c>
      <c r="F84" s="161" t="n">
        <v>94.2</v>
      </c>
      <c r="G84" s="27" t="n">
        <v>28</v>
      </c>
      <c r="H84" s="164" t="n">
        <v>3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121A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검단신도시유승한내들에듀파크</t>
        </is>
      </c>
      <c r="B85" s="16" t="inlineStr">
        <is>
          <t>'21.09.</t>
        </is>
      </c>
      <c r="C85" s="164" t="n">
        <v>938</v>
      </c>
      <c r="D85" s="161" t="n">
        <v>136.7</v>
      </c>
      <c r="E85" s="163" t="n">
        <v>41</v>
      </c>
      <c r="F85" s="161" t="n">
        <v>107.3</v>
      </c>
      <c r="G85" s="27" t="n">
        <v>32</v>
      </c>
      <c r="H85" s="164" t="n">
        <v>6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136B</t>
        </is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검단신도시유승한내들에듀파크</t>
        </is>
      </c>
      <c r="B86" s="16" t="inlineStr">
        <is>
          <t>'21.09.</t>
        </is>
      </c>
      <c r="C86" s="164" t="n">
        <v>938</v>
      </c>
      <c r="D86" s="161" t="n">
        <v>137.5</v>
      </c>
      <c r="E86" s="163" t="n">
        <v>42</v>
      </c>
      <c r="F86" s="161" t="n">
        <v>107.2</v>
      </c>
      <c r="G86" s="27" t="n">
        <v>32</v>
      </c>
      <c r="H86" s="164" t="n">
        <v>3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137A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n"/>
      <c r="B87" s="113" t="n"/>
      <c r="C87" s="10" t="n"/>
      <c r="D87" s="13" t="n"/>
      <c r="E87" s="20" t="n"/>
      <c r="F87" s="161" t="n"/>
      <c r="G87" s="13" t="n"/>
      <c r="H87" s="13" t="n"/>
      <c r="I87" s="13" t="n"/>
      <c r="J87" s="13" t="n"/>
      <c r="K87" s="13" t="n"/>
      <c r="L87" s="13" t="n"/>
      <c r="M87" s="13" t="n"/>
      <c r="N87" s="13" t="n"/>
      <c r="O87" s="162" t="n"/>
      <c r="P87" s="162" t="n"/>
      <c r="Q87" s="163" t="n"/>
      <c r="R87" s="163" t="n"/>
      <c r="S87" s="13" t="n"/>
      <c r="T87" s="70" t="n"/>
      <c r="U87" s="13" t="n"/>
      <c r="W87" s="107">
        <f>$A$4&amp;" "&amp;A88&amp;"("&amp;B88&amp;","&amp;C88&amp;"^)"</f>
        <v/>
      </c>
      <c r="X87" s="108" t="n"/>
      <c r="Y87" s="108" t="n"/>
      <c r="Z87" s="108" t="n"/>
      <c r="AA87" s="108" t="n"/>
      <c r="AB87" s="108" t="n"/>
      <c r="AC87" s="108" t="n"/>
      <c r="AD87" s="108" t="n"/>
      <c r="AE87" s="108" t="n"/>
      <c r="AF87" s="109" t="n"/>
      <c r="AH87" s="36">
        <f>IF(A87="","",A87)</f>
        <v/>
      </c>
      <c r="AI87" s="160">
        <f>IF(E87="","",E87)</f>
        <v/>
      </c>
      <c r="AJ87" s="113" t="n"/>
      <c r="AK87" s="113" t="n"/>
      <c r="AL87" s="113" t="n"/>
      <c r="AM87" s="113" t="n"/>
      <c r="AN87" s="113" t="n"/>
      <c r="AO87" s="113" t="n"/>
      <c r="AP87" s="113" t="n"/>
      <c r="AQ87" s="113" t="n"/>
      <c r="AR87" s="113" t="n"/>
      <c r="AS87" s="113" t="n"/>
      <c r="AT87" s="113" t="n"/>
      <c r="AU87" s="113" t="n"/>
      <c r="AV87" s="113" t="n"/>
    </row>
    <row r="88">
      <c r="A88" s="13" t="inlineStr">
        <is>
          <t>풍림아이원1차</t>
        </is>
      </c>
      <c r="B88" s="16" t="inlineStr">
        <is>
          <t>'04.04.</t>
        </is>
      </c>
      <c r="C88" s="164" t="n">
        <v>442</v>
      </c>
      <c r="D88" s="161" t="n">
        <v>87.59999999999999</v>
      </c>
      <c r="E88" s="163" t="n">
        <v>27</v>
      </c>
      <c r="F88" s="161" t="n">
        <v>60</v>
      </c>
      <c r="G88" s="27" t="n">
        <v>18</v>
      </c>
      <c r="H88" s="164" t="n">
        <v>188</v>
      </c>
      <c r="I88" s="165" t="n">
        <v>33000</v>
      </c>
      <c r="J88" s="165" t="inlineStr">
        <is>
          <t>12</t>
        </is>
      </c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n">
        <v>87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풍림아이원1차</t>
        </is>
      </c>
      <c r="B89" s="16" t="inlineStr">
        <is>
          <t>'04.04.</t>
        </is>
      </c>
      <c r="C89" s="164" t="n">
        <v>442</v>
      </c>
      <c r="D89" s="161" t="n">
        <v>111.3</v>
      </c>
      <c r="E89" s="163" t="n">
        <v>34</v>
      </c>
      <c r="F89" s="161" t="n">
        <v>84.8</v>
      </c>
      <c r="G89" s="27" t="n">
        <v>26</v>
      </c>
      <c r="H89" s="164" t="n">
        <v>254</v>
      </c>
      <c r="I89" s="165" t="n">
        <v>39000</v>
      </c>
      <c r="J89" s="165" t="inlineStr">
        <is>
          <t>5</t>
        </is>
      </c>
      <c r="K89" s="165" t="n">
        <v>29000</v>
      </c>
      <c r="L89" s="165" t="inlineStr">
        <is>
          <t>고</t>
        </is>
      </c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n">
        <v>111</v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n"/>
      <c r="B90" s="113" t="n"/>
      <c r="C90" s="10" t="n"/>
      <c r="D90" s="13" t="n"/>
      <c r="E90" s="20" t="n"/>
      <c r="F90" s="161" t="n"/>
      <c r="G90" s="13" t="n"/>
      <c r="H90" s="13" t="n"/>
      <c r="I90" s="13" t="n"/>
      <c r="J90" s="13" t="n"/>
      <c r="K90" s="13" t="n"/>
      <c r="L90" s="13" t="n"/>
      <c r="M90" s="13" t="n"/>
      <c r="N90" s="13" t="n"/>
      <c r="O90" s="162" t="n"/>
      <c r="P90" s="162" t="n"/>
      <c r="Q90" s="163" t="n"/>
      <c r="R90" s="163" t="n"/>
      <c r="S90" s="13" t="n"/>
      <c r="T90" s="70" t="n"/>
      <c r="U90" s="13" t="n"/>
      <c r="W90" s="107">
        <f>$A$4&amp;" "&amp;A91&amp;"("&amp;B91&amp;","&amp;C91&amp;"^)"</f>
        <v/>
      </c>
      <c r="X90" s="108" t="n"/>
      <c r="Y90" s="108" t="n"/>
      <c r="Z90" s="108" t="n"/>
      <c r="AA90" s="108" t="n"/>
      <c r="AB90" s="108" t="n"/>
      <c r="AC90" s="108" t="n"/>
      <c r="AD90" s="108" t="n"/>
      <c r="AE90" s="108" t="n"/>
      <c r="AF90" s="109" t="n"/>
      <c r="AH90" s="36">
        <f>IF(A90="","",A90)</f>
        <v/>
      </c>
      <c r="AI90" s="160">
        <f>IF(E90="","",E90)</f>
        <v/>
      </c>
      <c r="AJ90" s="113" t="n"/>
      <c r="AK90" s="113" t="n"/>
      <c r="AL90" s="113" t="n"/>
      <c r="AM90" s="113" t="n"/>
      <c r="AN90" s="113" t="n"/>
      <c r="AO90" s="113" t="n"/>
      <c r="AP90" s="113" t="n"/>
      <c r="AQ90" s="113" t="n"/>
      <c r="AR90" s="113" t="n"/>
      <c r="AS90" s="113" t="n"/>
      <c r="AT90" s="113" t="n"/>
      <c r="AU90" s="113" t="n"/>
      <c r="AV90" s="113" t="n"/>
    </row>
    <row r="91">
      <c r="A91" s="13" t="inlineStr">
        <is>
          <t>검단신도시디에트르더펠리체</t>
        </is>
      </c>
      <c r="B91" s="16" t="inlineStr">
        <is>
          <t>'22.02.</t>
        </is>
      </c>
      <c r="C91" s="164" t="n">
        <v>1279</v>
      </c>
      <c r="D91" s="161" t="n">
        <v>99.90000000000001</v>
      </c>
      <c r="E91" s="163" t="n">
        <v>30</v>
      </c>
      <c r="F91" s="161" t="n">
        <v>75.7</v>
      </c>
      <c r="G91" s="27" t="n">
        <v>23</v>
      </c>
      <c r="H91" s="164" t="n">
        <v>186</v>
      </c>
      <c r="I91" s="165" t="n">
        <v>72000</v>
      </c>
      <c r="J91" s="165" t="inlineStr">
        <is>
          <t>고</t>
        </is>
      </c>
      <c r="K91" s="165" t="n">
        <v>30000</v>
      </c>
      <c r="L91" s="165" t="inlineStr">
        <is>
          <t>고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99B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검단신도시디에트르더펠리체</t>
        </is>
      </c>
      <c r="B92" s="16" t="inlineStr">
        <is>
          <t>'22.02.</t>
        </is>
      </c>
      <c r="C92" s="164" t="n">
        <v>1279</v>
      </c>
      <c r="D92" s="161" t="n">
        <v>99.8</v>
      </c>
      <c r="E92" s="163" t="n">
        <v>30</v>
      </c>
      <c r="F92" s="161" t="n">
        <v>75.8</v>
      </c>
      <c r="G92" s="27" t="n">
        <v>23</v>
      </c>
      <c r="H92" s="164" t="n">
        <v>110</v>
      </c>
      <c r="I92" s="165" t="n">
        <v>60170</v>
      </c>
      <c r="J92" s="165" t="inlineStr">
        <is>
          <t>중</t>
        </is>
      </c>
      <c r="K92" s="165" t="n">
        <v>28000</v>
      </c>
      <c r="L92" s="165" t="inlineStr">
        <is>
          <t>중</t>
        </is>
      </c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99A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검단신도시디에트르더펠리체</t>
        </is>
      </c>
      <c r="B93" s="16" t="inlineStr">
        <is>
          <t>'22.02.</t>
        </is>
      </c>
      <c r="C93" s="164" t="n">
        <v>1279</v>
      </c>
      <c r="D93" s="161" t="n">
        <v>109.9</v>
      </c>
      <c r="E93" s="163" t="n">
        <v>33</v>
      </c>
      <c r="F93" s="161" t="n">
        <v>84.8</v>
      </c>
      <c r="G93" s="27" t="n">
        <v>26</v>
      </c>
      <c r="H93" s="164" t="n">
        <v>362</v>
      </c>
      <c r="I93" s="165" t="n">
        <v>56860</v>
      </c>
      <c r="J93" s="165" t="inlineStr">
        <is>
          <t>8</t>
        </is>
      </c>
      <c r="K93" s="165" t="n">
        <v>28000</v>
      </c>
      <c r="L93" s="165" t="inlineStr">
        <is>
          <t>중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109C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검단신도시디에트르더펠리체</t>
        </is>
      </c>
      <c r="B94" s="16" t="inlineStr">
        <is>
          <t>'22.02.</t>
        </is>
      </c>
      <c r="C94" s="164" t="n">
        <v>1279</v>
      </c>
      <c r="D94" s="161" t="n">
        <v>109.6</v>
      </c>
      <c r="E94" s="163" t="n">
        <v>33</v>
      </c>
      <c r="F94" s="161" t="n">
        <v>85</v>
      </c>
      <c r="G94" s="27" t="n">
        <v>26</v>
      </c>
      <c r="H94" s="164" t="n">
        <v>190</v>
      </c>
      <c r="I94" s="165" t="n">
        <v>58210</v>
      </c>
      <c r="J94" s="165" t="inlineStr">
        <is>
          <t>20</t>
        </is>
      </c>
      <c r="K94" s="165" t="n">
        <v>30000</v>
      </c>
      <c r="L94" s="165" t="inlineStr">
        <is>
          <t>9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109B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검단신도시디에트르더펠리체</t>
        </is>
      </c>
      <c r="B95" s="16" t="inlineStr">
        <is>
          <t>'22.02.</t>
        </is>
      </c>
      <c r="C95" s="164" t="n">
        <v>1279</v>
      </c>
      <c r="D95" s="161" t="n">
        <v>110</v>
      </c>
      <c r="E95" s="163" t="n">
        <v>33</v>
      </c>
      <c r="F95" s="161" t="n">
        <v>84.90000000000001</v>
      </c>
      <c r="G95" s="27" t="n">
        <v>26</v>
      </c>
      <c r="H95" s="164" t="n">
        <v>159</v>
      </c>
      <c r="I95" s="165" t="n">
        <v>59630</v>
      </c>
      <c r="J95" s="165" t="inlineStr">
        <is>
          <t>6</t>
        </is>
      </c>
      <c r="K95" s="165" t="n">
        <v>35000</v>
      </c>
      <c r="L95" s="165" t="inlineStr">
        <is>
          <t>6</t>
        </is>
      </c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109A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검단신도시디에트르더펠리체</t>
        </is>
      </c>
      <c r="B96" s="16" t="inlineStr">
        <is>
          <t>'22.02.</t>
        </is>
      </c>
      <c r="C96" s="164" t="n">
        <v>1279</v>
      </c>
      <c r="D96" s="161" t="n">
        <v>133.1</v>
      </c>
      <c r="E96" s="163" t="n">
        <v>40</v>
      </c>
      <c r="F96" s="161" t="n">
        <v>108.9</v>
      </c>
      <c r="G96" s="27" t="n">
        <v>33</v>
      </c>
      <c r="H96" s="164" t="n">
        <v>140</v>
      </c>
      <c r="I96" s="165" t="n">
        <v>70000</v>
      </c>
      <c r="J96" s="165" t="inlineStr">
        <is>
          <t>15</t>
        </is>
      </c>
      <c r="K96" s="165" t="n">
        <v>35000</v>
      </c>
      <c r="L96" s="165" t="inlineStr">
        <is>
          <t>5</t>
        </is>
      </c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4</v>
      </c>
      <c r="R96" s="113" t="n">
        <v>2</v>
      </c>
      <c r="S96" s="113" t="inlineStr">
        <is>
          <t>계</t>
        </is>
      </c>
      <c r="T96" s="8" t="inlineStr">
        <is>
          <t>133B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검단신도시디에트르더펠리체</t>
        </is>
      </c>
      <c r="B97" s="16" t="inlineStr">
        <is>
          <t>'22.02.</t>
        </is>
      </c>
      <c r="C97" s="164" t="n">
        <v>1279</v>
      </c>
      <c r="D97" s="161" t="n">
        <v>133.3</v>
      </c>
      <c r="E97" s="163" t="n">
        <v>40</v>
      </c>
      <c r="F97" s="161" t="n">
        <v>108.1</v>
      </c>
      <c r="G97" s="27" t="n">
        <v>33</v>
      </c>
      <c r="H97" s="164" t="n">
        <v>132</v>
      </c>
      <c r="I97" s="165" t="n">
        <v>119860</v>
      </c>
      <c r="J97" s="165" t="inlineStr">
        <is>
          <t>22</t>
        </is>
      </c>
      <c r="K97" s="165" t="n">
        <v>48000</v>
      </c>
      <c r="L97" s="165" t="inlineStr">
        <is>
          <t>12</t>
        </is>
      </c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4</v>
      </c>
      <c r="R97" s="113" t="n">
        <v>2</v>
      </c>
      <c r="S97" s="113" t="inlineStr">
        <is>
          <t>계</t>
        </is>
      </c>
      <c r="T97" s="8" t="inlineStr">
        <is>
          <t>133A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n"/>
      <c r="B98" s="113" t="n"/>
      <c r="C98" s="10" t="n"/>
      <c r="D98" s="13" t="n"/>
      <c r="E98" s="20" t="n"/>
      <c r="F98" s="161" t="n"/>
      <c r="G98" s="13" t="n"/>
      <c r="H98" s="13" t="n"/>
      <c r="I98" s="13" t="n"/>
      <c r="J98" s="13" t="n"/>
      <c r="K98" s="13" t="n"/>
      <c r="L98" s="13" t="n"/>
      <c r="M98" s="13" t="n"/>
      <c r="N98" s="13" t="n"/>
      <c r="O98" s="162" t="n"/>
      <c r="P98" s="162" t="n"/>
      <c r="Q98" s="163" t="n"/>
      <c r="R98" s="163" t="n"/>
      <c r="S98" s="13" t="n"/>
      <c r="T98" s="70" t="n"/>
      <c r="U98" s="13" t="n"/>
      <c r="W98" s="107">
        <f>$A$4&amp;" "&amp;A99&amp;"("&amp;B99&amp;","&amp;C99&amp;"^)"</f>
        <v/>
      </c>
      <c r="X98" s="108" t="n"/>
      <c r="Y98" s="108" t="n"/>
      <c r="Z98" s="108" t="n"/>
      <c r="AA98" s="108" t="n"/>
      <c r="AB98" s="108" t="n"/>
      <c r="AC98" s="108" t="n"/>
      <c r="AD98" s="108" t="n"/>
      <c r="AE98" s="108" t="n"/>
      <c r="AF98" s="109" t="n"/>
      <c r="AH98" s="36">
        <f>IF(A98="","",A98)</f>
        <v/>
      </c>
      <c r="AI98" s="160">
        <f>IF(E98="","",E98)</f>
        <v/>
      </c>
      <c r="AJ98" s="113" t="n"/>
      <c r="AK98" s="113" t="n"/>
      <c r="AL98" s="113" t="n"/>
      <c r="AM98" s="113" t="n"/>
      <c r="AN98" s="113" t="n"/>
      <c r="AO98" s="113" t="n"/>
      <c r="AP98" s="113" t="n"/>
      <c r="AQ98" s="113" t="n"/>
      <c r="AR98" s="113" t="n"/>
      <c r="AS98" s="113" t="n"/>
      <c r="AT98" s="113" t="n"/>
      <c r="AU98" s="113" t="n"/>
      <c r="AV98" s="113" t="n"/>
    </row>
    <row r="99">
      <c r="A99" s="13" t="inlineStr">
        <is>
          <t>검단힐스테이트4차</t>
        </is>
      </c>
      <c r="B99" s="16" t="inlineStr">
        <is>
          <t>'12.02.</t>
        </is>
      </c>
      <c r="C99" s="164" t="n">
        <v>588</v>
      </c>
      <c r="D99" s="161" t="n">
        <v>132</v>
      </c>
      <c r="E99" s="163" t="n">
        <v>40</v>
      </c>
      <c r="F99" s="161" t="n">
        <v>107.4</v>
      </c>
      <c r="G99" s="27" t="n">
        <v>33</v>
      </c>
      <c r="H99" s="164" t="n">
        <v>288</v>
      </c>
      <c r="I99" s="165" t="n">
        <v>63000</v>
      </c>
      <c r="J99" s="165" t="inlineStr">
        <is>
          <t>고</t>
        </is>
      </c>
      <c r="K99" s="165" t="n">
        <v>39000</v>
      </c>
      <c r="L99" s="165" t="inlineStr">
        <is>
          <t>고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n">
        <v>132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검단힐스테이트4차</t>
        </is>
      </c>
      <c r="B100" s="16" t="inlineStr">
        <is>
          <t>'12.02.</t>
        </is>
      </c>
      <c r="C100" s="164" t="n">
        <v>588</v>
      </c>
      <c r="D100" s="161" t="n">
        <v>142</v>
      </c>
      <c r="E100" s="163" t="n">
        <v>43</v>
      </c>
      <c r="F100" s="161" t="n">
        <v>115.7</v>
      </c>
      <c r="G100" s="27" t="n">
        <v>35</v>
      </c>
      <c r="H100" s="164" t="n">
        <v>210</v>
      </c>
      <c r="I100" s="165" t="n">
        <v>61000</v>
      </c>
      <c r="J100" s="165" t="inlineStr">
        <is>
          <t>중</t>
        </is>
      </c>
      <c r="K100" s="165" t="n">
        <v>43000</v>
      </c>
      <c r="L100" s="165" t="inlineStr">
        <is>
          <t>중</t>
        </is>
      </c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n">
        <v>142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검단힐스테이트4차</t>
        </is>
      </c>
      <c r="B101" s="16" t="inlineStr">
        <is>
          <t>'12.02.</t>
        </is>
      </c>
      <c r="C101" s="164" t="n">
        <v>588</v>
      </c>
      <c r="D101" s="161" t="n">
        <v>155.2</v>
      </c>
      <c r="E101" s="163" t="n">
        <v>47</v>
      </c>
      <c r="F101" s="161" t="n">
        <v>127.4</v>
      </c>
      <c r="G101" s="27" t="n">
        <v>39</v>
      </c>
      <c r="H101" s="164" t="n">
        <v>90</v>
      </c>
      <c r="I101" s="165" t="n">
        <v>70000</v>
      </c>
      <c r="J101" s="165" t="inlineStr">
        <is>
          <t>5</t>
        </is>
      </c>
      <c r="K101" s="165" t="n">
        <v>43500</v>
      </c>
      <c r="L101" s="165" t="inlineStr">
        <is>
          <t>고</t>
        </is>
      </c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n">
        <v>155</v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n"/>
      <c r="B102" s="113" t="n"/>
      <c r="C102" s="10" t="n"/>
      <c r="D102" s="13" t="n"/>
      <c r="E102" s="20" t="n"/>
      <c r="F102" s="161" t="n"/>
      <c r="G102" s="13" t="n"/>
      <c r="H102" s="13" t="n"/>
      <c r="I102" s="13" t="n"/>
      <c r="J102" s="13" t="n"/>
      <c r="K102" s="13" t="n"/>
      <c r="L102" s="13" t="n"/>
      <c r="M102" s="13" t="n"/>
      <c r="N102" s="13" t="n"/>
      <c r="O102" s="162" t="n"/>
      <c r="P102" s="162" t="n"/>
      <c r="Q102" s="163" t="n"/>
      <c r="R102" s="163" t="n"/>
      <c r="S102" s="13" t="n"/>
      <c r="T102" s="70" t="n"/>
      <c r="U102" s="13" t="n"/>
      <c r="W102" s="107">
        <f>$A$4&amp;" "&amp;A103&amp;"("&amp;B103&amp;","&amp;C103&amp;"^)"</f>
        <v/>
      </c>
      <c r="X102" s="108" t="n"/>
      <c r="Y102" s="108" t="n"/>
      <c r="Z102" s="108" t="n"/>
      <c r="AA102" s="108" t="n"/>
      <c r="AB102" s="108" t="n"/>
      <c r="AC102" s="108" t="n"/>
      <c r="AD102" s="108" t="n"/>
      <c r="AE102" s="108" t="n"/>
      <c r="AF102" s="109" t="n"/>
      <c r="AH102" s="36">
        <f>IF(A102="","",A102)</f>
        <v/>
      </c>
      <c r="AI102" s="160">
        <f>IF(E102="","",E102)</f>
        <v/>
      </c>
      <c r="AJ102" s="113" t="n"/>
      <c r="AK102" s="113" t="n"/>
      <c r="AL102" s="113" t="n"/>
      <c r="AM102" s="113" t="n"/>
      <c r="AN102" s="113" t="n"/>
      <c r="AO102" s="113" t="n"/>
      <c r="AP102" s="113" t="n"/>
      <c r="AQ102" s="113" t="n"/>
      <c r="AR102" s="113" t="n"/>
      <c r="AS102" s="113" t="n"/>
      <c r="AT102" s="113" t="n"/>
      <c r="AU102" s="113" t="n"/>
      <c r="AV102" s="113" t="n"/>
    </row>
    <row r="103">
      <c r="A103" s="13" t="inlineStr">
        <is>
          <t>검단SK뷰</t>
        </is>
      </c>
      <c r="B103" s="16" t="inlineStr">
        <is>
          <t>'17.09.</t>
        </is>
      </c>
      <c r="C103" s="164" t="n">
        <v>530</v>
      </c>
      <c r="D103" s="161" t="n">
        <v>99.59999999999999</v>
      </c>
      <c r="E103" s="163" t="n">
        <v>30</v>
      </c>
      <c r="F103" s="161" t="n">
        <v>74.90000000000001</v>
      </c>
      <c r="G103" s="27" t="n">
        <v>23</v>
      </c>
      <c r="H103" s="164" t="n">
        <v>152</v>
      </c>
      <c r="I103" s="165" t="n">
        <v>50000</v>
      </c>
      <c r="J103" s="165" t="inlineStr">
        <is>
          <t>11</t>
        </is>
      </c>
      <c r="K103" s="165" t="n">
        <v>35000</v>
      </c>
      <c r="L103" s="165" t="inlineStr">
        <is>
          <t>고</t>
        </is>
      </c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n">
        <v>99</v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검단SK뷰</t>
        </is>
      </c>
      <c r="B104" s="16" t="inlineStr">
        <is>
          <t>'17.09.</t>
        </is>
      </c>
      <c r="C104" s="164" t="n">
        <v>530</v>
      </c>
      <c r="D104" s="161" t="n">
        <v>112.2</v>
      </c>
      <c r="E104" s="163" t="n">
        <v>34</v>
      </c>
      <c r="F104" s="161" t="n">
        <v>84.8</v>
      </c>
      <c r="G104" s="27" t="n">
        <v>26</v>
      </c>
      <c r="H104" s="164" t="n">
        <v>296</v>
      </c>
      <c r="I104" s="165" t="n">
        <v>50000</v>
      </c>
      <c r="J104" s="165" t="inlineStr">
        <is>
          <t>7</t>
        </is>
      </c>
      <c r="K104" s="165" t="n">
        <v>37000</v>
      </c>
      <c r="L104" s="165" t="inlineStr">
        <is>
          <t>16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112A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검단SK뷰</t>
        </is>
      </c>
      <c r="B105" s="16" t="inlineStr">
        <is>
          <t>'17.09.</t>
        </is>
      </c>
      <c r="C105" s="164" t="n">
        <v>530</v>
      </c>
      <c r="D105" s="161" t="n">
        <v>114.3</v>
      </c>
      <c r="E105" s="163" t="n">
        <v>35</v>
      </c>
      <c r="F105" s="161" t="n">
        <v>85</v>
      </c>
      <c r="G105" s="27" t="n">
        <v>26</v>
      </c>
      <c r="H105" s="164" t="n">
        <v>82</v>
      </c>
      <c r="I105" s="165" t="n">
        <v>53000</v>
      </c>
      <c r="J105" s="165" t="inlineStr">
        <is>
          <t>9</t>
        </is>
      </c>
      <c r="K105" s="165" t="n">
        <v>38000</v>
      </c>
      <c r="L105" s="165" t="inlineStr">
        <is>
          <t>16</t>
        </is>
      </c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4</v>
      </c>
      <c r="R105" s="113" t="n">
        <v>2</v>
      </c>
      <c r="S105" s="113" t="inlineStr">
        <is>
          <t>계</t>
        </is>
      </c>
      <c r="T105" s="8" t="inlineStr">
        <is>
          <t>114B</t>
        </is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n"/>
      <c r="B106" s="113" t="n"/>
      <c r="C106" s="10" t="n"/>
      <c r="D106" s="13" t="n"/>
      <c r="E106" s="20" t="n"/>
      <c r="F106" s="161" t="n"/>
      <c r="G106" s="13" t="n"/>
      <c r="H106" s="13" t="n"/>
      <c r="I106" s="13" t="n"/>
      <c r="J106" s="13" t="n"/>
      <c r="K106" s="13" t="n"/>
      <c r="L106" s="13" t="n"/>
      <c r="M106" s="13" t="n"/>
      <c r="N106" s="13" t="n"/>
      <c r="O106" s="162" t="n"/>
      <c r="P106" s="162" t="n"/>
      <c r="Q106" s="163" t="n"/>
      <c r="R106" s="163" t="n"/>
      <c r="S106" s="13" t="n"/>
      <c r="T106" s="70" t="n"/>
      <c r="U106" s="13" t="n"/>
      <c r="W106" s="107">
        <f>$A$4&amp;" "&amp;A107&amp;"("&amp;B107&amp;","&amp;C107&amp;"^)"</f>
        <v/>
      </c>
      <c r="X106" s="108" t="n"/>
      <c r="Y106" s="108" t="n"/>
      <c r="Z106" s="108" t="n"/>
      <c r="AA106" s="108" t="n"/>
      <c r="AB106" s="108" t="n"/>
      <c r="AC106" s="108" t="n"/>
      <c r="AD106" s="108" t="n"/>
      <c r="AE106" s="108" t="n"/>
      <c r="AF106" s="109" t="n"/>
      <c r="AH106" s="36">
        <f>IF(A106="","",A106)</f>
        <v/>
      </c>
      <c r="AI106" s="160">
        <f>IF(E106="","",E106)</f>
        <v/>
      </c>
      <c r="AJ106" s="113" t="n"/>
      <c r="AK106" s="113" t="n"/>
      <c r="AL106" s="113" t="n"/>
      <c r="AM106" s="113" t="n"/>
      <c r="AN106" s="113" t="n"/>
      <c r="AO106" s="113" t="n"/>
      <c r="AP106" s="113" t="n"/>
      <c r="AQ106" s="113" t="n"/>
      <c r="AR106" s="113" t="n"/>
      <c r="AS106" s="113" t="n"/>
      <c r="AT106" s="113" t="n"/>
      <c r="AU106" s="113" t="n"/>
      <c r="AV106" s="113" t="n"/>
    </row>
    <row r="107">
      <c r="A107" s="13" t="inlineStr">
        <is>
          <t>검단힐스테이트6차</t>
        </is>
      </c>
      <c r="B107" s="16" t="inlineStr">
        <is>
          <t>'13.11.</t>
        </is>
      </c>
      <c r="C107" s="164" t="n">
        <v>454</v>
      </c>
      <c r="D107" s="161" t="n">
        <v>109.1</v>
      </c>
      <c r="E107" s="163" t="n">
        <v>33</v>
      </c>
      <c r="F107" s="161" t="n">
        <v>85</v>
      </c>
      <c r="G107" s="27" t="n">
        <v>26</v>
      </c>
      <c r="H107" s="164" t="n">
        <v>162</v>
      </c>
      <c r="I107" s="165" t="n">
        <v>56000</v>
      </c>
      <c r="J107" s="165" t="inlineStr">
        <is>
          <t>10</t>
        </is>
      </c>
      <c r="K107" s="165" t="n">
        <v>40000</v>
      </c>
      <c r="L107" s="165" t="inlineStr">
        <is>
          <t>6</t>
        </is>
      </c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inlineStr">
        <is>
          <t>109A</t>
        </is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검단힐스테이트6차</t>
        </is>
      </c>
      <c r="B108" s="16" t="inlineStr">
        <is>
          <t>'13.11.</t>
        </is>
      </c>
      <c r="C108" s="164" t="n">
        <v>454</v>
      </c>
      <c r="D108" s="161" t="n">
        <v>110.7</v>
      </c>
      <c r="E108" s="163" t="n">
        <v>33</v>
      </c>
      <c r="F108" s="161" t="n">
        <v>85</v>
      </c>
      <c r="G108" s="27" t="n">
        <v>26</v>
      </c>
      <c r="H108" s="164" t="n">
        <v>123</v>
      </c>
      <c r="I108" s="165" t="n">
        <v>56000</v>
      </c>
      <c r="J108" s="165" t="inlineStr">
        <is>
          <t>12</t>
        </is>
      </c>
      <c r="K108" s="165" t="n"/>
      <c r="L108" s="165" t="n"/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3</v>
      </c>
      <c r="R108" s="113" t="n">
        <v>2</v>
      </c>
      <c r="S108" s="113" t="inlineStr">
        <is>
          <t>계</t>
        </is>
      </c>
      <c r="T108" s="8" t="inlineStr">
        <is>
          <t>110B</t>
        </is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검단힐스테이트6차</t>
        </is>
      </c>
      <c r="B109" s="16" t="inlineStr">
        <is>
          <t>'13.11.</t>
        </is>
      </c>
      <c r="C109" s="164" t="n">
        <v>454</v>
      </c>
      <c r="D109" s="161" t="n">
        <v>111.3</v>
      </c>
      <c r="E109" s="163" t="n">
        <v>34</v>
      </c>
      <c r="F109" s="161" t="n">
        <v>85</v>
      </c>
      <c r="G109" s="27" t="n">
        <v>26</v>
      </c>
      <c r="H109" s="164" t="n">
        <v>169</v>
      </c>
      <c r="I109" s="165" t="n">
        <v>53000</v>
      </c>
      <c r="J109" s="165" t="inlineStr">
        <is>
          <t>7</t>
        </is>
      </c>
      <c r="K109" s="165" t="n">
        <v>37000</v>
      </c>
      <c r="L109" s="165" t="inlineStr">
        <is>
          <t>8</t>
        </is>
      </c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3</v>
      </c>
      <c r="R109" s="113" t="n">
        <v>2</v>
      </c>
      <c r="S109" s="113" t="inlineStr">
        <is>
          <t>계</t>
        </is>
      </c>
      <c r="T109" s="8" t="inlineStr">
        <is>
          <t>111C</t>
        </is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n"/>
      <c r="B110" s="113" t="n"/>
      <c r="C110" s="10" t="n"/>
      <c r="D110" s="13" t="n"/>
      <c r="E110" s="20" t="n"/>
      <c r="F110" s="161" t="n"/>
      <c r="G110" s="13" t="n"/>
      <c r="H110" s="13" t="n"/>
      <c r="I110" s="13" t="n"/>
      <c r="J110" s="13" t="n"/>
      <c r="K110" s="13" t="n"/>
      <c r="L110" s="13" t="n"/>
      <c r="M110" s="13" t="n"/>
      <c r="N110" s="13" t="n"/>
      <c r="O110" s="162" t="n"/>
      <c r="P110" s="162" t="n"/>
      <c r="Q110" s="163" t="n"/>
      <c r="R110" s="163" t="n"/>
      <c r="S110" s="13" t="n"/>
      <c r="T110" s="70" t="n"/>
      <c r="U110" s="13" t="n"/>
      <c r="W110" s="107">
        <f>$A$4&amp;" "&amp;A111&amp;"("&amp;B111&amp;","&amp;C111&amp;"^)"</f>
        <v/>
      </c>
      <c r="X110" s="108" t="n"/>
      <c r="Y110" s="108" t="n"/>
      <c r="Z110" s="108" t="n"/>
      <c r="AA110" s="108" t="n"/>
      <c r="AB110" s="108" t="n"/>
      <c r="AC110" s="108" t="n"/>
      <c r="AD110" s="108" t="n"/>
      <c r="AE110" s="108" t="n"/>
      <c r="AF110" s="109" t="n"/>
      <c r="AH110" s="36">
        <f>IF(A110="","",A110)</f>
        <v/>
      </c>
      <c r="AI110" s="160">
        <f>IF(E110="","",E110)</f>
        <v/>
      </c>
      <c r="AJ110" s="113" t="n"/>
      <c r="AK110" s="113" t="n"/>
      <c r="AL110" s="113" t="n"/>
      <c r="AM110" s="113" t="n"/>
      <c r="AN110" s="113" t="n"/>
      <c r="AO110" s="113" t="n"/>
      <c r="AP110" s="113" t="n"/>
      <c r="AQ110" s="113" t="n"/>
      <c r="AR110" s="113" t="n"/>
      <c r="AS110" s="113" t="n"/>
      <c r="AT110" s="113" t="n"/>
      <c r="AU110" s="113" t="n"/>
      <c r="AV110" s="113" t="n"/>
    </row>
    <row r="111">
      <c r="A111" s="13" t="inlineStr">
        <is>
          <t>인천검단신도시신안인스빌어반퍼스트</t>
        </is>
      </c>
      <c r="B111" s="16" t="inlineStr">
        <is>
          <t>'22.07.</t>
        </is>
      </c>
      <c r="C111" s="164" t="n">
        <v>1073</v>
      </c>
      <c r="D111" s="161" t="n">
        <v>109.2</v>
      </c>
      <c r="E111" s="163" t="n">
        <v>33</v>
      </c>
      <c r="F111" s="161" t="n">
        <v>84.7</v>
      </c>
      <c r="G111" s="27" t="n">
        <v>26</v>
      </c>
      <c r="H111" s="164" t="n">
        <v>748</v>
      </c>
      <c r="I111" s="165" t="n"/>
      <c r="J111" s="165" t="n"/>
      <c r="K111" s="165" t="n"/>
      <c r="L111" s="165" t="n"/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n">
        <v>109</v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인천검단신도시신안인스빌어반퍼스트</t>
        </is>
      </c>
      <c r="B112" s="16" t="inlineStr">
        <is>
          <t>'22.07.</t>
        </is>
      </c>
      <c r="C112" s="164" t="n">
        <v>1073</v>
      </c>
      <c r="D112" s="161" t="n">
        <v>122</v>
      </c>
      <c r="E112" s="163" t="n">
        <v>37</v>
      </c>
      <c r="F112" s="161" t="n">
        <v>95</v>
      </c>
      <c r="G112" s="27" t="n">
        <v>29</v>
      </c>
      <c r="H112" s="164" t="n">
        <v>325</v>
      </c>
      <c r="I112" s="165" t="n"/>
      <c r="J112" s="165" t="n"/>
      <c r="K112" s="165" t="n"/>
      <c r="L112" s="165" t="n"/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n">
        <v>122</v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n"/>
      <c r="B113" s="113" t="n"/>
      <c r="C113" s="10" t="n"/>
      <c r="D113" s="13" t="n"/>
      <c r="E113" s="20" t="n"/>
      <c r="F113" s="161" t="n"/>
      <c r="G113" s="13" t="n"/>
      <c r="H113" s="13" t="n"/>
      <c r="I113" s="13" t="n"/>
      <c r="J113" s="13" t="n"/>
      <c r="K113" s="13" t="n"/>
      <c r="L113" s="13" t="n"/>
      <c r="M113" s="13" t="n"/>
      <c r="N113" s="13" t="n"/>
      <c r="O113" s="162" t="n"/>
      <c r="P113" s="162" t="n"/>
      <c r="Q113" s="163" t="n"/>
      <c r="R113" s="163" t="n"/>
      <c r="S113" s="13" t="n"/>
      <c r="T113" s="70" t="n"/>
      <c r="U113" s="13" t="n"/>
      <c r="W113" s="107">
        <f>$A$4&amp;" "&amp;A114&amp;"("&amp;B114&amp;","&amp;C114&amp;"^)"</f>
        <v/>
      </c>
      <c r="X113" s="108" t="n"/>
      <c r="Y113" s="108" t="n"/>
      <c r="Z113" s="108" t="n"/>
      <c r="AA113" s="108" t="n"/>
      <c r="AB113" s="108" t="n"/>
      <c r="AC113" s="108" t="n"/>
      <c r="AD113" s="108" t="n"/>
      <c r="AE113" s="108" t="n"/>
      <c r="AF113" s="109" t="n"/>
      <c r="AH113" s="36">
        <f>IF(A113="","",A113)</f>
        <v/>
      </c>
      <c r="AI113" s="160">
        <f>IF(E113="","",E113)</f>
        <v/>
      </c>
      <c r="AJ113" s="113" t="n"/>
      <c r="AK113" s="113" t="n"/>
      <c r="AL113" s="113" t="n"/>
      <c r="AM113" s="113" t="n"/>
      <c r="AN113" s="113" t="n"/>
      <c r="AO113" s="113" t="n"/>
      <c r="AP113" s="113" t="n"/>
      <c r="AQ113" s="113" t="n"/>
      <c r="AR113" s="113" t="n"/>
      <c r="AS113" s="113" t="n"/>
      <c r="AT113" s="113" t="n"/>
      <c r="AU113" s="113" t="n"/>
      <c r="AV113" s="113" t="n"/>
    </row>
    <row r="114">
      <c r="A114" s="13" t="inlineStr">
        <is>
          <t>당하푸르지오</t>
        </is>
      </c>
      <c r="B114" s="16" t="inlineStr">
        <is>
          <t>'05.01.</t>
        </is>
      </c>
      <c r="C114" s="164" t="n">
        <v>719</v>
      </c>
      <c r="D114" s="161" t="n">
        <v>95.40000000000001</v>
      </c>
      <c r="E114" s="163" t="n">
        <v>29</v>
      </c>
      <c r="F114" s="161" t="n">
        <v>73.8</v>
      </c>
      <c r="G114" s="27" t="n">
        <v>22</v>
      </c>
      <c r="H114" s="164" t="n">
        <v>159</v>
      </c>
      <c r="I114" s="165" t="n">
        <v>37500</v>
      </c>
      <c r="J114" s="165" t="inlineStr">
        <is>
          <t>중</t>
        </is>
      </c>
      <c r="K114" s="165" t="n">
        <v>32000</v>
      </c>
      <c r="L114" s="165" t="inlineStr">
        <is>
          <t>중</t>
        </is>
      </c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inlineStr">
        <is>
          <t>95B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당하푸르지오</t>
        </is>
      </c>
      <c r="B115" s="16" t="inlineStr">
        <is>
          <t>'05.01.</t>
        </is>
      </c>
      <c r="C115" s="164" t="n">
        <v>719</v>
      </c>
      <c r="D115" s="161" t="n">
        <v>95.40000000000001</v>
      </c>
      <c r="E115" s="163" t="n">
        <v>29</v>
      </c>
      <c r="F115" s="161" t="n">
        <v>73.8</v>
      </c>
      <c r="G115" s="27" t="n">
        <v>22</v>
      </c>
      <c r="H115" s="164" t="n">
        <v>76</v>
      </c>
      <c r="I115" s="165" t="n">
        <v>37500</v>
      </c>
      <c r="J115" s="165" t="inlineStr">
        <is>
          <t>중</t>
        </is>
      </c>
      <c r="K115" s="165" t="n">
        <v>32000</v>
      </c>
      <c r="L115" s="165" t="inlineStr">
        <is>
          <t>중</t>
        </is>
      </c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95A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당하푸르지오</t>
        </is>
      </c>
      <c r="B116" s="16" t="inlineStr">
        <is>
          <t>'05.01.</t>
        </is>
      </c>
      <c r="C116" s="164" t="n">
        <v>719</v>
      </c>
      <c r="D116" s="161" t="n">
        <v>107.9</v>
      </c>
      <c r="E116" s="163" t="n">
        <v>33</v>
      </c>
      <c r="F116" s="161" t="n">
        <v>84.90000000000001</v>
      </c>
      <c r="G116" s="27" t="n">
        <v>26</v>
      </c>
      <c r="H116" s="164" t="n">
        <v>331</v>
      </c>
      <c r="I116" s="165" t="n">
        <v>43000</v>
      </c>
      <c r="J116" s="165" t="inlineStr">
        <is>
          <t>8</t>
        </is>
      </c>
      <c r="K116" s="165" t="n">
        <v>30000</v>
      </c>
      <c r="L116" s="165" t="inlineStr">
        <is>
          <t>13</t>
        </is>
      </c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n">
        <v>107</v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당하푸르지오</t>
        </is>
      </c>
      <c r="B117" s="16" t="inlineStr">
        <is>
          <t>'05.01.</t>
        </is>
      </c>
      <c r="C117" s="164" t="n">
        <v>719</v>
      </c>
      <c r="D117" s="161" t="n">
        <v>131.8</v>
      </c>
      <c r="E117" s="163" t="n">
        <v>40</v>
      </c>
      <c r="F117" s="161" t="n">
        <v>101.6</v>
      </c>
      <c r="G117" s="27" t="n">
        <v>31</v>
      </c>
      <c r="H117" s="164" t="n">
        <v>153</v>
      </c>
      <c r="I117" s="165" t="n">
        <v>50000</v>
      </c>
      <c r="J117" s="165" t="inlineStr">
        <is>
          <t>10</t>
        </is>
      </c>
      <c r="K117" s="165" t="n">
        <v>31000</v>
      </c>
      <c r="L117" s="165" t="inlineStr">
        <is>
          <t>6</t>
        </is>
      </c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2</v>
      </c>
      <c r="S117" s="113" t="inlineStr">
        <is>
          <t>계</t>
        </is>
      </c>
      <c r="T117" s="8" t="n">
        <v>131</v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</sheetData>
  <mergeCells count="1">
    <mergeCell ref="AJ1:AN1"/>
  </mergeCells>
  <conditionalFormatting sqref="AV4:AV6">
    <cfRule type="expression" priority="1793" dxfId="17">
      <formula>AV4="X"</formula>
    </cfRule>
    <cfRule type="expression" priority="1794" dxfId="16">
      <formula>AV4="후보"</formula>
    </cfRule>
  </conditionalFormatting>
  <conditionalFormatting sqref="AC1:AC2 AC4:AC6 N4:N5">
    <cfRule type="cellIs" priority="1790" operator="greaterThan" dxfId="13">
      <formula>0.9</formula>
    </cfRule>
    <cfRule type="cellIs" priority="1791" operator="greaterThan" dxfId="12">
      <formula>0.85</formula>
    </cfRule>
  </conditionalFormatting>
  <conditionalFormatting sqref="N1:N2">
    <cfRule type="cellIs" priority="1788" operator="greaterThan" dxfId="13">
      <formula>0.9</formula>
    </cfRule>
    <cfRule type="cellIs" priority="1789" operator="greaterThan" dxfId="12">
      <formula>0.85</formula>
    </cfRule>
  </conditionalFormatting>
  <conditionalFormatting sqref="N6">
    <cfRule type="cellIs" priority="1786" operator="greaterThan" dxfId="13">
      <formula>0.9</formula>
    </cfRule>
    <cfRule type="cellIs" priority="1787" operator="greaterThan" dxfId="12">
      <formula>0.85</formula>
    </cfRule>
  </conditionalFormatting>
  <conditionalFormatting sqref="E6">
    <cfRule type="expression" priority="1782" dxfId="3">
      <formula>AND(IF(OR($Q6=1,$Q6=2),1,0),IF($X6&lt;=20,1,0))</formula>
    </cfRule>
    <cfRule type="expression" priority="1783" dxfId="2">
      <formula>AND(IF($Q6=2,1,0),IF($X6&lt;30,1,0))</formula>
    </cfRule>
    <cfRule type="expression" priority="1784" dxfId="1">
      <formula>AND(IF($Q6=3,1,0),IF($X6&lt;30,1,0))</formula>
    </cfRule>
    <cfRule type="expression" priority="1785" dxfId="0">
      <formula>AND(IF($Q6=3,1,IF($Q6=4,1,0)),IF($F6&lt;=85,1,0))</formula>
    </cfRule>
  </conditionalFormatting>
  <conditionalFormatting sqref="X6">
    <cfRule type="expression" priority="1778" dxfId="3">
      <formula>AND(IF(OR($Q6=1,$Q6=2),1,0),IF($X6&lt;=20,1,0))</formula>
    </cfRule>
    <cfRule type="expression" priority="1779" dxfId="2">
      <formula>AND(IF($Q6=2,1,0),IF($X6&lt;30,1,0))</formula>
    </cfRule>
    <cfRule type="expression" priority="1780" dxfId="1">
      <formula>AND(IF($Q6=3,1,0),IF($X6&lt;30,1,0))</formula>
    </cfRule>
    <cfRule type="expression" priority="1781" dxfId="0">
      <formula>AND(IF($Q6=3,1,IF($Q6=4,1,0)),IF($F6&lt;=85,1,0))</formula>
    </cfRule>
  </conditionalFormatting>
  <conditionalFormatting sqref="AI6">
    <cfRule type="expression" priority="1774" dxfId="3">
      <formula>AND(IF(OR($Q6=1,$Q6=2),1,0),IF($X6&lt;=20,1,0))</formula>
    </cfRule>
    <cfRule type="expression" priority="1775" dxfId="2">
      <formula>AND(IF($Q6=2,1,0),IF($X6&lt;30,1,0))</formula>
    </cfRule>
    <cfRule type="expression" priority="1776" dxfId="1">
      <formula>AND(IF($Q6=3,1,0),IF($X6&lt;30,1,0))</formula>
    </cfRule>
    <cfRule type="expression" priority="1777" dxfId="0">
      <formula>AND(IF($Q6=3,1,IF($Q6=4,1,0)),IF($F6&lt;=85,1,0))</formula>
    </cfRule>
  </conditionalFormatting>
  <conditionalFormatting sqref="AV7">
    <cfRule type="expression" priority="1772" dxfId="17">
      <formula>AV7="X"</formula>
    </cfRule>
    <cfRule type="expression" priority="1773" dxfId="16">
      <formula>AV7="후보"</formula>
    </cfRule>
  </conditionalFormatting>
  <conditionalFormatting sqref="AC7">
    <cfRule type="cellIs" priority="1769" operator="greaterThan" dxfId="13">
      <formula>0.9</formula>
    </cfRule>
    <cfRule type="cellIs" priority="1770" operator="greaterThan" dxfId="12">
      <formula>0.85</formula>
    </cfRule>
  </conditionalFormatting>
  <conditionalFormatting sqref="N7">
    <cfRule type="cellIs" priority="1767" operator="greaterThan" dxfId="13">
      <formula>0.9</formula>
    </cfRule>
    <cfRule type="cellIs" priority="1768" operator="greaterThan" dxfId="12">
      <formula>0.85</formula>
    </cfRule>
  </conditionalFormatting>
  <conditionalFormatting sqref="E7">
    <cfRule type="expression" priority="1763" dxfId="3">
      <formula>AND(IF(OR($Q7=1,$Q7=2),1,0),IF($X7&lt;=20,1,0))</formula>
    </cfRule>
    <cfRule type="expression" priority="1764" dxfId="2">
      <formula>AND(IF($Q7=2,1,0),IF($X7&lt;30,1,0))</formula>
    </cfRule>
    <cfRule type="expression" priority="1765" dxfId="1">
      <formula>AND(IF($Q7=3,1,0),IF($X7&lt;30,1,0))</formula>
    </cfRule>
    <cfRule type="expression" priority="1766" dxfId="0">
      <formula>AND(IF($Q7=3,1,IF($Q7=4,1,0)),IF($F7&lt;=85,1,0))</formula>
    </cfRule>
  </conditionalFormatting>
  <conditionalFormatting sqref="X7">
    <cfRule type="expression" priority="1759" dxfId="3">
      <formula>AND(IF(OR($Q7=1,$Q7=2),1,0),IF($X7&lt;=20,1,0))</formula>
    </cfRule>
    <cfRule type="expression" priority="1760" dxfId="2">
      <formula>AND(IF($Q7=2,1,0),IF($X7&lt;30,1,0))</formula>
    </cfRule>
    <cfRule type="expression" priority="1761" dxfId="1">
      <formula>AND(IF($Q7=3,1,0),IF($X7&lt;30,1,0))</formula>
    </cfRule>
    <cfRule type="expression" priority="1762" dxfId="0">
      <formula>AND(IF($Q7=3,1,IF($Q7=4,1,0)),IF($F7&lt;=85,1,0))</formula>
    </cfRule>
  </conditionalFormatting>
  <conditionalFormatting sqref="AI7">
    <cfRule type="expression" priority="1755" dxfId="3">
      <formula>AND(IF(OR($Q7=1,$Q7=2),1,0),IF($X7&lt;=20,1,0))</formula>
    </cfRule>
    <cfRule type="expression" priority="1756" dxfId="2">
      <formula>AND(IF($Q7=2,1,0),IF($X7&lt;30,1,0))</formula>
    </cfRule>
    <cfRule type="expression" priority="1757" dxfId="1">
      <formula>AND(IF($Q7=3,1,0),IF($X7&lt;30,1,0))</formula>
    </cfRule>
    <cfRule type="expression" priority="1758" dxfId="0">
      <formula>AND(IF($Q7=3,1,IF($Q7=4,1,0)),IF($F7&lt;=85,1,0))</formula>
    </cfRule>
  </conditionalFormatting>
  <conditionalFormatting sqref="AV8">
    <cfRule type="expression" priority="1753" dxfId="17">
      <formula>AV8="X"</formula>
    </cfRule>
    <cfRule type="expression" priority="1754" dxfId="16">
      <formula>AV8="후보"</formula>
    </cfRule>
  </conditionalFormatting>
  <conditionalFormatting sqref="AC8">
    <cfRule type="cellIs" priority="1750" operator="greaterThan" dxfId="13">
      <formula>0.9</formula>
    </cfRule>
    <cfRule type="cellIs" priority="1751" operator="greaterThan" dxfId="12">
      <formula>0.85</formula>
    </cfRule>
  </conditionalFormatting>
  <conditionalFormatting sqref="N8">
    <cfRule type="cellIs" priority="1748" operator="greaterThan" dxfId="13">
      <formula>0.9</formula>
    </cfRule>
    <cfRule type="cellIs" priority="1749" operator="greaterThan" dxfId="12">
      <formula>0.85</formula>
    </cfRule>
  </conditionalFormatting>
  <conditionalFormatting sqref="E8">
    <cfRule type="expression" priority="1744" dxfId="3">
      <formula>AND(IF(OR($Q8=1,$Q8=2),1,0),IF($X8&lt;=20,1,0))</formula>
    </cfRule>
    <cfRule type="expression" priority="1745" dxfId="2">
      <formula>AND(IF($Q8=2,1,0),IF($X8&lt;30,1,0))</formula>
    </cfRule>
    <cfRule type="expression" priority="1746" dxfId="1">
      <formula>AND(IF($Q8=3,1,0),IF($X8&lt;30,1,0))</formula>
    </cfRule>
    <cfRule type="expression" priority="1747" dxfId="0">
      <formula>AND(IF($Q8=3,1,IF($Q8=4,1,0)),IF($F8&lt;=85,1,0))</formula>
    </cfRule>
  </conditionalFormatting>
  <conditionalFormatting sqref="X8">
    <cfRule type="expression" priority="1740" dxfId="3">
      <formula>AND(IF(OR($Q8=1,$Q8=2),1,0),IF($X8&lt;=20,1,0))</formula>
    </cfRule>
    <cfRule type="expression" priority="1741" dxfId="2">
      <formula>AND(IF($Q8=2,1,0),IF($X8&lt;30,1,0))</formula>
    </cfRule>
    <cfRule type="expression" priority="1742" dxfId="1">
      <formula>AND(IF($Q8=3,1,0),IF($X8&lt;30,1,0))</formula>
    </cfRule>
    <cfRule type="expression" priority="1743" dxfId="0">
      <formula>AND(IF($Q8=3,1,IF($Q8=4,1,0)),IF($F8&lt;=85,1,0))</formula>
    </cfRule>
  </conditionalFormatting>
  <conditionalFormatting sqref="AI8">
    <cfRule type="expression" priority="1736" dxfId="3">
      <formula>AND(IF(OR($Q8=1,$Q8=2),1,0),IF($X8&lt;=20,1,0))</formula>
    </cfRule>
    <cfRule type="expression" priority="1737" dxfId="2">
      <formula>AND(IF($Q8=2,1,0),IF($X8&lt;30,1,0))</formula>
    </cfRule>
    <cfRule type="expression" priority="1738" dxfId="1">
      <formula>AND(IF($Q8=3,1,0),IF($X8&lt;30,1,0))</formula>
    </cfRule>
    <cfRule type="expression" priority="1739" dxfId="0">
      <formula>AND(IF($Q8=3,1,IF($Q8=4,1,0)),IF($F8&lt;=85,1,0))</formula>
    </cfRule>
  </conditionalFormatting>
  <conditionalFormatting sqref="AV9">
    <cfRule type="expression" priority="1734" dxfId="17">
      <formula>AV9="X"</formula>
    </cfRule>
    <cfRule type="expression" priority="1735" dxfId="16">
      <formula>AV9="후보"</formula>
    </cfRule>
  </conditionalFormatting>
  <conditionalFormatting sqref="AC9 N9">
    <cfRule type="cellIs" priority="1731" operator="greaterThan" dxfId="13">
      <formula>0.9</formula>
    </cfRule>
    <cfRule type="cellIs" priority="1732" operator="greaterThan" dxfId="12">
      <formula>0.85</formula>
    </cfRule>
  </conditionalFormatting>
  <conditionalFormatting sqref="AV10">
    <cfRule type="expression" priority="1729" dxfId="17">
      <formula>AV10="X"</formula>
    </cfRule>
    <cfRule type="expression" priority="1730" dxfId="16">
      <formula>AV10="후보"</formula>
    </cfRule>
  </conditionalFormatting>
  <conditionalFormatting sqref="AC10">
    <cfRule type="cellIs" priority="1726" operator="greaterThan" dxfId="13">
      <formula>0.9</formula>
    </cfRule>
    <cfRule type="cellIs" priority="1727" operator="greaterThan" dxfId="12">
      <formula>0.85</formula>
    </cfRule>
  </conditionalFormatting>
  <conditionalFormatting sqref="N10">
    <cfRule type="cellIs" priority="1724" operator="greaterThan" dxfId="13">
      <formula>0.9</formula>
    </cfRule>
    <cfRule type="cellIs" priority="1725" operator="greaterThan" dxfId="12">
      <formula>0.85</formula>
    </cfRule>
  </conditionalFormatting>
  <conditionalFormatting sqref="E10">
    <cfRule type="expression" priority="1720" dxfId="3">
      <formula>AND(IF(OR($Q10=1,$Q10=2),1,0),IF($X10&lt;=20,1,0))</formula>
    </cfRule>
    <cfRule type="expression" priority="1721" dxfId="2">
      <formula>AND(IF($Q10=2,1,0),IF($X10&lt;30,1,0))</formula>
    </cfRule>
    <cfRule type="expression" priority="1722" dxfId="1">
      <formula>AND(IF($Q10=3,1,0),IF($X10&lt;30,1,0))</formula>
    </cfRule>
    <cfRule type="expression" priority="1723" dxfId="0">
      <formula>AND(IF($Q10=3,1,IF($Q10=4,1,0)),IF($F10&lt;=85,1,0))</formula>
    </cfRule>
  </conditionalFormatting>
  <conditionalFormatting sqref="X10">
    <cfRule type="expression" priority="1716" dxfId="3">
      <formula>AND(IF(OR($Q10=1,$Q10=2),1,0),IF($X10&lt;=20,1,0))</formula>
    </cfRule>
    <cfRule type="expression" priority="1717" dxfId="2">
      <formula>AND(IF($Q10=2,1,0),IF($X10&lt;30,1,0))</formula>
    </cfRule>
    <cfRule type="expression" priority="1718" dxfId="1">
      <formula>AND(IF($Q10=3,1,0),IF($X10&lt;30,1,0))</formula>
    </cfRule>
    <cfRule type="expression" priority="1719" dxfId="0">
      <formula>AND(IF($Q10=3,1,IF($Q10=4,1,0)),IF($F10&lt;=85,1,0))</formula>
    </cfRule>
  </conditionalFormatting>
  <conditionalFormatting sqref="AI10">
    <cfRule type="expression" priority="1712" dxfId="3">
      <formula>AND(IF(OR($Q10=1,$Q10=2),1,0),IF($X10&lt;=20,1,0))</formula>
    </cfRule>
    <cfRule type="expression" priority="1713" dxfId="2">
      <formula>AND(IF($Q10=2,1,0),IF($X10&lt;30,1,0))</formula>
    </cfRule>
    <cfRule type="expression" priority="1714" dxfId="1">
      <formula>AND(IF($Q10=3,1,0),IF($X10&lt;30,1,0))</formula>
    </cfRule>
    <cfRule type="expression" priority="1715" dxfId="0">
      <formula>AND(IF($Q10=3,1,IF($Q10=4,1,0)),IF($F10&lt;=85,1,0))</formula>
    </cfRule>
  </conditionalFormatting>
  <conditionalFormatting sqref="AV11">
    <cfRule type="expression" priority="1710" dxfId="17">
      <formula>AV11="X"</formula>
    </cfRule>
    <cfRule type="expression" priority="1711" dxfId="16">
      <formula>AV11="후보"</formula>
    </cfRule>
  </conditionalFormatting>
  <conditionalFormatting sqref="AC11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11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11">
    <cfRule type="expression" priority="1701" dxfId="3">
      <formula>AND(IF(OR($Q11=1,$Q11=2),1,0),IF($X11&lt;=20,1,0))</formula>
    </cfRule>
    <cfRule type="expression" priority="1702" dxfId="2">
      <formula>AND(IF($Q11=2,1,0),IF($X11&lt;30,1,0))</formula>
    </cfRule>
    <cfRule type="expression" priority="1703" dxfId="1">
      <formula>AND(IF($Q11=3,1,0),IF($X11&lt;30,1,0))</formula>
    </cfRule>
    <cfRule type="expression" priority="1704" dxfId="0">
      <formula>AND(IF($Q11=3,1,IF($Q11=4,1,0)),IF($F11&lt;=85,1,0))</formula>
    </cfRule>
  </conditionalFormatting>
  <conditionalFormatting sqref="X11">
    <cfRule type="expression" priority="1697" dxfId="3">
      <formula>AND(IF(OR($Q11=1,$Q11=2),1,0),IF($X11&lt;=20,1,0))</formula>
    </cfRule>
    <cfRule type="expression" priority="1698" dxfId="2">
      <formula>AND(IF($Q11=2,1,0),IF($X11&lt;30,1,0))</formula>
    </cfRule>
    <cfRule type="expression" priority="1699" dxfId="1">
      <formula>AND(IF($Q11=3,1,0),IF($X11&lt;30,1,0))</formula>
    </cfRule>
    <cfRule type="expression" priority="1700" dxfId="0">
      <formula>AND(IF($Q11=3,1,IF($Q11=4,1,0)),IF($F11&lt;=85,1,0))</formula>
    </cfRule>
  </conditionalFormatting>
  <conditionalFormatting sqref="AI11">
    <cfRule type="expression" priority="1693" dxfId="3">
      <formula>AND(IF(OR($Q11=1,$Q11=2),1,0),IF($X11&lt;=20,1,0))</formula>
    </cfRule>
    <cfRule type="expression" priority="1694" dxfId="2">
      <formula>AND(IF($Q11=2,1,0),IF($X11&lt;30,1,0))</formula>
    </cfRule>
    <cfRule type="expression" priority="1695" dxfId="1">
      <formula>AND(IF($Q11=3,1,0),IF($X11&lt;30,1,0))</formula>
    </cfRule>
    <cfRule type="expression" priority="1696" dxfId="0">
      <formula>AND(IF($Q11=3,1,IF($Q11=4,1,0)),IF($F11&lt;=85,1,0))</formula>
    </cfRule>
  </conditionalFormatting>
  <conditionalFormatting sqref="AV12">
    <cfRule type="expression" priority="1691" dxfId="17">
      <formula>AV12="X"</formula>
    </cfRule>
    <cfRule type="expression" priority="1692" dxfId="16">
      <formula>AV12="후보"</formula>
    </cfRule>
  </conditionalFormatting>
  <conditionalFormatting sqref="AC12 N12">
    <cfRule type="cellIs" priority="1688" operator="greaterThan" dxfId="13">
      <formula>0.9</formula>
    </cfRule>
    <cfRule type="cellIs" priority="1689" operator="greaterThan" dxfId="12">
      <formula>0.85</formula>
    </cfRule>
  </conditionalFormatting>
  <conditionalFormatting sqref="AV13">
    <cfRule type="expression" priority="1686" dxfId="17">
      <formula>AV13="X"</formula>
    </cfRule>
    <cfRule type="expression" priority="1687" dxfId="16">
      <formula>AV13="후보"</formula>
    </cfRule>
  </conditionalFormatting>
  <conditionalFormatting sqref="AC13">
    <cfRule type="cellIs" priority="1683" operator="greaterThan" dxfId="13">
      <formula>0.9</formula>
    </cfRule>
    <cfRule type="cellIs" priority="1684" operator="greaterThan" dxfId="12">
      <formula>0.85</formula>
    </cfRule>
  </conditionalFormatting>
  <conditionalFormatting sqref="N13">
    <cfRule type="cellIs" priority="1681" operator="greaterThan" dxfId="13">
      <formula>0.9</formula>
    </cfRule>
    <cfRule type="cellIs" priority="1682" operator="greaterThan" dxfId="12">
      <formula>0.85</formula>
    </cfRule>
  </conditionalFormatting>
  <conditionalFormatting sqref="E13">
    <cfRule type="expression" priority="1677" dxfId="3">
      <formula>AND(IF(OR($Q13=1,$Q13=2),1,0),IF($X13&lt;=20,1,0))</formula>
    </cfRule>
    <cfRule type="expression" priority="1678" dxfId="2">
      <formula>AND(IF($Q13=2,1,0),IF($X13&lt;30,1,0))</formula>
    </cfRule>
    <cfRule type="expression" priority="1679" dxfId="1">
      <formula>AND(IF($Q13=3,1,0),IF($X13&lt;30,1,0))</formula>
    </cfRule>
    <cfRule type="expression" priority="1680" dxfId="0">
      <formula>AND(IF($Q13=3,1,IF($Q13=4,1,0)),IF($F13&lt;=85,1,0))</formula>
    </cfRule>
  </conditionalFormatting>
  <conditionalFormatting sqref="X13">
    <cfRule type="expression" priority="1673" dxfId="3">
      <formula>AND(IF(OR($Q13=1,$Q13=2),1,0),IF($X13&lt;=20,1,0))</formula>
    </cfRule>
    <cfRule type="expression" priority="1674" dxfId="2">
      <formula>AND(IF($Q13=2,1,0),IF($X13&lt;30,1,0))</formula>
    </cfRule>
    <cfRule type="expression" priority="1675" dxfId="1">
      <formula>AND(IF($Q13=3,1,0),IF($X13&lt;30,1,0))</formula>
    </cfRule>
    <cfRule type="expression" priority="1676" dxfId="0">
      <formula>AND(IF($Q13=3,1,IF($Q13=4,1,0)),IF($F13&lt;=85,1,0))</formula>
    </cfRule>
  </conditionalFormatting>
  <conditionalFormatting sqref="AI13">
    <cfRule type="expression" priority="1669" dxfId="3">
      <formula>AND(IF(OR($Q13=1,$Q13=2),1,0),IF($X13&lt;=20,1,0))</formula>
    </cfRule>
    <cfRule type="expression" priority="1670" dxfId="2">
      <formula>AND(IF($Q13=2,1,0),IF($X13&lt;30,1,0))</formula>
    </cfRule>
    <cfRule type="expression" priority="1671" dxfId="1">
      <formula>AND(IF($Q13=3,1,0),IF($X13&lt;30,1,0))</formula>
    </cfRule>
    <cfRule type="expression" priority="1672" dxfId="0">
      <formula>AND(IF($Q13=3,1,IF($Q13=4,1,0)),IF($F13&lt;=85,1,0))</formula>
    </cfRule>
  </conditionalFormatting>
  <conditionalFormatting sqref="AV14">
    <cfRule type="expression" priority="1667" dxfId="17">
      <formula>AV14="X"</formula>
    </cfRule>
    <cfRule type="expression" priority="1668" dxfId="16">
      <formula>AV14="후보"</formula>
    </cfRule>
  </conditionalFormatting>
  <conditionalFormatting sqref="AC14">
    <cfRule type="cellIs" priority="1664" operator="greaterThan" dxfId="13">
      <formula>0.9</formula>
    </cfRule>
    <cfRule type="cellIs" priority="1665" operator="greaterThan" dxfId="12">
      <formula>0.85</formula>
    </cfRule>
  </conditionalFormatting>
  <conditionalFormatting sqref="N14">
    <cfRule type="cellIs" priority="1662" operator="greaterThan" dxfId="13">
      <formula>0.9</formula>
    </cfRule>
    <cfRule type="cellIs" priority="1663" operator="greaterThan" dxfId="12">
      <formula>0.85</formula>
    </cfRule>
  </conditionalFormatting>
  <conditionalFormatting sqref="E14">
    <cfRule type="expression" priority="1658" dxfId="3">
      <formula>AND(IF(OR($Q14=1,$Q14=2),1,0),IF($X14&lt;=20,1,0))</formula>
    </cfRule>
    <cfRule type="expression" priority="1659" dxfId="2">
      <formula>AND(IF($Q14=2,1,0),IF($X14&lt;30,1,0))</formula>
    </cfRule>
    <cfRule type="expression" priority="1660" dxfId="1">
      <formula>AND(IF($Q14=3,1,0),IF($X14&lt;30,1,0))</formula>
    </cfRule>
    <cfRule type="expression" priority="1661" dxfId="0">
      <formula>AND(IF($Q14=3,1,IF($Q14=4,1,0)),IF($F14&lt;=85,1,0))</formula>
    </cfRule>
  </conditionalFormatting>
  <conditionalFormatting sqref="X14">
    <cfRule type="expression" priority="1654" dxfId="3">
      <formula>AND(IF(OR($Q14=1,$Q14=2),1,0),IF($X14&lt;=20,1,0))</formula>
    </cfRule>
    <cfRule type="expression" priority="1655" dxfId="2">
      <formula>AND(IF($Q14=2,1,0),IF($X14&lt;30,1,0))</formula>
    </cfRule>
    <cfRule type="expression" priority="1656" dxfId="1">
      <formula>AND(IF($Q14=3,1,0),IF($X14&lt;30,1,0))</formula>
    </cfRule>
    <cfRule type="expression" priority="1657" dxfId="0">
      <formula>AND(IF($Q14=3,1,IF($Q14=4,1,0)),IF($F14&lt;=85,1,0))</formula>
    </cfRule>
  </conditionalFormatting>
  <conditionalFormatting sqref="AI14">
    <cfRule type="expression" priority="1650" dxfId="3">
      <formula>AND(IF(OR($Q14=1,$Q14=2),1,0),IF($X14&lt;=20,1,0))</formula>
    </cfRule>
    <cfRule type="expression" priority="1651" dxfId="2">
      <formula>AND(IF($Q14=2,1,0),IF($X14&lt;30,1,0))</formula>
    </cfRule>
    <cfRule type="expression" priority="1652" dxfId="1">
      <formula>AND(IF($Q14=3,1,0),IF($X14&lt;30,1,0))</formula>
    </cfRule>
    <cfRule type="expression" priority="1653" dxfId="0">
      <formula>AND(IF($Q14=3,1,IF($Q14=4,1,0)),IF($F14&lt;=85,1,0))</formula>
    </cfRule>
  </conditionalFormatting>
  <conditionalFormatting sqref="AV15">
    <cfRule type="expression" priority="1648" dxfId="17">
      <formula>AV15="X"</formula>
    </cfRule>
    <cfRule type="expression" priority="1649" dxfId="16">
      <formula>AV15="후보"</formula>
    </cfRule>
  </conditionalFormatting>
  <conditionalFormatting sqref="AC15">
    <cfRule type="cellIs" priority="1645" operator="greaterThan" dxfId="13">
      <formula>0.9</formula>
    </cfRule>
    <cfRule type="cellIs" priority="1646" operator="greaterThan" dxfId="12">
      <formula>0.85</formula>
    </cfRule>
  </conditionalFormatting>
  <conditionalFormatting sqref="N15">
    <cfRule type="cellIs" priority="1643" operator="greaterThan" dxfId="13">
      <formula>0.9</formula>
    </cfRule>
    <cfRule type="cellIs" priority="1644" operator="greaterThan" dxfId="12">
      <formula>0.85</formula>
    </cfRule>
  </conditionalFormatting>
  <conditionalFormatting sqref="E15">
    <cfRule type="expression" priority="1639" dxfId="3">
      <formula>AND(IF(OR($Q15=1,$Q15=2),1,0),IF($X15&lt;=20,1,0))</formula>
    </cfRule>
    <cfRule type="expression" priority="1640" dxfId="2">
      <formula>AND(IF($Q15=2,1,0),IF($X15&lt;30,1,0))</formula>
    </cfRule>
    <cfRule type="expression" priority="1641" dxfId="1">
      <formula>AND(IF($Q15=3,1,0),IF($X15&lt;30,1,0))</formula>
    </cfRule>
    <cfRule type="expression" priority="1642" dxfId="0">
      <formula>AND(IF($Q15=3,1,IF($Q15=4,1,0)),IF($F15&lt;=85,1,0))</formula>
    </cfRule>
  </conditionalFormatting>
  <conditionalFormatting sqref="X15">
    <cfRule type="expression" priority="1635" dxfId="3">
      <formula>AND(IF(OR($Q15=1,$Q15=2),1,0),IF($X15&lt;=20,1,0))</formula>
    </cfRule>
    <cfRule type="expression" priority="1636" dxfId="2">
      <formula>AND(IF($Q15=2,1,0),IF($X15&lt;30,1,0))</formula>
    </cfRule>
    <cfRule type="expression" priority="1637" dxfId="1">
      <formula>AND(IF($Q15=3,1,0),IF($X15&lt;30,1,0))</formula>
    </cfRule>
    <cfRule type="expression" priority="1638" dxfId="0">
      <formula>AND(IF($Q15=3,1,IF($Q15=4,1,0)),IF($F15&lt;=85,1,0))</formula>
    </cfRule>
  </conditionalFormatting>
  <conditionalFormatting sqref="AI15">
    <cfRule type="expression" priority="1631" dxfId="3">
      <formula>AND(IF(OR($Q15=1,$Q15=2),1,0),IF($X15&lt;=20,1,0))</formula>
    </cfRule>
    <cfRule type="expression" priority="1632" dxfId="2">
      <formula>AND(IF($Q15=2,1,0),IF($X15&lt;30,1,0))</formula>
    </cfRule>
    <cfRule type="expression" priority="1633" dxfId="1">
      <formula>AND(IF($Q15=3,1,0),IF($X15&lt;30,1,0))</formula>
    </cfRule>
    <cfRule type="expression" priority="1634" dxfId="0">
      <formula>AND(IF($Q15=3,1,IF($Q15=4,1,0)),IF($F15&lt;=85,1,0))</formula>
    </cfRule>
  </conditionalFormatting>
  <conditionalFormatting sqref="AV16">
    <cfRule type="expression" priority="1629" dxfId="17">
      <formula>AV16="X"</formula>
    </cfRule>
    <cfRule type="expression" priority="1630" dxfId="16">
      <formula>AV16="후보"</formula>
    </cfRule>
  </conditionalFormatting>
  <conditionalFormatting sqref="AC16">
    <cfRule type="cellIs" priority="1626" operator="greaterThan" dxfId="13">
      <formula>0.9</formula>
    </cfRule>
    <cfRule type="cellIs" priority="1627" operator="greaterThan" dxfId="12">
      <formula>0.85</formula>
    </cfRule>
  </conditionalFormatting>
  <conditionalFormatting sqref="N16">
    <cfRule type="cellIs" priority="1624" operator="greaterThan" dxfId="13">
      <formula>0.9</formula>
    </cfRule>
    <cfRule type="cellIs" priority="1625" operator="greaterThan" dxfId="12">
      <formula>0.85</formula>
    </cfRule>
  </conditionalFormatting>
  <conditionalFormatting sqref="E16">
    <cfRule type="expression" priority="1620" dxfId="3">
      <formula>AND(IF(OR($Q16=1,$Q16=2),1,0),IF($X16&lt;=20,1,0))</formula>
    </cfRule>
    <cfRule type="expression" priority="1621" dxfId="2">
      <formula>AND(IF($Q16=2,1,0),IF($X16&lt;30,1,0))</formula>
    </cfRule>
    <cfRule type="expression" priority="1622" dxfId="1">
      <formula>AND(IF($Q16=3,1,0),IF($X16&lt;30,1,0))</formula>
    </cfRule>
    <cfRule type="expression" priority="1623" dxfId="0">
      <formula>AND(IF($Q16=3,1,IF($Q16=4,1,0)),IF($F16&lt;=85,1,0))</formula>
    </cfRule>
  </conditionalFormatting>
  <conditionalFormatting sqref="X16">
    <cfRule type="expression" priority="1616" dxfId="3">
      <formula>AND(IF(OR($Q16=1,$Q16=2),1,0),IF($X16&lt;=20,1,0))</formula>
    </cfRule>
    <cfRule type="expression" priority="1617" dxfId="2">
      <formula>AND(IF($Q16=2,1,0),IF($X16&lt;30,1,0))</formula>
    </cfRule>
    <cfRule type="expression" priority="1618" dxfId="1">
      <formula>AND(IF($Q16=3,1,0),IF($X16&lt;30,1,0))</formula>
    </cfRule>
    <cfRule type="expression" priority="1619" dxfId="0">
      <formula>AND(IF($Q16=3,1,IF($Q16=4,1,0)),IF($F16&lt;=85,1,0))</formula>
    </cfRule>
  </conditionalFormatting>
  <conditionalFormatting sqref="AI16">
    <cfRule type="expression" priority="1612" dxfId="3">
      <formula>AND(IF(OR($Q16=1,$Q16=2),1,0),IF($X16&lt;=20,1,0))</formula>
    </cfRule>
    <cfRule type="expression" priority="1613" dxfId="2">
      <formula>AND(IF($Q16=2,1,0),IF($X16&lt;30,1,0))</formula>
    </cfRule>
    <cfRule type="expression" priority="1614" dxfId="1">
      <formula>AND(IF($Q16=3,1,0),IF($X16&lt;30,1,0))</formula>
    </cfRule>
    <cfRule type="expression" priority="1615" dxfId="0">
      <formula>AND(IF($Q16=3,1,IF($Q16=4,1,0)),IF($F16&lt;=85,1,0))</formula>
    </cfRule>
  </conditionalFormatting>
  <conditionalFormatting sqref="AV17">
    <cfRule type="expression" priority="1610" dxfId="17">
      <formula>AV17="X"</formula>
    </cfRule>
    <cfRule type="expression" priority="1611" dxfId="16">
      <formula>AV17="후보"</formula>
    </cfRule>
  </conditionalFormatting>
  <conditionalFormatting sqref="AC17 N17">
    <cfRule type="cellIs" priority="1607" operator="greaterThan" dxfId="13">
      <formula>0.9</formula>
    </cfRule>
    <cfRule type="cellIs" priority="1608" operator="greaterThan" dxfId="12">
      <formula>0.85</formula>
    </cfRule>
  </conditionalFormatting>
  <conditionalFormatting sqref="AV18">
    <cfRule type="expression" priority="1605" dxfId="17">
      <formula>AV18="X"</formula>
    </cfRule>
    <cfRule type="expression" priority="1606" dxfId="16">
      <formula>AV18="후보"</formula>
    </cfRule>
  </conditionalFormatting>
  <conditionalFormatting sqref="AC18">
    <cfRule type="cellIs" priority="1602" operator="greaterThan" dxfId="13">
      <formula>0.9</formula>
    </cfRule>
    <cfRule type="cellIs" priority="1603" operator="greaterThan" dxfId="12">
      <formula>0.85</formula>
    </cfRule>
  </conditionalFormatting>
  <conditionalFormatting sqref="N18">
    <cfRule type="cellIs" priority="1600" operator="greaterThan" dxfId="13">
      <formula>0.9</formula>
    </cfRule>
    <cfRule type="cellIs" priority="1601" operator="greaterThan" dxfId="12">
      <formula>0.85</formula>
    </cfRule>
  </conditionalFormatting>
  <conditionalFormatting sqref="E18">
    <cfRule type="expression" priority="1596" dxfId="3">
      <formula>AND(IF(OR($Q18=1,$Q18=2),1,0),IF($X18&lt;=20,1,0))</formula>
    </cfRule>
    <cfRule type="expression" priority="1597" dxfId="2">
      <formula>AND(IF($Q18=2,1,0),IF($X18&lt;30,1,0))</formula>
    </cfRule>
    <cfRule type="expression" priority="1598" dxfId="1">
      <formula>AND(IF($Q18=3,1,0),IF($X18&lt;30,1,0))</formula>
    </cfRule>
    <cfRule type="expression" priority="1599" dxfId="0">
      <formula>AND(IF($Q18=3,1,IF($Q18=4,1,0)),IF($F18&lt;=85,1,0))</formula>
    </cfRule>
  </conditionalFormatting>
  <conditionalFormatting sqref="X18">
    <cfRule type="expression" priority="1592" dxfId="3">
      <formula>AND(IF(OR($Q18=1,$Q18=2),1,0),IF($X18&lt;=20,1,0))</formula>
    </cfRule>
    <cfRule type="expression" priority="1593" dxfId="2">
      <formula>AND(IF($Q18=2,1,0),IF($X18&lt;30,1,0))</formula>
    </cfRule>
    <cfRule type="expression" priority="1594" dxfId="1">
      <formula>AND(IF($Q18=3,1,0),IF($X18&lt;30,1,0))</formula>
    </cfRule>
    <cfRule type="expression" priority="1595" dxfId="0">
      <formula>AND(IF($Q18=3,1,IF($Q18=4,1,0)),IF($F18&lt;=85,1,0))</formula>
    </cfRule>
  </conditionalFormatting>
  <conditionalFormatting sqref="AI18">
    <cfRule type="expression" priority="1588" dxfId="3">
      <formula>AND(IF(OR($Q18=1,$Q18=2),1,0),IF($X18&lt;=20,1,0))</formula>
    </cfRule>
    <cfRule type="expression" priority="1589" dxfId="2">
      <formula>AND(IF($Q18=2,1,0),IF($X18&lt;30,1,0))</formula>
    </cfRule>
    <cfRule type="expression" priority="1590" dxfId="1">
      <formula>AND(IF($Q18=3,1,0),IF($X18&lt;30,1,0))</formula>
    </cfRule>
    <cfRule type="expression" priority="1591" dxfId="0">
      <formula>AND(IF($Q18=3,1,IF($Q18=4,1,0)),IF($F18&lt;=85,1,0))</formula>
    </cfRule>
  </conditionalFormatting>
  <conditionalFormatting sqref="AV19">
    <cfRule type="expression" priority="1586" dxfId="17">
      <formula>AV19="X"</formula>
    </cfRule>
    <cfRule type="expression" priority="1587" dxfId="16">
      <formula>AV19="후보"</formula>
    </cfRule>
  </conditionalFormatting>
  <conditionalFormatting sqref="AC19">
    <cfRule type="cellIs" priority="1583" operator="greaterThan" dxfId="13">
      <formula>0.9</formula>
    </cfRule>
    <cfRule type="cellIs" priority="1584" operator="greaterThan" dxfId="12">
      <formula>0.85</formula>
    </cfRule>
  </conditionalFormatting>
  <conditionalFormatting sqref="N19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E19">
    <cfRule type="expression" priority="1577" dxfId="3">
      <formula>AND(IF(OR($Q19=1,$Q19=2),1,0),IF($X19&lt;=20,1,0))</formula>
    </cfRule>
    <cfRule type="expression" priority="1578" dxfId="2">
      <formula>AND(IF($Q19=2,1,0),IF($X19&lt;30,1,0))</formula>
    </cfRule>
    <cfRule type="expression" priority="1579" dxfId="1">
      <formula>AND(IF($Q19=3,1,0),IF($X19&lt;30,1,0))</formula>
    </cfRule>
    <cfRule type="expression" priority="1580" dxfId="0">
      <formula>AND(IF($Q19=3,1,IF($Q19=4,1,0)),IF($F19&lt;=85,1,0))</formula>
    </cfRule>
  </conditionalFormatting>
  <conditionalFormatting sqref="X19">
    <cfRule type="expression" priority="1573" dxfId="3">
      <formula>AND(IF(OR($Q19=1,$Q19=2),1,0),IF($X19&lt;=20,1,0))</formula>
    </cfRule>
    <cfRule type="expression" priority="1574" dxfId="2">
      <formula>AND(IF($Q19=2,1,0),IF($X19&lt;30,1,0))</formula>
    </cfRule>
    <cfRule type="expression" priority="1575" dxfId="1">
      <formula>AND(IF($Q19=3,1,0),IF($X19&lt;30,1,0))</formula>
    </cfRule>
    <cfRule type="expression" priority="1576" dxfId="0">
      <formula>AND(IF($Q19=3,1,IF($Q19=4,1,0)),IF($F19&lt;=85,1,0))</formula>
    </cfRule>
  </conditionalFormatting>
  <conditionalFormatting sqref="AI19">
    <cfRule type="expression" priority="1569" dxfId="3">
      <formula>AND(IF(OR($Q19=1,$Q19=2),1,0),IF($X19&lt;=20,1,0))</formula>
    </cfRule>
    <cfRule type="expression" priority="1570" dxfId="2">
      <formula>AND(IF($Q19=2,1,0),IF($X19&lt;30,1,0))</formula>
    </cfRule>
    <cfRule type="expression" priority="1571" dxfId="1">
      <formula>AND(IF($Q19=3,1,0),IF($X19&lt;30,1,0))</formula>
    </cfRule>
    <cfRule type="expression" priority="1572" dxfId="0">
      <formula>AND(IF($Q19=3,1,IF($Q19=4,1,0)),IF($F19&lt;=85,1,0))</formula>
    </cfRule>
  </conditionalFormatting>
  <conditionalFormatting sqref="AV20">
    <cfRule type="expression" priority="1567" dxfId="17">
      <formula>AV20="X"</formula>
    </cfRule>
    <cfRule type="expression" priority="1568" dxfId="16">
      <formula>AV20="후보"</formula>
    </cfRule>
  </conditionalFormatting>
  <conditionalFormatting sqref="AC20">
    <cfRule type="cellIs" priority="1564" operator="greaterThan" dxfId="13">
      <formula>0.9</formula>
    </cfRule>
    <cfRule type="cellIs" priority="1565" operator="greaterThan" dxfId="12">
      <formula>0.85</formula>
    </cfRule>
  </conditionalFormatting>
  <conditionalFormatting sqref="N20">
    <cfRule type="cellIs" priority="1562" operator="greaterThan" dxfId="13">
      <formula>0.9</formula>
    </cfRule>
    <cfRule type="cellIs" priority="1563" operator="greaterThan" dxfId="12">
      <formula>0.85</formula>
    </cfRule>
  </conditionalFormatting>
  <conditionalFormatting sqref="E20">
    <cfRule type="expression" priority="1558" dxfId="3">
      <formula>AND(IF(OR($Q20=1,$Q20=2),1,0),IF($X20&lt;=20,1,0))</formula>
    </cfRule>
    <cfRule type="expression" priority="1559" dxfId="2">
      <formula>AND(IF($Q20=2,1,0),IF($X20&lt;30,1,0))</formula>
    </cfRule>
    <cfRule type="expression" priority="1560" dxfId="1">
      <formula>AND(IF($Q20=3,1,0),IF($X20&lt;30,1,0))</formula>
    </cfRule>
    <cfRule type="expression" priority="1561" dxfId="0">
      <formula>AND(IF($Q20=3,1,IF($Q20=4,1,0)),IF($F20&lt;=85,1,0))</formula>
    </cfRule>
  </conditionalFormatting>
  <conditionalFormatting sqref="X20">
    <cfRule type="expression" priority="1554" dxfId="3">
      <formula>AND(IF(OR($Q20=1,$Q20=2),1,0),IF($X20&lt;=20,1,0))</formula>
    </cfRule>
    <cfRule type="expression" priority="1555" dxfId="2">
      <formula>AND(IF($Q20=2,1,0),IF($X20&lt;30,1,0))</formula>
    </cfRule>
    <cfRule type="expression" priority="1556" dxfId="1">
      <formula>AND(IF($Q20=3,1,0),IF($X20&lt;30,1,0))</formula>
    </cfRule>
    <cfRule type="expression" priority="1557" dxfId="0">
      <formula>AND(IF($Q20=3,1,IF($Q20=4,1,0)),IF($F20&lt;=85,1,0))</formula>
    </cfRule>
  </conditionalFormatting>
  <conditionalFormatting sqref="AI20">
    <cfRule type="expression" priority="1550" dxfId="3">
      <formula>AND(IF(OR($Q20=1,$Q20=2),1,0),IF($X20&lt;=20,1,0))</formula>
    </cfRule>
    <cfRule type="expression" priority="1551" dxfId="2">
      <formula>AND(IF($Q20=2,1,0),IF($X20&lt;30,1,0))</formula>
    </cfRule>
    <cfRule type="expression" priority="1552" dxfId="1">
      <formula>AND(IF($Q20=3,1,0),IF($X20&lt;30,1,0))</formula>
    </cfRule>
    <cfRule type="expression" priority="1553" dxfId="0">
      <formula>AND(IF($Q20=3,1,IF($Q20=4,1,0)),IF($F20&lt;=85,1,0))</formula>
    </cfRule>
  </conditionalFormatting>
  <conditionalFormatting sqref="AV21">
    <cfRule type="expression" priority="1548" dxfId="17">
      <formula>AV21="X"</formula>
    </cfRule>
    <cfRule type="expression" priority="1549" dxfId="16">
      <formula>AV21="후보"</formula>
    </cfRule>
  </conditionalFormatting>
  <conditionalFormatting sqref="AC21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21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21">
    <cfRule type="expression" priority="1539" dxfId="3">
      <formula>AND(IF(OR($Q21=1,$Q21=2),1,0),IF($X21&lt;=20,1,0))</formula>
    </cfRule>
    <cfRule type="expression" priority="1540" dxfId="2">
      <formula>AND(IF($Q21=2,1,0),IF($X21&lt;30,1,0))</formula>
    </cfRule>
    <cfRule type="expression" priority="1541" dxfId="1">
      <formula>AND(IF($Q21=3,1,0),IF($X21&lt;30,1,0))</formula>
    </cfRule>
    <cfRule type="expression" priority="1542" dxfId="0">
      <formula>AND(IF($Q21=3,1,IF($Q21=4,1,0)),IF($F21&lt;=85,1,0))</formula>
    </cfRule>
  </conditionalFormatting>
  <conditionalFormatting sqref="X21">
    <cfRule type="expression" priority="1535" dxfId="3">
      <formula>AND(IF(OR($Q21=1,$Q21=2),1,0),IF($X21&lt;=20,1,0))</formula>
    </cfRule>
    <cfRule type="expression" priority="1536" dxfId="2">
      <formula>AND(IF($Q21=2,1,0),IF($X21&lt;30,1,0))</formula>
    </cfRule>
    <cfRule type="expression" priority="1537" dxfId="1">
      <formula>AND(IF($Q21=3,1,0),IF($X21&lt;30,1,0))</formula>
    </cfRule>
    <cfRule type="expression" priority="1538" dxfId="0">
      <formula>AND(IF($Q21=3,1,IF($Q21=4,1,0)),IF($F21&lt;=85,1,0))</formula>
    </cfRule>
  </conditionalFormatting>
  <conditionalFormatting sqref="AI21">
    <cfRule type="expression" priority="1531" dxfId="3">
      <formula>AND(IF(OR($Q21=1,$Q21=2),1,0),IF($X21&lt;=20,1,0))</formula>
    </cfRule>
    <cfRule type="expression" priority="1532" dxfId="2">
      <formula>AND(IF($Q21=2,1,0),IF($X21&lt;30,1,0))</formula>
    </cfRule>
    <cfRule type="expression" priority="1533" dxfId="1">
      <formula>AND(IF($Q21=3,1,0),IF($X21&lt;30,1,0))</formula>
    </cfRule>
    <cfRule type="expression" priority="1534" dxfId="0">
      <formula>AND(IF($Q21=3,1,IF($Q21=4,1,0)),IF($F21&lt;=85,1,0))</formula>
    </cfRule>
  </conditionalFormatting>
  <conditionalFormatting sqref="AV22">
    <cfRule type="expression" priority="1529" dxfId="17">
      <formula>AV22="X"</formula>
    </cfRule>
    <cfRule type="expression" priority="1530" dxfId="16">
      <formula>AV22="후보"</formula>
    </cfRule>
  </conditionalFormatting>
  <conditionalFormatting sqref="AC22 N22">
    <cfRule type="cellIs" priority="1526" operator="greaterThan" dxfId="13">
      <formula>0.9</formula>
    </cfRule>
    <cfRule type="cellIs" priority="1527" operator="greaterThan" dxfId="12">
      <formula>0.85</formula>
    </cfRule>
  </conditionalFormatting>
  <conditionalFormatting sqref="AV23">
    <cfRule type="expression" priority="1524" dxfId="17">
      <formula>AV23="X"</formula>
    </cfRule>
    <cfRule type="expression" priority="1525" dxfId="16">
      <formula>AV23="후보"</formula>
    </cfRule>
  </conditionalFormatting>
  <conditionalFormatting sqref="AC23">
    <cfRule type="cellIs" priority="1521" operator="greaterThan" dxfId="13">
      <formula>0.9</formula>
    </cfRule>
    <cfRule type="cellIs" priority="1522" operator="greaterThan" dxfId="12">
      <formula>0.85</formula>
    </cfRule>
  </conditionalFormatting>
  <conditionalFormatting sqref="N23">
    <cfRule type="cellIs" priority="1519" operator="greaterThan" dxfId="13">
      <formula>0.9</formula>
    </cfRule>
    <cfRule type="cellIs" priority="1520" operator="greaterThan" dxfId="12">
      <formula>0.85</formula>
    </cfRule>
  </conditionalFormatting>
  <conditionalFormatting sqref="E23">
    <cfRule type="expression" priority="1515" dxfId="3">
      <formula>AND(IF(OR($Q23=1,$Q23=2),1,0),IF($X23&lt;=20,1,0))</formula>
    </cfRule>
    <cfRule type="expression" priority="1516" dxfId="2">
      <formula>AND(IF($Q23=2,1,0),IF($X23&lt;30,1,0))</formula>
    </cfRule>
    <cfRule type="expression" priority="1517" dxfId="1">
      <formula>AND(IF($Q23=3,1,0),IF($X23&lt;30,1,0))</formula>
    </cfRule>
    <cfRule type="expression" priority="1518" dxfId="0">
      <formula>AND(IF($Q23=3,1,IF($Q23=4,1,0)),IF($F23&lt;=85,1,0))</formula>
    </cfRule>
  </conditionalFormatting>
  <conditionalFormatting sqref="X23">
    <cfRule type="expression" priority="1511" dxfId="3">
      <formula>AND(IF(OR($Q23=1,$Q23=2),1,0),IF($X23&lt;=20,1,0))</formula>
    </cfRule>
    <cfRule type="expression" priority="1512" dxfId="2">
      <formula>AND(IF($Q23=2,1,0),IF($X23&lt;30,1,0))</formula>
    </cfRule>
    <cfRule type="expression" priority="1513" dxfId="1">
      <formula>AND(IF($Q23=3,1,0),IF($X23&lt;30,1,0))</formula>
    </cfRule>
    <cfRule type="expression" priority="1514" dxfId="0">
      <formula>AND(IF($Q23=3,1,IF($Q23=4,1,0)),IF($F23&lt;=85,1,0))</formula>
    </cfRule>
  </conditionalFormatting>
  <conditionalFormatting sqref="AI23">
    <cfRule type="expression" priority="1507" dxfId="3">
      <formula>AND(IF(OR($Q23=1,$Q23=2),1,0),IF($X23&lt;=20,1,0))</formula>
    </cfRule>
    <cfRule type="expression" priority="1508" dxfId="2">
      <formula>AND(IF($Q23=2,1,0),IF($X23&lt;30,1,0))</formula>
    </cfRule>
    <cfRule type="expression" priority="1509" dxfId="1">
      <formula>AND(IF($Q23=3,1,0),IF($X23&lt;30,1,0))</formula>
    </cfRule>
    <cfRule type="expression" priority="1510" dxfId="0">
      <formula>AND(IF($Q23=3,1,IF($Q23=4,1,0)),IF($F23&lt;=85,1,0))</formula>
    </cfRule>
  </conditionalFormatting>
  <conditionalFormatting sqref="AV24">
    <cfRule type="expression" priority="1505" dxfId="17">
      <formula>AV24="X"</formula>
    </cfRule>
    <cfRule type="expression" priority="1506" dxfId="16">
      <formula>AV24="후보"</formula>
    </cfRule>
  </conditionalFormatting>
  <conditionalFormatting sqref="AC24">
    <cfRule type="cellIs" priority="1502" operator="greaterThan" dxfId="13">
      <formula>0.9</formula>
    </cfRule>
    <cfRule type="cellIs" priority="1503" operator="greaterThan" dxfId="12">
      <formula>0.85</formula>
    </cfRule>
  </conditionalFormatting>
  <conditionalFormatting sqref="N24">
    <cfRule type="cellIs" priority="1500" operator="greaterThan" dxfId="13">
      <formula>0.9</formula>
    </cfRule>
    <cfRule type="cellIs" priority="1501" operator="greaterThan" dxfId="12">
      <formula>0.85</formula>
    </cfRule>
  </conditionalFormatting>
  <conditionalFormatting sqref="E24">
    <cfRule type="expression" priority="1496" dxfId="3">
      <formula>AND(IF(OR($Q24=1,$Q24=2),1,0),IF($X24&lt;=20,1,0))</formula>
    </cfRule>
    <cfRule type="expression" priority="1497" dxfId="2">
      <formula>AND(IF($Q24=2,1,0),IF($X24&lt;30,1,0))</formula>
    </cfRule>
    <cfRule type="expression" priority="1498" dxfId="1">
      <formula>AND(IF($Q24=3,1,0),IF($X24&lt;30,1,0))</formula>
    </cfRule>
    <cfRule type="expression" priority="1499" dxfId="0">
      <formula>AND(IF($Q24=3,1,IF($Q24=4,1,0)),IF($F24&lt;=85,1,0))</formula>
    </cfRule>
  </conditionalFormatting>
  <conditionalFormatting sqref="X24">
    <cfRule type="expression" priority="1492" dxfId="3">
      <formula>AND(IF(OR($Q24=1,$Q24=2),1,0),IF($X24&lt;=20,1,0))</formula>
    </cfRule>
    <cfRule type="expression" priority="1493" dxfId="2">
      <formula>AND(IF($Q24=2,1,0),IF($X24&lt;30,1,0))</formula>
    </cfRule>
    <cfRule type="expression" priority="1494" dxfId="1">
      <formula>AND(IF($Q24=3,1,0),IF($X24&lt;30,1,0))</formula>
    </cfRule>
    <cfRule type="expression" priority="1495" dxfId="0">
      <formula>AND(IF($Q24=3,1,IF($Q24=4,1,0)),IF($F24&lt;=85,1,0))</formula>
    </cfRule>
  </conditionalFormatting>
  <conditionalFormatting sqref="AI24">
    <cfRule type="expression" priority="1488" dxfId="3">
      <formula>AND(IF(OR($Q24=1,$Q24=2),1,0),IF($X24&lt;=20,1,0))</formula>
    </cfRule>
    <cfRule type="expression" priority="1489" dxfId="2">
      <formula>AND(IF($Q24=2,1,0),IF($X24&lt;30,1,0))</formula>
    </cfRule>
    <cfRule type="expression" priority="1490" dxfId="1">
      <formula>AND(IF($Q24=3,1,0),IF($X24&lt;30,1,0))</formula>
    </cfRule>
    <cfRule type="expression" priority="1491" dxfId="0">
      <formula>AND(IF($Q24=3,1,IF($Q24=4,1,0)),IF($F24&lt;=85,1,0))</formula>
    </cfRule>
  </conditionalFormatting>
  <conditionalFormatting sqref="AV25">
    <cfRule type="expression" priority="1486" dxfId="17">
      <formula>AV25="X"</formula>
    </cfRule>
    <cfRule type="expression" priority="1487" dxfId="16">
      <formula>AV25="후보"</formula>
    </cfRule>
  </conditionalFormatting>
  <conditionalFormatting sqref="AC25 N25">
    <cfRule type="cellIs" priority="1483" operator="greaterThan" dxfId="13">
      <formula>0.9</formula>
    </cfRule>
    <cfRule type="cellIs" priority="1484" operator="greaterThan" dxfId="12">
      <formula>0.85</formula>
    </cfRule>
  </conditionalFormatting>
  <conditionalFormatting sqref="AV26">
    <cfRule type="expression" priority="1481" dxfId="17">
      <formula>AV26="X"</formula>
    </cfRule>
    <cfRule type="expression" priority="1482" dxfId="16">
      <formula>AV26="후보"</formula>
    </cfRule>
  </conditionalFormatting>
  <conditionalFormatting sqref="AC26">
    <cfRule type="cellIs" priority="1478" operator="greaterThan" dxfId="13">
      <formula>0.9</formula>
    </cfRule>
    <cfRule type="cellIs" priority="1479" operator="greaterThan" dxfId="12">
      <formula>0.85</formula>
    </cfRule>
  </conditionalFormatting>
  <conditionalFormatting sqref="N26">
    <cfRule type="cellIs" priority="1476" operator="greaterThan" dxfId="13">
      <formula>0.9</formula>
    </cfRule>
    <cfRule type="cellIs" priority="1477" operator="greaterThan" dxfId="12">
      <formula>0.85</formula>
    </cfRule>
  </conditionalFormatting>
  <conditionalFormatting sqref="E26">
    <cfRule type="expression" priority="1472" dxfId="3">
      <formula>AND(IF(OR($Q26=1,$Q26=2),1,0),IF($X26&lt;=20,1,0))</formula>
    </cfRule>
    <cfRule type="expression" priority="1473" dxfId="2">
      <formula>AND(IF($Q26=2,1,0),IF($X26&lt;30,1,0))</formula>
    </cfRule>
    <cfRule type="expression" priority="1474" dxfId="1">
      <formula>AND(IF($Q26=3,1,0),IF($X26&lt;30,1,0))</formula>
    </cfRule>
    <cfRule type="expression" priority="1475" dxfId="0">
      <formula>AND(IF($Q26=3,1,IF($Q26=4,1,0)),IF($F26&lt;=85,1,0))</formula>
    </cfRule>
  </conditionalFormatting>
  <conditionalFormatting sqref="X26">
    <cfRule type="expression" priority="1468" dxfId="3">
      <formula>AND(IF(OR($Q26=1,$Q26=2),1,0),IF($X26&lt;=20,1,0))</formula>
    </cfRule>
    <cfRule type="expression" priority="1469" dxfId="2">
      <formula>AND(IF($Q26=2,1,0),IF($X26&lt;30,1,0))</formula>
    </cfRule>
    <cfRule type="expression" priority="1470" dxfId="1">
      <formula>AND(IF($Q26=3,1,0),IF($X26&lt;30,1,0))</formula>
    </cfRule>
    <cfRule type="expression" priority="1471" dxfId="0">
      <formula>AND(IF($Q26=3,1,IF($Q26=4,1,0)),IF($F26&lt;=85,1,0))</formula>
    </cfRule>
  </conditionalFormatting>
  <conditionalFormatting sqref="AI26">
    <cfRule type="expression" priority="1464" dxfId="3">
      <formula>AND(IF(OR($Q26=1,$Q26=2),1,0),IF($X26&lt;=20,1,0))</formula>
    </cfRule>
    <cfRule type="expression" priority="1465" dxfId="2">
      <formula>AND(IF($Q26=2,1,0),IF($X26&lt;30,1,0))</formula>
    </cfRule>
    <cfRule type="expression" priority="1466" dxfId="1">
      <formula>AND(IF($Q26=3,1,0),IF($X26&lt;30,1,0))</formula>
    </cfRule>
    <cfRule type="expression" priority="1467" dxfId="0">
      <formula>AND(IF($Q26=3,1,IF($Q26=4,1,0)),IF($F26&lt;=85,1,0))</formula>
    </cfRule>
  </conditionalFormatting>
  <conditionalFormatting sqref="AV27">
    <cfRule type="expression" priority="1462" dxfId="17">
      <formula>AV27="X"</formula>
    </cfRule>
    <cfRule type="expression" priority="1463" dxfId="16">
      <formula>AV27="후보"</formula>
    </cfRule>
  </conditionalFormatting>
  <conditionalFormatting sqref="AC27">
    <cfRule type="cellIs" priority="1459" operator="greaterThan" dxfId="13">
      <formula>0.9</formula>
    </cfRule>
    <cfRule type="cellIs" priority="1460" operator="greaterThan" dxfId="12">
      <formula>0.85</formula>
    </cfRule>
  </conditionalFormatting>
  <conditionalFormatting sqref="N27">
    <cfRule type="cellIs" priority="1457" operator="greaterThan" dxfId="13">
      <formula>0.9</formula>
    </cfRule>
    <cfRule type="cellIs" priority="1458" operator="greaterThan" dxfId="12">
      <formula>0.85</formula>
    </cfRule>
  </conditionalFormatting>
  <conditionalFormatting sqref="E27">
    <cfRule type="expression" priority="1453" dxfId="3">
      <formula>AND(IF(OR($Q27=1,$Q27=2),1,0),IF($X27&lt;=20,1,0))</formula>
    </cfRule>
    <cfRule type="expression" priority="1454" dxfId="2">
      <formula>AND(IF($Q27=2,1,0),IF($X27&lt;30,1,0))</formula>
    </cfRule>
    <cfRule type="expression" priority="1455" dxfId="1">
      <formula>AND(IF($Q27=3,1,0),IF($X27&lt;30,1,0))</formula>
    </cfRule>
    <cfRule type="expression" priority="1456" dxfId="0">
      <formula>AND(IF($Q27=3,1,IF($Q27=4,1,0)),IF($F27&lt;=85,1,0))</formula>
    </cfRule>
  </conditionalFormatting>
  <conditionalFormatting sqref="X27">
    <cfRule type="expression" priority="1449" dxfId="3">
      <formula>AND(IF(OR($Q27=1,$Q27=2),1,0),IF($X27&lt;=20,1,0))</formula>
    </cfRule>
    <cfRule type="expression" priority="1450" dxfId="2">
      <formula>AND(IF($Q27=2,1,0),IF($X27&lt;30,1,0))</formula>
    </cfRule>
    <cfRule type="expression" priority="1451" dxfId="1">
      <formula>AND(IF($Q27=3,1,0),IF($X27&lt;30,1,0))</formula>
    </cfRule>
    <cfRule type="expression" priority="1452" dxfId="0">
      <formula>AND(IF($Q27=3,1,IF($Q27=4,1,0)),IF($F27&lt;=85,1,0))</formula>
    </cfRule>
  </conditionalFormatting>
  <conditionalFormatting sqref="AI27">
    <cfRule type="expression" priority="1445" dxfId="3">
      <formula>AND(IF(OR($Q27=1,$Q27=2),1,0),IF($X27&lt;=20,1,0))</formula>
    </cfRule>
    <cfRule type="expression" priority="1446" dxfId="2">
      <formula>AND(IF($Q27=2,1,0),IF($X27&lt;30,1,0))</formula>
    </cfRule>
    <cfRule type="expression" priority="1447" dxfId="1">
      <formula>AND(IF($Q27=3,1,0),IF($X27&lt;30,1,0))</formula>
    </cfRule>
    <cfRule type="expression" priority="1448" dxfId="0">
      <formula>AND(IF($Q27=3,1,IF($Q27=4,1,0)),IF($F27&lt;=85,1,0))</formula>
    </cfRule>
  </conditionalFormatting>
  <conditionalFormatting sqref="AV28">
    <cfRule type="expression" priority="1443" dxfId="17">
      <formula>AV28="X"</formula>
    </cfRule>
    <cfRule type="expression" priority="1444" dxfId="16">
      <formula>AV28="후보"</formula>
    </cfRule>
  </conditionalFormatting>
  <conditionalFormatting sqref="AC28">
    <cfRule type="cellIs" priority="1440" operator="greaterThan" dxfId="13">
      <formula>0.9</formula>
    </cfRule>
    <cfRule type="cellIs" priority="1441" operator="greaterThan" dxfId="12">
      <formula>0.85</formula>
    </cfRule>
  </conditionalFormatting>
  <conditionalFormatting sqref="N28">
    <cfRule type="cellIs" priority="1438" operator="greaterThan" dxfId="13">
      <formula>0.9</formula>
    </cfRule>
    <cfRule type="cellIs" priority="1439" operator="greaterThan" dxfId="12">
      <formula>0.85</formula>
    </cfRule>
  </conditionalFormatting>
  <conditionalFormatting sqref="E28">
    <cfRule type="expression" priority="1434" dxfId="3">
      <formula>AND(IF(OR($Q28=1,$Q28=2),1,0),IF($X28&lt;=20,1,0))</formula>
    </cfRule>
    <cfRule type="expression" priority="1435" dxfId="2">
      <formula>AND(IF($Q28=2,1,0),IF($X28&lt;30,1,0))</formula>
    </cfRule>
    <cfRule type="expression" priority="1436" dxfId="1">
      <formula>AND(IF($Q28=3,1,0),IF($X28&lt;30,1,0))</formula>
    </cfRule>
    <cfRule type="expression" priority="1437" dxfId="0">
      <formula>AND(IF($Q28=3,1,IF($Q28=4,1,0)),IF($F28&lt;=85,1,0))</formula>
    </cfRule>
  </conditionalFormatting>
  <conditionalFormatting sqref="X28">
    <cfRule type="expression" priority="1430" dxfId="3">
      <formula>AND(IF(OR($Q28=1,$Q28=2),1,0),IF($X28&lt;=20,1,0))</formula>
    </cfRule>
    <cfRule type="expression" priority="1431" dxfId="2">
      <formula>AND(IF($Q28=2,1,0),IF($X28&lt;30,1,0))</formula>
    </cfRule>
    <cfRule type="expression" priority="1432" dxfId="1">
      <formula>AND(IF($Q28=3,1,0),IF($X28&lt;30,1,0))</formula>
    </cfRule>
    <cfRule type="expression" priority="1433" dxfId="0">
      <formula>AND(IF($Q28=3,1,IF($Q28=4,1,0)),IF($F28&lt;=85,1,0))</formula>
    </cfRule>
  </conditionalFormatting>
  <conditionalFormatting sqref="AI28">
    <cfRule type="expression" priority="1426" dxfId="3">
      <formula>AND(IF(OR($Q28=1,$Q28=2),1,0),IF($X28&lt;=20,1,0))</formula>
    </cfRule>
    <cfRule type="expression" priority="1427" dxfId="2">
      <formula>AND(IF($Q28=2,1,0),IF($X28&lt;30,1,0))</formula>
    </cfRule>
    <cfRule type="expression" priority="1428" dxfId="1">
      <formula>AND(IF($Q28=3,1,0),IF($X28&lt;30,1,0))</formula>
    </cfRule>
    <cfRule type="expression" priority="1429" dxfId="0">
      <formula>AND(IF($Q28=3,1,IF($Q28=4,1,0)),IF($F28&lt;=85,1,0))</formula>
    </cfRule>
  </conditionalFormatting>
  <conditionalFormatting sqref="AV29">
    <cfRule type="expression" priority="1424" dxfId="17">
      <formula>AV29="X"</formula>
    </cfRule>
    <cfRule type="expression" priority="1425" dxfId="16">
      <formula>AV29="후보"</formula>
    </cfRule>
  </conditionalFormatting>
  <conditionalFormatting sqref="AC29 N29">
    <cfRule type="cellIs" priority="1421" operator="greaterThan" dxfId="13">
      <formula>0.9</formula>
    </cfRule>
    <cfRule type="cellIs" priority="1422" operator="greaterThan" dxfId="12">
      <formula>0.85</formula>
    </cfRule>
  </conditionalFormatting>
  <conditionalFormatting sqref="AV30">
    <cfRule type="expression" priority="1419" dxfId="17">
      <formula>AV30="X"</formula>
    </cfRule>
    <cfRule type="expression" priority="1420" dxfId="16">
      <formula>AV30="후보"</formula>
    </cfRule>
  </conditionalFormatting>
  <conditionalFormatting sqref="AC30">
    <cfRule type="cellIs" priority="1416" operator="greaterThan" dxfId="13">
      <formula>0.9</formula>
    </cfRule>
    <cfRule type="cellIs" priority="1417" operator="greaterThan" dxfId="12">
      <formula>0.85</formula>
    </cfRule>
  </conditionalFormatting>
  <conditionalFormatting sqref="N30">
    <cfRule type="cellIs" priority="1414" operator="greaterThan" dxfId="13">
      <formula>0.9</formula>
    </cfRule>
    <cfRule type="cellIs" priority="1415" operator="greaterThan" dxfId="12">
      <formula>0.85</formula>
    </cfRule>
  </conditionalFormatting>
  <conditionalFormatting sqref="E30">
    <cfRule type="expression" priority="1410" dxfId="3">
      <formula>AND(IF(OR($Q30=1,$Q30=2),1,0),IF($X30&lt;=20,1,0))</formula>
    </cfRule>
    <cfRule type="expression" priority="1411" dxfId="2">
      <formula>AND(IF($Q30=2,1,0),IF($X30&lt;30,1,0))</formula>
    </cfRule>
    <cfRule type="expression" priority="1412" dxfId="1">
      <formula>AND(IF($Q30=3,1,0),IF($X30&lt;30,1,0))</formula>
    </cfRule>
    <cfRule type="expression" priority="1413" dxfId="0">
      <formula>AND(IF($Q30=3,1,IF($Q30=4,1,0)),IF($F30&lt;=85,1,0))</formula>
    </cfRule>
  </conditionalFormatting>
  <conditionalFormatting sqref="X30">
    <cfRule type="expression" priority="1406" dxfId="3">
      <formula>AND(IF(OR($Q30=1,$Q30=2),1,0),IF($X30&lt;=20,1,0))</formula>
    </cfRule>
    <cfRule type="expression" priority="1407" dxfId="2">
      <formula>AND(IF($Q30=2,1,0),IF($X30&lt;30,1,0))</formula>
    </cfRule>
    <cfRule type="expression" priority="1408" dxfId="1">
      <formula>AND(IF($Q30=3,1,0),IF($X30&lt;30,1,0))</formula>
    </cfRule>
    <cfRule type="expression" priority="1409" dxfId="0">
      <formula>AND(IF($Q30=3,1,IF($Q30=4,1,0)),IF($F30&lt;=85,1,0))</formula>
    </cfRule>
  </conditionalFormatting>
  <conditionalFormatting sqref="AI30">
    <cfRule type="expression" priority="1402" dxfId="3">
      <formula>AND(IF(OR($Q30=1,$Q30=2),1,0),IF($X30&lt;=20,1,0))</formula>
    </cfRule>
    <cfRule type="expression" priority="1403" dxfId="2">
      <formula>AND(IF($Q30=2,1,0),IF($X30&lt;30,1,0))</formula>
    </cfRule>
    <cfRule type="expression" priority="1404" dxfId="1">
      <formula>AND(IF($Q30=3,1,0),IF($X30&lt;30,1,0))</formula>
    </cfRule>
    <cfRule type="expression" priority="1405" dxfId="0">
      <formula>AND(IF($Q30=3,1,IF($Q30=4,1,0)),IF($F30&lt;=85,1,0))</formula>
    </cfRule>
  </conditionalFormatting>
  <conditionalFormatting sqref="AV31">
    <cfRule type="expression" priority="1400" dxfId="17">
      <formula>AV31="X"</formula>
    </cfRule>
    <cfRule type="expression" priority="1401" dxfId="16">
      <formula>AV31="후보"</formula>
    </cfRule>
  </conditionalFormatting>
  <conditionalFormatting sqref="AC31">
    <cfRule type="cellIs" priority="1397" operator="greaterThan" dxfId="13">
      <formula>0.9</formula>
    </cfRule>
    <cfRule type="cellIs" priority="1398" operator="greaterThan" dxfId="12">
      <formula>0.85</formula>
    </cfRule>
  </conditionalFormatting>
  <conditionalFormatting sqref="N31">
    <cfRule type="cellIs" priority="1395" operator="greaterThan" dxfId="13">
      <formula>0.9</formula>
    </cfRule>
    <cfRule type="cellIs" priority="1396" operator="greaterThan" dxfId="12">
      <formula>0.85</formula>
    </cfRule>
  </conditionalFormatting>
  <conditionalFormatting sqref="E31">
    <cfRule type="expression" priority="1391" dxfId="3">
      <formula>AND(IF(OR($Q31=1,$Q31=2),1,0),IF($X31&lt;=20,1,0))</formula>
    </cfRule>
    <cfRule type="expression" priority="1392" dxfId="2">
      <formula>AND(IF($Q31=2,1,0),IF($X31&lt;30,1,0))</formula>
    </cfRule>
    <cfRule type="expression" priority="1393" dxfId="1">
      <formula>AND(IF($Q31=3,1,0),IF($X31&lt;30,1,0))</formula>
    </cfRule>
    <cfRule type="expression" priority="1394" dxfId="0">
      <formula>AND(IF($Q31=3,1,IF($Q31=4,1,0)),IF($F31&lt;=85,1,0))</formula>
    </cfRule>
  </conditionalFormatting>
  <conditionalFormatting sqref="X31">
    <cfRule type="expression" priority="1387" dxfId="3">
      <formula>AND(IF(OR($Q31=1,$Q31=2),1,0),IF($X31&lt;=20,1,0))</formula>
    </cfRule>
    <cfRule type="expression" priority="1388" dxfId="2">
      <formula>AND(IF($Q31=2,1,0),IF($X31&lt;30,1,0))</formula>
    </cfRule>
    <cfRule type="expression" priority="1389" dxfId="1">
      <formula>AND(IF($Q31=3,1,0),IF($X31&lt;30,1,0))</formula>
    </cfRule>
    <cfRule type="expression" priority="1390" dxfId="0">
      <formula>AND(IF($Q31=3,1,IF($Q31=4,1,0)),IF($F31&lt;=85,1,0))</formula>
    </cfRule>
  </conditionalFormatting>
  <conditionalFormatting sqref="AI31">
    <cfRule type="expression" priority="1383" dxfId="3">
      <formula>AND(IF(OR($Q31=1,$Q31=2),1,0),IF($X31&lt;=20,1,0))</formula>
    </cfRule>
    <cfRule type="expression" priority="1384" dxfId="2">
      <formula>AND(IF($Q31=2,1,0),IF($X31&lt;30,1,0))</formula>
    </cfRule>
    <cfRule type="expression" priority="1385" dxfId="1">
      <formula>AND(IF($Q31=3,1,0),IF($X31&lt;30,1,0))</formula>
    </cfRule>
    <cfRule type="expression" priority="1386" dxfId="0">
      <formula>AND(IF($Q31=3,1,IF($Q31=4,1,0)),IF($F31&lt;=85,1,0))</formula>
    </cfRule>
  </conditionalFormatting>
  <conditionalFormatting sqref="AV32">
    <cfRule type="expression" priority="1381" dxfId="17">
      <formula>AV32="X"</formula>
    </cfRule>
    <cfRule type="expression" priority="1382" dxfId="16">
      <formula>AV32="후보"</formula>
    </cfRule>
  </conditionalFormatting>
  <conditionalFormatting sqref="AC32">
    <cfRule type="cellIs" priority="1378" operator="greaterThan" dxfId="13">
      <formula>0.9</formula>
    </cfRule>
    <cfRule type="cellIs" priority="1379" operator="greaterThan" dxfId="12">
      <formula>0.85</formula>
    </cfRule>
  </conditionalFormatting>
  <conditionalFormatting sqref="N32">
    <cfRule type="cellIs" priority="1376" operator="greaterThan" dxfId="13">
      <formula>0.9</formula>
    </cfRule>
    <cfRule type="cellIs" priority="1377" operator="greaterThan" dxfId="12">
      <formula>0.85</formula>
    </cfRule>
  </conditionalFormatting>
  <conditionalFormatting sqref="E32">
    <cfRule type="expression" priority="1372" dxfId="3">
      <formula>AND(IF(OR($Q32=1,$Q32=2),1,0),IF($X32&lt;=20,1,0))</formula>
    </cfRule>
    <cfRule type="expression" priority="1373" dxfId="2">
      <formula>AND(IF($Q32=2,1,0),IF($X32&lt;30,1,0))</formula>
    </cfRule>
    <cfRule type="expression" priority="1374" dxfId="1">
      <formula>AND(IF($Q32=3,1,0),IF($X32&lt;30,1,0))</formula>
    </cfRule>
    <cfRule type="expression" priority="1375" dxfId="0">
      <formula>AND(IF($Q32=3,1,IF($Q32=4,1,0)),IF($F32&lt;=85,1,0))</formula>
    </cfRule>
  </conditionalFormatting>
  <conditionalFormatting sqref="X32">
    <cfRule type="expression" priority="1368" dxfId="3">
      <formula>AND(IF(OR($Q32=1,$Q32=2),1,0),IF($X32&lt;=20,1,0))</formula>
    </cfRule>
    <cfRule type="expression" priority="1369" dxfId="2">
      <formula>AND(IF($Q32=2,1,0),IF($X32&lt;30,1,0))</formula>
    </cfRule>
    <cfRule type="expression" priority="1370" dxfId="1">
      <formula>AND(IF($Q32=3,1,0),IF($X32&lt;30,1,0))</formula>
    </cfRule>
    <cfRule type="expression" priority="1371" dxfId="0">
      <formula>AND(IF($Q32=3,1,IF($Q32=4,1,0)),IF($F32&lt;=85,1,0))</formula>
    </cfRule>
  </conditionalFormatting>
  <conditionalFormatting sqref="AI32">
    <cfRule type="expression" priority="1364" dxfId="3">
      <formula>AND(IF(OR($Q32=1,$Q32=2),1,0),IF($X32&lt;=20,1,0))</formula>
    </cfRule>
    <cfRule type="expression" priority="1365" dxfId="2">
      <formula>AND(IF($Q32=2,1,0),IF($X32&lt;30,1,0))</formula>
    </cfRule>
    <cfRule type="expression" priority="1366" dxfId="1">
      <formula>AND(IF($Q32=3,1,0),IF($X32&lt;30,1,0))</formula>
    </cfRule>
    <cfRule type="expression" priority="1367" dxfId="0">
      <formula>AND(IF($Q32=3,1,IF($Q32=4,1,0)),IF($F32&lt;=85,1,0))</formula>
    </cfRule>
  </conditionalFormatting>
  <conditionalFormatting sqref="AV33">
    <cfRule type="expression" priority="1362" dxfId="17">
      <formula>AV33="X"</formula>
    </cfRule>
    <cfRule type="expression" priority="1363" dxfId="16">
      <formula>AV33="후보"</formula>
    </cfRule>
  </conditionalFormatting>
  <conditionalFormatting sqref="AC33 N33">
    <cfRule type="cellIs" priority="1359" operator="greaterThan" dxfId="13">
      <formula>0.9</formula>
    </cfRule>
    <cfRule type="cellIs" priority="1360" operator="greaterThan" dxfId="12">
      <formula>0.85</formula>
    </cfRule>
  </conditionalFormatting>
  <conditionalFormatting sqref="AV34">
    <cfRule type="expression" priority="1357" dxfId="17">
      <formula>AV34="X"</formula>
    </cfRule>
    <cfRule type="expression" priority="1358" dxfId="16">
      <formula>AV34="후보"</formula>
    </cfRule>
  </conditionalFormatting>
  <conditionalFormatting sqref="AC34">
    <cfRule type="cellIs" priority="1354" operator="greaterThan" dxfId="13">
      <formula>0.9</formula>
    </cfRule>
    <cfRule type="cellIs" priority="1355" operator="greaterThan" dxfId="12">
      <formula>0.85</formula>
    </cfRule>
  </conditionalFormatting>
  <conditionalFormatting sqref="N34">
    <cfRule type="cellIs" priority="1352" operator="greaterThan" dxfId="13">
      <formula>0.9</formula>
    </cfRule>
    <cfRule type="cellIs" priority="1353" operator="greaterThan" dxfId="12">
      <formula>0.85</formula>
    </cfRule>
  </conditionalFormatting>
  <conditionalFormatting sqref="E34">
    <cfRule type="expression" priority="1348" dxfId="3">
      <formula>AND(IF(OR($Q34=1,$Q34=2),1,0),IF($X34&lt;=20,1,0))</formula>
    </cfRule>
    <cfRule type="expression" priority="1349" dxfId="2">
      <formula>AND(IF($Q34=2,1,0),IF($X34&lt;30,1,0))</formula>
    </cfRule>
    <cfRule type="expression" priority="1350" dxfId="1">
      <formula>AND(IF($Q34=3,1,0),IF($X34&lt;30,1,0))</formula>
    </cfRule>
    <cfRule type="expression" priority="1351" dxfId="0">
      <formula>AND(IF($Q34=3,1,IF($Q34=4,1,0)),IF($F34&lt;=85,1,0))</formula>
    </cfRule>
  </conditionalFormatting>
  <conditionalFormatting sqref="X34">
    <cfRule type="expression" priority="1344" dxfId="3">
      <formula>AND(IF(OR($Q34=1,$Q34=2),1,0),IF($X34&lt;=20,1,0))</formula>
    </cfRule>
    <cfRule type="expression" priority="1345" dxfId="2">
      <formula>AND(IF($Q34=2,1,0),IF($X34&lt;30,1,0))</formula>
    </cfRule>
    <cfRule type="expression" priority="1346" dxfId="1">
      <formula>AND(IF($Q34=3,1,0),IF($X34&lt;30,1,0))</formula>
    </cfRule>
    <cfRule type="expression" priority="1347" dxfId="0">
      <formula>AND(IF($Q34=3,1,IF($Q34=4,1,0)),IF($F34&lt;=85,1,0))</formula>
    </cfRule>
  </conditionalFormatting>
  <conditionalFormatting sqref="AI34">
    <cfRule type="expression" priority="1340" dxfId="3">
      <formula>AND(IF(OR($Q34=1,$Q34=2),1,0),IF($X34&lt;=20,1,0))</formula>
    </cfRule>
    <cfRule type="expression" priority="1341" dxfId="2">
      <formula>AND(IF($Q34=2,1,0),IF($X34&lt;30,1,0))</formula>
    </cfRule>
    <cfRule type="expression" priority="1342" dxfId="1">
      <formula>AND(IF($Q34=3,1,0),IF($X34&lt;30,1,0))</formula>
    </cfRule>
    <cfRule type="expression" priority="1343" dxfId="0">
      <formula>AND(IF($Q34=3,1,IF($Q34=4,1,0)),IF($F34&lt;=85,1,0))</formula>
    </cfRule>
  </conditionalFormatting>
  <conditionalFormatting sqref="AV35">
    <cfRule type="expression" priority="1338" dxfId="17">
      <formula>AV35="X"</formula>
    </cfRule>
    <cfRule type="expression" priority="1339" dxfId="16">
      <formula>AV35="후보"</formula>
    </cfRule>
  </conditionalFormatting>
  <conditionalFormatting sqref="AC35 N35">
    <cfRule type="cellIs" priority="1335" operator="greaterThan" dxfId="13">
      <formula>0.9</formula>
    </cfRule>
    <cfRule type="cellIs" priority="1336" operator="greaterThan" dxfId="12">
      <formula>0.85</formula>
    </cfRule>
  </conditionalFormatting>
  <conditionalFormatting sqref="AV36">
    <cfRule type="expression" priority="1333" dxfId="17">
      <formula>AV36="X"</formula>
    </cfRule>
    <cfRule type="expression" priority="1334" dxfId="16">
      <formula>AV36="후보"</formula>
    </cfRule>
  </conditionalFormatting>
  <conditionalFormatting sqref="AC36">
    <cfRule type="cellIs" priority="1330" operator="greaterThan" dxfId="13">
      <formula>0.9</formula>
    </cfRule>
    <cfRule type="cellIs" priority="1331" operator="greaterThan" dxfId="12">
      <formula>0.85</formula>
    </cfRule>
  </conditionalFormatting>
  <conditionalFormatting sqref="N36">
    <cfRule type="cellIs" priority="1328" operator="greaterThan" dxfId="13">
      <formula>0.9</formula>
    </cfRule>
    <cfRule type="cellIs" priority="1329" operator="greaterThan" dxfId="12">
      <formula>0.85</formula>
    </cfRule>
  </conditionalFormatting>
  <conditionalFormatting sqref="E36">
    <cfRule type="expression" priority="1324" dxfId="3">
      <formula>AND(IF(OR($Q36=1,$Q36=2),1,0),IF($X36&lt;=20,1,0))</formula>
    </cfRule>
    <cfRule type="expression" priority="1325" dxfId="2">
      <formula>AND(IF($Q36=2,1,0),IF($X36&lt;30,1,0))</formula>
    </cfRule>
    <cfRule type="expression" priority="1326" dxfId="1">
      <formula>AND(IF($Q36=3,1,0),IF($X36&lt;30,1,0))</formula>
    </cfRule>
    <cfRule type="expression" priority="1327" dxfId="0">
      <formula>AND(IF($Q36=3,1,IF($Q36=4,1,0)),IF($F36&lt;=85,1,0))</formula>
    </cfRule>
  </conditionalFormatting>
  <conditionalFormatting sqref="X36">
    <cfRule type="expression" priority="1320" dxfId="3">
      <formula>AND(IF(OR($Q36=1,$Q36=2),1,0),IF($X36&lt;=20,1,0))</formula>
    </cfRule>
    <cfRule type="expression" priority="1321" dxfId="2">
      <formula>AND(IF($Q36=2,1,0),IF($X36&lt;30,1,0))</formula>
    </cfRule>
    <cfRule type="expression" priority="1322" dxfId="1">
      <formula>AND(IF($Q36=3,1,0),IF($X36&lt;30,1,0))</formula>
    </cfRule>
    <cfRule type="expression" priority="1323" dxfId="0">
      <formula>AND(IF($Q36=3,1,IF($Q36=4,1,0)),IF($F36&lt;=85,1,0))</formula>
    </cfRule>
  </conditionalFormatting>
  <conditionalFormatting sqref="AI36">
    <cfRule type="expression" priority="1316" dxfId="3">
      <formula>AND(IF(OR($Q36=1,$Q36=2),1,0),IF($X36&lt;=20,1,0))</formula>
    </cfRule>
    <cfRule type="expression" priority="1317" dxfId="2">
      <formula>AND(IF($Q36=2,1,0),IF($X36&lt;30,1,0))</formula>
    </cfRule>
    <cfRule type="expression" priority="1318" dxfId="1">
      <formula>AND(IF($Q36=3,1,0),IF($X36&lt;30,1,0))</formula>
    </cfRule>
    <cfRule type="expression" priority="1319" dxfId="0">
      <formula>AND(IF($Q36=3,1,IF($Q36=4,1,0)),IF($F36&lt;=85,1,0))</formula>
    </cfRule>
  </conditionalFormatting>
  <conditionalFormatting sqref="AV37">
    <cfRule type="expression" priority="1314" dxfId="17">
      <formula>AV37="X"</formula>
    </cfRule>
    <cfRule type="expression" priority="1315" dxfId="16">
      <formula>AV37="후보"</formula>
    </cfRule>
  </conditionalFormatting>
  <conditionalFormatting sqref="AC37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37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37">
    <cfRule type="expression" priority="1305" dxfId="3">
      <formula>AND(IF(OR($Q37=1,$Q37=2),1,0),IF($X37&lt;=20,1,0))</formula>
    </cfRule>
    <cfRule type="expression" priority="1306" dxfId="2">
      <formula>AND(IF($Q37=2,1,0),IF($X37&lt;30,1,0))</formula>
    </cfRule>
    <cfRule type="expression" priority="1307" dxfId="1">
      <formula>AND(IF($Q37=3,1,0),IF($X37&lt;30,1,0))</formula>
    </cfRule>
    <cfRule type="expression" priority="1308" dxfId="0">
      <formula>AND(IF($Q37=3,1,IF($Q37=4,1,0)),IF($F37&lt;=85,1,0))</formula>
    </cfRule>
  </conditionalFormatting>
  <conditionalFormatting sqref="X37">
    <cfRule type="expression" priority="1301" dxfId="3">
      <formula>AND(IF(OR($Q37=1,$Q37=2),1,0),IF($X37&lt;=20,1,0))</formula>
    </cfRule>
    <cfRule type="expression" priority="1302" dxfId="2">
      <formula>AND(IF($Q37=2,1,0),IF($X37&lt;30,1,0))</formula>
    </cfRule>
    <cfRule type="expression" priority="1303" dxfId="1">
      <formula>AND(IF($Q37=3,1,0),IF($X37&lt;30,1,0))</formula>
    </cfRule>
    <cfRule type="expression" priority="1304" dxfId="0">
      <formula>AND(IF($Q37=3,1,IF($Q37=4,1,0)),IF($F37&lt;=85,1,0))</formula>
    </cfRule>
  </conditionalFormatting>
  <conditionalFormatting sqref="AI37">
    <cfRule type="expression" priority="1297" dxfId="3">
      <formula>AND(IF(OR($Q37=1,$Q37=2),1,0),IF($X37&lt;=20,1,0))</formula>
    </cfRule>
    <cfRule type="expression" priority="1298" dxfId="2">
      <formula>AND(IF($Q37=2,1,0),IF($X37&lt;30,1,0))</formula>
    </cfRule>
    <cfRule type="expression" priority="1299" dxfId="1">
      <formula>AND(IF($Q37=3,1,0),IF($X37&lt;30,1,0))</formula>
    </cfRule>
    <cfRule type="expression" priority="1300" dxfId="0">
      <formula>AND(IF($Q37=3,1,IF($Q37=4,1,0)),IF($F37&lt;=85,1,0))</formula>
    </cfRule>
  </conditionalFormatting>
  <conditionalFormatting sqref="AV38">
    <cfRule type="expression" priority="1295" dxfId="17">
      <formula>AV38="X"</formula>
    </cfRule>
    <cfRule type="expression" priority="1296" dxfId="16">
      <formula>AV38="후보"</formula>
    </cfRule>
  </conditionalFormatting>
  <conditionalFormatting sqref="AC38">
    <cfRule type="cellIs" priority="1292" operator="greaterThan" dxfId="13">
      <formula>0.9</formula>
    </cfRule>
    <cfRule type="cellIs" priority="1293" operator="greaterThan" dxfId="12">
      <formula>0.85</formula>
    </cfRule>
  </conditionalFormatting>
  <conditionalFormatting sqref="N38">
    <cfRule type="cellIs" priority="1290" operator="greaterThan" dxfId="13">
      <formula>0.9</formula>
    </cfRule>
    <cfRule type="cellIs" priority="1291" operator="greaterThan" dxfId="12">
      <formula>0.85</formula>
    </cfRule>
  </conditionalFormatting>
  <conditionalFormatting sqref="E38">
    <cfRule type="expression" priority="1286" dxfId="3">
      <formula>AND(IF(OR($Q38=1,$Q38=2),1,0),IF($X38&lt;=20,1,0))</formula>
    </cfRule>
    <cfRule type="expression" priority="1287" dxfId="2">
      <formula>AND(IF($Q38=2,1,0),IF($X38&lt;30,1,0))</formula>
    </cfRule>
    <cfRule type="expression" priority="1288" dxfId="1">
      <formula>AND(IF($Q38=3,1,0),IF($X38&lt;30,1,0))</formula>
    </cfRule>
    <cfRule type="expression" priority="1289" dxfId="0">
      <formula>AND(IF($Q38=3,1,IF($Q38=4,1,0)),IF($F38&lt;=85,1,0))</formula>
    </cfRule>
  </conditionalFormatting>
  <conditionalFormatting sqref="X38">
    <cfRule type="expression" priority="1282" dxfId="3">
      <formula>AND(IF(OR($Q38=1,$Q38=2),1,0),IF($X38&lt;=20,1,0))</formula>
    </cfRule>
    <cfRule type="expression" priority="1283" dxfId="2">
      <formula>AND(IF($Q38=2,1,0),IF($X38&lt;30,1,0))</formula>
    </cfRule>
    <cfRule type="expression" priority="1284" dxfId="1">
      <formula>AND(IF($Q38=3,1,0),IF($X38&lt;30,1,0))</formula>
    </cfRule>
    <cfRule type="expression" priority="1285" dxfId="0">
      <formula>AND(IF($Q38=3,1,IF($Q38=4,1,0)),IF($F38&lt;=85,1,0))</formula>
    </cfRule>
  </conditionalFormatting>
  <conditionalFormatting sqref="AI38">
    <cfRule type="expression" priority="1278" dxfId="3">
      <formula>AND(IF(OR($Q38=1,$Q38=2),1,0),IF($X38&lt;=20,1,0))</formula>
    </cfRule>
    <cfRule type="expression" priority="1279" dxfId="2">
      <formula>AND(IF($Q38=2,1,0),IF($X38&lt;30,1,0))</formula>
    </cfRule>
    <cfRule type="expression" priority="1280" dxfId="1">
      <formula>AND(IF($Q38=3,1,0),IF($X38&lt;30,1,0))</formula>
    </cfRule>
    <cfRule type="expression" priority="1281" dxfId="0">
      <formula>AND(IF($Q38=3,1,IF($Q38=4,1,0)),IF($F38&lt;=85,1,0))</formula>
    </cfRule>
  </conditionalFormatting>
  <conditionalFormatting sqref="AV39">
    <cfRule type="expression" priority="1276" dxfId="17">
      <formula>AV39="X"</formula>
    </cfRule>
    <cfRule type="expression" priority="1277" dxfId="16">
      <formula>AV39="후보"</formula>
    </cfRule>
  </conditionalFormatting>
  <conditionalFormatting sqref="AC39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39">
    <cfRule type="cellIs" priority="1271" operator="greaterThan" dxfId="13">
      <formula>0.9</formula>
    </cfRule>
    <cfRule type="cellIs" priority="1272" operator="greaterThan" dxfId="12">
      <formula>0.85</formula>
    </cfRule>
  </conditionalFormatting>
  <conditionalFormatting sqref="E39">
    <cfRule type="expression" priority="1267" dxfId="3">
      <formula>AND(IF(OR($Q39=1,$Q39=2),1,0),IF($X39&lt;=20,1,0))</formula>
    </cfRule>
    <cfRule type="expression" priority="1268" dxfId="2">
      <formula>AND(IF($Q39=2,1,0),IF($X39&lt;30,1,0))</formula>
    </cfRule>
    <cfRule type="expression" priority="1269" dxfId="1">
      <formula>AND(IF($Q39=3,1,0),IF($X39&lt;30,1,0))</formula>
    </cfRule>
    <cfRule type="expression" priority="1270" dxfId="0">
      <formula>AND(IF($Q39=3,1,IF($Q39=4,1,0)),IF($F39&lt;=85,1,0))</formula>
    </cfRule>
  </conditionalFormatting>
  <conditionalFormatting sqref="X39">
    <cfRule type="expression" priority="1263" dxfId="3">
      <formula>AND(IF(OR($Q39=1,$Q39=2),1,0),IF($X39&lt;=20,1,0))</formula>
    </cfRule>
    <cfRule type="expression" priority="1264" dxfId="2">
      <formula>AND(IF($Q39=2,1,0),IF($X39&lt;30,1,0))</formula>
    </cfRule>
    <cfRule type="expression" priority="1265" dxfId="1">
      <formula>AND(IF($Q39=3,1,0),IF($X39&lt;30,1,0))</formula>
    </cfRule>
    <cfRule type="expression" priority="1266" dxfId="0">
      <formula>AND(IF($Q39=3,1,IF($Q39=4,1,0)),IF($F39&lt;=85,1,0))</formula>
    </cfRule>
  </conditionalFormatting>
  <conditionalFormatting sqref="AI39">
    <cfRule type="expression" priority="1259" dxfId="3">
      <formula>AND(IF(OR($Q39=1,$Q39=2),1,0),IF($X39&lt;=20,1,0))</formula>
    </cfRule>
    <cfRule type="expression" priority="1260" dxfId="2">
      <formula>AND(IF($Q39=2,1,0),IF($X39&lt;30,1,0))</formula>
    </cfRule>
    <cfRule type="expression" priority="1261" dxfId="1">
      <formula>AND(IF($Q39=3,1,0),IF($X39&lt;30,1,0))</formula>
    </cfRule>
    <cfRule type="expression" priority="1262" dxfId="0">
      <formula>AND(IF($Q39=3,1,IF($Q39=4,1,0)),IF($F39&lt;=85,1,0))</formula>
    </cfRule>
  </conditionalFormatting>
  <conditionalFormatting sqref="AV40">
    <cfRule type="expression" priority="1257" dxfId="17">
      <formula>AV40="X"</formula>
    </cfRule>
    <cfRule type="expression" priority="1258" dxfId="16">
      <formula>AV40="후보"</formula>
    </cfRule>
  </conditionalFormatting>
  <conditionalFormatting sqref="AC40">
    <cfRule type="cellIs" priority="1254" operator="greaterThan" dxfId="13">
      <formula>0.9</formula>
    </cfRule>
    <cfRule type="cellIs" priority="1255" operator="greaterThan" dxfId="12">
      <formula>0.85</formula>
    </cfRule>
  </conditionalFormatting>
  <conditionalFormatting sqref="N40">
    <cfRule type="cellIs" priority="1252" operator="greaterThan" dxfId="13">
      <formula>0.9</formula>
    </cfRule>
    <cfRule type="cellIs" priority="1253" operator="greaterThan" dxfId="12">
      <formula>0.85</formula>
    </cfRule>
  </conditionalFormatting>
  <conditionalFormatting sqref="E40">
    <cfRule type="expression" priority="1248" dxfId="3">
      <formula>AND(IF(OR($Q40=1,$Q40=2),1,0),IF($X40&lt;=20,1,0))</formula>
    </cfRule>
    <cfRule type="expression" priority="1249" dxfId="2">
      <formula>AND(IF($Q40=2,1,0),IF($X40&lt;30,1,0))</formula>
    </cfRule>
    <cfRule type="expression" priority="1250" dxfId="1">
      <formula>AND(IF($Q40=3,1,0),IF($X40&lt;30,1,0))</formula>
    </cfRule>
    <cfRule type="expression" priority="1251" dxfId="0">
      <formula>AND(IF($Q40=3,1,IF($Q40=4,1,0)),IF($F40&lt;=85,1,0))</formula>
    </cfRule>
  </conditionalFormatting>
  <conditionalFormatting sqref="X40">
    <cfRule type="expression" priority="1244" dxfId="3">
      <formula>AND(IF(OR($Q40=1,$Q40=2),1,0),IF($X40&lt;=20,1,0))</formula>
    </cfRule>
    <cfRule type="expression" priority="1245" dxfId="2">
      <formula>AND(IF($Q40=2,1,0),IF($X40&lt;30,1,0))</formula>
    </cfRule>
    <cfRule type="expression" priority="1246" dxfId="1">
      <formula>AND(IF($Q40=3,1,0),IF($X40&lt;30,1,0))</formula>
    </cfRule>
    <cfRule type="expression" priority="1247" dxfId="0">
      <formula>AND(IF($Q40=3,1,IF($Q40=4,1,0)),IF($F40&lt;=85,1,0))</formula>
    </cfRule>
  </conditionalFormatting>
  <conditionalFormatting sqref="AI40">
    <cfRule type="expression" priority="1240" dxfId="3">
      <formula>AND(IF(OR($Q40=1,$Q40=2),1,0),IF($X40&lt;=20,1,0))</formula>
    </cfRule>
    <cfRule type="expression" priority="1241" dxfId="2">
      <formula>AND(IF($Q40=2,1,0),IF($X40&lt;30,1,0))</formula>
    </cfRule>
    <cfRule type="expression" priority="1242" dxfId="1">
      <formula>AND(IF($Q40=3,1,0),IF($X40&lt;30,1,0))</formula>
    </cfRule>
    <cfRule type="expression" priority="1243" dxfId="0">
      <formula>AND(IF($Q40=3,1,IF($Q40=4,1,0)),IF($F40&lt;=85,1,0))</formula>
    </cfRule>
  </conditionalFormatting>
  <conditionalFormatting sqref="AV41">
    <cfRule type="expression" priority="1238" dxfId="17">
      <formula>AV41="X"</formula>
    </cfRule>
    <cfRule type="expression" priority="1239" dxfId="16">
      <formula>AV41="후보"</formula>
    </cfRule>
  </conditionalFormatting>
  <conditionalFormatting sqref="AC41 N41">
    <cfRule type="cellIs" priority="1235" operator="greaterThan" dxfId="13">
      <formula>0.9</formula>
    </cfRule>
    <cfRule type="cellIs" priority="1236" operator="greaterThan" dxfId="12">
      <formula>0.85</formula>
    </cfRule>
  </conditionalFormatting>
  <conditionalFormatting sqref="AV42">
    <cfRule type="expression" priority="1233" dxfId="17">
      <formula>AV42="X"</formula>
    </cfRule>
    <cfRule type="expression" priority="1234" dxfId="16">
      <formula>AV42="후보"</formula>
    </cfRule>
  </conditionalFormatting>
  <conditionalFormatting sqref="AC42">
    <cfRule type="cellIs" priority="1230" operator="greaterThan" dxfId="13">
      <formula>0.9</formula>
    </cfRule>
    <cfRule type="cellIs" priority="1231" operator="greaterThan" dxfId="12">
      <formula>0.85</formula>
    </cfRule>
  </conditionalFormatting>
  <conditionalFormatting sqref="N42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E42">
    <cfRule type="expression" priority="1224" dxfId="3">
      <formula>AND(IF(OR($Q42=1,$Q42=2),1,0),IF($X42&lt;=20,1,0))</formula>
    </cfRule>
    <cfRule type="expression" priority="1225" dxfId="2">
      <formula>AND(IF($Q42=2,1,0),IF($X42&lt;30,1,0))</formula>
    </cfRule>
    <cfRule type="expression" priority="1226" dxfId="1">
      <formula>AND(IF($Q42=3,1,0),IF($X42&lt;30,1,0))</formula>
    </cfRule>
    <cfRule type="expression" priority="1227" dxfId="0">
      <formula>AND(IF($Q42=3,1,IF($Q42=4,1,0)),IF($F42&lt;=85,1,0))</formula>
    </cfRule>
  </conditionalFormatting>
  <conditionalFormatting sqref="X42">
    <cfRule type="expression" priority="1220" dxfId="3">
      <formula>AND(IF(OR($Q42=1,$Q42=2),1,0),IF($X42&lt;=20,1,0))</formula>
    </cfRule>
    <cfRule type="expression" priority="1221" dxfId="2">
      <formula>AND(IF($Q42=2,1,0),IF($X42&lt;30,1,0))</formula>
    </cfRule>
    <cfRule type="expression" priority="1222" dxfId="1">
      <formula>AND(IF($Q42=3,1,0),IF($X42&lt;30,1,0))</formula>
    </cfRule>
    <cfRule type="expression" priority="1223" dxfId="0">
      <formula>AND(IF($Q42=3,1,IF($Q42=4,1,0)),IF($F42&lt;=85,1,0))</formula>
    </cfRule>
  </conditionalFormatting>
  <conditionalFormatting sqref="AI42">
    <cfRule type="expression" priority="1216" dxfId="3">
      <formula>AND(IF(OR($Q42=1,$Q42=2),1,0),IF($X42&lt;=20,1,0))</formula>
    </cfRule>
    <cfRule type="expression" priority="1217" dxfId="2">
      <formula>AND(IF($Q42=2,1,0),IF($X42&lt;30,1,0))</formula>
    </cfRule>
    <cfRule type="expression" priority="1218" dxfId="1">
      <formula>AND(IF($Q42=3,1,0),IF($X42&lt;30,1,0))</formula>
    </cfRule>
    <cfRule type="expression" priority="1219" dxfId="0">
      <formula>AND(IF($Q42=3,1,IF($Q42=4,1,0)),IF($F42&lt;=85,1,0))</formula>
    </cfRule>
  </conditionalFormatting>
  <conditionalFormatting sqref="AV43">
    <cfRule type="expression" priority="1214" dxfId="17">
      <formula>AV43="X"</formula>
    </cfRule>
    <cfRule type="expression" priority="1215" dxfId="16">
      <formula>AV43="후보"</formula>
    </cfRule>
  </conditionalFormatting>
  <conditionalFormatting sqref="AC43">
    <cfRule type="cellIs" priority="1211" operator="greaterThan" dxfId="13">
      <formula>0.9</formula>
    </cfRule>
    <cfRule type="cellIs" priority="1212" operator="greaterThan" dxfId="12">
      <formula>0.85</formula>
    </cfRule>
  </conditionalFormatting>
  <conditionalFormatting sqref="N43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E43">
    <cfRule type="expression" priority="1205" dxfId="3">
      <formula>AND(IF(OR($Q43=1,$Q43=2),1,0),IF($X43&lt;=20,1,0))</formula>
    </cfRule>
    <cfRule type="expression" priority="1206" dxfId="2">
      <formula>AND(IF($Q43=2,1,0),IF($X43&lt;30,1,0))</formula>
    </cfRule>
    <cfRule type="expression" priority="1207" dxfId="1">
      <formula>AND(IF($Q43=3,1,0),IF($X43&lt;30,1,0))</formula>
    </cfRule>
    <cfRule type="expression" priority="1208" dxfId="0">
      <formula>AND(IF($Q43=3,1,IF($Q43=4,1,0)),IF($F43&lt;=85,1,0))</formula>
    </cfRule>
  </conditionalFormatting>
  <conditionalFormatting sqref="X43">
    <cfRule type="expression" priority="1201" dxfId="3">
      <formula>AND(IF(OR($Q43=1,$Q43=2),1,0),IF($X43&lt;=20,1,0))</formula>
    </cfRule>
    <cfRule type="expression" priority="1202" dxfId="2">
      <formula>AND(IF($Q43=2,1,0),IF($X43&lt;30,1,0))</formula>
    </cfRule>
    <cfRule type="expression" priority="1203" dxfId="1">
      <formula>AND(IF($Q43=3,1,0),IF($X43&lt;30,1,0))</formula>
    </cfRule>
    <cfRule type="expression" priority="1204" dxfId="0">
      <formula>AND(IF($Q43=3,1,IF($Q43=4,1,0)),IF($F43&lt;=85,1,0))</formula>
    </cfRule>
  </conditionalFormatting>
  <conditionalFormatting sqref="AI43">
    <cfRule type="expression" priority="1197" dxfId="3">
      <formula>AND(IF(OR($Q43=1,$Q43=2),1,0),IF($X43&lt;=20,1,0))</formula>
    </cfRule>
    <cfRule type="expression" priority="1198" dxfId="2">
      <formula>AND(IF($Q43=2,1,0),IF($X43&lt;30,1,0))</formula>
    </cfRule>
    <cfRule type="expression" priority="1199" dxfId="1">
      <formula>AND(IF($Q43=3,1,0),IF($X43&lt;30,1,0))</formula>
    </cfRule>
    <cfRule type="expression" priority="1200" dxfId="0">
      <formula>AND(IF($Q43=3,1,IF($Q43=4,1,0)),IF($F43&lt;=85,1,0))</formula>
    </cfRule>
  </conditionalFormatting>
  <conditionalFormatting sqref="AV44">
    <cfRule type="expression" priority="1195" dxfId="17">
      <formula>AV44="X"</formula>
    </cfRule>
    <cfRule type="expression" priority="1196" dxfId="16">
      <formula>AV44="후보"</formula>
    </cfRule>
  </conditionalFormatting>
  <conditionalFormatting sqref="AC44">
    <cfRule type="cellIs" priority="1192" operator="greaterThan" dxfId="13">
      <formula>0.9</formula>
    </cfRule>
    <cfRule type="cellIs" priority="1193" operator="greaterThan" dxfId="12">
      <formula>0.85</formula>
    </cfRule>
  </conditionalFormatting>
  <conditionalFormatting sqref="N44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E44">
    <cfRule type="expression" priority="1186" dxfId="3">
      <formula>AND(IF(OR($Q44=1,$Q44=2),1,0),IF($X44&lt;=20,1,0))</formula>
    </cfRule>
    <cfRule type="expression" priority="1187" dxfId="2">
      <formula>AND(IF($Q44=2,1,0),IF($X44&lt;30,1,0))</formula>
    </cfRule>
    <cfRule type="expression" priority="1188" dxfId="1">
      <formula>AND(IF($Q44=3,1,0),IF($X44&lt;30,1,0))</formula>
    </cfRule>
    <cfRule type="expression" priority="1189" dxfId="0">
      <formula>AND(IF($Q44=3,1,IF($Q44=4,1,0)),IF($F44&lt;=85,1,0))</formula>
    </cfRule>
  </conditionalFormatting>
  <conditionalFormatting sqref="X44">
    <cfRule type="expression" priority="1182" dxfId="3">
      <formula>AND(IF(OR($Q44=1,$Q44=2),1,0),IF($X44&lt;=20,1,0))</formula>
    </cfRule>
    <cfRule type="expression" priority="1183" dxfId="2">
      <formula>AND(IF($Q44=2,1,0),IF($X44&lt;30,1,0))</formula>
    </cfRule>
    <cfRule type="expression" priority="1184" dxfId="1">
      <formula>AND(IF($Q44=3,1,0),IF($X44&lt;30,1,0))</formula>
    </cfRule>
    <cfRule type="expression" priority="1185" dxfId="0">
      <formula>AND(IF($Q44=3,1,IF($Q44=4,1,0)),IF($F44&lt;=85,1,0))</formula>
    </cfRule>
  </conditionalFormatting>
  <conditionalFormatting sqref="AI44">
    <cfRule type="expression" priority="1178" dxfId="3">
      <formula>AND(IF(OR($Q44=1,$Q44=2),1,0),IF($X44&lt;=20,1,0))</formula>
    </cfRule>
    <cfRule type="expression" priority="1179" dxfId="2">
      <formula>AND(IF($Q44=2,1,0),IF($X44&lt;30,1,0))</formula>
    </cfRule>
    <cfRule type="expression" priority="1180" dxfId="1">
      <formula>AND(IF($Q44=3,1,0),IF($X44&lt;30,1,0))</formula>
    </cfRule>
    <cfRule type="expression" priority="1181" dxfId="0">
      <formula>AND(IF($Q44=3,1,IF($Q44=4,1,0)),IF($F44&lt;=85,1,0))</formula>
    </cfRule>
  </conditionalFormatting>
  <conditionalFormatting sqref="AV45">
    <cfRule type="expression" priority="1176" dxfId="17">
      <formula>AV45="X"</formula>
    </cfRule>
    <cfRule type="expression" priority="1177" dxfId="16">
      <formula>AV45="후보"</formula>
    </cfRule>
  </conditionalFormatting>
  <conditionalFormatting sqref="AC45">
    <cfRule type="cellIs" priority="1173" operator="greaterThan" dxfId="13">
      <formula>0.9</formula>
    </cfRule>
    <cfRule type="cellIs" priority="1174" operator="greaterThan" dxfId="12">
      <formula>0.85</formula>
    </cfRule>
  </conditionalFormatting>
  <conditionalFormatting sqref="N45">
    <cfRule type="cellIs" priority="1171" operator="greaterThan" dxfId="13">
      <formula>0.9</formula>
    </cfRule>
    <cfRule type="cellIs" priority="1172" operator="greaterThan" dxfId="12">
      <formula>0.85</formula>
    </cfRule>
  </conditionalFormatting>
  <conditionalFormatting sqref="E45">
    <cfRule type="expression" priority="1167" dxfId="3">
      <formula>AND(IF(OR($Q45=1,$Q45=2),1,0),IF($X45&lt;=20,1,0))</formula>
    </cfRule>
    <cfRule type="expression" priority="1168" dxfId="2">
      <formula>AND(IF($Q45=2,1,0),IF($X45&lt;30,1,0))</formula>
    </cfRule>
    <cfRule type="expression" priority="1169" dxfId="1">
      <formula>AND(IF($Q45=3,1,0),IF($X45&lt;30,1,0))</formula>
    </cfRule>
    <cfRule type="expression" priority="1170" dxfId="0">
      <formula>AND(IF($Q45=3,1,IF($Q45=4,1,0)),IF($F45&lt;=85,1,0))</formula>
    </cfRule>
  </conditionalFormatting>
  <conditionalFormatting sqref="X45">
    <cfRule type="expression" priority="1163" dxfId="3">
      <formula>AND(IF(OR($Q45=1,$Q45=2),1,0),IF($X45&lt;=20,1,0))</formula>
    </cfRule>
    <cfRule type="expression" priority="1164" dxfId="2">
      <formula>AND(IF($Q45=2,1,0),IF($X45&lt;30,1,0))</formula>
    </cfRule>
    <cfRule type="expression" priority="1165" dxfId="1">
      <formula>AND(IF($Q45=3,1,0),IF($X45&lt;30,1,0))</formula>
    </cfRule>
    <cfRule type="expression" priority="1166" dxfId="0">
      <formula>AND(IF($Q45=3,1,IF($Q45=4,1,0)),IF($F45&lt;=85,1,0))</formula>
    </cfRule>
  </conditionalFormatting>
  <conditionalFormatting sqref="AI45">
    <cfRule type="expression" priority="1159" dxfId="3">
      <formula>AND(IF(OR($Q45=1,$Q45=2),1,0),IF($X45&lt;=20,1,0))</formula>
    </cfRule>
    <cfRule type="expression" priority="1160" dxfId="2">
      <formula>AND(IF($Q45=2,1,0),IF($X45&lt;30,1,0))</formula>
    </cfRule>
    <cfRule type="expression" priority="1161" dxfId="1">
      <formula>AND(IF($Q45=3,1,0),IF($X45&lt;30,1,0))</formula>
    </cfRule>
    <cfRule type="expression" priority="1162" dxfId="0">
      <formula>AND(IF($Q45=3,1,IF($Q45=4,1,0)),IF($F45&lt;=85,1,0))</formula>
    </cfRule>
  </conditionalFormatting>
  <conditionalFormatting sqref="AV46">
    <cfRule type="expression" priority="1157" dxfId="17">
      <formula>AV46="X"</formula>
    </cfRule>
    <cfRule type="expression" priority="1158" dxfId="16">
      <formula>AV46="후보"</formula>
    </cfRule>
  </conditionalFormatting>
  <conditionalFormatting sqref="AC46 N46">
    <cfRule type="cellIs" priority="1154" operator="greaterThan" dxfId="13">
      <formula>0.9</formula>
    </cfRule>
    <cfRule type="cellIs" priority="1155" operator="greaterThan" dxfId="12">
      <formula>0.85</formula>
    </cfRule>
  </conditionalFormatting>
  <conditionalFormatting sqref="AV47">
    <cfRule type="expression" priority="1152" dxfId="17">
      <formula>AV47="X"</formula>
    </cfRule>
    <cfRule type="expression" priority="1153" dxfId="16">
      <formula>AV47="후보"</formula>
    </cfRule>
  </conditionalFormatting>
  <conditionalFormatting sqref="AC47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47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47">
    <cfRule type="expression" priority="1143" dxfId="3">
      <formula>AND(IF(OR($Q47=1,$Q47=2),1,0),IF($X47&lt;=20,1,0))</formula>
    </cfRule>
    <cfRule type="expression" priority="1144" dxfId="2">
      <formula>AND(IF($Q47=2,1,0),IF($X47&lt;30,1,0))</formula>
    </cfRule>
    <cfRule type="expression" priority="1145" dxfId="1">
      <formula>AND(IF($Q47=3,1,0),IF($X47&lt;30,1,0))</formula>
    </cfRule>
    <cfRule type="expression" priority="1146" dxfId="0">
      <formula>AND(IF($Q47=3,1,IF($Q47=4,1,0)),IF($F47&lt;=85,1,0))</formula>
    </cfRule>
  </conditionalFormatting>
  <conditionalFormatting sqref="X47">
    <cfRule type="expression" priority="1139" dxfId="3">
      <formula>AND(IF(OR($Q47=1,$Q47=2),1,0),IF($X47&lt;=20,1,0))</formula>
    </cfRule>
    <cfRule type="expression" priority="1140" dxfId="2">
      <formula>AND(IF($Q47=2,1,0),IF($X47&lt;30,1,0))</formula>
    </cfRule>
    <cfRule type="expression" priority="1141" dxfId="1">
      <formula>AND(IF($Q47=3,1,0),IF($X47&lt;30,1,0))</formula>
    </cfRule>
    <cfRule type="expression" priority="1142" dxfId="0">
      <formula>AND(IF($Q47=3,1,IF($Q47=4,1,0)),IF($F47&lt;=85,1,0))</formula>
    </cfRule>
  </conditionalFormatting>
  <conditionalFormatting sqref="AI47">
    <cfRule type="expression" priority="1135" dxfId="3">
      <formula>AND(IF(OR($Q47=1,$Q47=2),1,0),IF($X47&lt;=20,1,0))</formula>
    </cfRule>
    <cfRule type="expression" priority="1136" dxfId="2">
      <formula>AND(IF($Q47=2,1,0),IF($X47&lt;30,1,0))</formula>
    </cfRule>
    <cfRule type="expression" priority="1137" dxfId="1">
      <formula>AND(IF($Q47=3,1,0),IF($X47&lt;30,1,0))</formula>
    </cfRule>
    <cfRule type="expression" priority="1138" dxfId="0">
      <formula>AND(IF($Q47=3,1,IF($Q47=4,1,0)),IF($F47&lt;=85,1,0))</formula>
    </cfRule>
  </conditionalFormatting>
  <conditionalFormatting sqref="AV48">
    <cfRule type="expression" priority="1133" dxfId="17">
      <formula>AV48="X"</formula>
    </cfRule>
    <cfRule type="expression" priority="1134" dxfId="16">
      <formula>AV48="후보"</formula>
    </cfRule>
  </conditionalFormatting>
  <conditionalFormatting sqref="AC48">
    <cfRule type="cellIs" priority="1130" operator="greaterThan" dxfId="13">
      <formula>0.9</formula>
    </cfRule>
    <cfRule type="cellIs" priority="1131" operator="greaterThan" dxfId="12">
      <formula>0.85</formula>
    </cfRule>
  </conditionalFormatting>
  <conditionalFormatting sqref="N48">
    <cfRule type="cellIs" priority="1128" operator="greaterThan" dxfId="13">
      <formula>0.9</formula>
    </cfRule>
    <cfRule type="cellIs" priority="1129" operator="greaterThan" dxfId="12">
      <formula>0.85</formula>
    </cfRule>
  </conditionalFormatting>
  <conditionalFormatting sqref="E48">
    <cfRule type="expression" priority="1124" dxfId="3">
      <formula>AND(IF(OR($Q48=1,$Q48=2),1,0),IF($X48&lt;=20,1,0))</formula>
    </cfRule>
    <cfRule type="expression" priority="1125" dxfId="2">
      <formula>AND(IF($Q48=2,1,0),IF($X48&lt;30,1,0))</formula>
    </cfRule>
    <cfRule type="expression" priority="1126" dxfId="1">
      <formula>AND(IF($Q48=3,1,0),IF($X48&lt;30,1,0))</formula>
    </cfRule>
    <cfRule type="expression" priority="1127" dxfId="0">
      <formula>AND(IF($Q48=3,1,IF($Q48=4,1,0)),IF($F48&lt;=85,1,0))</formula>
    </cfRule>
  </conditionalFormatting>
  <conditionalFormatting sqref="X48">
    <cfRule type="expression" priority="1120" dxfId="3">
      <formula>AND(IF(OR($Q48=1,$Q48=2),1,0),IF($X48&lt;=20,1,0))</formula>
    </cfRule>
    <cfRule type="expression" priority="1121" dxfId="2">
      <formula>AND(IF($Q48=2,1,0),IF($X48&lt;30,1,0))</formula>
    </cfRule>
    <cfRule type="expression" priority="1122" dxfId="1">
      <formula>AND(IF($Q48=3,1,0),IF($X48&lt;30,1,0))</formula>
    </cfRule>
    <cfRule type="expression" priority="1123" dxfId="0">
      <formula>AND(IF($Q48=3,1,IF($Q48=4,1,0)),IF($F48&lt;=85,1,0))</formula>
    </cfRule>
  </conditionalFormatting>
  <conditionalFormatting sqref="AI48">
    <cfRule type="expression" priority="1116" dxfId="3">
      <formula>AND(IF(OR($Q48=1,$Q48=2),1,0),IF($X48&lt;=20,1,0))</formula>
    </cfRule>
    <cfRule type="expression" priority="1117" dxfId="2">
      <formula>AND(IF($Q48=2,1,0),IF($X48&lt;30,1,0))</formula>
    </cfRule>
    <cfRule type="expression" priority="1118" dxfId="1">
      <formula>AND(IF($Q48=3,1,0),IF($X48&lt;30,1,0))</formula>
    </cfRule>
    <cfRule type="expression" priority="1119" dxfId="0">
      <formula>AND(IF($Q48=3,1,IF($Q48=4,1,0)),IF($F48&lt;=85,1,0))</formula>
    </cfRule>
  </conditionalFormatting>
  <conditionalFormatting sqref="AV49">
    <cfRule type="expression" priority="1114" dxfId="17">
      <formula>AV49="X"</formula>
    </cfRule>
    <cfRule type="expression" priority="1115" dxfId="16">
      <formula>AV49="후보"</formula>
    </cfRule>
  </conditionalFormatting>
  <conditionalFormatting sqref="AC49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49">
    <cfRule type="cellIs" priority="1109" operator="greaterThan" dxfId="13">
      <formula>0.9</formula>
    </cfRule>
    <cfRule type="cellIs" priority="1110" operator="greaterThan" dxfId="12">
      <formula>0.85</formula>
    </cfRule>
  </conditionalFormatting>
  <conditionalFormatting sqref="E49">
    <cfRule type="expression" priority="1105" dxfId="3">
      <formula>AND(IF(OR($Q49=1,$Q49=2),1,0),IF($X49&lt;=20,1,0))</formula>
    </cfRule>
    <cfRule type="expression" priority="1106" dxfId="2">
      <formula>AND(IF($Q49=2,1,0),IF($X49&lt;30,1,0))</formula>
    </cfRule>
    <cfRule type="expression" priority="1107" dxfId="1">
      <formula>AND(IF($Q49=3,1,0),IF($X49&lt;30,1,0))</formula>
    </cfRule>
    <cfRule type="expression" priority="1108" dxfId="0">
      <formula>AND(IF($Q49=3,1,IF($Q49=4,1,0)),IF($F49&lt;=85,1,0))</formula>
    </cfRule>
  </conditionalFormatting>
  <conditionalFormatting sqref="X49">
    <cfRule type="expression" priority="1101" dxfId="3">
      <formula>AND(IF(OR($Q49=1,$Q49=2),1,0),IF($X49&lt;=20,1,0))</formula>
    </cfRule>
    <cfRule type="expression" priority="1102" dxfId="2">
      <formula>AND(IF($Q49=2,1,0),IF($X49&lt;30,1,0))</formula>
    </cfRule>
    <cfRule type="expression" priority="1103" dxfId="1">
      <formula>AND(IF($Q49=3,1,0),IF($X49&lt;30,1,0))</formula>
    </cfRule>
    <cfRule type="expression" priority="1104" dxfId="0">
      <formula>AND(IF($Q49=3,1,IF($Q49=4,1,0)),IF($F49&lt;=85,1,0))</formula>
    </cfRule>
  </conditionalFormatting>
  <conditionalFormatting sqref="AI49">
    <cfRule type="expression" priority="1097" dxfId="3">
      <formula>AND(IF(OR($Q49=1,$Q49=2),1,0),IF($X49&lt;=20,1,0))</formula>
    </cfRule>
    <cfRule type="expression" priority="1098" dxfId="2">
      <formula>AND(IF($Q49=2,1,0),IF($X49&lt;30,1,0))</formula>
    </cfRule>
    <cfRule type="expression" priority="1099" dxfId="1">
      <formula>AND(IF($Q49=3,1,0),IF($X49&lt;30,1,0))</formula>
    </cfRule>
    <cfRule type="expression" priority="1100" dxfId="0">
      <formula>AND(IF($Q49=3,1,IF($Q49=4,1,0)),IF($F49&lt;=85,1,0))</formula>
    </cfRule>
  </conditionalFormatting>
  <conditionalFormatting sqref="AV50">
    <cfRule type="expression" priority="1095" dxfId="17">
      <formula>AV50="X"</formula>
    </cfRule>
    <cfRule type="expression" priority="1096" dxfId="16">
      <formula>AV50="후보"</formula>
    </cfRule>
  </conditionalFormatting>
  <conditionalFormatting sqref="AC50">
    <cfRule type="cellIs" priority="1092" operator="greaterThan" dxfId="13">
      <formula>0.9</formula>
    </cfRule>
    <cfRule type="cellIs" priority="1093" operator="greaterThan" dxfId="12">
      <formula>0.85</formula>
    </cfRule>
  </conditionalFormatting>
  <conditionalFormatting sqref="N50">
    <cfRule type="cellIs" priority="1090" operator="greaterThan" dxfId="13">
      <formula>0.9</formula>
    </cfRule>
    <cfRule type="cellIs" priority="1091" operator="greaterThan" dxfId="12">
      <formula>0.85</formula>
    </cfRule>
  </conditionalFormatting>
  <conditionalFormatting sqref="E50">
    <cfRule type="expression" priority="1086" dxfId="3">
      <formula>AND(IF(OR($Q50=1,$Q50=2),1,0),IF($X50&lt;=20,1,0))</formula>
    </cfRule>
    <cfRule type="expression" priority="1087" dxfId="2">
      <formula>AND(IF($Q50=2,1,0),IF($X50&lt;30,1,0))</formula>
    </cfRule>
    <cfRule type="expression" priority="1088" dxfId="1">
      <formula>AND(IF($Q50=3,1,0),IF($X50&lt;30,1,0))</formula>
    </cfRule>
    <cfRule type="expression" priority="1089" dxfId="0">
      <formula>AND(IF($Q50=3,1,IF($Q50=4,1,0)),IF($F50&lt;=85,1,0))</formula>
    </cfRule>
  </conditionalFormatting>
  <conditionalFormatting sqref="X50">
    <cfRule type="expression" priority="1082" dxfId="3">
      <formula>AND(IF(OR($Q50=1,$Q50=2),1,0),IF($X50&lt;=20,1,0))</formula>
    </cfRule>
    <cfRule type="expression" priority="1083" dxfId="2">
      <formula>AND(IF($Q50=2,1,0),IF($X50&lt;30,1,0))</formula>
    </cfRule>
    <cfRule type="expression" priority="1084" dxfId="1">
      <formula>AND(IF($Q50=3,1,0),IF($X50&lt;30,1,0))</formula>
    </cfRule>
    <cfRule type="expression" priority="1085" dxfId="0">
      <formula>AND(IF($Q50=3,1,IF($Q50=4,1,0)),IF($F50&lt;=85,1,0))</formula>
    </cfRule>
  </conditionalFormatting>
  <conditionalFormatting sqref="AI50">
    <cfRule type="expression" priority="1078" dxfId="3">
      <formula>AND(IF(OR($Q50=1,$Q50=2),1,0),IF($X50&lt;=20,1,0))</formula>
    </cfRule>
    <cfRule type="expression" priority="1079" dxfId="2">
      <formula>AND(IF($Q50=2,1,0),IF($X50&lt;30,1,0))</formula>
    </cfRule>
    <cfRule type="expression" priority="1080" dxfId="1">
      <formula>AND(IF($Q50=3,1,0),IF($X50&lt;30,1,0))</formula>
    </cfRule>
    <cfRule type="expression" priority="1081" dxfId="0">
      <formula>AND(IF($Q50=3,1,IF($Q50=4,1,0)),IF($F50&lt;=85,1,0))</formula>
    </cfRule>
  </conditionalFormatting>
  <conditionalFormatting sqref="AV51">
    <cfRule type="expression" priority="1076" dxfId="17">
      <formula>AV51="X"</formula>
    </cfRule>
    <cfRule type="expression" priority="1077" dxfId="16">
      <formula>AV51="후보"</formula>
    </cfRule>
  </conditionalFormatting>
  <conditionalFormatting sqref="AC51">
    <cfRule type="cellIs" priority="1073" operator="greaterThan" dxfId="13">
      <formula>0.9</formula>
    </cfRule>
    <cfRule type="cellIs" priority="1074" operator="greaterThan" dxfId="12">
      <formula>0.85</formula>
    </cfRule>
  </conditionalFormatting>
  <conditionalFormatting sqref="N51">
    <cfRule type="cellIs" priority="1071" operator="greaterThan" dxfId="13">
      <formula>0.9</formula>
    </cfRule>
    <cfRule type="cellIs" priority="1072" operator="greaterThan" dxfId="12">
      <formula>0.85</formula>
    </cfRule>
  </conditionalFormatting>
  <conditionalFormatting sqref="E51">
    <cfRule type="expression" priority="1067" dxfId="3">
      <formula>AND(IF(OR($Q51=1,$Q51=2),1,0),IF($X51&lt;=20,1,0))</formula>
    </cfRule>
    <cfRule type="expression" priority="1068" dxfId="2">
      <formula>AND(IF($Q51=2,1,0),IF($X51&lt;30,1,0))</formula>
    </cfRule>
    <cfRule type="expression" priority="1069" dxfId="1">
      <formula>AND(IF($Q51=3,1,0),IF($X51&lt;30,1,0))</formula>
    </cfRule>
    <cfRule type="expression" priority="1070" dxfId="0">
      <formula>AND(IF($Q51=3,1,IF($Q51=4,1,0)),IF($F51&lt;=85,1,0))</formula>
    </cfRule>
  </conditionalFormatting>
  <conditionalFormatting sqref="X51">
    <cfRule type="expression" priority="1063" dxfId="3">
      <formula>AND(IF(OR($Q51=1,$Q51=2),1,0),IF($X51&lt;=20,1,0))</formula>
    </cfRule>
    <cfRule type="expression" priority="1064" dxfId="2">
      <formula>AND(IF($Q51=2,1,0),IF($X51&lt;30,1,0))</formula>
    </cfRule>
    <cfRule type="expression" priority="1065" dxfId="1">
      <formula>AND(IF($Q51=3,1,0),IF($X51&lt;30,1,0))</formula>
    </cfRule>
    <cfRule type="expression" priority="1066" dxfId="0">
      <formula>AND(IF($Q51=3,1,IF($Q51=4,1,0)),IF($F51&lt;=85,1,0))</formula>
    </cfRule>
  </conditionalFormatting>
  <conditionalFormatting sqref="AI51">
    <cfRule type="expression" priority="1059" dxfId="3">
      <formula>AND(IF(OR($Q51=1,$Q51=2),1,0),IF($X51&lt;=20,1,0))</formula>
    </cfRule>
    <cfRule type="expression" priority="1060" dxfId="2">
      <formula>AND(IF($Q51=2,1,0),IF($X51&lt;30,1,0))</formula>
    </cfRule>
    <cfRule type="expression" priority="1061" dxfId="1">
      <formula>AND(IF($Q51=3,1,0),IF($X51&lt;30,1,0))</formula>
    </cfRule>
    <cfRule type="expression" priority="1062" dxfId="0">
      <formula>AND(IF($Q51=3,1,IF($Q51=4,1,0)),IF($F51&lt;=85,1,0))</formula>
    </cfRule>
  </conditionalFormatting>
  <conditionalFormatting sqref="AV52">
    <cfRule type="expression" priority="1057" dxfId="17">
      <formula>AV52="X"</formula>
    </cfRule>
    <cfRule type="expression" priority="1058" dxfId="16">
      <formula>AV52="후보"</formula>
    </cfRule>
  </conditionalFormatting>
  <conditionalFormatting sqref="AC52">
    <cfRule type="cellIs" priority="1054" operator="greaterThan" dxfId="13">
      <formula>0.9</formula>
    </cfRule>
    <cfRule type="cellIs" priority="1055" operator="greaterThan" dxfId="12">
      <formula>0.85</formula>
    </cfRule>
  </conditionalFormatting>
  <conditionalFormatting sqref="N52">
    <cfRule type="cellIs" priority="1052" operator="greaterThan" dxfId="13">
      <formula>0.9</formula>
    </cfRule>
    <cfRule type="cellIs" priority="1053" operator="greaterThan" dxfId="12">
      <formula>0.85</formula>
    </cfRule>
  </conditionalFormatting>
  <conditionalFormatting sqref="E52">
    <cfRule type="expression" priority="1048" dxfId="3">
      <formula>AND(IF(OR($Q52=1,$Q52=2),1,0),IF($X52&lt;=20,1,0))</formula>
    </cfRule>
    <cfRule type="expression" priority="1049" dxfId="2">
      <formula>AND(IF($Q52=2,1,0),IF($X52&lt;30,1,0))</formula>
    </cfRule>
    <cfRule type="expression" priority="1050" dxfId="1">
      <formula>AND(IF($Q52=3,1,0),IF($X52&lt;30,1,0))</formula>
    </cfRule>
    <cfRule type="expression" priority="1051" dxfId="0">
      <formula>AND(IF($Q52=3,1,IF($Q52=4,1,0)),IF($F52&lt;=85,1,0))</formula>
    </cfRule>
  </conditionalFormatting>
  <conditionalFormatting sqref="X52">
    <cfRule type="expression" priority="1044" dxfId="3">
      <formula>AND(IF(OR($Q52=1,$Q52=2),1,0),IF($X52&lt;=20,1,0))</formula>
    </cfRule>
    <cfRule type="expression" priority="1045" dxfId="2">
      <formula>AND(IF($Q52=2,1,0),IF($X52&lt;30,1,0))</formula>
    </cfRule>
    <cfRule type="expression" priority="1046" dxfId="1">
      <formula>AND(IF($Q52=3,1,0),IF($X52&lt;30,1,0))</formula>
    </cfRule>
    <cfRule type="expression" priority="1047" dxfId="0">
      <formula>AND(IF($Q52=3,1,IF($Q52=4,1,0)),IF($F52&lt;=85,1,0))</formula>
    </cfRule>
  </conditionalFormatting>
  <conditionalFormatting sqref="AI52">
    <cfRule type="expression" priority="1040" dxfId="3">
      <formula>AND(IF(OR($Q52=1,$Q52=2),1,0),IF($X52&lt;=20,1,0))</formula>
    </cfRule>
    <cfRule type="expression" priority="1041" dxfId="2">
      <formula>AND(IF($Q52=2,1,0),IF($X52&lt;30,1,0))</formula>
    </cfRule>
    <cfRule type="expression" priority="1042" dxfId="1">
      <formula>AND(IF($Q52=3,1,0),IF($X52&lt;30,1,0))</formula>
    </cfRule>
    <cfRule type="expression" priority="1043" dxfId="0">
      <formula>AND(IF($Q52=3,1,IF($Q52=4,1,0)),IF($F52&lt;=85,1,0))</formula>
    </cfRule>
  </conditionalFormatting>
  <conditionalFormatting sqref="AV53">
    <cfRule type="expression" priority="1038" dxfId="17">
      <formula>AV53="X"</formula>
    </cfRule>
    <cfRule type="expression" priority="1039" dxfId="16">
      <formula>AV53="후보"</formula>
    </cfRule>
  </conditionalFormatting>
  <conditionalFormatting sqref="AC53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N53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E53">
    <cfRule type="expression" priority="1029" dxfId="3">
      <formula>AND(IF(OR($Q53=1,$Q53=2),1,0),IF($X53&lt;=20,1,0))</formula>
    </cfRule>
    <cfRule type="expression" priority="1030" dxfId="2">
      <formula>AND(IF($Q53=2,1,0),IF($X53&lt;30,1,0))</formula>
    </cfRule>
    <cfRule type="expression" priority="1031" dxfId="1">
      <formula>AND(IF($Q53=3,1,0),IF($X53&lt;30,1,0))</formula>
    </cfRule>
    <cfRule type="expression" priority="1032" dxfId="0">
      <formula>AND(IF($Q53=3,1,IF($Q53=4,1,0)),IF($F53&lt;=85,1,0))</formula>
    </cfRule>
  </conditionalFormatting>
  <conditionalFormatting sqref="X53">
    <cfRule type="expression" priority="1025" dxfId="3">
      <formula>AND(IF(OR($Q53=1,$Q53=2),1,0),IF($X53&lt;=20,1,0))</formula>
    </cfRule>
    <cfRule type="expression" priority="1026" dxfId="2">
      <formula>AND(IF($Q53=2,1,0),IF($X53&lt;30,1,0))</formula>
    </cfRule>
    <cfRule type="expression" priority="1027" dxfId="1">
      <formula>AND(IF($Q53=3,1,0),IF($X53&lt;30,1,0))</formula>
    </cfRule>
    <cfRule type="expression" priority="1028" dxfId="0">
      <formula>AND(IF($Q53=3,1,IF($Q53=4,1,0)),IF($F53&lt;=85,1,0))</formula>
    </cfRule>
  </conditionalFormatting>
  <conditionalFormatting sqref="AI53">
    <cfRule type="expression" priority="1021" dxfId="3">
      <formula>AND(IF(OR($Q53=1,$Q53=2),1,0),IF($X53&lt;=20,1,0))</formula>
    </cfRule>
    <cfRule type="expression" priority="1022" dxfId="2">
      <formula>AND(IF($Q53=2,1,0),IF($X53&lt;30,1,0))</formula>
    </cfRule>
    <cfRule type="expression" priority="1023" dxfId="1">
      <formula>AND(IF($Q53=3,1,0),IF($X53&lt;30,1,0))</formula>
    </cfRule>
    <cfRule type="expression" priority="1024" dxfId="0">
      <formula>AND(IF($Q53=3,1,IF($Q53=4,1,0)),IF($F53&lt;=85,1,0))</formula>
    </cfRule>
  </conditionalFormatting>
  <conditionalFormatting sqref="AV54">
    <cfRule type="expression" priority="1019" dxfId="17">
      <formula>AV54="X"</formula>
    </cfRule>
    <cfRule type="expression" priority="1020" dxfId="16">
      <formula>AV54="후보"</formula>
    </cfRule>
  </conditionalFormatting>
  <conditionalFormatting sqref="AC54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N54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E54">
    <cfRule type="expression" priority="1010" dxfId="3">
      <formula>AND(IF(OR($Q54=1,$Q54=2),1,0),IF($X54&lt;=20,1,0))</formula>
    </cfRule>
    <cfRule type="expression" priority="1011" dxfId="2">
      <formula>AND(IF($Q54=2,1,0),IF($X54&lt;30,1,0))</formula>
    </cfRule>
    <cfRule type="expression" priority="1012" dxfId="1">
      <formula>AND(IF($Q54=3,1,0),IF($X54&lt;30,1,0))</formula>
    </cfRule>
    <cfRule type="expression" priority="1013" dxfId="0">
      <formula>AND(IF($Q54=3,1,IF($Q54=4,1,0)),IF($F54&lt;=85,1,0))</formula>
    </cfRule>
  </conditionalFormatting>
  <conditionalFormatting sqref="X54">
    <cfRule type="expression" priority="1006" dxfId="3">
      <formula>AND(IF(OR($Q54=1,$Q54=2),1,0),IF($X54&lt;=20,1,0))</formula>
    </cfRule>
    <cfRule type="expression" priority="1007" dxfId="2">
      <formula>AND(IF($Q54=2,1,0),IF($X54&lt;30,1,0))</formula>
    </cfRule>
    <cfRule type="expression" priority="1008" dxfId="1">
      <formula>AND(IF($Q54=3,1,0),IF($X54&lt;30,1,0))</formula>
    </cfRule>
    <cfRule type="expression" priority="1009" dxfId="0">
      <formula>AND(IF($Q54=3,1,IF($Q54=4,1,0)),IF($F54&lt;=85,1,0))</formula>
    </cfRule>
  </conditionalFormatting>
  <conditionalFormatting sqref="AI54">
    <cfRule type="expression" priority="1002" dxfId="3">
      <formula>AND(IF(OR($Q54=1,$Q54=2),1,0),IF($X54&lt;=20,1,0))</formula>
    </cfRule>
    <cfRule type="expression" priority="1003" dxfId="2">
      <formula>AND(IF($Q54=2,1,0),IF($X54&lt;30,1,0))</formula>
    </cfRule>
    <cfRule type="expression" priority="1004" dxfId="1">
      <formula>AND(IF($Q54=3,1,0),IF($X54&lt;30,1,0))</formula>
    </cfRule>
    <cfRule type="expression" priority="1005" dxfId="0">
      <formula>AND(IF($Q54=3,1,IF($Q54=4,1,0)),IF($F54&lt;=85,1,0))</formula>
    </cfRule>
  </conditionalFormatting>
  <conditionalFormatting sqref="AV55">
    <cfRule type="expression" priority="1000" dxfId="17">
      <formula>AV55="X"</formula>
    </cfRule>
    <cfRule type="expression" priority="1001" dxfId="16">
      <formula>AV55="후보"</formula>
    </cfRule>
  </conditionalFormatting>
  <conditionalFormatting sqref="AC55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N55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E55">
    <cfRule type="expression" priority="991" dxfId="3">
      <formula>AND(IF(OR($Q55=1,$Q55=2),1,0),IF($X55&lt;=20,1,0))</formula>
    </cfRule>
    <cfRule type="expression" priority="992" dxfId="2">
      <formula>AND(IF($Q55=2,1,0),IF($X55&lt;30,1,0))</formula>
    </cfRule>
    <cfRule type="expression" priority="993" dxfId="1">
      <formula>AND(IF($Q55=3,1,0),IF($X55&lt;30,1,0))</formula>
    </cfRule>
    <cfRule type="expression" priority="994" dxfId="0">
      <formula>AND(IF($Q55=3,1,IF($Q55=4,1,0)),IF($F55&lt;=85,1,0))</formula>
    </cfRule>
  </conditionalFormatting>
  <conditionalFormatting sqref="X55">
    <cfRule type="expression" priority="987" dxfId="3">
      <formula>AND(IF(OR($Q55=1,$Q55=2),1,0),IF($X55&lt;=20,1,0))</formula>
    </cfRule>
    <cfRule type="expression" priority="988" dxfId="2">
      <formula>AND(IF($Q55=2,1,0),IF($X55&lt;30,1,0))</formula>
    </cfRule>
    <cfRule type="expression" priority="989" dxfId="1">
      <formula>AND(IF($Q55=3,1,0),IF($X55&lt;30,1,0))</formula>
    </cfRule>
    <cfRule type="expression" priority="990" dxfId="0">
      <formula>AND(IF($Q55=3,1,IF($Q55=4,1,0)),IF($F55&lt;=85,1,0))</formula>
    </cfRule>
  </conditionalFormatting>
  <conditionalFormatting sqref="AI55">
    <cfRule type="expression" priority="983" dxfId="3">
      <formula>AND(IF(OR($Q55=1,$Q55=2),1,0),IF($X55&lt;=20,1,0))</formula>
    </cfRule>
    <cfRule type="expression" priority="984" dxfId="2">
      <formula>AND(IF($Q55=2,1,0),IF($X55&lt;30,1,0))</formula>
    </cfRule>
    <cfRule type="expression" priority="985" dxfId="1">
      <formula>AND(IF($Q55=3,1,0),IF($X55&lt;30,1,0))</formula>
    </cfRule>
    <cfRule type="expression" priority="986" dxfId="0">
      <formula>AND(IF($Q55=3,1,IF($Q55=4,1,0)),IF($F55&lt;=85,1,0))</formula>
    </cfRule>
  </conditionalFormatting>
  <conditionalFormatting sqref="AV56">
    <cfRule type="expression" priority="981" dxfId="17">
      <formula>AV56="X"</formula>
    </cfRule>
    <cfRule type="expression" priority="982" dxfId="16">
      <formula>AV56="후보"</formula>
    </cfRule>
  </conditionalFormatting>
  <conditionalFormatting sqref="AC56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N56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E56">
    <cfRule type="expression" priority="972" dxfId="3">
      <formula>AND(IF(OR($Q56=1,$Q56=2),1,0),IF($X56&lt;=20,1,0))</formula>
    </cfRule>
    <cfRule type="expression" priority="973" dxfId="2">
      <formula>AND(IF($Q56=2,1,0),IF($X56&lt;30,1,0))</formula>
    </cfRule>
    <cfRule type="expression" priority="974" dxfId="1">
      <formula>AND(IF($Q56=3,1,0),IF($X56&lt;30,1,0))</formula>
    </cfRule>
    <cfRule type="expression" priority="975" dxfId="0">
      <formula>AND(IF($Q56=3,1,IF($Q56=4,1,0)),IF($F56&lt;=85,1,0))</formula>
    </cfRule>
  </conditionalFormatting>
  <conditionalFormatting sqref="X56">
    <cfRule type="expression" priority="968" dxfId="3">
      <formula>AND(IF(OR($Q56=1,$Q56=2),1,0),IF($X56&lt;=20,1,0))</formula>
    </cfRule>
    <cfRule type="expression" priority="969" dxfId="2">
      <formula>AND(IF($Q56=2,1,0),IF($X56&lt;30,1,0))</formula>
    </cfRule>
    <cfRule type="expression" priority="970" dxfId="1">
      <formula>AND(IF($Q56=3,1,0),IF($X56&lt;30,1,0))</formula>
    </cfRule>
    <cfRule type="expression" priority="971" dxfId="0">
      <formula>AND(IF($Q56=3,1,IF($Q56=4,1,0)),IF($F56&lt;=85,1,0))</formula>
    </cfRule>
  </conditionalFormatting>
  <conditionalFormatting sqref="AI56">
    <cfRule type="expression" priority="964" dxfId="3">
      <formula>AND(IF(OR($Q56=1,$Q56=2),1,0),IF($X56&lt;=20,1,0))</formula>
    </cfRule>
    <cfRule type="expression" priority="965" dxfId="2">
      <formula>AND(IF($Q56=2,1,0),IF($X56&lt;30,1,0))</formula>
    </cfRule>
    <cfRule type="expression" priority="966" dxfId="1">
      <formula>AND(IF($Q56=3,1,0),IF($X56&lt;30,1,0))</formula>
    </cfRule>
    <cfRule type="expression" priority="967" dxfId="0">
      <formula>AND(IF($Q56=3,1,IF($Q56=4,1,0)),IF($F56&lt;=85,1,0))</formula>
    </cfRule>
  </conditionalFormatting>
  <conditionalFormatting sqref="AV57">
    <cfRule type="expression" priority="962" dxfId="17">
      <formula>AV57="X"</formula>
    </cfRule>
    <cfRule type="expression" priority="963" dxfId="16">
      <formula>AV57="후보"</formula>
    </cfRule>
  </conditionalFormatting>
  <conditionalFormatting sqref="AC57 N57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AV58">
    <cfRule type="expression" priority="957" dxfId="17">
      <formula>AV58="X"</formula>
    </cfRule>
    <cfRule type="expression" priority="958" dxfId="16">
      <formula>AV58="후보"</formula>
    </cfRule>
  </conditionalFormatting>
  <conditionalFormatting sqref="AC58">
    <cfRule type="cellIs" priority="954" operator="greaterThan" dxfId="13">
      <formula>0.9</formula>
    </cfRule>
    <cfRule type="cellIs" priority="955" operator="greaterThan" dxfId="12">
      <formula>0.85</formula>
    </cfRule>
  </conditionalFormatting>
  <conditionalFormatting sqref="N58">
    <cfRule type="cellIs" priority="952" operator="greaterThan" dxfId="13">
      <formula>0.9</formula>
    </cfRule>
    <cfRule type="cellIs" priority="953" operator="greaterThan" dxfId="12">
      <formula>0.85</formula>
    </cfRule>
  </conditionalFormatting>
  <conditionalFormatting sqref="E58">
    <cfRule type="expression" priority="948" dxfId="3">
      <formula>AND(IF(OR($Q58=1,$Q58=2),1,0),IF($X58&lt;=20,1,0))</formula>
    </cfRule>
    <cfRule type="expression" priority="949" dxfId="2">
      <formula>AND(IF($Q58=2,1,0),IF($X58&lt;30,1,0))</formula>
    </cfRule>
    <cfRule type="expression" priority="950" dxfId="1">
      <formula>AND(IF($Q58=3,1,0),IF($X58&lt;30,1,0))</formula>
    </cfRule>
    <cfRule type="expression" priority="951" dxfId="0">
      <formula>AND(IF($Q58=3,1,IF($Q58=4,1,0)),IF($F58&lt;=85,1,0))</formula>
    </cfRule>
  </conditionalFormatting>
  <conditionalFormatting sqref="X58">
    <cfRule type="expression" priority="944" dxfId="3">
      <formula>AND(IF(OR($Q58=1,$Q58=2),1,0),IF($X58&lt;=20,1,0))</formula>
    </cfRule>
    <cfRule type="expression" priority="945" dxfId="2">
      <formula>AND(IF($Q58=2,1,0),IF($X58&lt;30,1,0))</formula>
    </cfRule>
    <cfRule type="expression" priority="946" dxfId="1">
      <formula>AND(IF($Q58=3,1,0),IF($X58&lt;30,1,0))</formula>
    </cfRule>
    <cfRule type="expression" priority="947" dxfId="0">
      <formula>AND(IF($Q58=3,1,IF($Q58=4,1,0)),IF($F58&lt;=85,1,0))</formula>
    </cfRule>
  </conditionalFormatting>
  <conditionalFormatting sqref="AI58">
    <cfRule type="expression" priority="940" dxfId="3">
      <formula>AND(IF(OR($Q58=1,$Q58=2),1,0),IF($X58&lt;=20,1,0))</formula>
    </cfRule>
    <cfRule type="expression" priority="941" dxfId="2">
      <formula>AND(IF($Q58=2,1,0),IF($X58&lt;30,1,0))</formula>
    </cfRule>
    <cfRule type="expression" priority="942" dxfId="1">
      <formula>AND(IF($Q58=3,1,0),IF($X58&lt;30,1,0))</formula>
    </cfRule>
    <cfRule type="expression" priority="943" dxfId="0">
      <formula>AND(IF($Q58=3,1,IF($Q58=4,1,0)),IF($F58&lt;=85,1,0))</formula>
    </cfRule>
  </conditionalFormatting>
  <conditionalFormatting sqref="AV59">
    <cfRule type="expression" priority="938" dxfId="17">
      <formula>AV59="X"</formula>
    </cfRule>
    <cfRule type="expression" priority="939" dxfId="16">
      <formula>AV59="후보"</formula>
    </cfRule>
  </conditionalFormatting>
  <conditionalFormatting sqref="AC59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N59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E59">
    <cfRule type="expression" priority="929" dxfId="3">
      <formula>AND(IF(OR($Q59=1,$Q59=2),1,0),IF($X59&lt;=20,1,0))</formula>
    </cfRule>
    <cfRule type="expression" priority="930" dxfId="2">
      <formula>AND(IF($Q59=2,1,0),IF($X59&lt;30,1,0))</formula>
    </cfRule>
    <cfRule type="expression" priority="931" dxfId="1">
      <formula>AND(IF($Q59=3,1,0),IF($X59&lt;30,1,0))</formula>
    </cfRule>
    <cfRule type="expression" priority="932" dxfId="0">
      <formula>AND(IF($Q59=3,1,IF($Q59=4,1,0)),IF($F59&lt;=85,1,0))</formula>
    </cfRule>
  </conditionalFormatting>
  <conditionalFormatting sqref="X59">
    <cfRule type="expression" priority="925" dxfId="3">
      <formula>AND(IF(OR($Q59=1,$Q59=2),1,0),IF($X59&lt;=20,1,0))</formula>
    </cfRule>
    <cfRule type="expression" priority="926" dxfId="2">
      <formula>AND(IF($Q59=2,1,0),IF($X59&lt;30,1,0))</formula>
    </cfRule>
    <cfRule type="expression" priority="927" dxfId="1">
      <formula>AND(IF($Q59=3,1,0),IF($X59&lt;30,1,0))</formula>
    </cfRule>
    <cfRule type="expression" priority="928" dxfId="0">
      <formula>AND(IF($Q59=3,1,IF($Q59=4,1,0)),IF($F59&lt;=85,1,0))</formula>
    </cfRule>
  </conditionalFormatting>
  <conditionalFormatting sqref="AI59">
    <cfRule type="expression" priority="921" dxfId="3">
      <formula>AND(IF(OR($Q59=1,$Q59=2),1,0),IF($X59&lt;=20,1,0))</formula>
    </cfRule>
    <cfRule type="expression" priority="922" dxfId="2">
      <formula>AND(IF($Q59=2,1,0),IF($X59&lt;30,1,0))</formula>
    </cfRule>
    <cfRule type="expression" priority="923" dxfId="1">
      <formula>AND(IF($Q59=3,1,0),IF($X59&lt;30,1,0))</formula>
    </cfRule>
    <cfRule type="expression" priority="924" dxfId="0">
      <formula>AND(IF($Q59=3,1,IF($Q59=4,1,0)),IF($F59&lt;=85,1,0))</formula>
    </cfRule>
  </conditionalFormatting>
  <conditionalFormatting sqref="AV60">
    <cfRule type="expression" priority="919" dxfId="17">
      <formula>AV60="X"</formula>
    </cfRule>
    <cfRule type="expression" priority="920" dxfId="16">
      <formula>AV60="후보"</formula>
    </cfRule>
  </conditionalFormatting>
  <conditionalFormatting sqref="AC60">
    <cfRule type="cellIs" priority="916" operator="greaterThan" dxfId="13">
      <formula>0.9</formula>
    </cfRule>
    <cfRule type="cellIs" priority="917" operator="greaterThan" dxfId="12">
      <formula>0.85</formula>
    </cfRule>
  </conditionalFormatting>
  <conditionalFormatting sqref="N60">
    <cfRule type="cellIs" priority="914" operator="greaterThan" dxfId="13">
      <formula>0.9</formula>
    </cfRule>
    <cfRule type="cellIs" priority="915" operator="greaterThan" dxfId="12">
      <formula>0.85</formula>
    </cfRule>
  </conditionalFormatting>
  <conditionalFormatting sqref="E60">
    <cfRule type="expression" priority="910" dxfId="3">
      <formula>AND(IF(OR($Q60=1,$Q60=2),1,0),IF($X60&lt;=20,1,0))</formula>
    </cfRule>
    <cfRule type="expression" priority="911" dxfId="2">
      <formula>AND(IF($Q60=2,1,0),IF($X60&lt;30,1,0))</formula>
    </cfRule>
    <cfRule type="expression" priority="912" dxfId="1">
      <formula>AND(IF($Q60=3,1,0),IF($X60&lt;30,1,0))</formula>
    </cfRule>
    <cfRule type="expression" priority="913" dxfId="0">
      <formula>AND(IF($Q60=3,1,IF($Q60=4,1,0)),IF($F60&lt;=85,1,0))</formula>
    </cfRule>
  </conditionalFormatting>
  <conditionalFormatting sqref="X60">
    <cfRule type="expression" priority="906" dxfId="3">
      <formula>AND(IF(OR($Q60=1,$Q60=2),1,0),IF($X60&lt;=20,1,0))</formula>
    </cfRule>
    <cfRule type="expression" priority="907" dxfId="2">
      <formula>AND(IF($Q60=2,1,0),IF($X60&lt;30,1,0))</formula>
    </cfRule>
    <cfRule type="expression" priority="908" dxfId="1">
      <formula>AND(IF($Q60=3,1,0),IF($X60&lt;30,1,0))</formula>
    </cfRule>
    <cfRule type="expression" priority="909" dxfId="0">
      <formula>AND(IF($Q60=3,1,IF($Q60=4,1,0)),IF($F60&lt;=85,1,0))</formula>
    </cfRule>
  </conditionalFormatting>
  <conditionalFormatting sqref="AI60">
    <cfRule type="expression" priority="902" dxfId="3">
      <formula>AND(IF(OR($Q60=1,$Q60=2),1,0),IF($X60&lt;=20,1,0))</formula>
    </cfRule>
    <cfRule type="expression" priority="903" dxfId="2">
      <formula>AND(IF($Q60=2,1,0),IF($X60&lt;30,1,0))</formula>
    </cfRule>
    <cfRule type="expression" priority="904" dxfId="1">
      <formula>AND(IF($Q60=3,1,0),IF($X60&lt;30,1,0))</formula>
    </cfRule>
    <cfRule type="expression" priority="905" dxfId="0">
      <formula>AND(IF($Q60=3,1,IF($Q60=4,1,0)),IF($F60&lt;=85,1,0))</formula>
    </cfRule>
  </conditionalFormatting>
  <conditionalFormatting sqref="AV61">
    <cfRule type="expression" priority="900" dxfId="17">
      <formula>AV61="X"</formula>
    </cfRule>
    <cfRule type="expression" priority="901" dxfId="16">
      <formula>AV61="후보"</formula>
    </cfRule>
  </conditionalFormatting>
  <conditionalFormatting sqref="AC61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61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61">
    <cfRule type="expression" priority="891" dxfId="3">
      <formula>AND(IF(OR($Q61=1,$Q61=2),1,0),IF($X61&lt;=20,1,0))</formula>
    </cfRule>
    <cfRule type="expression" priority="892" dxfId="2">
      <formula>AND(IF($Q61=2,1,0),IF($X61&lt;30,1,0))</formula>
    </cfRule>
    <cfRule type="expression" priority="893" dxfId="1">
      <formula>AND(IF($Q61=3,1,0),IF($X61&lt;30,1,0))</formula>
    </cfRule>
    <cfRule type="expression" priority="894" dxfId="0">
      <formula>AND(IF($Q61=3,1,IF($Q61=4,1,0)),IF($F61&lt;=85,1,0))</formula>
    </cfRule>
  </conditionalFormatting>
  <conditionalFormatting sqref="X61">
    <cfRule type="expression" priority="887" dxfId="3">
      <formula>AND(IF(OR($Q61=1,$Q61=2),1,0),IF($X61&lt;=20,1,0))</formula>
    </cfRule>
    <cfRule type="expression" priority="888" dxfId="2">
      <formula>AND(IF($Q61=2,1,0),IF($X61&lt;30,1,0))</formula>
    </cfRule>
    <cfRule type="expression" priority="889" dxfId="1">
      <formula>AND(IF($Q61=3,1,0),IF($X61&lt;30,1,0))</formula>
    </cfRule>
    <cfRule type="expression" priority="890" dxfId="0">
      <formula>AND(IF($Q61=3,1,IF($Q61=4,1,0)),IF($F61&lt;=85,1,0))</formula>
    </cfRule>
  </conditionalFormatting>
  <conditionalFormatting sqref="AI61">
    <cfRule type="expression" priority="883" dxfId="3">
      <formula>AND(IF(OR($Q61=1,$Q61=2),1,0),IF($X61&lt;=20,1,0))</formula>
    </cfRule>
    <cfRule type="expression" priority="884" dxfId="2">
      <formula>AND(IF($Q61=2,1,0),IF($X61&lt;30,1,0))</formula>
    </cfRule>
    <cfRule type="expression" priority="885" dxfId="1">
      <formula>AND(IF($Q61=3,1,0),IF($X61&lt;30,1,0))</formula>
    </cfRule>
    <cfRule type="expression" priority="886" dxfId="0">
      <formula>AND(IF($Q61=3,1,IF($Q61=4,1,0)),IF($F61&lt;=85,1,0))</formula>
    </cfRule>
  </conditionalFormatting>
  <conditionalFormatting sqref="AV62">
    <cfRule type="expression" priority="881" dxfId="17">
      <formula>AV62="X"</formula>
    </cfRule>
    <cfRule type="expression" priority="882" dxfId="16">
      <formula>AV62="후보"</formula>
    </cfRule>
  </conditionalFormatting>
  <conditionalFormatting sqref="AC62 N62">
    <cfRule type="cellIs" priority="878" operator="greaterThan" dxfId="13">
      <formula>0.9</formula>
    </cfRule>
    <cfRule type="cellIs" priority="879" operator="greaterThan" dxfId="12">
      <formula>0.85</formula>
    </cfRule>
  </conditionalFormatting>
  <conditionalFormatting sqref="AV63">
    <cfRule type="expression" priority="876" dxfId="17">
      <formula>AV63="X"</formula>
    </cfRule>
    <cfRule type="expression" priority="877" dxfId="16">
      <formula>AV63="후보"</formula>
    </cfRule>
  </conditionalFormatting>
  <conditionalFormatting sqref="AC63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N63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E63">
    <cfRule type="expression" priority="867" dxfId="3">
      <formula>AND(IF(OR($Q63=1,$Q63=2),1,0),IF($X63&lt;=20,1,0))</formula>
    </cfRule>
    <cfRule type="expression" priority="868" dxfId="2">
      <formula>AND(IF($Q63=2,1,0),IF($X63&lt;30,1,0))</formula>
    </cfRule>
    <cfRule type="expression" priority="869" dxfId="1">
      <formula>AND(IF($Q63=3,1,0),IF($X63&lt;30,1,0))</formula>
    </cfRule>
    <cfRule type="expression" priority="870" dxfId="0">
      <formula>AND(IF($Q63=3,1,IF($Q63=4,1,0)),IF($F63&lt;=85,1,0))</formula>
    </cfRule>
  </conditionalFormatting>
  <conditionalFormatting sqref="X63">
    <cfRule type="expression" priority="863" dxfId="3">
      <formula>AND(IF(OR($Q63=1,$Q63=2),1,0),IF($X63&lt;=20,1,0))</formula>
    </cfRule>
    <cfRule type="expression" priority="864" dxfId="2">
      <formula>AND(IF($Q63=2,1,0),IF($X63&lt;30,1,0))</formula>
    </cfRule>
    <cfRule type="expression" priority="865" dxfId="1">
      <formula>AND(IF($Q63=3,1,0),IF($X63&lt;30,1,0))</formula>
    </cfRule>
    <cfRule type="expression" priority="866" dxfId="0">
      <formula>AND(IF($Q63=3,1,IF($Q63=4,1,0)),IF($F63&lt;=85,1,0))</formula>
    </cfRule>
  </conditionalFormatting>
  <conditionalFormatting sqref="AI63">
    <cfRule type="expression" priority="859" dxfId="3">
      <formula>AND(IF(OR($Q63=1,$Q63=2),1,0),IF($X63&lt;=20,1,0))</formula>
    </cfRule>
    <cfRule type="expression" priority="860" dxfId="2">
      <formula>AND(IF($Q63=2,1,0),IF($X63&lt;30,1,0))</formula>
    </cfRule>
    <cfRule type="expression" priority="861" dxfId="1">
      <formula>AND(IF($Q63=3,1,0),IF($X63&lt;30,1,0))</formula>
    </cfRule>
    <cfRule type="expression" priority="862" dxfId="0">
      <formula>AND(IF($Q63=3,1,IF($Q63=4,1,0)),IF($F63&lt;=85,1,0))</formula>
    </cfRule>
  </conditionalFormatting>
  <conditionalFormatting sqref="AV64">
    <cfRule type="expression" priority="857" dxfId="17">
      <formula>AV64="X"</formula>
    </cfRule>
    <cfRule type="expression" priority="858" dxfId="16">
      <formula>AV64="후보"</formula>
    </cfRule>
  </conditionalFormatting>
  <conditionalFormatting sqref="AC64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N64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E64">
    <cfRule type="expression" priority="848" dxfId="3">
      <formula>AND(IF(OR($Q64=1,$Q64=2),1,0),IF($X64&lt;=20,1,0))</formula>
    </cfRule>
    <cfRule type="expression" priority="849" dxfId="2">
      <formula>AND(IF($Q64=2,1,0),IF($X64&lt;30,1,0))</formula>
    </cfRule>
    <cfRule type="expression" priority="850" dxfId="1">
      <formula>AND(IF($Q64=3,1,0),IF($X64&lt;30,1,0))</formula>
    </cfRule>
    <cfRule type="expression" priority="851" dxfId="0">
      <formula>AND(IF($Q64=3,1,IF($Q64=4,1,0)),IF($F64&lt;=85,1,0))</formula>
    </cfRule>
  </conditionalFormatting>
  <conditionalFormatting sqref="X64">
    <cfRule type="expression" priority="844" dxfId="3">
      <formula>AND(IF(OR($Q64=1,$Q64=2),1,0),IF($X64&lt;=20,1,0))</formula>
    </cfRule>
    <cfRule type="expression" priority="845" dxfId="2">
      <formula>AND(IF($Q64=2,1,0),IF($X64&lt;30,1,0))</formula>
    </cfRule>
    <cfRule type="expression" priority="846" dxfId="1">
      <formula>AND(IF($Q64=3,1,0),IF($X64&lt;30,1,0))</formula>
    </cfRule>
    <cfRule type="expression" priority="847" dxfId="0">
      <formula>AND(IF($Q64=3,1,IF($Q64=4,1,0)),IF($F64&lt;=85,1,0))</formula>
    </cfRule>
  </conditionalFormatting>
  <conditionalFormatting sqref="AI64">
    <cfRule type="expression" priority="840" dxfId="3">
      <formula>AND(IF(OR($Q64=1,$Q64=2),1,0),IF($X64&lt;=20,1,0))</formula>
    </cfRule>
    <cfRule type="expression" priority="841" dxfId="2">
      <formula>AND(IF($Q64=2,1,0),IF($X64&lt;30,1,0))</formula>
    </cfRule>
    <cfRule type="expression" priority="842" dxfId="1">
      <formula>AND(IF($Q64=3,1,0),IF($X64&lt;30,1,0))</formula>
    </cfRule>
    <cfRule type="expression" priority="843" dxfId="0">
      <formula>AND(IF($Q64=3,1,IF($Q64=4,1,0)),IF($F64&lt;=85,1,0))</formula>
    </cfRule>
  </conditionalFormatting>
  <conditionalFormatting sqref="AV65">
    <cfRule type="expression" priority="838" dxfId="17">
      <formula>AV65="X"</formula>
    </cfRule>
    <cfRule type="expression" priority="839" dxfId="16">
      <formula>AV65="후보"</formula>
    </cfRule>
  </conditionalFormatting>
  <conditionalFormatting sqref="AC65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N65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E65">
    <cfRule type="expression" priority="829" dxfId="3">
      <formula>AND(IF(OR($Q65=1,$Q65=2),1,0),IF($X65&lt;=20,1,0))</formula>
    </cfRule>
    <cfRule type="expression" priority="830" dxfId="2">
      <formula>AND(IF($Q65=2,1,0),IF($X65&lt;30,1,0))</formula>
    </cfRule>
    <cfRule type="expression" priority="831" dxfId="1">
      <formula>AND(IF($Q65=3,1,0),IF($X65&lt;30,1,0))</formula>
    </cfRule>
    <cfRule type="expression" priority="832" dxfId="0">
      <formula>AND(IF($Q65=3,1,IF($Q65=4,1,0)),IF($F65&lt;=85,1,0))</formula>
    </cfRule>
  </conditionalFormatting>
  <conditionalFormatting sqref="X65">
    <cfRule type="expression" priority="825" dxfId="3">
      <formula>AND(IF(OR($Q65=1,$Q65=2),1,0),IF($X65&lt;=20,1,0))</formula>
    </cfRule>
    <cfRule type="expression" priority="826" dxfId="2">
      <formula>AND(IF($Q65=2,1,0),IF($X65&lt;30,1,0))</formula>
    </cfRule>
    <cfRule type="expression" priority="827" dxfId="1">
      <formula>AND(IF($Q65=3,1,0),IF($X65&lt;30,1,0))</formula>
    </cfRule>
    <cfRule type="expression" priority="828" dxfId="0">
      <formula>AND(IF($Q65=3,1,IF($Q65=4,1,0)),IF($F65&lt;=85,1,0))</formula>
    </cfRule>
  </conditionalFormatting>
  <conditionalFormatting sqref="AI65">
    <cfRule type="expression" priority="821" dxfId="3">
      <formula>AND(IF(OR($Q65=1,$Q65=2),1,0),IF($X65&lt;=20,1,0))</formula>
    </cfRule>
    <cfRule type="expression" priority="822" dxfId="2">
      <formula>AND(IF($Q65=2,1,0),IF($X65&lt;30,1,0))</formula>
    </cfRule>
    <cfRule type="expression" priority="823" dxfId="1">
      <formula>AND(IF($Q65=3,1,0),IF($X65&lt;30,1,0))</formula>
    </cfRule>
    <cfRule type="expression" priority="824" dxfId="0">
      <formula>AND(IF($Q65=3,1,IF($Q65=4,1,0)),IF($F65&lt;=85,1,0))</formula>
    </cfRule>
  </conditionalFormatting>
  <conditionalFormatting sqref="AV66">
    <cfRule type="expression" priority="819" dxfId="17">
      <formula>AV66="X"</formula>
    </cfRule>
    <cfRule type="expression" priority="820" dxfId="16">
      <formula>AV66="후보"</formula>
    </cfRule>
  </conditionalFormatting>
  <conditionalFormatting sqref="AC66 N66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AV67">
    <cfRule type="expression" priority="814" dxfId="17">
      <formula>AV67="X"</formula>
    </cfRule>
    <cfRule type="expression" priority="815" dxfId="16">
      <formula>AV67="후보"</formula>
    </cfRule>
  </conditionalFormatting>
  <conditionalFormatting sqref="AC67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N67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E67">
    <cfRule type="expression" priority="805" dxfId="3">
      <formula>AND(IF(OR($Q67=1,$Q67=2),1,0),IF($X67&lt;=20,1,0))</formula>
    </cfRule>
    <cfRule type="expression" priority="806" dxfId="2">
      <formula>AND(IF($Q67=2,1,0),IF($X67&lt;30,1,0))</formula>
    </cfRule>
    <cfRule type="expression" priority="807" dxfId="1">
      <formula>AND(IF($Q67=3,1,0),IF($X67&lt;30,1,0))</formula>
    </cfRule>
    <cfRule type="expression" priority="808" dxfId="0">
      <formula>AND(IF($Q67=3,1,IF($Q67=4,1,0)),IF($F67&lt;=85,1,0))</formula>
    </cfRule>
  </conditionalFormatting>
  <conditionalFormatting sqref="X67">
    <cfRule type="expression" priority="801" dxfId="3">
      <formula>AND(IF(OR($Q67=1,$Q67=2),1,0),IF($X67&lt;=20,1,0))</formula>
    </cfRule>
    <cfRule type="expression" priority="802" dxfId="2">
      <formula>AND(IF($Q67=2,1,0),IF($X67&lt;30,1,0))</formula>
    </cfRule>
    <cfRule type="expression" priority="803" dxfId="1">
      <formula>AND(IF($Q67=3,1,0),IF($X67&lt;30,1,0))</formula>
    </cfRule>
    <cfRule type="expression" priority="804" dxfId="0">
      <formula>AND(IF($Q67=3,1,IF($Q67=4,1,0)),IF($F67&lt;=85,1,0))</formula>
    </cfRule>
  </conditionalFormatting>
  <conditionalFormatting sqref="AI67">
    <cfRule type="expression" priority="797" dxfId="3">
      <formula>AND(IF(OR($Q67=1,$Q67=2),1,0),IF($X67&lt;=20,1,0))</formula>
    </cfRule>
    <cfRule type="expression" priority="798" dxfId="2">
      <formula>AND(IF($Q67=2,1,0),IF($X67&lt;30,1,0))</formula>
    </cfRule>
    <cfRule type="expression" priority="799" dxfId="1">
      <formula>AND(IF($Q67=3,1,0),IF($X67&lt;30,1,0))</formula>
    </cfRule>
    <cfRule type="expression" priority="800" dxfId="0">
      <formula>AND(IF($Q67=3,1,IF($Q67=4,1,0)),IF($F67&lt;=85,1,0))</formula>
    </cfRule>
  </conditionalFormatting>
  <conditionalFormatting sqref="AV68">
    <cfRule type="expression" priority="795" dxfId="17">
      <formula>AV68="X"</formula>
    </cfRule>
    <cfRule type="expression" priority="796" dxfId="16">
      <formula>AV68="후보"</formula>
    </cfRule>
  </conditionalFormatting>
  <conditionalFormatting sqref="AC68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N68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E68">
    <cfRule type="expression" priority="786" dxfId="3">
      <formula>AND(IF(OR($Q68=1,$Q68=2),1,0),IF($X68&lt;=20,1,0))</formula>
    </cfRule>
    <cfRule type="expression" priority="787" dxfId="2">
      <formula>AND(IF($Q68=2,1,0),IF($X68&lt;30,1,0))</formula>
    </cfRule>
    <cfRule type="expression" priority="788" dxfId="1">
      <formula>AND(IF($Q68=3,1,0),IF($X68&lt;30,1,0))</formula>
    </cfRule>
    <cfRule type="expression" priority="789" dxfId="0">
      <formula>AND(IF($Q68=3,1,IF($Q68=4,1,0)),IF($F68&lt;=85,1,0))</formula>
    </cfRule>
  </conditionalFormatting>
  <conditionalFormatting sqref="X68">
    <cfRule type="expression" priority="782" dxfId="3">
      <formula>AND(IF(OR($Q68=1,$Q68=2),1,0),IF($X68&lt;=20,1,0))</formula>
    </cfRule>
    <cfRule type="expression" priority="783" dxfId="2">
      <formula>AND(IF($Q68=2,1,0),IF($X68&lt;30,1,0))</formula>
    </cfRule>
    <cfRule type="expression" priority="784" dxfId="1">
      <formula>AND(IF($Q68=3,1,0),IF($X68&lt;30,1,0))</formula>
    </cfRule>
    <cfRule type="expression" priority="785" dxfId="0">
      <formula>AND(IF($Q68=3,1,IF($Q68=4,1,0)),IF($F68&lt;=85,1,0))</formula>
    </cfRule>
  </conditionalFormatting>
  <conditionalFormatting sqref="AI68">
    <cfRule type="expression" priority="778" dxfId="3">
      <formula>AND(IF(OR($Q68=1,$Q68=2),1,0),IF($X68&lt;=20,1,0))</formula>
    </cfRule>
    <cfRule type="expression" priority="779" dxfId="2">
      <formula>AND(IF($Q68=2,1,0),IF($X68&lt;30,1,0))</formula>
    </cfRule>
    <cfRule type="expression" priority="780" dxfId="1">
      <formula>AND(IF($Q68=3,1,0),IF($X68&lt;30,1,0))</formula>
    </cfRule>
    <cfRule type="expression" priority="781" dxfId="0">
      <formula>AND(IF($Q68=3,1,IF($Q68=4,1,0)),IF($F68&lt;=85,1,0))</formula>
    </cfRule>
  </conditionalFormatting>
  <conditionalFormatting sqref="AV69">
    <cfRule type="expression" priority="776" dxfId="17">
      <formula>AV69="X"</formula>
    </cfRule>
    <cfRule type="expression" priority="777" dxfId="16">
      <formula>AV69="후보"</formula>
    </cfRule>
  </conditionalFormatting>
  <conditionalFormatting sqref="AC69 N69">
    <cfRule type="cellIs" priority="773" operator="greaterThan" dxfId="13">
      <formula>0.9</formula>
    </cfRule>
    <cfRule type="cellIs" priority="774" operator="greaterThan" dxfId="12">
      <formula>0.85</formula>
    </cfRule>
  </conditionalFormatting>
  <conditionalFormatting sqref="AV70">
    <cfRule type="expression" priority="771" dxfId="17">
      <formula>AV70="X"</formula>
    </cfRule>
    <cfRule type="expression" priority="772" dxfId="16">
      <formula>AV70="후보"</formula>
    </cfRule>
  </conditionalFormatting>
  <conditionalFormatting sqref="AC70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N70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E70">
    <cfRule type="expression" priority="762" dxfId="3">
      <formula>AND(IF(OR($Q70=1,$Q70=2),1,0),IF($X70&lt;=20,1,0))</formula>
    </cfRule>
    <cfRule type="expression" priority="763" dxfId="2">
      <formula>AND(IF($Q70=2,1,0),IF($X70&lt;30,1,0))</formula>
    </cfRule>
    <cfRule type="expression" priority="764" dxfId="1">
      <formula>AND(IF($Q70=3,1,0),IF($X70&lt;30,1,0))</formula>
    </cfRule>
    <cfRule type="expression" priority="765" dxfId="0">
      <formula>AND(IF($Q70=3,1,IF($Q70=4,1,0)),IF($F70&lt;=85,1,0))</formula>
    </cfRule>
  </conditionalFormatting>
  <conditionalFormatting sqref="X70">
    <cfRule type="expression" priority="758" dxfId="3">
      <formula>AND(IF(OR($Q70=1,$Q70=2),1,0),IF($X70&lt;=20,1,0))</formula>
    </cfRule>
    <cfRule type="expression" priority="759" dxfId="2">
      <formula>AND(IF($Q70=2,1,0),IF($X70&lt;30,1,0))</formula>
    </cfRule>
    <cfRule type="expression" priority="760" dxfId="1">
      <formula>AND(IF($Q70=3,1,0),IF($X70&lt;30,1,0))</formula>
    </cfRule>
    <cfRule type="expression" priority="761" dxfId="0">
      <formula>AND(IF($Q70=3,1,IF($Q70=4,1,0)),IF($F70&lt;=85,1,0))</formula>
    </cfRule>
  </conditionalFormatting>
  <conditionalFormatting sqref="AI70">
    <cfRule type="expression" priority="754" dxfId="3">
      <formula>AND(IF(OR($Q70=1,$Q70=2),1,0),IF($X70&lt;=20,1,0))</formula>
    </cfRule>
    <cfRule type="expression" priority="755" dxfId="2">
      <formula>AND(IF($Q70=2,1,0),IF($X70&lt;30,1,0))</formula>
    </cfRule>
    <cfRule type="expression" priority="756" dxfId="1">
      <formula>AND(IF($Q70=3,1,0),IF($X70&lt;30,1,0))</formula>
    </cfRule>
    <cfRule type="expression" priority="757" dxfId="0">
      <formula>AND(IF($Q70=3,1,IF($Q70=4,1,0)),IF($F70&lt;=85,1,0))</formula>
    </cfRule>
  </conditionalFormatting>
  <conditionalFormatting sqref="AV71">
    <cfRule type="expression" priority="752" dxfId="17">
      <formula>AV71="X"</formula>
    </cfRule>
    <cfRule type="expression" priority="753" dxfId="16">
      <formula>AV71="후보"</formula>
    </cfRule>
  </conditionalFormatting>
  <conditionalFormatting sqref="AC71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N71">
    <cfRule type="cellIs" priority="747" operator="greaterThan" dxfId="13">
      <formula>0.9</formula>
    </cfRule>
    <cfRule type="cellIs" priority="748" operator="greaterThan" dxfId="12">
      <formula>0.85</formula>
    </cfRule>
  </conditionalFormatting>
  <conditionalFormatting sqref="E71">
    <cfRule type="expression" priority="743" dxfId="3">
      <formula>AND(IF(OR($Q71=1,$Q71=2),1,0),IF($X71&lt;=20,1,0))</formula>
    </cfRule>
    <cfRule type="expression" priority="744" dxfId="2">
      <formula>AND(IF($Q71=2,1,0),IF($X71&lt;30,1,0))</formula>
    </cfRule>
    <cfRule type="expression" priority="745" dxfId="1">
      <formula>AND(IF($Q71=3,1,0),IF($X71&lt;30,1,0))</formula>
    </cfRule>
    <cfRule type="expression" priority="746" dxfId="0">
      <formula>AND(IF($Q71=3,1,IF($Q71=4,1,0)),IF($F71&lt;=85,1,0))</formula>
    </cfRule>
  </conditionalFormatting>
  <conditionalFormatting sqref="X71">
    <cfRule type="expression" priority="739" dxfId="3">
      <formula>AND(IF(OR($Q71=1,$Q71=2),1,0),IF($X71&lt;=20,1,0))</formula>
    </cfRule>
    <cfRule type="expression" priority="740" dxfId="2">
      <formula>AND(IF($Q71=2,1,0),IF($X71&lt;30,1,0))</formula>
    </cfRule>
    <cfRule type="expression" priority="741" dxfId="1">
      <formula>AND(IF($Q71=3,1,0),IF($X71&lt;30,1,0))</formula>
    </cfRule>
    <cfRule type="expression" priority="742" dxfId="0">
      <formula>AND(IF($Q71=3,1,IF($Q71=4,1,0)),IF($F71&lt;=85,1,0))</formula>
    </cfRule>
  </conditionalFormatting>
  <conditionalFormatting sqref="AI71">
    <cfRule type="expression" priority="735" dxfId="3">
      <formula>AND(IF(OR($Q71=1,$Q71=2),1,0),IF($X71&lt;=20,1,0))</formula>
    </cfRule>
    <cfRule type="expression" priority="736" dxfId="2">
      <formula>AND(IF($Q71=2,1,0),IF($X71&lt;30,1,0))</formula>
    </cfRule>
    <cfRule type="expression" priority="737" dxfId="1">
      <formula>AND(IF($Q71=3,1,0),IF($X71&lt;30,1,0))</formula>
    </cfRule>
    <cfRule type="expression" priority="738" dxfId="0">
      <formula>AND(IF($Q71=3,1,IF($Q71=4,1,0)),IF($F71&lt;=85,1,0))</formula>
    </cfRule>
  </conditionalFormatting>
  <conditionalFormatting sqref="AV72">
    <cfRule type="expression" priority="733" dxfId="17">
      <formula>AV72="X"</formula>
    </cfRule>
    <cfRule type="expression" priority="734" dxfId="16">
      <formula>AV72="후보"</formula>
    </cfRule>
  </conditionalFormatting>
  <conditionalFormatting sqref="AC72 N72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AV73">
    <cfRule type="expression" priority="728" dxfId="17">
      <formula>AV73="X"</formula>
    </cfRule>
    <cfRule type="expression" priority="729" dxfId="16">
      <formula>AV73="후보"</formula>
    </cfRule>
  </conditionalFormatting>
  <conditionalFormatting sqref="AC73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73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73">
    <cfRule type="expression" priority="719" dxfId="3">
      <formula>AND(IF(OR($Q73=1,$Q73=2),1,0),IF($X73&lt;=20,1,0))</formula>
    </cfRule>
    <cfRule type="expression" priority="720" dxfId="2">
      <formula>AND(IF($Q73=2,1,0),IF($X73&lt;30,1,0))</formula>
    </cfRule>
    <cfRule type="expression" priority="721" dxfId="1">
      <formula>AND(IF($Q73=3,1,0),IF($X73&lt;30,1,0))</formula>
    </cfRule>
    <cfRule type="expression" priority="722" dxfId="0">
      <formula>AND(IF($Q73=3,1,IF($Q73=4,1,0)),IF($F73&lt;=85,1,0))</formula>
    </cfRule>
  </conditionalFormatting>
  <conditionalFormatting sqref="X73">
    <cfRule type="expression" priority="715" dxfId="3">
      <formula>AND(IF(OR($Q73=1,$Q73=2),1,0),IF($X73&lt;=20,1,0))</formula>
    </cfRule>
    <cfRule type="expression" priority="716" dxfId="2">
      <formula>AND(IF($Q73=2,1,0),IF($X73&lt;30,1,0))</formula>
    </cfRule>
    <cfRule type="expression" priority="717" dxfId="1">
      <formula>AND(IF($Q73=3,1,0),IF($X73&lt;30,1,0))</formula>
    </cfRule>
    <cfRule type="expression" priority="718" dxfId="0">
      <formula>AND(IF($Q73=3,1,IF($Q73=4,1,0)),IF($F73&lt;=85,1,0))</formula>
    </cfRule>
  </conditionalFormatting>
  <conditionalFormatting sqref="AI73">
    <cfRule type="expression" priority="711" dxfId="3">
      <formula>AND(IF(OR($Q73=1,$Q73=2),1,0),IF($X73&lt;=20,1,0))</formula>
    </cfRule>
    <cfRule type="expression" priority="712" dxfId="2">
      <formula>AND(IF($Q73=2,1,0),IF($X73&lt;30,1,0))</formula>
    </cfRule>
    <cfRule type="expression" priority="713" dxfId="1">
      <formula>AND(IF($Q73=3,1,0),IF($X73&lt;30,1,0))</formula>
    </cfRule>
    <cfRule type="expression" priority="714" dxfId="0">
      <formula>AND(IF($Q73=3,1,IF($Q73=4,1,0)),IF($F73&lt;=85,1,0))</formula>
    </cfRule>
  </conditionalFormatting>
  <conditionalFormatting sqref="AV74">
    <cfRule type="expression" priority="709" dxfId="17">
      <formula>AV74="X"</formula>
    </cfRule>
    <cfRule type="expression" priority="710" dxfId="16">
      <formula>AV74="후보"</formula>
    </cfRule>
  </conditionalFormatting>
  <conditionalFormatting sqref="AC74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74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74">
    <cfRule type="expression" priority="700" dxfId="3">
      <formula>AND(IF(OR($Q74=1,$Q74=2),1,0),IF($X74&lt;=20,1,0))</formula>
    </cfRule>
    <cfRule type="expression" priority="701" dxfId="2">
      <formula>AND(IF($Q74=2,1,0),IF($X74&lt;30,1,0))</formula>
    </cfRule>
    <cfRule type="expression" priority="702" dxfId="1">
      <formula>AND(IF($Q74=3,1,0),IF($X74&lt;30,1,0))</formula>
    </cfRule>
    <cfRule type="expression" priority="703" dxfId="0">
      <formula>AND(IF($Q74=3,1,IF($Q74=4,1,0)),IF($F74&lt;=85,1,0))</formula>
    </cfRule>
  </conditionalFormatting>
  <conditionalFormatting sqref="X74">
    <cfRule type="expression" priority="696" dxfId="3">
      <formula>AND(IF(OR($Q74=1,$Q74=2),1,0),IF($X74&lt;=20,1,0))</formula>
    </cfRule>
    <cfRule type="expression" priority="697" dxfId="2">
      <formula>AND(IF($Q74=2,1,0),IF($X74&lt;30,1,0))</formula>
    </cfRule>
    <cfRule type="expression" priority="698" dxfId="1">
      <formula>AND(IF($Q74=3,1,0),IF($X74&lt;30,1,0))</formula>
    </cfRule>
    <cfRule type="expression" priority="699" dxfId="0">
      <formula>AND(IF($Q74=3,1,IF($Q74=4,1,0)),IF($F74&lt;=85,1,0))</formula>
    </cfRule>
  </conditionalFormatting>
  <conditionalFormatting sqref="AI74">
    <cfRule type="expression" priority="692" dxfId="3">
      <formula>AND(IF(OR($Q74=1,$Q74=2),1,0),IF($X74&lt;=20,1,0))</formula>
    </cfRule>
    <cfRule type="expression" priority="693" dxfId="2">
      <formula>AND(IF($Q74=2,1,0),IF($X74&lt;30,1,0))</formula>
    </cfRule>
    <cfRule type="expression" priority="694" dxfId="1">
      <formula>AND(IF($Q74=3,1,0),IF($X74&lt;30,1,0))</formula>
    </cfRule>
    <cfRule type="expression" priority="695" dxfId="0">
      <formula>AND(IF($Q74=3,1,IF($Q74=4,1,0)),IF($F74&lt;=85,1,0))</formula>
    </cfRule>
  </conditionalFormatting>
  <conditionalFormatting sqref="AV75">
    <cfRule type="expression" priority="690" dxfId="17">
      <formula>AV75="X"</formula>
    </cfRule>
    <cfRule type="expression" priority="691" dxfId="16">
      <formula>AV75="후보"</formula>
    </cfRule>
  </conditionalFormatting>
  <conditionalFormatting sqref="AC75 N75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AV76">
    <cfRule type="expression" priority="685" dxfId="17">
      <formula>AV76="X"</formula>
    </cfRule>
    <cfRule type="expression" priority="686" dxfId="16">
      <formula>AV76="후보"</formula>
    </cfRule>
  </conditionalFormatting>
  <conditionalFormatting sqref="AC76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76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76">
    <cfRule type="expression" priority="676" dxfId="3">
      <formula>AND(IF(OR($Q76=1,$Q76=2),1,0),IF($X76&lt;=20,1,0))</formula>
    </cfRule>
    <cfRule type="expression" priority="677" dxfId="2">
      <formula>AND(IF($Q76=2,1,0),IF($X76&lt;30,1,0))</formula>
    </cfRule>
    <cfRule type="expression" priority="678" dxfId="1">
      <formula>AND(IF($Q76=3,1,0),IF($X76&lt;30,1,0))</formula>
    </cfRule>
    <cfRule type="expression" priority="679" dxfId="0">
      <formula>AND(IF($Q76=3,1,IF($Q76=4,1,0)),IF($F76&lt;=85,1,0))</formula>
    </cfRule>
  </conditionalFormatting>
  <conditionalFormatting sqref="X76">
    <cfRule type="expression" priority="672" dxfId="3">
      <formula>AND(IF(OR($Q76=1,$Q76=2),1,0),IF($X76&lt;=20,1,0))</formula>
    </cfRule>
    <cfRule type="expression" priority="673" dxfId="2">
      <formula>AND(IF($Q76=2,1,0),IF($X76&lt;30,1,0))</formula>
    </cfRule>
    <cfRule type="expression" priority="674" dxfId="1">
      <formula>AND(IF($Q76=3,1,0),IF($X76&lt;30,1,0))</formula>
    </cfRule>
    <cfRule type="expression" priority="675" dxfId="0">
      <formula>AND(IF($Q76=3,1,IF($Q76=4,1,0)),IF($F76&lt;=85,1,0))</formula>
    </cfRule>
  </conditionalFormatting>
  <conditionalFormatting sqref="AI76">
    <cfRule type="expression" priority="668" dxfId="3">
      <formula>AND(IF(OR($Q76=1,$Q76=2),1,0),IF($X76&lt;=20,1,0))</formula>
    </cfRule>
    <cfRule type="expression" priority="669" dxfId="2">
      <formula>AND(IF($Q76=2,1,0),IF($X76&lt;30,1,0))</formula>
    </cfRule>
    <cfRule type="expression" priority="670" dxfId="1">
      <formula>AND(IF($Q76=3,1,0),IF($X76&lt;30,1,0))</formula>
    </cfRule>
    <cfRule type="expression" priority="671" dxfId="0">
      <formula>AND(IF($Q76=3,1,IF($Q76=4,1,0)),IF($F76&lt;=85,1,0))</formula>
    </cfRule>
  </conditionalFormatting>
  <conditionalFormatting sqref="AV77">
    <cfRule type="expression" priority="666" dxfId="17">
      <formula>AV77="X"</formula>
    </cfRule>
    <cfRule type="expression" priority="667" dxfId="16">
      <formula>AV77="후보"</formula>
    </cfRule>
  </conditionalFormatting>
  <conditionalFormatting sqref="AC77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77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77">
    <cfRule type="expression" priority="657" dxfId="3">
      <formula>AND(IF(OR($Q77=1,$Q77=2),1,0),IF($X77&lt;=20,1,0))</formula>
    </cfRule>
    <cfRule type="expression" priority="658" dxfId="2">
      <formula>AND(IF($Q77=2,1,0),IF($X77&lt;30,1,0))</formula>
    </cfRule>
    <cfRule type="expression" priority="659" dxfId="1">
      <formula>AND(IF($Q77=3,1,0),IF($X77&lt;30,1,0))</formula>
    </cfRule>
    <cfRule type="expression" priority="660" dxfId="0">
      <formula>AND(IF($Q77=3,1,IF($Q77=4,1,0)),IF($F77&lt;=85,1,0))</formula>
    </cfRule>
  </conditionalFormatting>
  <conditionalFormatting sqref="X77">
    <cfRule type="expression" priority="653" dxfId="3">
      <formula>AND(IF(OR($Q77=1,$Q77=2),1,0),IF($X77&lt;=20,1,0))</formula>
    </cfRule>
    <cfRule type="expression" priority="654" dxfId="2">
      <formula>AND(IF($Q77=2,1,0),IF($X77&lt;30,1,0))</formula>
    </cfRule>
    <cfRule type="expression" priority="655" dxfId="1">
      <formula>AND(IF($Q77=3,1,0),IF($X77&lt;30,1,0))</formula>
    </cfRule>
    <cfRule type="expression" priority="656" dxfId="0">
      <formula>AND(IF($Q77=3,1,IF($Q77=4,1,0)),IF($F77&lt;=85,1,0))</formula>
    </cfRule>
  </conditionalFormatting>
  <conditionalFormatting sqref="AI77">
    <cfRule type="expression" priority="649" dxfId="3">
      <formula>AND(IF(OR($Q77=1,$Q77=2),1,0),IF($X77&lt;=20,1,0))</formula>
    </cfRule>
    <cfRule type="expression" priority="650" dxfId="2">
      <formula>AND(IF($Q77=2,1,0),IF($X77&lt;30,1,0))</formula>
    </cfRule>
    <cfRule type="expression" priority="651" dxfId="1">
      <formula>AND(IF($Q77=3,1,0),IF($X77&lt;30,1,0))</formula>
    </cfRule>
    <cfRule type="expression" priority="652" dxfId="0">
      <formula>AND(IF($Q77=3,1,IF($Q77=4,1,0)),IF($F77&lt;=85,1,0))</formula>
    </cfRule>
  </conditionalFormatting>
  <conditionalFormatting sqref="AV78">
    <cfRule type="expression" priority="647" dxfId="17">
      <formula>AV78="X"</formula>
    </cfRule>
    <cfRule type="expression" priority="648" dxfId="16">
      <formula>AV78="후보"</formula>
    </cfRule>
  </conditionalFormatting>
  <conditionalFormatting sqref="AC78 N78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AV79">
    <cfRule type="expression" priority="642" dxfId="17">
      <formula>AV79="X"</formula>
    </cfRule>
    <cfRule type="expression" priority="643" dxfId="16">
      <formula>AV79="후보"</formula>
    </cfRule>
  </conditionalFormatting>
  <conditionalFormatting sqref="AC79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79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79">
    <cfRule type="expression" priority="633" dxfId="3">
      <formula>AND(IF(OR($Q79=1,$Q79=2),1,0),IF($X79&lt;=20,1,0))</formula>
    </cfRule>
    <cfRule type="expression" priority="634" dxfId="2">
      <formula>AND(IF($Q79=2,1,0),IF($X79&lt;30,1,0))</formula>
    </cfRule>
    <cfRule type="expression" priority="635" dxfId="1">
      <formula>AND(IF($Q79=3,1,0),IF($X79&lt;30,1,0))</formula>
    </cfRule>
    <cfRule type="expression" priority="636" dxfId="0">
      <formula>AND(IF($Q79=3,1,IF($Q79=4,1,0)),IF($F79&lt;=85,1,0))</formula>
    </cfRule>
  </conditionalFormatting>
  <conditionalFormatting sqref="X79">
    <cfRule type="expression" priority="629" dxfId="3">
      <formula>AND(IF(OR($Q79=1,$Q79=2),1,0),IF($X79&lt;=20,1,0))</formula>
    </cfRule>
    <cfRule type="expression" priority="630" dxfId="2">
      <formula>AND(IF($Q79=2,1,0),IF($X79&lt;30,1,0))</formula>
    </cfRule>
    <cfRule type="expression" priority="631" dxfId="1">
      <formula>AND(IF($Q79=3,1,0),IF($X79&lt;30,1,0))</formula>
    </cfRule>
    <cfRule type="expression" priority="632" dxfId="0">
      <formula>AND(IF($Q79=3,1,IF($Q79=4,1,0)),IF($F79&lt;=85,1,0))</formula>
    </cfRule>
  </conditionalFormatting>
  <conditionalFormatting sqref="AI79">
    <cfRule type="expression" priority="625" dxfId="3">
      <formula>AND(IF(OR($Q79=1,$Q79=2),1,0),IF($X79&lt;=20,1,0))</formula>
    </cfRule>
    <cfRule type="expression" priority="626" dxfId="2">
      <formula>AND(IF($Q79=2,1,0),IF($X79&lt;30,1,0))</formula>
    </cfRule>
    <cfRule type="expression" priority="627" dxfId="1">
      <formula>AND(IF($Q79=3,1,0),IF($X79&lt;30,1,0))</formula>
    </cfRule>
    <cfRule type="expression" priority="628" dxfId="0">
      <formula>AND(IF($Q79=3,1,IF($Q79=4,1,0)),IF($F79&lt;=85,1,0))</formula>
    </cfRule>
  </conditionalFormatting>
  <conditionalFormatting sqref="AV80">
    <cfRule type="expression" priority="623" dxfId="17">
      <formula>AV80="X"</formula>
    </cfRule>
    <cfRule type="expression" priority="624" dxfId="16">
      <formula>AV80="후보"</formula>
    </cfRule>
  </conditionalFormatting>
  <conditionalFormatting sqref="AC80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80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80">
    <cfRule type="expression" priority="614" dxfId="3">
      <formula>AND(IF(OR($Q80=1,$Q80=2),1,0),IF($X80&lt;=20,1,0))</formula>
    </cfRule>
    <cfRule type="expression" priority="615" dxfId="2">
      <formula>AND(IF($Q80=2,1,0),IF($X80&lt;30,1,0))</formula>
    </cfRule>
    <cfRule type="expression" priority="616" dxfId="1">
      <formula>AND(IF($Q80=3,1,0),IF($X80&lt;30,1,0))</formula>
    </cfRule>
    <cfRule type="expression" priority="617" dxfId="0">
      <formula>AND(IF($Q80=3,1,IF($Q80=4,1,0)),IF($F80&lt;=85,1,0))</formula>
    </cfRule>
  </conditionalFormatting>
  <conditionalFormatting sqref="X80">
    <cfRule type="expression" priority="610" dxfId="3">
      <formula>AND(IF(OR($Q80=1,$Q80=2),1,0),IF($X80&lt;=20,1,0))</formula>
    </cfRule>
    <cfRule type="expression" priority="611" dxfId="2">
      <formula>AND(IF($Q80=2,1,0),IF($X80&lt;30,1,0))</formula>
    </cfRule>
    <cfRule type="expression" priority="612" dxfId="1">
      <formula>AND(IF($Q80=3,1,0),IF($X80&lt;30,1,0))</formula>
    </cfRule>
    <cfRule type="expression" priority="613" dxfId="0">
      <formula>AND(IF($Q80=3,1,IF($Q80=4,1,0)),IF($F80&lt;=85,1,0))</formula>
    </cfRule>
  </conditionalFormatting>
  <conditionalFormatting sqref="AI80">
    <cfRule type="expression" priority="606" dxfId="3">
      <formula>AND(IF(OR($Q80=1,$Q80=2),1,0),IF($X80&lt;=20,1,0))</formula>
    </cfRule>
    <cfRule type="expression" priority="607" dxfId="2">
      <formula>AND(IF($Q80=2,1,0),IF($X80&lt;30,1,0))</formula>
    </cfRule>
    <cfRule type="expression" priority="608" dxfId="1">
      <formula>AND(IF($Q80=3,1,0),IF($X80&lt;30,1,0))</formula>
    </cfRule>
    <cfRule type="expression" priority="609" dxfId="0">
      <formula>AND(IF($Q80=3,1,IF($Q80=4,1,0)),IF($F80&lt;=85,1,0))</formula>
    </cfRule>
  </conditionalFormatting>
  <conditionalFormatting sqref="AV81">
    <cfRule type="expression" priority="604" dxfId="17">
      <formula>AV81="X"</formula>
    </cfRule>
    <cfRule type="expression" priority="605" dxfId="16">
      <formula>AV81="후보"</formula>
    </cfRule>
  </conditionalFormatting>
  <conditionalFormatting sqref="AC81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81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81">
    <cfRule type="expression" priority="595" dxfId="3">
      <formula>AND(IF(OR($Q81=1,$Q81=2),1,0),IF($X81&lt;=20,1,0))</formula>
    </cfRule>
    <cfRule type="expression" priority="596" dxfId="2">
      <formula>AND(IF($Q81=2,1,0),IF($X81&lt;30,1,0))</formula>
    </cfRule>
    <cfRule type="expression" priority="597" dxfId="1">
      <formula>AND(IF($Q81=3,1,0),IF($X81&lt;30,1,0))</formula>
    </cfRule>
    <cfRule type="expression" priority="598" dxfId="0">
      <formula>AND(IF($Q81=3,1,IF($Q81=4,1,0)),IF($F81&lt;=85,1,0))</formula>
    </cfRule>
  </conditionalFormatting>
  <conditionalFormatting sqref="X81">
    <cfRule type="expression" priority="591" dxfId="3">
      <formula>AND(IF(OR($Q81=1,$Q81=2),1,0),IF($X81&lt;=20,1,0))</formula>
    </cfRule>
    <cfRule type="expression" priority="592" dxfId="2">
      <formula>AND(IF($Q81=2,1,0),IF($X81&lt;30,1,0))</formula>
    </cfRule>
    <cfRule type="expression" priority="593" dxfId="1">
      <formula>AND(IF($Q81=3,1,0),IF($X81&lt;30,1,0))</formula>
    </cfRule>
    <cfRule type="expression" priority="594" dxfId="0">
      <formula>AND(IF($Q81=3,1,IF($Q81=4,1,0)),IF($F81&lt;=85,1,0))</formula>
    </cfRule>
  </conditionalFormatting>
  <conditionalFormatting sqref="AI81">
    <cfRule type="expression" priority="587" dxfId="3">
      <formula>AND(IF(OR($Q81=1,$Q81=2),1,0),IF($X81&lt;=20,1,0))</formula>
    </cfRule>
    <cfRule type="expression" priority="588" dxfId="2">
      <formula>AND(IF($Q81=2,1,0),IF($X81&lt;30,1,0))</formula>
    </cfRule>
    <cfRule type="expression" priority="589" dxfId="1">
      <formula>AND(IF($Q81=3,1,0),IF($X81&lt;30,1,0))</formula>
    </cfRule>
    <cfRule type="expression" priority="590" dxfId="0">
      <formula>AND(IF($Q81=3,1,IF($Q81=4,1,0)),IF($F81&lt;=85,1,0))</formula>
    </cfRule>
  </conditionalFormatting>
  <conditionalFormatting sqref="AV82">
    <cfRule type="expression" priority="585" dxfId="17">
      <formula>AV82="X"</formula>
    </cfRule>
    <cfRule type="expression" priority="586" dxfId="16">
      <formula>AV82="후보"</formula>
    </cfRule>
  </conditionalFormatting>
  <conditionalFormatting sqref="AC82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82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82">
    <cfRule type="expression" priority="576" dxfId="3">
      <formula>AND(IF(OR($Q82=1,$Q82=2),1,0),IF($X82&lt;=20,1,0))</formula>
    </cfRule>
    <cfRule type="expression" priority="577" dxfId="2">
      <formula>AND(IF($Q82=2,1,0),IF($X82&lt;30,1,0))</formula>
    </cfRule>
    <cfRule type="expression" priority="578" dxfId="1">
      <formula>AND(IF($Q82=3,1,0),IF($X82&lt;30,1,0))</formula>
    </cfRule>
    <cfRule type="expression" priority="579" dxfId="0">
      <formula>AND(IF($Q82=3,1,IF($Q82=4,1,0)),IF($F82&lt;=85,1,0))</formula>
    </cfRule>
  </conditionalFormatting>
  <conditionalFormatting sqref="X82">
    <cfRule type="expression" priority="572" dxfId="3">
      <formula>AND(IF(OR($Q82=1,$Q82=2),1,0),IF($X82&lt;=20,1,0))</formula>
    </cfRule>
    <cfRule type="expression" priority="573" dxfId="2">
      <formula>AND(IF($Q82=2,1,0),IF($X82&lt;30,1,0))</formula>
    </cfRule>
    <cfRule type="expression" priority="574" dxfId="1">
      <formula>AND(IF($Q82=3,1,0),IF($X82&lt;30,1,0))</formula>
    </cfRule>
    <cfRule type="expression" priority="575" dxfId="0">
      <formula>AND(IF($Q82=3,1,IF($Q82=4,1,0)),IF($F82&lt;=85,1,0))</formula>
    </cfRule>
  </conditionalFormatting>
  <conditionalFormatting sqref="AI82">
    <cfRule type="expression" priority="568" dxfId="3">
      <formula>AND(IF(OR($Q82=1,$Q82=2),1,0),IF($X82&lt;=20,1,0))</formula>
    </cfRule>
    <cfRule type="expression" priority="569" dxfId="2">
      <formula>AND(IF($Q82=2,1,0),IF($X82&lt;30,1,0))</formula>
    </cfRule>
    <cfRule type="expression" priority="570" dxfId="1">
      <formula>AND(IF($Q82=3,1,0),IF($X82&lt;30,1,0))</formula>
    </cfRule>
    <cfRule type="expression" priority="571" dxfId="0">
      <formula>AND(IF($Q82=3,1,IF($Q82=4,1,0)),IF($F82&lt;=85,1,0))</formula>
    </cfRule>
  </conditionalFormatting>
  <conditionalFormatting sqref="AV83">
    <cfRule type="expression" priority="566" dxfId="17">
      <formula>AV83="X"</formula>
    </cfRule>
    <cfRule type="expression" priority="567" dxfId="16">
      <formula>AV83="후보"</formula>
    </cfRule>
  </conditionalFormatting>
  <conditionalFormatting sqref="AC83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83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83">
    <cfRule type="expression" priority="557" dxfId="3">
      <formula>AND(IF(OR($Q83=1,$Q83=2),1,0),IF($X83&lt;=20,1,0))</formula>
    </cfRule>
    <cfRule type="expression" priority="558" dxfId="2">
      <formula>AND(IF($Q83=2,1,0),IF($X83&lt;30,1,0))</formula>
    </cfRule>
    <cfRule type="expression" priority="559" dxfId="1">
      <formula>AND(IF($Q83=3,1,0),IF($X83&lt;30,1,0))</formula>
    </cfRule>
    <cfRule type="expression" priority="560" dxfId="0">
      <formula>AND(IF($Q83=3,1,IF($Q83=4,1,0)),IF($F83&lt;=85,1,0))</formula>
    </cfRule>
  </conditionalFormatting>
  <conditionalFormatting sqref="X83">
    <cfRule type="expression" priority="553" dxfId="3">
      <formula>AND(IF(OR($Q83=1,$Q83=2),1,0),IF($X83&lt;=20,1,0))</formula>
    </cfRule>
    <cfRule type="expression" priority="554" dxfId="2">
      <formula>AND(IF($Q83=2,1,0),IF($X83&lt;30,1,0))</formula>
    </cfRule>
    <cfRule type="expression" priority="555" dxfId="1">
      <formula>AND(IF($Q83=3,1,0),IF($X83&lt;30,1,0))</formula>
    </cfRule>
    <cfRule type="expression" priority="556" dxfId="0">
      <formula>AND(IF($Q83=3,1,IF($Q83=4,1,0)),IF($F83&lt;=85,1,0))</formula>
    </cfRule>
  </conditionalFormatting>
  <conditionalFormatting sqref="AI83">
    <cfRule type="expression" priority="549" dxfId="3">
      <formula>AND(IF(OR($Q83=1,$Q83=2),1,0),IF($X83&lt;=20,1,0))</formula>
    </cfRule>
    <cfRule type="expression" priority="550" dxfId="2">
      <formula>AND(IF($Q83=2,1,0),IF($X83&lt;30,1,0))</formula>
    </cfRule>
    <cfRule type="expression" priority="551" dxfId="1">
      <formula>AND(IF($Q83=3,1,0),IF($X83&lt;30,1,0))</formula>
    </cfRule>
    <cfRule type="expression" priority="552" dxfId="0">
      <formula>AND(IF($Q83=3,1,IF($Q83=4,1,0)),IF($F83&lt;=85,1,0))</formula>
    </cfRule>
  </conditionalFormatting>
  <conditionalFormatting sqref="AV84">
    <cfRule type="expression" priority="547" dxfId="17">
      <formula>AV84="X"</formula>
    </cfRule>
    <cfRule type="expression" priority="548" dxfId="16">
      <formula>AV84="후보"</formula>
    </cfRule>
  </conditionalFormatting>
  <conditionalFormatting sqref="AC84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84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84">
    <cfRule type="expression" priority="538" dxfId="3">
      <formula>AND(IF(OR($Q84=1,$Q84=2),1,0),IF($X84&lt;=20,1,0))</formula>
    </cfRule>
    <cfRule type="expression" priority="539" dxfId="2">
      <formula>AND(IF($Q84=2,1,0),IF($X84&lt;30,1,0))</formula>
    </cfRule>
    <cfRule type="expression" priority="540" dxfId="1">
      <formula>AND(IF($Q84=3,1,0),IF($X84&lt;30,1,0))</formula>
    </cfRule>
    <cfRule type="expression" priority="541" dxfId="0">
      <formula>AND(IF($Q84=3,1,IF($Q84=4,1,0)),IF($F84&lt;=85,1,0))</formula>
    </cfRule>
  </conditionalFormatting>
  <conditionalFormatting sqref="X84">
    <cfRule type="expression" priority="534" dxfId="3">
      <formula>AND(IF(OR($Q84=1,$Q84=2),1,0),IF($X84&lt;=20,1,0))</formula>
    </cfRule>
    <cfRule type="expression" priority="535" dxfId="2">
      <formula>AND(IF($Q84=2,1,0),IF($X84&lt;30,1,0))</formula>
    </cfRule>
    <cfRule type="expression" priority="536" dxfId="1">
      <formula>AND(IF($Q84=3,1,0),IF($X84&lt;30,1,0))</formula>
    </cfRule>
    <cfRule type="expression" priority="537" dxfId="0">
      <formula>AND(IF($Q84=3,1,IF($Q84=4,1,0)),IF($F84&lt;=85,1,0))</formula>
    </cfRule>
  </conditionalFormatting>
  <conditionalFormatting sqref="AI84">
    <cfRule type="expression" priority="530" dxfId="3">
      <formula>AND(IF(OR($Q84=1,$Q84=2),1,0),IF($X84&lt;=20,1,0))</formula>
    </cfRule>
    <cfRule type="expression" priority="531" dxfId="2">
      <formula>AND(IF($Q84=2,1,0),IF($X84&lt;30,1,0))</formula>
    </cfRule>
    <cfRule type="expression" priority="532" dxfId="1">
      <formula>AND(IF($Q84=3,1,0),IF($X84&lt;30,1,0))</formula>
    </cfRule>
    <cfRule type="expression" priority="533" dxfId="0">
      <formula>AND(IF($Q84=3,1,IF($Q84=4,1,0)),IF($F84&lt;=85,1,0))</formula>
    </cfRule>
  </conditionalFormatting>
  <conditionalFormatting sqref="AV85">
    <cfRule type="expression" priority="528" dxfId="17">
      <formula>AV85="X"</formula>
    </cfRule>
    <cfRule type="expression" priority="529" dxfId="16">
      <formula>AV85="후보"</formula>
    </cfRule>
  </conditionalFormatting>
  <conditionalFormatting sqref="AC85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85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85">
    <cfRule type="expression" priority="519" dxfId="3">
      <formula>AND(IF(OR($Q85=1,$Q85=2),1,0),IF($X85&lt;=20,1,0))</formula>
    </cfRule>
    <cfRule type="expression" priority="520" dxfId="2">
      <formula>AND(IF($Q85=2,1,0),IF($X85&lt;30,1,0))</formula>
    </cfRule>
    <cfRule type="expression" priority="521" dxfId="1">
      <formula>AND(IF($Q85=3,1,0),IF($X85&lt;30,1,0))</formula>
    </cfRule>
    <cfRule type="expression" priority="522" dxfId="0">
      <formula>AND(IF($Q85=3,1,IF($Q85=4,1,0)),IF($F85&lt;=85,1,0))</formula>
    </cfRule>
  </conditionalFormatting>
  <conditionalFormatting sqref="X85">
    <cfRule type="expression" priority="515" dxfId="3">
      <formula>AND(IF(OR($Q85=1,$Q85=2),1,0),IF($X85&lt;=20,1,0))</formula>
    </cfRule>
    <cfRule type="expression" priority="516" dxfId="2">
      <formula>AND(IF($Q85=2,1,0),IF($X85&lt;30,1,0))</formula>
    </cfRule>
    <cfRule type="expression" priority="517" dxfId="1">
      <formula>AND(IF($Q85=3,1,0),IF($X85&lt;30,1,0))</formula>
    </cfRule>
    <cfRule type="expression" priority="518" dxfId="0">
      <formula>AND(IF($Q85=3,1,IF($Q85=4,1,0)),IF($F85&lt;=85,1,0))</formula>
    </cfRule>
  </conditionalFormatting>
  <conditionalFormatting sqref="AI85">
    <cfRule type="expression" priority="511" dxfId="3">
      <formula>AND(IF(OR($Q85=1,$Q85=2),1,0),IF($X85&lt;=20,1,0))</formula>
    </cfRule>
    <cfRule type="expression" priority="512" dxfId="2">
      <formula>AND(IF($Q85=2,1,0),IF($X85&lt;30,1,0))</formula>
    </cfRule>
    <cfRule type="expression" priority="513" dxfId="1">
      <formula>AND(IF($Q85=3,1,0),IF($X85&lt;30,1,0))</formula>
    </cfRule>
    <cfRule type="expression" priority="514" dxfId="0">
      <formula>AND(IF($Q85=3,1,IF($Q85=4,1,0)),IF($F85&lt;=85,1,0))</formula>
    </cfRule>
  </conditionalFormatting>
  <conditionalFormatting sqref="AV86">
    <cfRule type="expression" priority="509" dxfId="17">
      <formula>AV86="X"</formula>
    </cfRule>
    <cfRule type="expression" priority="510" dxfId="16">
      <formula>AV86="후보"</formula>
    </cfRule>
  </conditionalFormatting>
  <conditionalFormatting sqref="AC86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86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86">
    <cfRule type="expression" priority="500" dxfId="3">
      <formula>AND(IF(OR($Q86=1,$Q86=2),1,0),IF($X86&lt;=20,1,0))</formula>
    </cfRule>
    <cfRule type="expression" priority="501" dxfId="2">
      <formula>AND(IF($Q86=2,1,0),IF($X86&lt;30,1,0))</formula>
    </cfRule>
    <cfRule type="expression" priority="502" dxfId="1">
      <formula>AND(IF($Q86=3,1,0),IF($X86&lt;30,1,0))</formula>
    </cfRule>
    <cfRule type="expression" priority="503" dxfId="0">
      <formula>AND(IF($Q86=3,1,IF($Q86=4,1,0)),IF($F86&lt;=85,1,0))</formula>
    </cfRule>
  </conditionalFormatting>
  <conditionalFormatting sqref="X86">
    <cfRule type="expression" priority="496" dxfId="3">
      <formula>AND(IF(OR($Q86=1,$Q86=2),1,0),IF($X86&lt;=20,1,0))</formula>
    </cfRule>
    <cfRule type="expression" priority="497" dxfId="2">
      <formula>AND(IF($Q86=2,1,0),IF($X86&lt;30,1,0))</formula>
    </cfRule>
    <cfRule type="expression" priority="498" dxfId="1">
      <formula>AND(IF($Q86=3,1,0),IF($X86&lt;30,1,0))</formula>
    </cfRule>
    <cfRule type="expression" priority="499" dxfId="0">
      <formula>AND(IF($Q86=3,1,IF($Q86=4,1,0)),IF($F86&lt;=85,1,0))</formula>
    </cfRule>
  </conditionalFormatting>
  <conditionalFormatting sqref="AI86">
    <cfRule type="expression" priority="492" dxfId="3">
      <formula>AND(IF(OR($Q86=1,$Q86=2),1,0),IF($X86&lt;=20,1,0))</formula>
    </cfRule>
    <cfRule type="expression" priority="493" dxfId="2">
      <formula>AND(IF($Q86=2,1,0),IF($X86&lt;30,1,0))</formula>
    </cfRule>
    <cfRule type="expression" priority="494" dxfId="1">
      <formula>AND(IF($Q86=3,1,0),IF($X86&lt;30,1,0))</formula>
    </cfRule>
    <cfRule type="expression" priority="495" dxfId="0">
      <formula>AND(IF($Q86=3,1,IF($Q86=4,1,0)),IF($F86&lt;=85,1,0))</formula>
    </cfRule>
  </conditionalFormatting>
  <conditionalFormatting sqref="AV87">
    <cfRule type="expression" priority="490" dxfId="17">
      <formula>AV87="X"</formula>
    </cfRule>
    <cfRule type="expression" priority="491" dxfId="16">
      <formula>AV87="후보"</formula>
    </cfRule>
  </conditionalFormatting>
  <conditionalFormatting sqref="AC87 N87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AV88">
    <cfRule type="expression" priority="485" dxfId="17">
      <formula>AV88="X"</formula>
    </cfRule>
    <cfRule type="expression" priority="486" dxfId="16">
      <formula>AV88="후보"</formula>
    </cfRule>
  </conditionalFormatting>
  <conditionalFormatting sqref="AC88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88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88">
    <cfRule type="expression" priority="476" dxfId="3">
      <formula>AND(IF(OR($Q88=1,$Q88=2),1,0),IF($X88&lt;=20,1,0))</formula>
    </cfRule>
    <cfRule type="expression" priority="477" dxfId="2">
      <formula>AND(IF($Q88=2,1,0),IF($X88&lt;30,1,0))</formula>
    </cfRule>
    <cfRule type="expression" priority="478" dxfId="1">
      <formula>AND(IF($Q88=3,1,0),IF($X88&lt;30,1,0))</formula>
    </cfRule>
    <cfRule type="expression" priority="479" dxfId="0">
      <formula>AND(IF($Q88=3,1,IF($Q88=4,1,0)),IF($F88&lt;=85,1,0))</formula>
    </cfRule>
  </conditionalFormatting>
  <conditionalFormatting sqref="X88">
    <cfRule type="expression" priority="472" dxfId="3">
      <formula>AND(IF(OR($Q88=1,$Q88=2),1,0),IF($X88&lt;=20,1,0))</formula>
    </cfRule>
    <cfRule type="expression" priority="473" dxfId="2">
      <formula>AND(IF($Q88=2,1,0),IF($X88&lt;30,1,0))</formula>
    </cfRule>
    <cfRule type="expression" priority="474" dxfId="1">
      <formula>AND(IF($Q88=3,1,0),IF($X88&lt;30,1,0))</formula>
    </cfRule>
    <cfRule type="expression" priority="475" dxfId="0">
      <formula>AND(IF($Q88=3,1,IF($Q88=4,1,0)),IF($F88&lt;=85,1,0))</formula>
    </cfRule>
  </conditionalFormatting>
  <conditionalFormatting sqref="AI88">
    <cfRule type="expression" priority="468" dxfId="3">
      <formula>AND(IF(OR($Q88=1,$Q88=2),1,0),IF($X88&lt;=20,1,0))</formula>
    </cfRule>
    <cfRule type="expression" priority="469" dxfId="2">
      <formula>AND(IF($Q88=2,1,0),IF($X88&lt;30,1,0))</formula>
    </cfRule>
    <cfRule type="expression" priority="470" dxfId="1">
      <formula>AND(IF($Q88=3,1,0),IF($X88&lt;30,1,0))</formula>
    </cfRule>
    <cfRule type="expression" priority="471" dxfId="0">
      <formula>AND(IF($Q88=3,1,IF($Q88=4,1,0)),IF($F88&lt;=85,1,0))</formula>
    </cfRule>
  </conditionalFormatting>
  <conditionalFormatting sqref="AV89">
    <cfRule type="expression" priority="466" dxfId="17">
      <formula>AV89="X"</formula>
    </cfRule>
    <cfRule type="expression" priority="467" dxfId="16">
      <formula>AV89="후보"</formula>
    </cfRule>
  </conditionalFormatting>
  <conditionalFormatting sqref="AC89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89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89">
    <cfRule type="expression" priority="457" dxfId="3">
      <formula>AND(IF(OR($Q89=1,$Q89=2),1,0),IF($X89&lt;=20,1,0))</formula>
    </cfRule>
    <cfRule type="expression" priority="458" dxfId="2">
      <formula>AND(IF($Q89=2,1,0),IF($X89&lt;30,1,0))</formula>
    </cfRule>
    <cfRule type="expression" priority="459" dxfId="1">
      <formula>AND(IF($Q89=3,1,0),IF($X89&lt;30,1,0))</formula>
    </cfRule>
    <cfRule type="expression" priority="460" dxfId="0">
      <formula>AND(IF($Q89=3,1,IF($Q89=4,1,0)),IF($F89&lt;=85,1,0))</formula>
    </cfRule>
  </conditionalFormatting>
  <conditionalFormatting sqref="X89">
    <cfRule type="expression" priority="453" dxfId="3">
      <formula>AND(IF(OR($Q89=1,$Q89=2),1,0),IF($X89&lt;=20,1,0))</formula>
    </cfRule>
    <cfRule type="expression" priority="454" dxfId="2">
      <formula>AND(IF($Q89=2,1,0),IF($X89&lt;30,1,0))</formula>
    </cfRule>
    <cfRule type="expression" priority="455" dxfId="1">
      <formula>AND(IF($Q89=3,1,0),IF($X89&lt;30,1,0))</formula>
    </cfRule>
    <cfRule type="expression" priority="456" dxfId="0">
      <formula>AND(IF($Q89=3,1,IF($Q89=4,1,0)),IF($F89&lt;=85,1,0))</formula>
    </cfRule>
  </conditionalFormatting>
  <conditionalFormatting sqref="AI89">
    <cfRule type="expression" priority="449" dxfId="3">
      <formula>AND(IF(OR($Q89=1,$Q89=2),1,0),IF($X89&lt;=20,1,0))</formula>
    </cfRule>
    <cfRule type="expression" priority="450" dxfId="2">
      <formula>AND(IF($Q89=2,1,0),IF($X89&lt;30,1,0))</formula>
    </cfRule>
    <cfRule type="expression" priority="451" dxfId="1">
      <formula>AND(IF($Q89=3,1,0),IF($X89&lt;30,1,0))</formula>
    </cfRule>
    <cfRule type="expression" priority="452" dxfId="0">
      <formula>AND(IF($Q89=3,1,IF($Q89=4,1,0)),IF($F89&lt;=85,1,0))</formula>
    </cfRule>
  </conditionalFormatting>
  <conditionalFormatting sqref="AV90">
    <cfRule type="expression" priority="447" dxfId="17">
      <formula>AV90="X"</formula>
    </cfRule>
    <cfRule type="expression" priority="448" dxfId="16">
      <formula>AV90="후보"</formula>
    </cfRule>
  </conditionalFormatting>
  <conditionalFormatting sqref="AC90 N90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AV91">
    <cfRule type="expression" priority="442" dxfId="17">
      <formula>AV91="X"</formula>
    </cfRule>
    <cfRule type="expression" priority="443" dxfId="16">
      <formula>AV91="후보"</formula>
    </cfRule>
  </conditionalFormatting>
  <conditionalFormatting sqref="AC91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91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91">
    <cfRule type="expression" priority="433" dxfId="3">
      <formula>AND(IF(OR($Q91=1,$Q91=2),1,0),IF($X91&lt;=20,1,0))</formula>
    </cfRule>
    <cfRule type="expression" priority="434" dxfId="2">
      <formula>AND(IF($Q91=2,1,0),IF($X91&lt;30,1,0))</formula>
    </cfRule>
    <cfRule type="expression" priority="435" dxfId="1">
      <formula>AND(IF($Q91=3,1,0),IF($X91&lt;30,1,0))</formula>
    </cfRule>
    <cfRule type="expression" priority="436" dxfId="0">
      <formula>AND(IF($Q91=3,1,IF($Q91=4,1,0)),IF($F91&lt;=85,1,0))</formula>
    </cfRule>
  </conditionalFormatting>
  <conditionalFormatting sqref="X91">
    <cfRule type="expression" priority="429" dxfId="3">
      <formula>AND(IF(OR($Q91=1,$Q91=2),1,0),IF($X91&lt;=20,1,0))</formula>
    </cfRule>
    <cfRule type="expression" priority="430" dxfId="2">
      <formula>AND(IF($Q91=2,1,0),IF($X91&lt;30,1,0))</formula>
    </cfRule>
    <cfRule type="expression" priority="431" dxfId="1">
      <formula>AND(IF($Q91=3,1,0),IF($X91&lt;30,1,0))</formula>
    </cfRule>
    <cfRule type="expression" priority="432" dxfId="0">
      <formula>AND(IF($Q91=3,1,IF($Q91=4,1,0)),IF($F91&lt;=85,1,0))</formula>
    </cfRule>
  </conditionalFormatting>
  <conditionalFormatting sqref="AI91">
    <cfRule type="expression" priority="425" dxfId="3">
      <formula>AND(IF(OR($Q91=1,$Q91=2),1,0),IF($X91&lt;=20,1,0))</formula>
    </cfRule>
    <cfRule type="expression" priority="426" dxfId="2">
      <formula>AND(IF($Q91=2,1,0),IF($X91&lt;30,1,0))</formula>
    </cfRule>
    <cfRule type="expression" priority="427" dxfId="1">
      <formula>AND(IF($Q91=3,1,0),IF($X91&lt;30,1,0))</formula>
    </cfRule>
    <cfRule type="expression" priority="428" dxfId="0">
      <formula>AND(IF($Q91=3,1,IF($Q91=4,1,0)),IF($F91&lt;=85,1,0))</formula>
    </cfRule>
  </conditionalFormatting>
  <conditionalFormatting sqref="AV92">
    <cfRule type="expression" priority="423" dxfId="17">
      <formula>AV92="X"</formula>
    </cfRule>
    <cfRule type="expression" priority="424" dxfId="16">
      <formula>AV92="후보"</formula>
    </cfRule>
  </conditionalFormatting>
  <conditionalFormatting sqref="AC92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92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92">
    <cfRule type="expression" priority="414" dxfId="3">
      <formula>AND(IF(OR($Q92=1,$Q92=2),1,0),IF($X92&lt;=20,1,0))</formula>
    </cfRule>
    <cfRule type="expression" priority="415" dxfId="2">
      <formula>AND(IF($Q92=2,1,0),IF($X92&lt;30,1,0))</formula>
    </cfRule>
    <cfRule type="expression" priority="416" dxfId="1">
      <formula>AND(IF($Q92=3,1,0),IF($X92&lt;30,1,0))</formula>
    </cfRule>
    <cfRule type="expression" priority="417" dxfId="0">
      <formula>AND(IF($Q92=3,1,IF($Q92=4,1,0)),IF($F92&lt;=85,1,0))</formula>
    </cfRule>
  </conditionalFormatting>
  <conditionalFormatting sqref="X92">
    <cfRule type="expression" priority="410" dxfId="3">
      <formula>AND(IF(OR($Q92=1,$Q92=2),1,0),IF($X92&lt;=20,1,0))</formula>
    </cfRule>
    <cfRule type="expression" priority="411" dxfId="2">
      <formula>AND(IF($Q92=2,1,0),IF($X92&lt;30,1,0))</formula>
    </cfRule>
    <cfRule type="expression" priority="412" dxfId="1">
      <formula>AND(IF($Q92=3,1,0),IF($X92&lt;30,1,0))</formula>
    </cfRule>
    <cfRule type="expression" priority="413" dxfId="0">
      <formula>AND(IF($Q92=3,1,IF($Q92=4,1,0)),IF($F92&lt;=85,1,0))</formula>
    </cfRule>
  </conditionalFormatting>
  <conditionalFormatting sqref="AI92">
    <cfRule type="expression" priority="406" dxfId="3">
      <formula>AND(IF(OR($Q92=1,$Q92=2),1,0),IF($X92&lt;=20,1,0))</formula>
    </cfRule>
    <cfRule type="expression" priority="407" dxfId="2">
      <formula>AND(IF($Q92=2,1,0),IF($X92&lt;30,1,0))</formula>
    </cfRule>
    <cfRule type="expression" priority="408" dxfId="1">
      <formula>AND(IF($Q92=3,1,0),IF($X92&lt;30,1,0))</formula>
    </cfRule>
    <cfRule type="expression" priority="409" dxfId="0">
      <formula>AND(IF($Q92=3,1,IF($Q92=4,1,0)),IF($F92&lt;=85,1,0))</formula>
    </cfRule>
  </conditionalFormatting>
  <conditionalFormatting sqref="AV93">
    <cfRule type="expression" priority="404" dxfId="17">
      <formula>AV93="X"</formula>
    </cfRule>
    <cfRule type="expression" priority="405" dxfId="16">
      <formula>AV93="후보"</formula>
    </cfRule>
  </conditionalFormatting>
  <conditionalFormatting sqref="AC93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93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93">
    <cfRule type="expression" priority="395" dxfId="3">
      <formula>AND(IF(OR($Q93=1,$Q93=2),1,0),IF($X93&lt;=20,1,0))</formula>
    </cfRule>
    <cfRule type="expression" priority="396" dxfId="2">
      <formula>AND(IF($Q93=2,1,0),IF($X93&lt;30,1,0))</formula>
    </cfRule>
    <cfRule type="expression" priority="397" dxfId="1">
      <formula>AND(IF($Q93=3,1,0),IF($X93&lt;30,1,0))</formula>
    </cfRule>
    <cfRule type="expression" priority="398" dxfId="0">
      <formula>AND(IF($Q93=3,1,IF($Q93=4,1,0)),IF($F93&lt;=85,1,0))</formula>
    </cfRule>
  </conditionalFormatting>
  <conditionalFormatting sqref="X93">
    <cfRule type="expression" priority="391" dxfId="3">
      <formula>AND(IF(OR($Q93=1,$Q93=2),1,0),IF($X93&lt;=20,1,0))</formula>
    </cfRule>
    <cfRule type="expression" priority="392" dxfId="2">
      <formula>AND(IF($Q93=2,1,0),IF($X93&lt;30,1,0))</formula>
    </cfRule>
    <cfRule type="expression" priority="393" dxfId="1">
      <formula>AND(IF($Q93=3,1,0),IF($X93&lt;30,1,0))</formula>
    </cfRule>
    <cfRule type="expression" priority="394" dxfId="0">
      <formula>AND(IF($Q93=3,1,IF($Q93=4,1,0)),IF($F93&lt;=85,1,0))</formula>
    </cfRule>
  </conditionalFormatting>
  <conditionalFormatting sqref="AI93">
    <cfRule type="expression" priority="387" dxfId="3">
      <formula>AND(IF(OR($Q93=1,$Q93=2),1,0),IF($X93&lt;=20,1,0))</formula>
    </cfRule>
    <cfRule type="expression" priority="388" dxfId="2">
      <formula>AND(IF($Q93=2,1,0),IF($X93&lt;30,1,0))</formula>
    </cfRule>
    <cfRule type="expression" priority="389" dxfId="1">
      <formula>AND(IF($Q93=3,1,0),IF($X93&lt;30,1,0))</formula>
    </cfRule>
    <cfRule type="expression" priority="390" dxfId="0">
      <formula>AND(IF($Q93=3,1,IF($Q93=4,1,0)),IF($F93&lt;=85,1,0))</formula>
    </cfRule>
  </conditionalFormatting>
  <conditionalFormatting sqref="AV94">
    <cfRule type="expression" priority="385" dxfId="17">
      <formula>AV94="X"</formula>
    </cfRule>
    <cfRule type="expression" priority="386" dxfId="16">
      <formula>AV94="후보"</formula>
    </cfRule>
  </conditionalFormatting>
  <conditionalFormatting sqref="AC94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94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94">
    <cfRule type="expression" priority="376" dxfId="3">
      <formula>AND(IF(OR($Q94=1,$Q94=2),1,0),IF($X94&lt;=20,1,0))</formula>
    </cfRule>
    <cfRule type="expression" priority="377" dxfId="2">
      <formula>AND(IF($Q94=2,1,0),IF($X94&lt;30,1,0))</formula>
    </cfRule>
    <cfRule type="expression" priority="378" dxfId="1">
      <formula>AND(IF($Q94=3,1,0),IF($X94&lt;30,1,0))</formula>
    </cfRule>
    <cfRule type="expression" priority="379" dxfId="0">
      <formula>AND(IF($Q94=3,1,IF($Q94=4,1,0)),IF($F94&lt;=85,1,0))</formula>
    </cfRule>
  </conditionalFormatting>
  <conditionalFormatting sqref="X94">
    <cfRule type="expression" priority="372" dxfId="3">
      <formula>AND(IF(OR($Q94=1,$Q94=2),1,0),IF($X94&lt;=20,1,0))</formula>
    </cfRule>
    <cfRule type="expression" priority="373" dxfId="2">
      <formula>AND(IF($Q94=2,1,0),IF($X94&lt;30,1,0))</formula>
    </cfRule>
    <cfRule type="expression" priority="374" dxfId="1">
      <formula>AND(IF($Q94=3,1,0),IF($X94&lt;30,1,0))</formula>
    </cfRule>
    <cfRule type="expression" priority="375" dxfId="0">
      <formula>AND(IF($Q94=3,1,IF($Q94=4,1,0)),IF($F94&lt;=85,1,0))</formula>
    </cfRule>
  </conditionalFormatting>
  <conditionalFormatting sqref="AI94">
    <cfRule type="expression" priority="368" dxfId="3">
      <formula>AND(IF(OR($Q94=1,$Q94=2),1,0),IF($X94&lt;=20,1,0))</formula>
    </cfRule>
    <cfRule type="expression" priority="369" dxfId="2">
      <formula>AND(IF($Q94=2,1,0),IF($X94&lt;30,1,0))</formula>
    </cfRule>
    <cfRule type="expression" priority="370" dxfId="1">
      <formula>AND(IF($Q94=3,1,0),IF($X94&lt;30,1,0))</formula>
    </cfRule>
    <cfRule type="expression" priority="371" dxfId="0">
      <formula>AND(IF($Q94=3,1,IF($Q94=4,1,0)),IF($F94&lt;=85,1,0))</formula>
    </cfRule>
  </conditionalFormatting>
  <conditionalFormatting sqref="AV95">
    <cfRule type="expression" priority="366" dxfId="17">
      <formula>AV95="X"</formula>
    </cfRule>
    <cfRule type="expression" priority="367" dxfId="16">
      <formula>AV95="후보"</formula>
    </cfRule>
  </conditionalFormatting>
  <conditionalFormatting sqref="AC95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95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95">
    <cfRule type="expression" priority="357" dxfId="3">
      <formula>AND(IF(OR($Q95=1,$Q95=2),1,0),IF($X95&lt;=20,1,0))</formula>
    </cfRule>
    <cfRule type="expression" priority="358" dxfId="2">
      <formula>AND(IF($Q95=2,1,0),IF($X95&lt;30,1,0))</formula>
    </cfRule>
    <cfRule type="expression" priority="359" dxfId="1">
      <formula>AND(IF($Q95=3,1,0),IF($X95&lt;30,1,0))</formula>
    </cfRule>
    <cfRule type="expression" priority="360" dxfId="0">
      <formula>AND(IF($Q95=3,1,IF($Q95=4,1,0)),IF($F95&lt;=85,1,0))</formula>
    </cfRule>
  </conditionalFormatting>
  <conditionalFormatting sqref="X95">
    <cfRule type="expression" priority="353" dxfId="3">
      <formula>AND(IF(OR($Q95=1,$Q95=2),1,0),IF($X95&lt;=20,1,0))</formula>
    </cfRule>
    <cfRule type="expression" priority="354" dxfId="2">
      <formula>AND(IF($Q95=2,1,0),IF($X95&lt;30,1,0))</formula>
    </cfRule>
    <cfRule type="expression" priority="355" dxfId="1">
      <formula>AND(IF($Q95=3,1,0),IF($X95&lt;30,1,0))</formula>
    </cfRule>
    <cfRule type="expression" priority="356" dxfId="0">
      <formula>AND(IF($Q95=3,1,IF($Q95=4,1,0)),IF($F95&lt;=85,1,0))</formula>
    </cfRule>
  </conditionalFormatting>
  <conditionalFormatting sqref="AI95">
    <cfRule type="expression" priority="349" dxfId="3">
      <formula>AND(IF(OR($Q95=1,$Q95=2),1,0),IF($X95&lt;=20,1,0))</formula>
    </cfRule>
    <cfRule type="expression" priority="350" dxfId="2">
      <formula>AND(IF($Q95=2,1,0),IF($X95&lt;30,1,0))</formula>
    </cfRule>
    <cfRule type="expression" priority="351" dxfId="1">
      <formula>AND(IF($Q95=3,1,0),IF($X95&lt;30,1,0))</formula>
    </cfRule>
    <cfRule type="expression" priority="352" dxfId="0">
      <formula>AND(IF($Q95=3,1,IF($Q95=4,1,0)),IF($F95&lt;=85,1,0))</formula>
    </cfRule>
  </conditionalFormatting>
  <conditionalFormatting sqref="AV96">
    <cfRule type="expression" priority="347" dxfId="17">
      <formula>AV96="X"</formula>
    </cfRule>
    <cfRule type="expression" priority="348" dxfId="16">
      <formula>AV96="후보"</formula>
    </cfRule>
  </conditionalFormatting>
  <conditionalFormatting sqref="AC96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96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96">
    <cfRule type="expression" priority="338" dxfId="3">
      <formula>AND(IF(OR($Q96=1,$Q96=2),1,0),IF($X96&lt;=20,1,0))</formula>
    </cfRule>
    <cfRule type="expression" priority="339" dxfId="2">
      <formula>AND(IF($Q96=2,1,0),IF($X96&lt;30,1,0))</formula>
    </cfRule>
    <cfRule type="expression" priority="340" dxfId="1">
      <formula>AND(IF($Q96=3,1,0),IF($X96&lt;30,1,0))</formula>
    </cfRule>
    <cfRule type="expression" priority="341" dxfId="0">
      <formula>AND(IF($Q96=3,1,IF($Q96=4,1,0)),IF($F96&lt;=85,1,0))</formula>
    </cfRule>
  </conditionalFormatting>
  <conditionalFormatting sqref="X96">
    <cfRule type="expression" priority="334" dxfId="3">
      <formula>AND(IF(OR($Q96=1,$Q96=2),1,0),IF($X96&lt;=20,1,0))</formula>
    </cfRule>
    <cfRule type="expression" priority="335" dxfId="2">
      <formula>AND(IF($Q96=2,1,0),IF($X96&lt;30,1,0))</formula>
    </cfRule>
    <cfRule type="expression" priority="336" dxfId="1">
      <formula>AND(IF($Q96=3,1,0),IF($X96&lt;30,1,0))</formula>
    </cfRule>
    <cfRule type="expression" priority="337" dxfId="0">
      <formula>AND(IF($Q96=3,1,IF($Q96=4,1,0)),IF($F96&lt;=85,1,0))</formula>
    </cfRule>
  </conditionalFormatting>
  <conditionalFormatting sqref="AI96">
    <cfRule type="expression" priority="330" dxfId="3">
      <formula>AND(IF(OR($Q96=1,$Q96=2),1,0),IF($X96&lt;=20,1,0))</formula>
    </cfRule>
    <cfRule type="expression" priority="331" dxfId="2">
      <formula>AND(IF($Q96=2,1,0),IF($X96&lt;30,1,0))</formula>
    </cfRule>
    <cfRule type="expression" priority="332" dxfId="1">
      <formula>AND(IF($Q96=3,1,0),IF($X96&lt;30,1,0))</formula>
    </cfRule>
    <cfRule type="expression" priority="333" dxfId="0">
      <formula>AND(IF($Q96=3,1,IF($Q96=4,1,0)),IF($F96&lt;=85,1,0))</formula>
    </cfRule>
  </conditionalFormatting>
  <conditionalFormatting sqref="AV97">
    <cfRule type="expression" priority="328" dxfId="17">
      <formula>AV97="X"</formula>
    </cfRule>
    <cfRule type="expression" priority="329" dxfId="16">
      <formula>AV97="후보"</formula>
    </cfRule>
  </conditionalFormatting>
  <conditionalFormatting sqref="AC97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97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97">
    <cfRule type="expression" priority="319" dxfId="3">
      <formula>AND(IF(OR($Q97=1,$Q97=2),1,0),IF($X97&lt;=20,1,0))</formula>
    </cfRule>
    <cfRule type="expression" priority="320" dxfId="2">
      <formula>AND(IF($Q97=2,1,0),IF($X97&lt;30,1,0))</formula>
    </cfRule>
    <cfRule type="expression" priority="321" dxfId="1">
      <formula>AND(IF($Q97=3,1,0),IF($X97&lt;30,1,0))</formula>
    </cfRule>
    <cfRule type="expression" priority="322" dxfId="0">
      <formula>AND(IF($Q97=3,1,IF($Q97=4,1,0)),IF($F97&lt;=85,1,0))</formula>
    </cfRule>
  </conditionalFormatting>
  <conditionalFormatting sqref="X97">
    <cfRule type="expression" priority="315" dxfId="3">
      <formula>AND(IF(OR($Q97=1,$Q97=2),1,0),IF($X97&lt;=20,1,0))</formula>
    </cfRule>
    <cfRule type="expression" priority="316" dxfId="2">
      <formula>AND(IF($Q97=2,1,0),IF($X97&lt;30,1,0))</formula>
    </cfRule>
    <cfRule type="expression" priority="317" dxfId="1">
      <formula>AND(IF($Q97=3,1,0),IF($X97&lt;30,1,0))</formula>
    </cfRule>
    <cfRule type="expression" priority="318" dxfId="0">
      <formula>AND(IF($Q97=3,1,IF($Q97=4,1,0)),IF($F97&lt;=85,1,0))</formula>
    </cfRule>
  </conditionalFormatting>
  <conditionalFormatting sqref="AI97">
    <cfRule type="expression" priority="311" dxfId="3">
      <formula>AND(IF(OR($Q97=1,$Q97=2),1,0),IF($X97&lt;=20,1,0))</formula>
    </cfRule>
    <cfRule type="expression" priority="312" dxfId="2">
      <formula>AND(IF($Q97=2,1,0),IF($X97&lt;30,1,0))</formula>
    </cfRule>
    <cfRule type="expression" priority="313" dxfId="1">
      <formula>AND(IF($Q97=3,1,0),IF($X97&lt;30,1,0))</formula>
    </cfRule>
    <cfRule type="expression" priority="314" dxfId="0">
      <formula>AND(IF($Q97=3,1,IF($Q97=4,1,0)),IF($F97&lt;=85,1,0))</formula>
    </cfRule>
  </conditionalFormatting>
  <conditionalFormatting sqref="AV98">
    <cfRule type="expression" priority="309" dxfId="17">
      <formula>AV98="X"</formula>
    </cfRule>
    <cfRule type="expression" priority="310" dxfId="16">
      <formula>AV98="후보"</formula>
    </cfRule>
  </conditionalFormatting>
  <conditionalFormatting sqref="AC98 N98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99">
    <cfRule type="expression" priority="304" dxfId="17">
      <formula>AV99="X"</formula>
    </cfRule>
    <cfRule type="expression" priority="305" dxfId="16">
      <formula>AV99="후보"</formula>
    </cfRule>
  </conditionalFormatting>
  <conditionalFormatting sqref="AC99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99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99">
    <cfRule type="expression" priority="295" dxfId="3">
      <formula>AND(IF(OR($Q99=1,$Q99=2),1,0),IF($X99&lt;=20,1,0))</formula>
    </cfRule>
    <cfRule type="expression" priority="296" dxfId="2">
      <formula>AND(IF($Q99=2,1,0),IF($X99&lt;30,1,0))</formula>
    </cfRule>
    <cfRule type="expression" priority="297" dxfId="1">
      <formula>AND(IF($Q99=3,1,0),IF($X99&lt;30,1,0))</formula>
    </cfRule>
    <cfRule type="expression" priority="298" dxfId="0">
      <formula>AND(IF($Q99=3,1,IF($Q99=4,1,0)),IF($F99&lt;=85,1,0))</formula>
    </cfRule>
  </conditionalFormatting>
  <conditionalFormatting sqref="X99">
    <cfRule type="expression" priority="291" dxfId="3">
      <formula>AND(IF(OR($Q99=1,$Q99=2),1,0),IF($X99&lt;=20,1,0))</formula>
    </cfRule>
    <cfRule type="expression" priority="292" dxfId="2">
      <formula>AND(IF($Q99=2,1,0),IF($X99&lt;30,1,0))</formula>
    </cfRule>
    <cfRule type="expression" priority="293" dxfId="1">
      <formula>AND(IF($Q99=3,1,0),IF($X99&lt;30,1,0))</formula>
    </cfRule>
    <cfRule type="expression" priority="294" dxfId="0">
      <formula>AND(IF($Q99=3,1,IF($Q99=4,1,0)),IF($F99&lt;=85,1,0))</formula>
    </cfRule>
  </conditionalFormatting>
  <conditionalFormatting sqref="AI99">
    <cfRule type="expression" priority="287" dxfId="3">
      <formula>AND(IF(OR($Q99=1,$Q99=2),1,0),IF($X99&lt;=20,1,0))</formula>
    </cfRule>
    <cfRule type="expression" priority="288" dxfId="2">
      <formula>AND(IF($Q99=2,1,0),IF($X99&lt;30,1,0))</formula>
    </cfRule>
    <cfRule type="expression" priority="289" dxfId="1">
      <formula>AND(IF($Q99=3,1,0),IF($X99&lt;30,1,0))</formula>
    </cfRule>
    <cfRule type="expression" priority="290" dxfId="0">
      <formula>AND(IF($Q99=3,1,IF($Q99=4,1,0)),IF($F99&lt;=85,1,0))</formula>
    </cfRule>
  </conditionalFormatting>
  <conditionalFormatting sqref="AV100">
    <cfRule type="expression" priority="285" dxfId="17">
      <formula>AV100="X"</formula>
    </cfRule>
    <cfRule type="expression" priority="286" dxfId="16">
      <formula>AV100="후보"</formula>
    </cfRule>
  </conditionalFormatting>
  <conditionalFormatting sqref="AC100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00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00">
    <cfRule type="expression" priority="276" dxfId="3">
      <formula>AND(IF(OR($Q100=1,$Q100=2),1,0),IF($X100&lt;=20,1,0))</formula>
    </cfRule>
    <cfRule type="expression" priority="277" dxfId="2">
      <formula>AND(IF($Q100=2,1,0),IF($X100&lt;30,1,0))</formula>
    </cfRule>
    <cfRule type="expression" priority="278" dxfId="1">
      <formula>AND(IF($Q100=3,1,0),IF($X100&lt;30,1,0))</formula>
    </cfRule>
    <cfRule type="expression" priority="279" dxfId="0">
      <formula>AND(IF($Q100=3,1,IF($Q100=4,1,0)),IF($F100&lt;=85,1,0))</formula>
    </cfRule>
  </conditionalFormatting>
  <conditionalFormatting sqref="X100">
    <cfRule type="expression" priority="272" dxfId="3">
      <formula>AND(IF(OR($Q100=1,$Q100=2),1,0),IF($X100&lt;=20,1,0))</formula>
    </cfRule>
    <cfRule type="expression" priority="273" dxfId="2">
      <formula>AND(IF($Q100=2,1,0),IF($X100&lt;30,1,0))</formula>
    </cfRule>
    <cfRule type="expression" priority="274" dxfId="1">
      <formula>AND(IF($Q100=3,1,0),IF($X100&lt;30,1,0))</formula>
    </cfRule>
    <cfRule type="expression" priority="275" dxfId="0">
      <formula>AND(IF($Q100=3,1,IF($Q100=4,1,0)),IF($F100&lt;=85,1,0))</formula>
    </cfRule>
  </conditionalFormatting>
  <conditionalFormatting sqref="AI100">
    <cfRule type="expression" priority="268" dxfId="3">
      <formula>AND(IF(OR($Q100=1,$Q100=2),1,0),IF($X100&lt;=20,1,0))</formula>
    </cfRule>
    <cfRule type="expression" priority="269" dxfId="2">
      <formula>AND(IF($Q100=2,1,0),IF($X100&lt;30,1,0))</formula>
    </cfRule>
    <cfRule type="expression" priority="270" dxfId="1">
      <formula>AND(IF($Q100=3,1,0),IF($X100&lt;30,1,0))</formula>
    </cfRule>
    <cfRule type="expression" priority="271" dxfId="0">
      <formula>AND(IF($Q100=3,1,IF($Q100=4,1,0)),IF($F100&lt;=85,1,0))</formula>
    </cfRule>
  </conditionalFormatting>
  <conditionalFormatting sqref="AV101">
    <cfRule type="expression" priority="266" dxfId="17">
      <formula>AV101="X"</formula>
    </cfRule>
    <cfRule type="expression" priority="267" dxfId="16">
      <formula>AV101="후보"</formula>
    </cfRule>
  </conditionalFormatting>
  <conditionalFormatting sqref="AC101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01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01">
    <cfRule type="expression" priority="257" dxfId="3">
      <formula>AND(IF(OR($Q101=1,$Q101=2),1,0),IF($X101&lt;=20,1,0))</formula>
    </cfRule>
    <cfRule type="expression" priority="258" dxfId="2">
      <formula>AND(IF($Q101=2,1,0),IF($X101&lt;30,1,0))</formula>
    </cfRule>
    <cfRule type="expression" priority="259" dxfId="1">
      <formula>AND(IF($Q101=3,1,0),IF($X101&lt;30,1,0))</formula>
    </cfRule>
    <cfRule type="expression" priority="260" dxfId="0">
      <formula>AND(IF($Q101=3,1,IF($Q101=4,1,0)),IF($F101&lt;=85,1,0))</formula>
    </cfRule>
  </conditionalFormatting>
  <conditionalFormatting sqref="X101">
    <cfRule type="expression" priority="253" dxfId="3">
      <formula>AND(IF(OR($Q101=1,$Q101=2),1,0),IF($X101&lt;=20,1,0))</formula>
    </cfRule>
    <cfRule type="expression" priority="254" dxfId="2">
      <formula>AND(IF($Q101=2,1,0),IF($X101&lt;30,1,0))</formula>
    </cfRule>
    <cfRule type="expression" priority="255" dxfId="1">
      <formula>AND(IF($Q101=3,1,0),IF($X101&lt;30,1,0))</formula>
    </cfRule>
    <cfRule type="expression" priority="256" dxfId="0">
      <formula>AND(IF($Q101=3,1,IF($Q101=4,1,0)),IF($F101&lt;=85,1,0))</formula>
    </cfRule>
  </conditionalFormatting>
  <conditionalFormatting sqref="AI101">
    <cfRule type="expression" priority="249" dxfId="3">
      <formula>AND(IF(OR($Q101=1,$Q101=2),1,0),IF($X101&lt;=20,1,0))</formula>
    </cfRule>
    <cfRule type="expression" priority="250" dxfId="2">
      <formula>AND(IF($Q101=2,1,0),IF($X101&lt;30,1,0))</formula>
    </cfRule>
    <cfRule type="expression" priority="251" dxfId="1">
      <formula>AND(IF($Q101=3,1,0),IF($X101&lt;30,1,0))</formula>
    </cfRule>
    <cfRule type="expression" priority="252" dxfId="0">
      <formula>AND(IF($Q101=3,1,IF($Q101=4,1,0)),IF($F101&lt;=85,1,0))</formula>
    </cfRule>
  </conditionalFormatting>
  <conditionalFormatting sqref="AV102">
    <cfRule type="expression" priority="247" dxfId="17">
      <formula>AV102="X"</formula>
    </cfRule>
    <cfRule type="expression" priority="248" dxfId="16">
      <formula>AV102="후보"</formula>
    </cfRule>
  </conditionalFormatting>
  <conditionalFormatting sqref="AC102 N102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103">
    <cfRule type="expression" priority="242" dxfId="17">
      <formula>AV103="X"</formula>
    </cfRule>
    <cfRule type="expression" priority="243" dxfId="16">
      <formula>AV103="후보"</formula>
    </cfRule>
  </conditionalFormatting>
  <conditionalFormatting sqref="AC103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03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03">
    <cfRule type="expression" priority="233" dxfId="3">
      <formula>AND(IF(OR($Q103=1,$Q103=2),1,0),IF($X103&lt;=20,1,0))</formula>
    </cfRule>
    <cfRule type="expression" priority="234" dxfId="2">
      <formula>AND(IF($Q103=2,1,0),IF($X103&lt;30,1,0))</formula>
    </cfRule>
    <cfRule type="expression" priority="235" dxfId="1">
      <formula>AND(IF($Q103=3,1,0),IF($X103&lt;30,1,0))</formula>
    </cfRule>
    <cfRule type="expression" priority="236" dxfId="0">
      <formula>AND(IF($Q103=3,1,IF($Q103=4,1,0)),IF($F103&lt;=85,1,0))</formula>
    </cfRule>
  </conditionalFormatting>
  <conditionalFormatting sqref="X103">
    <cfRule type="expression" priority="229" dxfId="3">
      <formula>AND(IF(OR($Q103=1,$Q103=2),1,0),IF($X103&lt;=20,1,0))</formula>
    </cfRule>
    <cfRule type="expression" priority="230" dxfId="2">
      <formula>AND(IF($Q103=2,1,0),IF($X103&lt;30,1,0))</formula>
    </cfRule>
    <cfRule type="expression" priority="231" dxfId="1">
      <formula>AND(IF($Q103=3,1,0),IF($X103&lt;30,1,0))</formula>
    </cfRule>
    <cfRule type="expression" priority="232" dxfId="0">
      <formula>AND(IF($Q103=3,1,IF($Q103=4,1,0)),IF($F103&lt;=85,1,0))</formula>
    </cfRule>
  </conditionalFormatting>
  <conditionalFormatting sqref="AI103">
    <cfRule type="expression" priority="225" dxfId="3">
      <formula>AND(IF(OR($Q103=1,$Q103=2),1,0),IF($X103&lt;=20,1,0))</formula>
    </cfRule>
    <cfRule type="expression" priority="226" dxfId="2">
      <formula>AND(IF($Q103=2,1,0),IF($X103&lt;30,1,0))</formula>
    </cfRule>
    <cfRule type="expression" priority="227" dxfId="1">
      <formula>AND(IF($Q103=3,1,0),IF($X103&lt;30,1,0))</formula>
    </cfRule>
    <cfRule type="expression" priority="228" dxfId="0">
      <formula>AND(IF($Q103=3,1,IF($Q103=4,1,0)),IF($F103&lt;=85,1,0))</formula>
    </cfRule>
  </conditionalFormatting>
  <conditionalFormatting sqref="AV104">
    <cfRule type="expression" priority="223" dxfId="17">
      <formula>AV104="X"</formula>
    </cfRule>
    <cfRule type="expression" priority="224" dxfId="16">
      <formula>AV104="후보"</formula>
    </cfRule>
  </conditionalFormatting>
  <conditionalFormatting sqref="AC104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04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04">
    <cfRule type="expression" priority="214" dxfId="3">
      <formula>AND(IF(OR($Q104=1,$Q104=2),1,0),IF($X104&lt;=20,1,0))</formula>
    </cfRule>
    <cfRule type="expression" priority="215" dxfId="2">
      <formula>AND(IF($Q104=2,1,0),IF($X104&lt;30,1,0))</formula>
    </cfRule>
    <cfRule type="expression" priority="216" dxfId="1">
      <formula>AND(IF($Q104=3,1,0),IF($X104&lt;30,1,0))</formula>
    </cfRule>
    <cfRule type="expression" priority="217" dxfId="0">
      <formula>AND(IF($Q104=3,1,IF($Q104=4,1,0)),IF($F104&lt;=85,1,0))</formula>
    </cfRule>
  </conditionalFormatting>
  <conditionalFormatting sqref="X104">
    <cfRule type="expression" priority="210" dxfId="3">
      <formula>AND(IF(OR($Q104=1,$Q104=2),1,0),IF($X104&lt;=20,1,0))</formula>
    </cfRule>
    <cfRule type="expression" priority="211" dxfId="2">
      <formula>AND(IF($Q104=2,1,0),IF($X104&lt;30,1,0))</formula>
    </cfRule>
    <cfRule type="expression" priority="212" dxfId="1">
      <formula>AND(IF($Q104=3,1,0),IF($X104&lt;30,1,0))</formula>
    </cfRule>
    <cfRule type="expression" priority="213" dxfId="0">
      <formula>AND(IF($Q104=3,1,IF($Q104=4,1,0)),IF($F104&lt;=85,1,0))</formula>
    </cfRule>
  </conditionalFormatting>
  <conditionalFormatting sqref="AI104">
    <cfRule type="expression" priority="206" dxfId="3">
      <formula>AND(IF(OR($Q104=1,$Q104=2),1,0),IF($X104&lt;=20,1,0))</formula>
    </cfRule>
    <cfRule type="expression" priority="207" dxfId="2">
      <formula>AND(IF($Q104=2,1,0),IF($X104&lt;30,1,0))</formula>
    </cfRule>
    <cfRule type="expression" priority="208" dxfId="1">
      <formula>AND(IF($Q104=3,1,0),IF($X104&lt;30,1,0))</formula>
    </cfRule>
    <cfRule type="expression" priority="209" dxfId="0">
      <formula>AND(IF($Q104=3,1,IF($Q104=4,1,0)),IF($F104&lt;=85,1,0))</formula>
    </cfRule>
  </conditionalFormatting>
  <conditionalFormatting sqref="AV105">
    <cfRule type="expression" priority="204" dxfId="17">
      <formula>AV105="X"</formula>
    </cfRule>
    <cfRule type="expression" priority="205" dxfId="16">
      <formula>AV105="후보"</formula>
    </cfRule>
  </conditionalFormatting>
  <conditionalFormatting sqref="AC105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05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05">
    <cfRule type="expression" priority="195" dxfId="3">
      <formula>AND(IF(OR($Q105=1,$Q105=2),1,0),IF($X105&lt;=20,1,0))</formula>
    </cfRule>
    <cfRule type="expression" priority="196" dxfId="2">
      <formula>AND(IF($Q105=2,1,0),IF($X105&lt;30,1,0))</formula>
    </cfRule>
    <cfRule type="expression" priority="197" dxfId="1">
      <formula>AND(IF($Q105=3,1,0),IF($X105&lt;30,1,0))</formula>
    </cfRule>
    <cfRule type="expression" priority="198" dxfId="0">
      <formula>AND(IF($Q105=3,1,IF($Q105=4,1,0)),IF($F105&lt;=85,1,0))</formula>
    </cfRule>
  </conditionalFormatting>
  <conditionalFormatting sqref="X105">
    <cfRule type="expression" priority="191" dxfId="3">
      <formula>AND(IF(OR($Q105=1,$Q105=2),1,0),IF($X105&lt;=20,1,0))</formula>
    </cfRule>
    <cfRule type="expression" priority="192" dxfId="2">
      <formula>AND(IF($Q105=2,1,0),IF($X105&lt;30,1,0))</formula>
    </cfRule>
    <cfRule type="expression" priority="193" dxfId="1">
      <formula>AND(IF($Q105=3,1,0),IF($X105&lt;30,1,0))</formula>
    </cfRule>
    <cfRule type="expression" priority="194" dxfId="0">
      <formula>AND(IF($Q105=3,1,IF($Q105=4,1,0)),IF($F105&lt;=85,1,0))</formula>
    </cfRule>
  </conditionalFormatting>
  <conditionalFormatting sqref="AI105">
    <cfRule type="expression" priority="187" dxfId="3">
      <formula>AND(IF(OR($Q105=1,$Q105=2),1,0),IF($X105&lt;=20,1,0))</formula>
    </cfRule>
    <cfRule type="expression" priority="188" dxfId="2">
      <formula>AND(IF($Q105=2,1,0),IF($X105&lt;30,1,0))</formula>
    </cfRule>
    <cfRule type="expression" priority="189" dxfId="1">
      <formula>AND(IF($Q105=3,1,0),IF($X105&lt;30,1,0))</formula>
    </cfRule>
    <cfRule type="expression" priority="190" dxfId="0">
      <formula>AND(IF($Q105=3,1,IF($Q105=4,1,0)),IF($F105&lt;=85,1,0))</formula>
    </cfRule>
  </conditionalFormatting>
  <conditionalFormatting sqref="AV106">
    <cfRule type="expression" priority="185" dxfId="17">
      <formula>AV106="X"</formula>
    </cfRule>
    <cfRule type="expression" priority="186" dxfId="16">
      <formula>AV106="후보"</formula>
    </cfRule>
  </conditionalFormatting>
  <conditionalFormatting sqref="AC106 N106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107">
    <cfRule type="expression" priority="180" dxfId="17">
      <formula>AV107="X"</formula>
    </cfRule>
    <cfRule type="expression" priority="181" dxfId="16">
      <formula>AV107="후보"</formula>
    </cfRule>
  </conditionalFormatting>
  <conditionalFormatting sqref="AC10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0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07">
    <cfRule type="expression" priority="171" dxfId="3">
      <formula>AND(IF(OR($Q107=1,$Q107=2),1,0),IF($X107&lt;=20,1,0))</formula>
    </cfRule>
    <cfRule type="expression" priority="172" dxfId="2">
      <formula>AND(IF($Q107=2,1,0),IF($X107&lt;30,1,0))</formula>
    </cfRule>
    <cfRule type="expression" priority="173" dxfId="1">
      <formula>AND(IF($Q107=3,1,0),IF($X107&lt;30,1,0))</formula>
    </cfRule>
    <cfRule type="expression" priority="174" dxfId="0">
      <formula>AND(IF($Q107=3,1,IF($Q107=4,1,0)),IF($F107&lt;=85,1,0))</formula>
    </cfRule>
  </conditionalFormatting>
  <conditionalFormatting sqref="X107">
    <cfRule type="expression" priority="167" dxfId="3">
      <formula>AND(IF(OR($Q107=1,$Q107=2),1,0),IF($X107&lt;=20,1,0))</formula>
    </cfRule>
    <cfRule type="expression" priority="168" dxfId="2">
      <formula>AND(IF($Q107=2,1,0),IF($X107&lt;30,1,0))</formula>
    </cfRule>
    <cfRule type="expression" priority="169" dxfId="1">
      <formula>AND(IF($Q107=3,1,0),IF($X107&lt;30,1,0))</formula>
    </cfRule>
    <cfRule type="expression" priority="170" dxfId="0">
      <formula>AND(IF($Q107=3,1,IF($Q107=4,1,0)),IF($F107&lt;=85,1,0))</formula>
    </cfRule>
  </conditionalFormatting>
  <conditionalFormatting sqref="AI107">
    <cfRule type="expression" priority="163" dxfId="3">
      <formula>AND(IF(OR($Q107=1,$Q107=2),1,0),IF($X107&lt;=20,1,0))</formula>
    </cfRule>
    <cfRule type="expression" priority="164" dxfId="2">
      <formula>AND(IF($Q107=2,1,0),IF($X107&lt;30,1,0))</formula>
    </cfRule>
    <cfRule type="expression" priority="165" dxfId="1">
      <formula>AND(IF($Q107=3,1,0),IF($X107&lt;30,1,0))</formula>
    </cfRule>
    <cfRule type="expression" priority="166" dxfId="0">
      <formula>AND(IF($Q107=3,1,IF($Q107=4,1,0)),IF($F107&lt;=85,1,0))</formula>
    </cfRule>
  </conditionalFormatting>
  <conditionalFormatting sqref="AV108">
    <cfRule type="expression" priority="161" dxfId="17">
      <formula>AV108="X"</formula>
    </cfRule>
    <cfRule type="expression" priority="162" dxfId="16">
      <formula>AV108="후보"</formula>
    </cfRule>
  </conditionalFormatting>
  <conditionalFormatting sqref="AC10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0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08">
    <cfRule type="expression" priority="152" dxfId="3">
      <formula>AND(IF(OR($Q108=1,$Q108=2),1,0),IF($X108&lt;=20,1,0))</formula>
    </cfRule>
    <cfRule type="expression" priority="153" dxfId="2">
      <formula>AND(IF($Q108=2,1,0),IF($X108&lt;30,1,0))</formula>
    </cfRule>
    <cfRule type="expression" priority="154" dxfId="1">
      <formula>AND(IF($Q108=3,1,0),IF($X108&lt;30,1,0))</formula>
    </cfRule>
    <cfRule type="expression" priority="155" dxfId="0">
      <formula>AND(IF($Q108=3,1,IF($Q108=4,1,0)),IF($F108&lt;=85,1,0))</formula>
    </cfRule>
  </conditionalFormatting>
  <conditionalFormatting sqref="X108">
    <cfRule type="expression" priority="148" dxfId="3">
      <formula>AND(IF(OR($Q108=1,$Q108=2),1,0),IF($X108&lt;=20,1,0))</formula>
    </cfRule>
    <cfRule type="expression" priority="149" dxfId="2">
      <formula>AND(IF($Q108=2,1,0),IF($X108&lt;30,1,0))</formula>
    </cfRule>
    <cfRule type="expression" priority="150" dxfId="1">
      <formula>AND(IF($Q108=3,1,0),IF($X108&lt;30,1,0))</formula>
    </cfRule>
    <cfRule type="expression" priority="151" dxfId="0">
      <formula>AND(IF($Q108=3,1,IF($Q108=4,1,0)),IF($F108&lt;=85,1,0))</formula>
    </cfRule>
  </conditionalFormatting>
  <conditionalFormatting sqref="AI108">
    <cfRule type="expression" priority="144" dxfId="3">
      <formula>AND(IF(OR($Q108=1,$Q108=2),1,0),IF($X108&lt;=20,1,0))</formula>
    </cfRule>
    <cfRule type="expression" priority="145" dxfId="2">
      <formula>AND(IF($Q108=2,1,0),IF($X108&lt;30,1,0))</formula>
    </cfRule>
    <cfRule type="expression" priority="146" dxfId="1">
      <formula>AND(IF($Q108=3,1,0),IF($X108&lt;30,1,0))</formula>
    </cfRule>
    <cfRule type="expression" priority="147" dxfId="0">
      <formula>AND(IF($Q108=3,1,IF($Q108=4,1,0)),IF($F108&lt;=85,1,0))</formula>
    </cfRule>
  </conditionalFormatting>
  <conditionalFormatting sqref="AV109">
    <cfRule type="expression" priority="142" dxfId="17">
      <formula>AV109="X"</formula>
    </cfRule>
    <cfRule type="expression" priority="143" dxfId="16">
      <formula>AV109="후보"</formula>
    </cfRule>
  </conditionalFormatting>
  <conditionalFormatting sqref="AC10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09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09">
    <cfRule type="expression" priority="133" dxfId="3">
      <formula>AND(IF(OR($Q109=1,$Q109=2),1,0),IF($X109&lt;=20,1,0))</formula>
    </cfRule>
    <cfRule type="expression" priority="134" dxfId="2">
      <formula>AND(IF($Q109=2,1,0),IF($X109&lt;30,1,0))</formula>
    </cfRule>
    <cfRule type="expression" priority="135" dxfId="1">
      <formula>AND(IF($Q109=3,1,0),IF($X109&lt;30,1,0))</formula>
    </cfRule>
    <cfRule type="expression" priority="136" dxfId="0">
      <formula>AND(IF($Q109=3,1,IF($Q109=4,1,0)),IF($F109&lt;=85,1,0))</formula>
    </cfRule>
  </conditionalFormatting>
  <conditionalFormatting sqref="X109">
    <cfRule type="expression" priority="129" dxfId="3">
      <formula>AND(IF(OR($Q109=1,$Q109=2),1,0),IF($X109&lt;=20,1,0))</formula>
    </cfRule>
    <cfRule type="expression" priority="130" dxfId="2">
      <formula>AND(IF($Q109=2,1,0),IF($X109&lt;30,1,0))</formula>
    </cfRule>
    <cfRule type="expression" priority="131" dxfId="1">
      <formula>AND(IF($Q109=3,1,0),IF($X109&lt;30,1,0))</formula>
    </cfRule>
    <cfRule type="expression" priority="132" dxfId="0">
      <formula>AND(IF($Q109=3,1,IF($Q109=4,1,0)),IF($F109&lt;=85,1,0))</formula>
    </cfRule>
  </conditionalFormatting>
  <conditionalFormatting sqref="AI109">
    <cfRule type="expression" priority="125" dxfId="3">
      <formula>AND(IF(OR($Q109=1,$Q109=2),1,0),IF($X109&lt;=20,1,0))</formula>
    </cfRule>
    <cfRule type="expression" priority="126" dxfId="2">
      <formula>AND(IF($Q109=2,1,0),IF($X109&lt;30,1,0))</formula>
    </cfRule>
    <cfRule type="expression" priority="127" dxfId="1">
      <formula>AND(IF($Q109=3,1,0),IF($X109&lt;30,1,0))</formula>
    </cfRule>
    <cfRule type="expression" priority="128" dxfId="0">
      <formula>AND(IF($Q109=3,1,IF($Q109=4,1,0)),IF($F109&lt;=85,1,0))</formula>
    </cfRule>
  </conditionalFormatting>
  <conditionalFormatting sqref="AV110">
    <cfRule type="expression" priority="123" dxfId="17">
      <formula>AV110="X"</formula>
    </cfRule>
    <cfRule type="expression" priority="124" dxfId="16">
      <formula>AV110="후보"</formula>
    </cfRule>
  </conditionalFormatting>
  <conditionalFormatting sqref="AC110 N110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111">
    <cfRule type="expression" priority="118" dxfId="17">
      <formula>AV111="X"</formula>
    </cfRule>
    <cfRule type="expression" priority="119" dxfId="16">
      <formula>AV111="후보"</formula>
    </cfRule>
  </conditionalFormatting>
  <conditionalFormatting sqref="AC11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1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11">
    <cfRule type="expression" priority="109" dxfId="3">
      <formula>AND(IF(OR($Q111=1,$Q111=2),1,0),IF($X111&lt;=20,1,0))</formula>
    </cfRule>
    <cfRule type="expression" priority="110" dxfId="2">
      <formula>AND(IF($Q111=2,1,0),IF($X111&lt;30,1,0))</formula>
    </cfRule>
    <cfRule type="expression" priority="111" dxfId="1">
      <formula>AND(IF($Q111=3,1,0),IF($X111&lt;30,1,0))</formula>
    </cfRule>
    <cfRule type="expression" priority="112" dxfId="0">
      <formula>AND(IF($Q111=3,1,IF($Q111=4,1,0)),IF($F111&lt;=85,1,0))</formula>
    </cfRule>
  </conditionalFormatting>
  <conditionalFormatting sqref="X111">
    <cfRule type="expression" priority="105" dxfId="3">
      <formula>AND(IF(OR($Q111=1,$Q111=2),1,0),IF($X111&lt;=20,1,0))</formula>
    </cfRule>
    <cfRule type="expression" priority="106" dxfId="2">
      <formula>AND(IF($Q111=2,1,0),IF($X111&lt;30,1,0))</formula>
    </cfRule>
    <cfRule type="expression" priority="107" dxfId="1">
      <formula>AND(IF($Q111=3,1,0),IF($X111&lt;30,1,0))</formula>
    </cfRule>
    <cfRule type="expression" priority="108" dxfId="0">
      <formula>AND(IF($Q111=3,1,IF($Q111=4,1,0)),IF($F111&lt;=85,1,0))</formula>
    </cfRule>
  </conditionalFormatting>
  <conditionalFormatting sqref="AI111">
    <cfRule type="expression" priority="101" dxfId="3">
      <formula>AND(IF(OR($Q111=1,$Q111=2),1,0),IF($X111&lt;=20,1,0))</formula>
    </cfRule>
    <cfRule type="expression" priority="102" dxfId="2">
      <formula>AND(IF($Q111=2,1,0),IF($X111&lt;30,1,0))</formula>
    </cfRule>
    <cfRule type="expression" priority="103" dxfId="1">
      <formula>AND(IF($Q111=3,1,0),IF($X111&lt;30,1,0))</formula>
    </cfRule>
    <cfRule type="expression" priority="104" dxfId="0">
      <formula>AND(IF($Q111=3,1,IF($Q111=4,1,0)),IF($F111&lt;=85,1,0))</formula>
    </cfRule>
  </conditionalFormatting>
  <conditionalFormatting sqref="AV112">
    <cfRule type="expression" priority="99" dxfId="17">
      <formula>AV112="X"</formula>
    </cfRule>
    <cfRule type="expression" priority="100" dxfId="16">
      <formula>AV112="후보"</formula>
    </cfRule>
  </conditionalFormatting>
  <conditionalFormatting sqref="AC11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1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12">
    <cfRule type="expression" priority="90" dxfId="3">
      <formula>AND(IF(OR($Q112=1,$Q112=2),1,0),IF($X112&lt;=20,1,0))</formula>
    </cfRule>
    <cfRule type="expression" priority="91" dxfId="2">
      <formula>AND(IF($Q112=2,1,0),IF($X112&lt;30,1,0))</formula>
    </cfRule>
    <cfRule type="expression" priority="92" dxfId="1">
      <formula>AND(IF($Q112=3,1,0),IF($X112&lt;30,1,0))</formula>
    </cfRule>
    <cfRule type="expression" priority="93" dxfId="0">
      <formula>AND(IF($Q112=3,1,IF($Q112=4,1,0)),IF($F112&lt;=85,1,0))</formula>
    </cfRule>
  </conditionalFormatting>
  <conditionalFormatting sqref="X112">
    <cfRule type="expression" priority="86" dxfId="3">
      <formula>AND(IF(OR($Q112=1,$Q112=2),1,0),IF($X112&lt;=20,1,0))</formula>
    </cfRule>
    <cfRule type="expression" priority="87" dxfId="2">
      <formula>AND(IF($Q112=2,1,0),IF($X112&lt;30,1,0))</formula>
    </cfRule>
    <cfRule type="expression" priority="88" dxfId="1">
      <formula>AND(IF($Q112=3,1,0),IF($X112&lt;30,1,0))</formula>
    </cfRule>
    <cfRule type="expression" priority="89" dxfId="0">
      <formula>AND(IF($Q112=3,1,IF($Q112=4,1,0)),IF($F112&lt;=85,1,0))</formula>
    </cfRule>
  </conditionalFormatting>
  <conditionalFormatting sqref="AI112">
    <cfRule type="expression" priority="82" dxfId="3">
      <formula>AND(IF(OR($Q112=1,$Q112=2),1,0),IF($X112&lt;=20,1,0))</formula>
    </cfRule>
    <cfRule type="expression" priority="83" dxfId="2">
      <formula>AND(IF($Q112=2,1,0),IF($X112&lt;30,1,0))</formula>
    </cfRule>
    <cfRule type="expression" priority="84" dxfId="1">
      <formula>AND(IF($Q112=3,1,0),IF($X112&lt;30,1,0))</formula>
    </cfRule>
    <cfRule type="expression" priority="85" dxfId="0">
      <formula>AND(IF($Q112=3,1,IF($Q112=4,1,0)),IF($F112&lt;=85,1,0))</formula>
    </cfRule>
  </conditionalFormatting>
  <conditionalFormatting sqref="AV113">
    <cfRule type="expression" priority="80" dxfId="17">
      <formula>AV113="X"</formula>
    </cfRule>
    <cfRule type="expression" priority="81" dxfId="16">
      <formula>AV113="후보"</formula>
    </cfRule>
  </conditionalFormatting>
  <conditionalFormatting sqref="AC113 N11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14">
    <cfRule type="expression" priority="75" dxfId="17">
      <formula>AV114="X"</formula>
    </cfRule>
    <cfRule type="expression" priority="76" dxfId="16">
      <formula>AV114="후보"</formula>
    </cfRule>
  </conditionalFormatting>
  <conditionalFormatting sqref="AC11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1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14">
    <cfRule type="expression" priority="66" dxfId="3">
      <formula>AND(IF(OR($Q114=1,$Q114=2),1,0),IF($X114&lt;=20,1,0))</formula>
    </cfRule>
    <cfRule type="expression" priority="67" dxfId="2">
      <formula>AND(IF($Q114=2,1,0),IF($X114&lt;30,1,0))</formula>
    </cfRule>
    <cfRule type="expression" priority="68" dxfId="1">
      <formula>AND(IF($Q114=3,1,0),IF($X114&lt;30,1,0))</formula>
    </cfRule>
    <cfRule type="expression" priority="69" dxfId="0">
      <formula>AND(IF($Q114=3,1,IF($Q114=4,1,0)),IF($F114&lt;=85,1,0))</formula>
    </cfRule>
  </conditionalFormatting>
  <conditionalFormatting sqref="X114">
    <cfRule type="expression" priority="62" dxfId="3">
      <formula>AND(IF(OR($Q114=1,$Q114=2),1,0),IF($X114&lt;=20,1,0))</formula>
    </cfRule>
    <cfRule type="expression" priority="63" dxfId="2">
      <formula>AND(IF($Q114=2,1,0),IF($X114&lt;30,1,0))</formula>
    </cfRule>
    <cfRule type="expression" priority="64" dxfId="1">
      <formula>AND(IF($Q114=3,1,0),IF($X114&lt;30,1,0))</formula>
    </cfRule>
    <cfRule type="expression" priority="65" dxfId="0">
      <formula>AND(IF($Q114=3,1,IF($Q114=4,1,0)),IF($F114&lt;=85,1,0))</formula>
    </cfRule>
  </conditionalFormatting>
  <conditionalFormatting sqref="AI114">
    <cfRule type="expression" priority="58" dxfId="3">
      <formula>AND(IF(OR($Q114=1,$Q114=2),1,0),IF($X114&lt;=20,1,0))</formula>
    </cfRule>
    <cfRule type="expression" priority="59" dxfId="2">
      <formula>AND(IF($Q114=2,1,0),IF($X114&lt;30,1,0))</formula>
    </cfRule>
    <cfRule type="expression" priority="60" dxfId="1">
      <formula>AND(IF($Q114=3,1,0),IF($X114&lt;30,1,0))</formula>
    </cfRule>
    <cfRule type="expression" priority="61" dxfId="0">
      <formula>AND(IF($Q114=3,1,IF($Q114=4,1,0)),IF($F114&lt;=85,1,0))</formula>
    </cfRule>
  </conditionalFormatting>
  <conditionalFormatting sqref="AV115">
    <cfRule type="expression" priority="56" dxfId="17">
      <formula>AV115="X"</formula>
    </cfRule>
    <cfRule type="expression" priority="57" dxfId="16">
      <formula>AV115="후보"</formula>
    </cfRule>
  </conditionalFormatting>
  <conditionalFormatting sqref="AC11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5">
    <cfRule type="expression" priority="47" dxfId="3">
      <formula>AND(IF(OR($Q115=1,$Q115=2),1,0),IF($X115&lt;=20,1,0))</formula>
    </cfRule>
    <cfRule type="expression" priority="48" dxfId="2">
      <formula>AND(IF($Q115=2,1,0),IF($X115&lt;30,1,0))</formula>
    </cfRule>
    <cfRule type="expression" priority="49" dxfId="1">
      <formula>AND(IF($Q115=3,1,0),IF($X115&lt;30,1,0))</formula>
    </cfRule>
    <cfRule type="expression" priority="50" dxfId="0">
      <formula>AND(IF($Q115=3,1,IF($Q115=4,1,0)),IF($F115&lt;=85,1,0))</formula>
    </cfRule>
  </conditionalFormatting>
  <conditionalFormatting sqref="X115">
    <cfRule type="expression" priority="43" dxfId="3">
      <formula>AND(IF(OR($Q115=1,$Q115=2),1,0),IF($X115&lt;=20,1,0))</formula>
    </cfRule>
    <cfRule type="expression" priority="44" dxfId="2">
      <formula>AND(IF($Q115=2,1,0),IF($X115&lt;30,1,0))</formula>
    </cfRule>
    <cfRule type="expression" priority="45" dxfId="1">
      <formula>AND(IF($Q115=3,1,0),IF($X115&lt;30,1,0))</formula>
    </cfRule>
    <cfRule type="expression" priority="46" dxfId="0">
      <formula>AND(IF($Q115=3,1,IF($Q115=4,1,0)),IF($F115&lt;=85,1,0))</formula>
    </cfRule>
  </conditionalFormatting>
  <conditionalFormatting sqref="AI115">
    <cfRule type="expression" priority="39" dxfId="3">
      <formula>AND(IF(OR($Q115=1,$Q115=2),1,0),IF($X115&lt;=20,1,0))</formula>
    </cfRule>
    <cfRule type="expression" priority="40" dxfId="2">
      <formula>AND(IF($Q115=2,1,0),IF($X115&lt;30,1,0))</formula>
    </cfRule>
    <cfRule type="expression" priority="41" dxfId="1">
      <formula>AND(IF($Q115=3,1,0),IF($X115&lt;30,1,0))</formula>
    </cfRule>
    <cfRule type="expression" priority="42" dxfId="0">
      <formula>AND(IF($Q115=3,1,IF($Q115=4,1,0)),IF($F115&lt;=85,1,0))</formula>
    </cfRule>
  </conditionalFormatting>
  <conditionalFormatting sqref="AV116">
    <cfRule type="expression" priority="37" dxfId="17">
      <formula>AV116="X"</formula>
    </cfRule>
    <cfRule type="expression" priority="38" dxfId="16">
      <formula>AV116="후보"</formula>
    </cfRule>
  </conditionalFormatting>
  <conditionalFormatting sqref="AC11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6">
    <cfRule type="expression" priority="28" dxfId="3">
      <formula>AND(IF(OR($Q116=1,$Q116=2),1,0),IF($X116&lt;=20,1,0))</formula>
    </cfRule>
    <cfRule type="expression" priority="29" dxfId="2">
      <formula>AND(IF($Q116=2,1,0),IF($X116&lt;30,1,0))</formula>
    </cfRule>
    <cfRule type="expression" priority="30" dxfId="1">
      <formula>AND(IF($Q116=3,1,0),IF($X116&lt;30,1,0))</formula>
    </cfRule>
    <cfRule type="expression" priority="31" dxfId="0">
      <formula>AND(IF($Q116=3,1,IF($Q116=4,1,0)),IF($F116&lt;=85,1,0))</formula>
    </cfRule>
  </conditionalFormatting>
  <conditionalFormatting sqref="X116">
    <cfRule type="expression" priority="24" dxfId="3">
      <formula>AND(IF(OR($Q116=1,$Q116=2),1,0),IF($X116&lt;=20,1,0))</formula>
    </cfRule>
    <cfRule type="expression" priority="25" dxfId="2">
      <formula>AND(IF($Q116=2,1,0),IF($X116&lt;30,1,0))</formula>
    </cfRule>
    <cfRule type="expression" priority="26" dxfId="1">
      <formula>AND(IF($Q116=3,1,0),IF($X116&lt;30,1,0))</formula>
    </cfRule>
    <cfRule type="expression" priority="27" dxfId="0">
      <formula>AND(IF($Q116=3,1,IF($Q116=4,1,0)),IF($F116&lt;=85,1,0))</formula>
    </cfRule>
  </conditionalFormatting>
  <conditionalFormatting sqref="AI116">
    <cfRule type="expression" priority="20" dxfId="3">
      <formula>AND(IF(OR($Q116=1,$Q116=2),1,0),IF($X116&lt;=20,1,0))</formula>
    </cfRule>
    <cfRule type="expression" priority="21" dxfId="2">
      <formula>AND(IF($Q116=2,1,0),IF($X116&lt;30,1,0))</formula>
    </cfRule>
    <cfRule type="expression" priority="22" dxfId="1">
      <formula>AND(IF($Q116=3,1,0),IF($X116&lt;30,1,0))</formula>
    </cfRule>
    <cfRule type="expression" priority="23" dxfId="0">
      <formula>AND(IF($Q116=3,1,IF($Q116=4,1,0)),IF($F116&lt;=85,1,0))</formula>
    </cfRule>
  </conditionalFormatting>
  <conditionalFormatting sqref="AV117">
    <cfRule type="expression" priority="18" dxfId="17">
      <formula>AV117="X"</formula>
    </cfRule>
    <cfRule type="expression" priority="19" dxfId="16">
      <formula>AV117="후보"</formula>
    </cfRule>
  </conditionalFormatting>
  <conditionalFormatting sqref="AC11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7">
    <cfRule type="expression" priority="9" dxfId="3">
      <formula>AND(IF(OR($Q117=1,$Q117=2),1,0),IF($X117&lt;=20,1,0))</formula>
    </cfRule>
    <cfRule type="expression" priority="10" dxfId="2">
      <formula>AND(IF($Q117=2,1,0),IF($X117&lt;30,1,0))</formula>
    </cfRule>
    <cfRule type="expression" priority="11" dxfId="1">
      <formula>AND(IF($Q117=3,1,0),IF($X117&lt;30,1,0))</formula>
    </cfRule>
    <cfRule type="expression" priority="12" dxfId="0">
      <formula>AND(IF($Q117=3,1,IF($Q117=4,1,0)),IF($F117&lt;=85,1,0))</formula>
    </cfRule>
  </conditionalFormatting>
  <conditionalFormatting sqref="X117">
    <cfRule type="expression" priority="5" dxfId="3">
      <formula>AND(IF(OR($Q117=1,$Q117=2),1,0),IF($X117&lt;=20,1,0))</formula>
    </cfRule>
    <cfRule type="expression" priority="6" dxfId="2">
      <formula>AND(IF($Q117=2,1,0),IF($X117&lt;30,1,0))</formula>
    </cfRule>
    <cfRule type="expression" priority="7" dxfId="1">
      <formula>AND(IF($Q117=3,1,0),IF($X117&lt;30,1,0))</formula>
    </cfRule>
    <cfRule type="expression" priority="8" dxfId="0">
      <formula>AND(IF($Q117=3,1,IF($Q117=4,1,0)),IF($F117&lt;=85,1,0))</formula>
    </cfRule>
  </conditionalFormatting>
  <conditionalFormatting sqref="AI117">
    <cfRule type="expression" priority="1" dxfId="3">
      <formula>AND(IF(OR($Q117=1,$Q117=2),1,0),IF($X117&lt;=20,1,0))</formula>
    </cfRule>
    <cfRule type="expression" priority="2" dxfId="2">
      <formula>AND(IF($Q117=2,1,0),IF($X117&lt;30,1,0))</formula>
    </cfRule>
    <cfRule type="expression" priority="3" dxfId="1">
      <formula>AND(IF($Q117=3,1,0),IF($X117&lt;30,1,0))</formula>
    </cfRule>
    <cfRule type="expression" priority="4" dxfId="0">
      <formula>AND(IF($Q117=3,1,IF($Q117=4,1,0)),IF($F117&lt;=85,1,0))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3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9" sqref="A139:XFD13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마전동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당하풍림아이원2차</t>
        </is>
      </c>
      <c r="B6" s="16" t="inlineStr">
        <is>
          <t>'04.10.</t>
        </is>
      </c>
      <c r="C6" s="164" t="n">
        <v>400</v>
      </c>
      <c r="D6" s="161" t="n">
        <v>83.59999999999999</v>
      </c>
      <c r="E6" s="163" t="n">
        <v>25</v>
      </c>
      <c r="F6" s="161" t="n">
        <v>59.9</v>
      </c>
      <c r="G6" s="27" t="n">
        <v>18</v>
      </c>
      <c r="H6" s="164" t="n">
        <v>80</v>
      </c>
      <c r="I6" s="165" t="n">
        <v>36000</v>
      </c>
      <c r="J6" s="165" t="inlineStr">
        <is>
          <t>11</t>
        </is>
      </c>
      <c r="K6" s="165" t="n">
        <v>27000</v>
      </c>
      <c r="L6" s="165" t="inlineStr">
        <is>
          <t>고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83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당하풍림아이원2차</t>
        </is>
      </c>
      <c r="B7" s="16" t="inlineStr">
        <is>
          <t>'04.10.</t>
        </is>
      </c>
      <c r="C7" s="164" t="n">
        <v>400</v>
      </c>
      <c r="D7" s="161" t="n">
        <v>111.1</v>
      </c>
      <c r="E7" s="163" t="n">
        <v>34</v>
      </c>
      <c r="F7" s="161" t="n">
        <v>85</v>
      </c>
      <c r="G7" s="27" t="n">
        <v>26</v>
      </c>
      <c r="H7" s="164" t="n">
        <v>320</v>
      </c>
      <c r="I7" s="165" t="n">
        <v>39500</v>
      </c>
      <c r="J7" s="165" t="inlineStr">
        <is>
          <t>14</t>
        </is>
      </c>
      <c r="K7" s="165" t="n">
        <v>30000</v>
      </c>
      <c r="L7" s="165" t="inlineStr">
        <is>
          <t>고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111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검단I-PARK</t>
        </is>
      </c>
      <c r="B9" s="16" t="inlineStr">
        <is>
          <t>'07.01.</t>
        </is>
      </c>
      <c r="C9" s="164" t="n">
        <v>573</v>
      </c>
      <c r="D9" s="161" t="n">
        <v>94.3</v>
      </c>
      <c r="E9" s="163" t="n">
        <v>29</v>
      </c>
      <c r="F9" s="161" t="n">
        <v>69.8</v>
      </c>
      <c r="G9" s="27" t="n">
        <v>21</v>
      </c>
      <c r="H9" s="164" t="n">
        <v>30</v>
      </c>
      <c r="I9" s="165" t="n">
        <v>37000</v>
      </c>
      <c r="J9" s="165" t="inlineStr">
        <is>
          <t>5</t>
        </is>
      </c>
      <c r="K9" s="165" t="n">
        <v>28000</v>
      </c>
      <c r="L9" s="165" t="inlineStr">
        <is>
          <t>고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94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검단I-PARK</t>
        </is>
      </c>
      <c r="B10" s="16" t="inlineStr">
        <is>
          <t>'07.01.</t>
        </is>
      </c>
      <c r="C10" s="164" t="n">
        <v>573</v>
      </c>
      <c r="D10" s="161" t="n">
        <v>111.6</v>
      </c>
      <c r="E10" s="163" t="n">
        <v>34</v>
      </c>
      <c r="F10" s="161" t="n">
        <v>84.3</v>
      </c>
      <c r="G10" s="27" t="n">
        <v>25</v>
      </c>
      <c r="H10" s="164" t="n">
        <v>492</v>
      </c>
      <c r="I10" s="165" t="n">
        <v>39000</v>
      </c>
      <c r="J10" s="165" t="inlineStr">
        <is>
          <t>중</t>
        </is>
      </c>
      <c r="K10" s="165" t="n">
        <v>30000</v>
      </c>
      <c r="L10" s="165" t="inlineStr">
        <is>
          <t>12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111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검단I-PARK</t>
        </is>
      </c>
      <c r="B11" s="16" t="inlineStr">
        <is>
          <t>'07.01.</t>
        </is>
      </c>
      <c r="C11" s="164" t="n">
        <v>573</v>
      </c>
      <c r="D11" s="161" t="n">
        <v>149.2</v>
      </c>
      <c r="E11" s="163" t="n">
        <v>45</v>
      </c>
      <c r="F11" s="161" t="n">
        <v>117.2</v>
      </c>
      <c r="G11" s="27" t="n">
        <v>35</v>
      </c>
      <c r="H11" s="164" t="n">
        <v>51</v>
      </c>
      <c r="I11" s="165" t="n">
        <v>49500</v>
      </c>
      <c r="J11" s="165" t="inlineStr">
        <is>
          <t>고</t>
        </is>
      </c>
      <c r="K11" s="165" t="n">
        <v>38000</v>
      </c>
      <c r="L11" s="165" t="inlineStr">
        <is>
          <t>고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149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검단힐스테이트1차</t>
        </is>
      </c>
      <c r="B13" s="16" t="inlineStr">
        <is>
          <t>'07.01.</t>
        </is>
      </c>
      <c r="C13" s="164" t="n">
        <v>465</v>
      </c>
      <c r="D13" s="161" t="n">
        <v>94.3</v>
      </c>
      <c r="E13" s="163" t="n">
        <v>29</v>
      </c>
      <c r="F13" s="161" t="n">
        <v>69.8</v>
      </c>
      <c r="G13" s="27" t="n">
        <v>21</v>
      </c>
      <c r="H13" s="164" t="n">
        <v>110</v>
      </c>
      <c r="I13" s="165" t="n">
        <v>37000</v>
      </c>
      <c r="J13" s="165" t="inlineStr">
        <is>
          <t>5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94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검단힐스테이트1차</t>
        </is>
      </c>
      <c r="B14" s="16" t="inlineStr">
        <is>
          <t>'07.01.</t>
        </is>
      </c>
      <c r="C14" s="164" t="n">
        <v>465</v>
      </c>
      <c r="D14" s="161" t="n">
        <v>109.9</v>
      </c>
      <c r="E14" s="163" t="n">
        <v>33</v>
      </c>
      <c r="F14" s="161" t="n">
        <v>84.3</v>
      </c>
      <c r="G14" s="27" t="n">
        <v>25</v>
      </c>
      <c r="H14" s="164" t="n">
        <v>297</v>
      </c>
      <c r="I14" s="165" t="n">
        <v>41000</v>
      </c>
      <c r="J14" s="165" t="inlineStr">
        <is>
          <t>12</t>
        </is>
      </c>
      <c r="K14" s="165" t="n">
        <v>29000</v>
      </c>
      <c r="L14" s="165" t="inlineStr">
        <is>
          <t>10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109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검단힐스테이트1차</t>
        </is>
      </c>
      <c r="B15" s="16" t="inlineStr">
        <is>
          <t>'07.01.</t>
        </is>
      </c>
      <c r="C15" s="164" t="n">
        <v>465</v>
      </c>
      <c r="D15" s="161" t="n">
        <v>148.9</v>
      </c>
      <c r="E15" s="163" t="n">
        <v>45</v>
      </c>
      <c r="F15" s="161" t="n">
        <v>117.2</v>
      </c>
      <c r="G15" s="27" t="n">
        <v>35</v>
      </c>
      <c r="H15" s="164" t="n">
        <v>58</v>
      </c>
      <c r="I15" s="165" t="n">
        <v>50000</v>
      </c>
      <c r="J15" s="165" t="inlineStr">
        <is>
          <t>6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n">
        <v>148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동아</t>
        </is>
      </c>
      <c r="B17" s="16" t="inlineStr">
        <is>
          <t>'99.01.</t>
        </is>
      </c>
      <c r="C17" s="164" t="n">
        <v>1351</v>
      </c>
      <c r="D17" s="161" t="n">
        <v>80.3</v>
      </c>
      <c r="E17" s="163" t="n">
        <v>24</v>
      </c>
      <c r="F17" s="161" t="n">
        <v>60</v>
      </c>
      <c r="G17" s="27" t="n">
        <v>18</v>
      </c>
      <c r="H17" s="164" t="n">
        <v>478</v>
      </c>
      <c r="I17" s="165" t="n">
        <v>27000</v>
      </c>
      <c r="J17" s="165" t="inlineStr">
        <is>
          <t>5</t>
        </is>
      </c>
      <c r="K17" s="165" t="n">
        <v>22000</v>
      </c>
      <c r="L17" s="165" t="inlineStr">
        <is>
          <t>5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1</v>
      </c>
      <c r="S17" s="113" t="inlineStr">
        <is>
          <t>계</t>
        </is>
      </c>
      <c r="T17" s="8" t="n">
        <v>80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동아</t>
        </is>
      </c>
      <c r="B18" s="16" t="inlineStr">
        <is>
          <t>'99.01.</t>
        </is>
      </c>
      <c r="C18" s="164" t="n">
        <v>1351</v>
      </c>
      <c r="D18" s="161" t="n">
        <v>107.2</v>
      </c>
      <c r="E18" s="163" t="n">
        <v>32</v>
      </c>
      <c r="F18" s="161" t="n">
        <v>84.90000000000001</v>
      </c>
      <c r="G18" s="27" t="n">
        <v>26</v>
      </c>
      <c r="H18" s="164" t="n">
        <v>633</v>
      </c>
      <c r="I18" s="165" t="n">
        <v>33500</v>
      </c>
      <c r="J18" s="165" t="inlineStr">
        <is>
          <t>13</t>
        </is>
      </c>
      <c r="K18" s="165" t="n">
        <v>27000</v>
      </c>
      <c r="L18" s="165" t="inlineStr">
        <is>
          <t>18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107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동아</t>
        </is>
      </c>
      <c r="B19" s="16" t="inlineStr">
        <is>
          <t>'99.01.</t>
        </is>
      </c>
      <c r="C19" s="164" t="n">
        <v>1351</v>
      </c>
      <c r="D19" s="161" t="n">
        <v>161.7</v>
      </c>
      <c r="E19" s="163" t="n">
        <v>49</v>
      </c>
      <c r="F19" s="161" t="n">
        <v>135</v>
      </c>
      <c r="G19" s="27" t="n">
        <v>41</v>
      </c>
      <c r="H19" s="164" t="n">
        <v>240</v>
      </c>
      <c r="I19" s="165" t="n">
        <v>39000</v>
      </c>
      <c r="J19" s="165" t="inlineStr">
        <is>
          <t>10</t>
        </is>
      </c>
      <c r="K19" s="165" t="n">
        <v>32000</v>
      </c>
      <c r="L19" s="165" t="inlineStr">
        <is>
          <t>10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n">
        <v>161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한일</t>
        </is>
      </c>
      <c r="B21" s="16" t="inlineStr">
        <is>
          <t>'91.10.</t>
        </is>
      </c>
      <c r="C21" s="164" t="n">
        <v>252</v>
      </c>
      <c r="D21" s="161" t="n">
        <v>74.59999999999999</v>
      </c>
      <c r="E21" s="163" t="n">
        <v>23</v>
      </c>
      <c r="F21" s="161" t="n">
        <v>59.1</v>
      </c>
      <c r="G21" s="27" t="n">
        <v>18</v>
      </c>
      <c r="H21" s="164" t="n">
        <v>144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n">
        <v>74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한일</t>
        </is>
      </c>
      <c r="B22" s="16" t="inlineStr">
        <is>
          <t>'91.10.</t>
        </is>
      </c>
      <c r="C22" s="164" t="n">
        <v>252</v>
      </c>
      <c r="D22" s="161" t="n">
        <v>95.40000000000001</v>
      </c>
      <c r="E22" s="163" t="n">
        <v>29</v>
      </c>
      <c r="F22" s="161" t="n">
        <v>77.2</v>
      </c>
      <c r="G22" s="27" t="n">
        <v>23</v>
      </c>
      <c r="H22" s="164" t="n">
        <v>60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계</t>
        </is>
      </c>
      <c r="T22" s="8" t="n">
        <v>95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한일</t>
        </is>
      </c>
      <c r="B23" s="16" t="inlineStr">
        <is>
          <t>'91.10.</t>
        </is>
      </c>
      <c r="C23" s="164" t="n">
        <v>252</v>
      </c>
      <c r="D23" s="161" t="n">
        <v>102.6</v>
      </c>
      <c r="E23" s="163" t="n">
        <v>31</v>
      </c>
      <c r="F23" s="161" t="n">
        <v>83.40000000000001</v>
      </c>
      <c r="G23" s="27" t="n">
        <v>25</v>
      </c>
      <c r="H23" s="164" t="n">
        <v>48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계</t>
        </is>
      </c>
      <c r="T23" s="8" t="n">
        <v>102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마전풍림아이원1차</t>
        </is>
      </c>
      <c r="B25" s="16" t="inlineStr">
        <is>
          <t>'04.07.</t>
        </is>
      </c>
      <c r="C25" s="164" t="n">
        <v>286</v>
      </c>
      <c r="D25" s="161" t="n">
        <v>85.90000000000001</v>
      </c>
      <c r="E25" s="163" t="n">
        <v>26</v>
      </c>
      <c r="F25" s="161" t="n">
        <v>65.90000000000001</v>
      </c>
      <c r="G25" s="27" t="n">
        <v>20</v>
      </c>
      <c r="H25" s="164" t="n">
        <v>3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2</v>
      </c>
      <c r="R25" s="113" t="n">
        <v>1</v>
      </c>
      <c r="S25" s="113" t="inlineStr">
        <is>
          <t>계</t>
        </is>
      </c>
      <c r="T25" s="8" t="n">
        <v>85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마전풍림아이원1차</t>
        </is>
      </c>
      <c r="B26" s="16" t="inlineStr">
        <is>
          <t>'04.07.</t>
        </is>
      </c>
      <c r="C26" s="164" t="n">
        <v>286</v>
      </c>
      <c r="D26" s="161" t="n">
        <v>110.2</v>
      </c>
      <c r="E26" s="163" t="n">
        <v>33</v>
      </c>
      <c r="F26" s="161" t="n">
        <v>84.8</v>
      </c>
      <c r="G26" s="27" t="n">
        <v>26</v>
      </c>
      <c r="H26" s="164" t="n">
        <v>283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110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마전대주파크빌</t>
        </is>
      </c>
      <c r="B28" s="16" t="inlineStr">
        <is>
          <t>'05.03.</t>
        </is>
      </c>
      <c r="C28" s="164" t="n">
        <v>346</v>
      </c>
      <c r="D28" s="161" t="n">
        <v>95.3</v>
      </c>
      <c r="E28" s="163" t="n">
        <v>29</v>
      </c>
      <c r="F28" s="161" t="n">
        <v>71</v>
      </c>
      <c r="G28" s="27" t="n">
        <v>21</v>
      </c>
      <c r="H28" s="164" t="n">
        <v>82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95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마전대주파크빌</t>
        </is>
      </c>
      <c r="B29" s="16" t="inlineStr">
        <is>
          <t>'05.03.</t>
        </is>
      </c>
      <c r="C29" s="164" t="n">
        <v>346</v>
      </c>
      <c r="D29" s="161" t="n">
        <v>114.4</v>
      </c>
      <c r="E29" s="163" t="n">
        <v>35</v>
      </c>
      <c r="F29" s="161" t="n">
        <v>85</v>
      </c>
      <c r="G29" s="27" t="n">
        <v>26</v>
      </c>
      <c r="H29" s="164" t="n">
        <v>206</v>
      </c>
      <c r="I29" s="165" t="n">
        <v>32000</v>
      </c>
      <c r="J29" s="165" t="inlineStr">
        <is>
          <t>고</t>
        </is>
      </c>
      <c r="K29" s="165" t="n">
        <v>25000</v>
      </c>
      <c r="L29" s="165" t="inlineStr">
        <is>
          <t>고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114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마전대주파크빌</t>
        </is>
      </c>
      <c r="B30" s="16" t="inlineStr">
        <is>
          <t>'05.03.</t>
        </is>
      </c>
      <c r="C30" s="164" t="n">
        <v>346</v>
      </c>
      <c r="D30" s="161" t="n">
        <v>123.5</v>
      </c>
      <c r="E30" s="163" t="n">
        <v>37</v>
      </c>
      <c r="F30" s="161" t="n">
        <v>85</v>
      </c>
      <c r="G30" s="27" t="n">
        <v>26</v>
      </c>
      <c r="H30" s="164" t="n">
        <v>58</v>
      </c>
      <c r="I30" s="165" t="n">
        <v>32000</v>
      </c>
      <c r="J30" s="165" t="inlineStr">
        <is>
          <t>중</t>
        </is>
      </c>
      <c r="K30" s="165" t="n">
        <v>25000</v>
      </c>
      <c r="L30" s="165" t="inlineStr">
        <is>
          <t>14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n">
        <v>123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대원레스피아1단지</t>
        </is>
      </c>
      <c r="B32" s="16" t="inlineStr">
        <is>
          <t>'04.11.</t>
        </is>
      </c>
      <c r="C32" s="164" t="n">
        <v>423</v>
      </c>
      <c r="D32" s="161" t="n">
        <v>80.3</v>
      </c>
      <c r="E32" s="163" t="n">
        <v>24</v>
      </c>
      <c r="F32" s="161" t="n">
        <v>59.7</v>
      </c>
      <c r="G32" s="27" t="n">
        <v>18</v>
      </c>
      <c r="H32" s="164" t="n">
        <v>68</v>
      </c>
      <c r="I32" s="165" t="n">
        <v>25000</v>
      </c>
      <c r="J32" s="165" t="inlineStr">
        <is>
          <t>11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80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대원레스피아1단지</t>
        </is>
      </c>
      <c r="B33" s="16" t="inlineStr">
        <is>
          <t>'04.11.</t>
        </is>
      </c>
      <c r="C33" s="164" t="n">
        <v>423</v>
      </c>
      <c r="D33" s="161" t="n">
        <v>112</v>
      </c>
      <c r="E33" s="163" t="n">
        <v>34</v>
      </c>
      <c r="F33" s="161" t="n">
        <v>85</v>
      </c>
      <c r="G33" s="27" t="n">
        <v>26</v>
      </c>
      <c r="H33" s="164" t="n">
        <v>209</v>
      </c>
      <c r="I33" s="165" t="n">
        <v>27500</v>
      </c>
      <c r="J33" s="165" t="inlineStr">
        <is>
          <t>10</t>
        </is>
      </c>
      <c r="K33" s="165" t="n">
        <v>22000</v>
      </c>
      <c r="L33" s="165" t="inlineStr">
        <is>
          <t>중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111A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대원레스피아1단지</t>
        </is>
      </c>
      <c r="B34" s="16" t="inlineStr">
        <is>
          <t>'04.11.</t>
        </is>
      </c>
      <c r="C34" s="164" t="n">
        <v>423</v>
      </c>
      <c r="D34" s="161" t="n">
        <v>111.8</v>
      </c>
      <c r="E34" s="163" t="n">
        <v>34</v>
      </c>
      <c r="F34" s="161" t="n">
        <v>84.8</v>
      </c>
      <c r="G34" s="27" t="n">
        <v>26</v>
      </c>
      <c r="H34" s="164" t="n">
        <v>146</v>
      </c>
      <c r="I34" s="165" t="n">
        <v>27000</v>
      </c>
      <c r="J34" s="165" t="inlineStr">
        <is>
          <t>6</t>
        </is>
      </c>
      <c r="K34" s="165" t="n">
        <v>22000</v>
      </c>
      <c r="L34" s="165" t="inlineStr">
        <is>
          <t>7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111B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인천검단힐스테이트2차</t>
        </is>
      </c>
      <c r="B36" s="16" t="inlineStr">
        <is>
          <t>'10.03.</t>
        </is>
      </c>
      <c r="C36" s="164" t="n">
        <v>309</v>
      </c>
      <c r="D36" s="161" t="n">
        <v>150.4</v>
      </c>
      <c r="E36" s="163" t="n">
        <v>46</v>
      </c>
      <c r="F36" s="161" t="n">
        <v>123.2</v>
      </c>
      <c r="G36" s="27" t="n">
        <v>37</v>
      </c>
      <c r="H36" s="164" t="n">
        <v>15</v>
      </c>
      <c r="I36" s="165" t="n">
        <v>54000</v>
      </c>
      <c r="J36" s="165" t="inlineStr">
        <is>
          <t>중</t>
        </is>
      </c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inlineStr">
        <is>
          <t>150B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인천검단힐스테이트2차</t>
        </is>
      </c>
      <c r="B37" s="16" t="inlineStr">
        <is>
          <t>'10.03.</t>
        </is>
      </c>
      <c r="C37" s="164" t="n">
        <v>309</v>
      </c>
      <c r="D37" s="161" t="n">
        <v>151.1</v>
      </c>
      <c r="E37" s="163" t="n">
        <v>46</v>
      </c>
      <c r="F37" s="161" t="n">
        <v>123.2</v>
      </c>
      <c r="G37" s="27" t="n">
        <v>37</v>
      </c>
      <c r="H37" s="164" t="n">
        <v>179</v>
      </c>
      <c r="I37" s="165" t="n">
        <v>53000</v>
      </c>
      <c r="J37" s="165" t="inlineStr">
        <is>
          <t>15</t>
        </is>
      </c>
      <c r="K37" s="165" t="n">
        <v>42000</v>
      </c>
      <c r="L37" s="165" t="inlineStr">
        <is>
          <t>중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4</v>
      </c>
      <c r="R37" s="113" t="n">
        <v>2</v>
      </c>
      <c r="S37" s="113" t="inlineStr">
        <is>
          <t>계</t>
        </is>
      </c>
      <c r="T37" s="8" t="inlineStr">
        <is>
          <t>151A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인천검단힐스테이트2차</t>
        </is>
      </c>
      <c r="B38" s="16" t="inlineStr">
        <is>
          <t>'10.03.</t>
        </is>
      </c>
      <c r="C38" s="164" t="n">
        <v>309</v>
      </c>
      <c r="D38" s="161" t="n">
        <v>152.9</v>
      </c>
      <c r="E38" s="163" t="n">
        <v>46</v>
      </c>
      <c r="F38" s="161" t="n">
        <v>125.5</v>
      </c>
      <c r="G38" s="27" t="n">
        <v>38</v>
      </c>
      <c r="H38" s="164" t="n">
        <v>11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4</v>
      </c>
      <c r="R38" s="113" t="n">
        <v>2</v>
      </c>
      <c r="S38" s="113" t="inlineStr">
        <is>
          <t>계</t>
        </is>
      </c>
      <c r="T38" s="8" t="inlineStr">
        <is>
          <t>152C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인천검단힐스테이트2차</t>
        </is>
      </c>
      <c r="B39" s="16" t="inlineStr">
        <is>
          <t>'10.03.</t>
        </is>
      </c>
      <c r="C39" s="164" t="n">
        <v>309</v>
      </c>
      <c r="D39" s="161" t="n">
        <v>156.1</v>
      </c>
      <c r="E39" s="163" t="n">
        <v>47</v>
      </c>
      <c r="F39" s="161" t="n">
        <v>129.4</v>
      </c>
      <c r="G39" s="27" t="n">
        <v>39</v>
      </c>
      <c r="H39" s="164" t="n">
        <v>1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n">
        <v>156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인천검단힐스테이트2차</t>
        </is>
      </c>
      <c r="B40" s="16" t="inlineStr">
        <is>
          <t>'10.03.</t>
        </is>
      </c>
      <c r="C40" s="164" t="n">
        <v>309</v>
      </c>
      <c r="D40" s="161" t="n">
        <v>169.1</v>
      </c>
      <c r="E40" s="163" t="n">
        <v>51</v>
      </c>
      <c r="F40" s="161" t="n">
        <v>140.4</v>
      </c>
      <c r="G40" s="27" t="n">
        <v>42</v>
      </c>
      <c r="H40" s="164" t="n">
        <v>89</v>
      </c>
      <c r="I40" s="165" t="n">
        <v>59000</v>
      </c>
      <c r="J40" s="165" t="inlineStr">
        <is>
          <t>9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4</v>
      </c>
      <c r="R40" s="113" t="n">
        <v>3</v>
      </c>
      <c r="S40" s="113" t="inlineStr">
        <is>
          <t>계</t>
        </is>
      </c>
      <c r="T40" s="8" t="inlineStr">
        <is>
          <t>169A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인천검단힐스테이트2차</t>
        </is>
      </c>
      <c r="B41" s="16" t="inlineStr">
        <is>
          <t>'10.03.</t>
        </is>
      </c>
      <c r="C41" s="164" t="n">
        <v>309</v>
      </c>
      <c r="D41" s="161" t="n">
        <v>170.1</v>
      </c>
      <c r="E41" s="163" t="n">
        <v>51</v>
      </c>
      <c r="F41" s="161" t="n">
        <v>139.4</v>
      </c>
      <c r="G41" s="27" t="n">
        <v>42</v>
      </c>
      <c r="H41" s="164" t="n">
        <v>12</v>
      </c>
      <c r="I41" s="165" t="n">
        <v>63000</v>
      </c>
      <c r="J41" s="165" t="inlineStr">
        <is>
          <t>중</t>
        </is>
      </c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4</v>
      </c>
      <c r="R41" s="113" t="n">
        <v>3</v>
      </c>
      <c r="S41" s="113" t="inlineStr">
        <is>
          <t>계</t>
        </is>
      </c>
      <c r="T41" s="8" t="inlineStr">
        <is>
          <t>170B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인천검단힐스테이트2차</t>
        </is>
      </c>
      <c r="B42" s="16" t="inlineStr">
        <is>
          <t>'10.03.</t>
        </is>
      </c>
      <c r="C42" s="164" t="n">
        <v>309</v>
      </c>
      <c r="D42" s="161" t="n">
        <v>269.6</v>
      </c>
      <c r="E42" s="163" t="n">
        <v>82</v>
      </c>
      <c r="F42" s="161" t="n">
        <v>220.2</v>
      </c>
      <c r="G42" s="27" t="n">
        <v>67</v>
      </c>
      <c r="H42" s="164" t="n">
        <v>1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5</v>
      </c>
      <c r="R42" s="113" t="n">
        <v>4</v>
      </c>
      <c r="S42" s="113" t="inlineStr">
        <is>
          <t>계</t>
        </is>
      </c>
      <c r="T42" s="8" t="inlineStr">
        <is>
          <t>269A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인천검단힐스테이트2차</t>
        </is>
      </c>
      <c r="B43" s="16" t="inlineStr">
        <is>
          <t>'10.03.</t>
        </is>
      </c>
      <c r="C43" s="164" t="n">
        <v>309</v>
      </c>
      <c r="D43" s="161" t="n">
        <v>271.1</v>
      </c>
      <c r="E43" s="163" t="n">
        <v>82</v>
      </c>
      <c r="F43" s="161" t="n">
        <v>219.4</v>
      </c>
      <c r="G43" s="27" t="n">
        <v>66</v>
      </c>
      <c r="H43" s="164" t="n">
        <v>1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5</v>
      </c>
      <c r="R43" s="113" t="n">
        <v>4</v>
      </c>
      <c r="S43" s="113" t="inlineStr">
        <is>
          <t>계</t>
        </is>
      </c>
      <c r="T43" s="8" t="inlineStr">
        <is>
          <t>271B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n"/>
      <c r="B44" s="113" t="n"/>
      <c r="C44" s="10" t="n"/>
      <c r="D44" s="13" t="n"/>
      <c r="E44" s="20" t="n"/>
      <c r="F44" s="161" t="n"/>
      <c r="G44" s="13" t="n"/>
      <c r="H44" s="13" t="n"/>
      <c r="I44" s="13" t="n"/>
      <c r="J44" s="13" t="n"/>
      <c r="K44" s="13" t="n"/>
      <c r="L44" s="13" t="n"/>
      <c r="M44" s="13" t="n"/>
      <c r="N44" s="13" t="n"/>
      <c r="O44" s="162" t="n"/>
      <c r="P44" s="162" t="n"/>
      <c r="Q44" s="163" t="n"/>
      <c r="R44" s="163" t="n"/>
      <c r="S44" s="13" t="n"/>
      <c r="T44" s="70" t="n"/>
      <c r="U44" s="13" t="n"/>
      <c r="W44" s="107">
        <f>$A$4&amp;" "&amp;A45&amp;"("&amp;B45&amp;","&amp;C45&amp;"^)"</f>
        <v/>
      </c>
      <c r="X44" s="108" t="n"/>
      <c r="Y44" s="108" t="n"/>
      <c r="Z44" s="108" t="n"/>
      <c r="AA44" s="108" t="n"/>
      <c r="AB44" s="108" t="n"/>
      <c r="AC44" s="108" t="n"/>
      <c r="AD44" s="108" t="n"/>
      <c r="AE44" s="108" t="n"/>
      <c r="AF44" s="109" t="n"/>
      <c r="AH44" s="36">
        <f>IF(A44="","",A44)</f>
        <v/>
      </c>
      <c r="AI44" s="160">
        <f>IF(E44="","",E44)</f>
        <v/>
      </c>
      <c r="AJ44" s="113" t="n"/>
      <c r="AK44" s="113" t="n"/>
      <c r="AL44" s="113" t="n"/>
      <c r="AM44" s="113" t="n"/>
      <c r="AN44" s="113" t="n"/>
      <c r="AO44" s="113" t="n"/>
      <c r="AP44" s="113" t="n"/>
      <c r="AQ44" s="113" t="n"/>
      <c r="AR44" s="113" t="n"/>
      <c r="AS44" s="113" t="n"/>
      <c r="AT44" s="113" t="n"/>
      <c r="AU44" s="113" t="n"/>
      <c r="AV44" s="113" t="n"/>
    </row>
    <row r="45">
      <c r="A45" s="13" t="inlineStr">
        <is>
          <t>하나</t>
        </is>
      </c>
      <c r="B45" s="16" t="inlineStr">
        <is>
          <t>'01.08.</t>
        </is>
      </c>
      <c r="C45" s="164" t="n">
        <v>477</v>
      </c>
      <c r="D45" s="161" t="n">
        <v>77.8</v>
      </c>
      <c r="E45" s="163" t="n">
        <v>24</v>
      </c>
      <c r="F45" s="161" t="n">
        <v>59.9</v>
      </c>
      <c r="G45" s="27" t="n">
        <v>18</v>
      </c>
      <c r="H45" s="164" t="n">
        <v>48</v>
      </c>
      <c r="I45" s="165" t="n">
        <v>24000</v>
      </c>
      <c r="J45" s="165" t="inlineStr">
        <is>
          <t>고</t>
        </is>
      </c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1</v>
      </c>
      <c r="S45" s="113" t="inlineStr">
        <is>
          <t>계</t>
        </is>
      </c>
      <c r="T45" s="8" t="inlineStr">
        <is>
          <t>77A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하나</t>
        </is>
      </c>
      <c r="B46" s="16" t="inlineStr">
        <is>
          <t>'01.08.</t>
        </is>
      </c>
      <c r="C46" s="164" t="n">
        <v>477</v>
      </c>
      <c r="D46" s="161" t="n">
        <v>80.90000000000001</v>
      </c>
      <c r="E46" s="163" t="n">
        <v>24</v>
      </c>
      <c r="F46" s="161" t="n">
        <v>59.9</v>
      </c>
      <c r="G46" s="27" t="n">
        <v>18</v>
      </c>
      <c r="H46" s="164" t="n">
        <v>108</v>
      </c>
      <c r="I46" s="165" t="n">
        <v>24000</v>
      </c>
      <c r="J46" s="165" t="inlineStr">
        <is>
          <t>고</t>
        </is>
      </c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1</v>
      </c>
      <c r="S46" s="113" t="inlineStr">
        <is>
          <t>계</t>
        </is>
      </c>
      <c r="T46" s="8" t="inlineStr">
        <is>
          <t>80B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하나</t>
        </is>
      </c>
      <c r="B47" s="16" t="inlineStr">
        <is>
          <t>'01.08.</t>
        </is>
      </c>
      <c r="C47" s="164" t="n">
        <v>477</v>
      </c>
      <c r="D47" s="161" t="n">
        <v>107.8</v>
      </c>
      <c r="E47" s="163" t="n">
        <v>33</v>
      </c>
      <c r="F47" s="161" t="n">
        <v>84.40000000000001</v>
      </c>
      <c r="G47" s="27" t="n">
        <v>26</v>
      </c>
      <c r="H47" s="164" t="n">
        <v>231</v>
      </c>
      <c r="I47" s="165" t="n">
        <v>29500</v>
      </c>
      <c r="J47" s="165" t="inlineStr">
        <is>
          <t>중</t>
        </is>
      </c>
      <c r="K47" s="165" t="n">
        <v>23000</v>
      </c>
      <c r="L47" s="165" t="inlineStr">
        <is>
          <t>고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n">
        <v>107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하나</t>
        </is>
      </c>
      <c r="B48" s="16" t="inlineStr">
        <is>
          <t>'01.08.</t>
        </is>
      </c>
      <c r="C48" s="164" t="n">
        <v>477</v>
      </c>
      <c r="D48" s="161" t="n">
        <v>135.4</v>
      </c>
      <c r="E48" s="163" t="n">
        <v>41</v>
      </c>
      <c r="F48" s="161" t="n">
        <v>109.6</v>
      </c>
      <c r="G48" s="27" t="n">
        <v>33</v>
      </c>
      <c r="H48" s="164" t="n">
        <v>54</v>
      </c>
      <c r="I48" s="165" t="n">
        <v>35000</v>
      </c>
      <c r="J48" s="165" t="inlineStr">
        <is>
          <t>중</t>
        </is>
      </c>
      <c r="K48" s="165" t="n">
        <v>32000</v>
      </c>
      <c r="L48" s="165" t="inlineStr">
        <is>
          <t>10</t>
        </is>
      </c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n">
        <v>135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하나</t>
        </is>
      </c>
      <c r="B49" s="16" t="inlineStr">
        <is>
          <t>'01.08.</t>
        </is>
      </c>
      <c r="C49" s="164" t="n">
        <v>477</v>
      </c>
      <c r="D49" s="161" t="n">
        <v>145.8</v>
      </c>
      <c r="E49" s="163" t="n">
        <v>44</v>
      </c>
      <c r="F49" s="161" t="n">
        <v>119</v>
      </c>
      <c r="G49" s="27" t="n">
        <v>36</v>
      </c>
      <c r="H49" s="164" t="n">
        <v>36</v>
      </c>
      <c r="I49" s="165" t="n">
        <v>43000</v>
      </c>
      <c r="J49" s="165" t="inlineStr">
        <is>
          <t>고</t>
        </is>
      </c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4</v>
      </c>
      <c r="R49" s="113" t="n">
        <v>2</v>
      </c>
      <c r="S49" s="113" t="inlineStr">
        <is>
          <t>계</t>
        </is>
      </c>
      <c r="T49" s="8" t="n">
        <v>145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n"/>
      <c r="B50" s="113" t="n"/>
      <c r="C50" s="10" t="n"/>
      <c r="D50" s="13" t="n"/>
      <c r="E50" s="20" t="n"/>
      <c r="F50" s="161" t="n"/>
      <c r="G50" s="13" t="n"/>
      <c r="H50" s="13" t="n"/>
      <c r="I50" s="13" t="n"/>
      <c r="J50" s="13" t="n"/>
      <c r="K50" s="13" t="n"/>
      <c r="L50" s="13" t="n"/>
      <c r="M50" s="13" t="n"/>
      <c r="N50" s="13" t="n"/>
      <c r="O50" s="162" t="n"/>
      <c r="P50" s="162" t="n"/>
      <c r="Q50" s="163" t="n"/>
      <c r="R50" s="163" t="n"/>
      <c r="S50" s="13" t="n"/>
      <c r="T50" s="70" t="n"/>
      <c r="U50" s="13" t="n"/>
      <c r="W50" s="107">
        <f>$A$4&amp;" "&amp;A51&amp;"("&amp;B51&amp;","&amp;C51&amp;"^)"</f>
        <v/>
      </c>
      <c r="X50" s="108" t="n"/>
      <c r="Y50" s="108" t="n"/>
      <c r="Z50" s="108" t="n"/>
      <c r="AA50" s="108" t="n"/>
      <c r="AB50" s="108" t="n"/>
      <c r="AC50" s="108" t="n"/>
      <c r="AD50" s="108" t="n"/>
      <c r="AE50" s="108" t="n"/>
      <c r="AF50" s="109" t="n"/>
      <c r="AH50" s="36">
        <f>IF(A50="","",A50)</f>
        <v/>
      </c>
      <c r="AI50" s="160">
        <f>IF(E50="","",E50)</f>
        <v/>
      </c>
      <c r="AJ50" s="113" t="n"/>
      <c r="AK50" s="113" t="n"/>
      <c r="AL50" s="113" t="n"/>
      <c r="AM50" s="113" t="n"/>
      <c r="AN50" s="113" t="n"/>
      <c r="AO50" s="113" t="n"/>
      <c r="AP50" s="113" t="n"/>
      <c r="AQ50" s="113" t="n"/>
      <c r="AR50" s="113" t="n"/>
      <c r="AS50" s="113" t="n"/>
      <c r="AT50" s="113" t="n"/>
      <c r="AU50" s="113" t="n"/>
      <c r="AV50" s="113" t="n"/>
    </row>
    <row r="51">
      <c r="A51" s="13" t="inlineStr">
        <is>
          <t>검단1차피오레</t>
        </is>
      </c>
      <c r="B51" s="16" t="inlineStr">
        <is>
          <t>'07.01.</t>
        </is>
      </c>
      <c r="C51" s="164" t="n">
        <v>917</v>
      </c>
      <c r="D51" s="161" t="n">
        <v>99.90000000000001</v>
      </c>
      <c r="E51" s="163" t="n">
        <v>30</v>
      </c>
      <c r="F51" s="161" t="n">
        <v>77.40000000000001</v>
      </c>
      <c r="G51" s="27" t="n">
        <v>23</v>
      </c>
      <c r="H51" s="164" t="n">
        <v>45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99A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검단1차피오레</t>
        </is>
      </c>
      <c r="B52" s="16" t="inlineStr">
        <is>
          <t>'07.01.</t>
        </is>
      </c>
      <c r="C52" s="164" t="n">
        <v>917</v>
      </c>
      <c r="D52" s="161" t="n">
        <v>99.90000000000001</v>
      </c>
      <c r="E52" s="163" t="n">
        <v>30</v>
      </c>
      <c r="F52" s="161" t="n">
        <v>77.40000000000001</v>
      </c>
      <c r="G52" s="27" t="n">
        <v>23</v>
      </c>
      <c r="H52" s="164" t="n">
        <v>15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99B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검단1차피오레</t>
        </is>
      </c>
      <c r="B53" s="16" t="inlineStr">
        <is>
          <t>'07.01.</t>
        </is>
      </c>
      <c r="C53" s="164" t="n">
        <v>917</v>
      </c>
      <c r="D53" s="161" t="n">
        <v>113.3</v>
      </c>
      <c r="E53" s="163" t="n">
        <v>34</v>
      </c>
      <c r="F53" s="161" t="n">
        <v>85</v>
      </c>
      <c r="G53" s="27" t="n">
        <v>26</v>
      </c>
      <c r="H53" s="164" t="n">
        <v>681</v>
      </c>
      <c r="I53" s="165" t="n">
        <v>39500</v>
      </c>
      <c r="J53" s="165" t="inlineStr">
        <is>
          <t>중</t>
        </is>
      </c>
      <c r="K53" s="165" t="n">
        <v>30000</v>
      </c>
      <c r="L53" s="165" t="inlineStr">
        <is>
          <t>10</t>
        </is>
      </c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n">
        <v>113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검단1차피오레</t>
        </is>
      </c>
      <c r="B54" s="16" t="inlineStr">
        <is>
          <t>'07.01.</t>
        </is>
      </c>
      <c r="C54" s="164" t="n">
        <v>917</v>
      </c>
      <c r="D54" s="161" t="n">
        <v>156.3</v>
      </c>
      <c r="E54" s="163" t="n">
        <v>47</v>
      </c>
      <c r="F54" s="161" t="n">
        <v>123.4</v>
      </c>
      <c r="G54" s="27" t="n">
        <v>37</v>
      </c>
      <c r="H54" s="164" t="n">
        <v>176</v>
      </c>
      <c r="I54" s="165" t="n">
        <v>48000</v>
      </c>
      <c r="J54" s="165" t="inlineStr">
        <is>
          <t>8</t>
        </is>
      </c>
      <c r="K54" s="165" t="n">
        <v>40000</v>
      </c>
      <c r="L54" s="165" t="inlineStr">
        <is>
          <t>8</t>
        </is>
      </c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4</v>
      </c>
      <c r="R54" s="113" t="n">
        <v>2</v>
      </c>
      <c r="S54" s="113" t="inlineStr">
        <is>
          <t>계</t>
        </is>
      </c>
      <c r="T54" s="8" t="n">
        <v>156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n"/>
      <c r="B55" s="113" t="n"/>
      <c r="C55" s="10" t="n"/>
      <c r="D55" s="13" t="n"/>
      <c r="E55" s="20" t="n"/>
      <c r="F55" s="161" t="n"/>
      <c r="G55" s="13" t="n"/>
      <c r="H55" s="13" t="n"/>
      <c r="I55" s="13" t="n"/>
      <c r="J55" s="13" t="n"/>
      <c r="K55" s="13" t="n"/>
      <c r="L55" s="13" t="n"/>
      <c r="M55" s="13" t="n"/>
      <c r="N55" s="13" t="n"/>
      <c r="O55" s="162" t="n"/>
      <c r="P55" s="162" t="n"/>
      <c r="Q55" s="163" t="n"/>
      <c r="R55" s="163" t="n"/>
      <c r="S55" s="13" t="n"/>
      <c r="T55" s="70" t="n"/>
      <c r="U55" s="13" t="n"/>
      <c r="W55" s="107">
        <f>$A$4&amp;" "&amp;A56&amp;"("&amp;B56&amp;","&amp;C56&amp;"^)"</f>
        <v/>
      </c>
      <c r="X55" s="108" t="n"/>
      <c r="Y55" s="108" t="n"/>
      <c r="Z55" s="108" t="n"/>
      <c r="AA55" s="108" t="n"/>
      <c r="AB55" s="108" t="n"/>
      <c r="AC55" s="108" t="n"/>
      <c r="AD55" s="108" t="n"/>
      <c r="AE55" s="108" t="n"/>
      <c r="AF55" s="109" t="n"/>
      <c r="AH55" s="36">
        <f>IF(A55="","",A55)</f>
        <v/>
      </c>
      <c r="AI55" s="160">
        <f>IF(E55="","",E55)</f>
        <v/>
      </c>
      <c r="AJ55" s="113" t="n"/>
      <c r="AK55" s="113" t="n"/>
      <c r="AL55" s="113" t="n"/>
      <c r="AM55" s="113" t="n"/>
      <c r="AN55" s="113" t="n"/>
      <c r="AO55" s="113" t="n"/>
      <c r="AP55" s="113" t="n"/>
      <c r="AQ55" s="113" t="n"/>
      <c r="AR55" s="113" t="n"/>
      <c r="AS55" s="113" t="n"/>
      <c r="AT55" s="113" t="n"/>
      <c r="AU55" s="113" t="n"/>
      <c r="AV55" s="113" t="n"/>
    </row>
    <row r="56">
      <c r="A56" s="13" t="inlineStr">
        <is>
          <t>마전풍림아이원3차</t>
        </is>
      </c>
      <c r="B56" s="16" t="inlineStr">
        <is>
          <t>'05.07.</t>
        </is>
      </c>
      <c r="C56" s="164" t="n">
        <v>309</v>
      </c>
      <c r="D56" s="161" t="n">
        <v>109.2</v>
      </c>
      <c r="E56" s="163" t="n">
        <v>33</v>
      </c>
      <c r="F56" s="161" t="n">
        <v>84.7</v>
      </c>
      <c r="G56" s="27" t="n">
        <v>26</v>
      </c>
      <c r="H56" s="164" t="n">
        <v>309</v>
      </c>
      <c r="I56" s="165" t="n">
        <v>28500</v>
      </c>
      <c r="J56" s="165" t="inlineStr">
        <is>
          <t>5</t>
        </is>
      </c>
      <c r="K56" s="165" t="n">
        <v>22000</v>
      </c>
      <c r="L56" s="165" t="inlineStr">
        <is>
          <t>12</t>
        </is>
      </c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n">
        <v>109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n"/>
      <c r="B57" s="113" t="n"/>
      <c r="C57" s="10" t="n"/>
      <c r="D57" s="13" t="n"/>
      <c r="E57" s="20" t="n"/>
      <c r="F57" s="161" t="n"/>
      <c r="G57" s="13" t="n"/>
      <c r="H57" s="13" t="n"/>
      <c r="I57" s="13" t="n"/>
      <c r="J57" s="13" t="n"/>
      <c r="K57" s="13" t="n"/>
      <c r="L57" s="13" t="n"/>
      <c r="M57" s="13" t="n"/>
      <c r="N57" s="13" t="n"/>
      <c r="O57" s="162" t="n"/>
      <c r="P57" s="162" t="n"/>
      <c r="Q57" s="163" t="n"/>
      <c r="R57" s="163" t="n"/>
      <c r="S57" s="13" t="n"/>
      <c r="T57" s="70" t="n"/>
      <c r="U57" s="13" t="n"/>
      <c r="W57" s="107">
        <f>$A$4&amp;" "&amp;A58&amp;"("&amp;B58&amp;","&amp;C58&amp;"^)"</f>
        <v/>
      </c>
      <c r="X57" s="108" t="n"/>
      <c r="Y57" s="108" t="n"/>
      <c r="Z57" s="108" t="n"/>
      <c r="AA57" s="108" t="n"/>
      <c r="AB57" s="108" t="n"/>
      <c r="AC57" s="108" t="n"/>
      <c r="AD57" s="108" t="n"/>
      <c r="AE57" s="108" t="n"/>
      <c r="AF57" s="109" t="n"/>
      <c r="AH57" s="36">
        <f>IF(A57="","",A57)</f>
        <v/>
      </c>
      <c r="AI57" s="160">
        <f>IF(E57="","",E57)</f>
        <v/>
      </c>
      <c r="AJ57" s="113" t="n"/>
      <c r="AK57" s="113" t="n"/>
      <c r="AL57" s="113" t="n"/>
      <c r="AM57" s="113" t="n"/>
      <c r="AN57" s="113" t="n"/>
      <c r="AO57" s="113" t="n"/>
      <c r="AP57" s="113" t="n"/>
      <c r="AQ57" s="113" t="n"/>
      <c r="AR57" s="113" t="n"/>
      <c r="AS57" s="113" t="n"/>
      <c r="AT57" s="113" t="n"/>
      <c r="AU57" s="113" t="n"/>
      <c r="AV57" s="113" t="n"/>
    </row>
    <row r="58">
      <c r="A58" s="13" t="inlineStr">
        <is>
          <t>서해</t>
        </is>
      </c>
      <c r="B58" s="16" t="inlineStr">
        <is>
          <t>'92.12.</t>
        </is>
      </c>
      <c r="C58" s="164" t="n">
        <v>464</v>
      </c>
      <c r="D58" s="161" t="n">
        <v>60</v>
      </c>
      <c r="E58" s="163" t="n">
        <v>18</v>
      </c>
      <c r="F58" s="161" t="n">
        <v>45.5</v>
      </c>
      <c r="G58" s="27" t="n">
        <v>14</v>
      </c>
      <c r="H58" s="164" t="n">
        <v>27</v>
      </c>
      <c r="I58" s="165" t="n"/>
      <c r="J58" s="165" t="n"/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2</v>
      </c>
      <c r="R58" s="113" t="n">
        <v>1</v>
      </c>
      <c r="S58" s="113" t="inlineStr">
        <is>
          <t>계</t>
        </is>
      </c>
      <c r="T58" s="8" t="n">
        <v>59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서해</t>
        </is>
      </c>
      <c r="B59" s="16" t="inlineStr">
        <is>
          <t>'92.12.</t>
        </is>
      </c>
      <c r="C59" s="164" t="n">
        <v>464</v>
      </c>
      <c r="D59" s="161" t="n">
        <v>66.09999999999999</v>
      </c>
      <c r="E59" s="163" t="n">
        <v>20</v>
      </c>
      <c r="F59" s="161" t="n">
        <v>50.2</v>
      </c>
      <c r="G59" s="27" t="n">
        <v>15</v>
      </c>
      <c r="H59" s="164" t="n">
        <v>30</v>
      </c>
      <c r="I59" s="165" t="n">
        <v>15000</v>
      </c>
      <c r="J59" s="165" t="inlineStr">
        <is>
          <t>5</t>
        </is>
      </c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1</v>
      </c>
      <c r="S59" s="113" t="inlineStr">
        <is>
          <t>계</t>
        </is>
      </c>
      <c r="T59" s="8" t="n">
        <v>66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서해</t>
        </is>
      </c>
      <c r="B60" s="16" t="inlineStr">
        <is>
          <t>'92.12.</t>
        </is>
      </c>
      <c r="C60" s="164" t="n">
        <v>464</v>
      </c>
      <c r="D60" s="161" t="n">
        <v>69.7</v>
      </c>
      <c r="E60" s="163" t="n">
        <v>21</v>
      </c>
      <c r="F60" s="161" t="n">
        <v>53.1</v>
      </c>
      <c r="G60" s="27" t="n">
        <v>16</v>
      </c>
      <c r="H60" s="164" t="n">
        <v>70</v>
      </c>
      <c r="I60" s="165" t="n"/>
      <c r="J60" s="165" t="n"/>
      <c r="K60" s="165" t="n">
        <v>10000</v>
      </c>
      <c r="L60" s="165" t="inlineStr">
        <is>
          <t>5</t>
        </is>
      </c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1</v>
      </c>
      <c r="S60" s="113" t="inlineStr">
        <is>
          <t>계</t>
        </is>
      </c>
      <c r="T60" s="8" t="n">
        <v>69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서해</t>
        </is>
      </c>
      <c r="B61" s="16" t="inlineStr">
        <is>
          <t>'92.12.</t>
        </is>
      </c>
      <c r="C61" s="164" t="n">
        <v>464</v>
      </c>
      <c r="D61" s="161" t="n">
        <v>75.7</v>
      </c>
      <c r="E61" s="163" t="n">
        <v>23</v>
      </c>
      <c r="F61" s="161" t="n">
        <v>59.9</v>
      </c>
      <c r="G61" s="27" t="n">
        <v>18</v>
      </c>
      <c r="H61" s="164" t="n">
        <v>72</v>
      </c>
      <c r="I61" s="165" t="n"/>
      <c r="J61" s="165" t="n"/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1</v>
      </c>
      <c r="S61" s="113" t="inlineStr">
        <is>
          <t>계</t>
        </is>
      </c>
      <c r="T61" s="8" t="inlineStr">
        <is>
          <t>75B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서해</t>
        </is>
      </c>
      <c r="B62" s="16" t="inlineStr">
        <is>
          <t>'92.12.</t>
        </is>
      </c>
      <c r="C62" s="164" t="n">
        <v>464</v>
      </c>
      <c r="D62" s="161" t="n">
        <v>75.59999999999999</v>
      </c>
      <c r="E62" s="163" t="n">
        <v>23</v>
      </c>
      <c r="F62" s="161" t="n">
        <v>59.7</v>
      </c>
      <c r="G62" s="27" t="n">
        <v>18</v>
      </c>
      <c r="H62" s="164" t="n">
        <v>60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1</v>
      </c>
      <c r="S62" s="113" t="inlineStr">
        <is>
          <t>계</t>
        </is>
      </c>
      <c r="T62" s="8" t="inlineStr">
        <is>
          <t>75A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서해</t>
        </is>
      </c>
      <c r="B63" s="16" t="inlineStr">
        <is>
          <t>'92.12.</t>
        </is>
      </c>
      <c r="C63" s="164" t="n">
        <v>464</v>
      </c>
      <c r="D63" s="161" t="n">
        <v>76</v>
      </c>
      <c r="E63" s="163" t="n">
        <v>23</v>
      </c>
      <c r="F63" s="161" t="n">
        <v>59</v>
      </c>
      <c r="G63" s="27" t="n">
        <v>18</v>
      </c>
      <c r="H63" s="164" t="n">
        <v>75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1</v>
      </c>
      <c r="S63" s="113" t="inlineStr">
        <is>
          <t>계</t>
        </is>
      </c>
      <c r="T63" s="8" t="inlineStr">
        <is>
          <t>76A-1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서해</t>
        </is>
      </c>
      <c r="B64" s="16" t="inlineStr">
        <is>
          <t>'92.12.</t>
        </is>
      </c>
      <c r="C64" s="164" t="n">
        <v>464</v>
      </c>
      <c r="D64" s="161" t="n">
        <v>78</v>
      </c>
      <c r="E64" s="163" t="n">
        <v>24</v>
      </c>
      <c r="F64" s="161" t="n">
        <v>60</v>
      </c>
      <c r="G64" s="27" t="n">
        <v>18</v>
      </c>
      <c r="H64" s="164" t="n">
        <v>110</v>
      </c>
      <c r="I64" s="165" t="n">
        <v>14500</v>
      </c>
      <c r="J64" s="165" t="inlineStr">
        <is>
          <t>6</t>
        </is>
      </c>
      <c r="K64" s="165" t="n">
        <v>12000</v>
      </c>
      <c r="L64" s="165" t="inlineStr">
        <is>
          <t>6</t>
        </is>
      </c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1</v>
      </c>
      <c r="S64" s="113" t="inlineStr">
        <is>
          <t>계</t>
        </is>
      </c>
      <c r="T64" s="8" t="inlineStr">
        <is>
          <t>77C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서해</t>
        </is>
      </c>
      <c r="B65" s="16" t="inlineStr">
        <is>
          <t>'92.12.</t>
        </is>
      </c>
      <c r="C65" s="164" t="n">
        <v>464</v>
      </c>
      <c r="D65" s="161" t="n">
        <v>77.40000000000001</v>
      </c>
      <c r="E65" s="163" t="n">
        <v>23</v>
      </c>
      <c r="F65" s="161" t="n">
        <v>59.8</v>
      </c>
      <c r="G65" s="27" t="n">
        <v>18</v>
      </c>
      <c r="H65" s="164" t="n">
        <v>20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1</v>
      </c>
      <c r="S65" s="113" t="inlineStr">
        <is>
          <t>계</t>
        </is>
      </c>
      <c r="T65" s="8" t="inlineStr">
        <is>
          <t>77B-2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n"/>
      <c r="B66" s="113" t="n"/>
      <c r="C66" s="10" t="n"/>
      <c r="D66" s="13" t="n"/>
      <c r="E66" s="20" t="n"/>
      <c r="F66" s="161" t="n"/>
      <c r="G66" s="13" t="n"/>
      <c r="H66" s="13" t="n"/>
      <c r="I66" s="13" t="n"/>
      <c r="J66" s="13" t="n"/>
      <c r="K66" s="13" t="n"/>
      <c r="L66" s="13" t="n"/>
      <c r="M66" s="13" t="n"/>
      <c r="N66" s="13" t="n"/>
      <c r="O66" s="162" t="n"/>
      <c r="P66" s="162" t="n"/>
      <c r="Q66" s="163" t="n"/>
      <c r="R66" s="163" t="n"/>
      <c r="S66" s="13" t="n"/>
      <c r="T66" s="70" t="n"/>
      <c r="U66" s="13" t="n"/>
      <c r="W66" s="107">
        <f>$A$4&amp;" "&amp;A67&amp;"("&amp;B67&amp;","&amp;C67&amp;"^)"</f>
        <v/>
      </c>
      <c r="X66" s="108" t="n"/>
      <c r="Y66" s="108" t="n"/>
      <c r="Z66" s="108" t="n"/>
      <c r="AA66" s="108" t="n"/>
      <c r="AB66" s="108" t="n"/>
      <c r="AC66" s="108" t="n"/>
      <c r="AD66" s="108" t="n"/>
      <c r="AE66" s="108" t="n"/>
      <c r="AF66" s="109" t="n"/>
      <c r="AH66" s="36">
        <f>IF(A66="","",A66)</f>
        <v/>
      </c>
      <c r="AI66" s="160">
        <f>IF(E66="","",E66)</f>
        <v/>
      </c>
      <c r="AJ66" s="113" t="n"/>
      <c r="AK66" s="113" t="n"/>
      <c r="AL66" s="113" t="n"/>
      <c r="AM66" s="113" t="n"/>
      <c r="AN66" s="113" t="n"/>
      <c r="AO66" s="113" t="n"/>
      <c r="AP66" s="113" t="n"/>
      <c r="AQ66" s="113" t="n"/>
      <c r="AR66" s="113" t="n"/>
      <c r="AS66" s="113" t="n"/>
      <c r="AT66" s="113" t="n"/>
      <c r="AU66" s="113" t="n"/>
      <c r="AV66" s="113" t="n"/>
    </row>
    <row r="67">
      <c r="A67" s="13" t="inlineStr">
        <is>
          <t>마전양우내안애퍼스트힐</t>
        </is>
      </c>
      <c r="B67" s="16" t="inlineStr">
        <is>
          <t>'22.02.</t>
        </is>
      </c>
      <c r="C67" s="164" t="n">
        <v>545</v>
      </c>
      <c r="D67" s="161" t="n">
        <v>78.7</v>
      </c>
      <c r="E67" s="163" t="n">
        <v>24</v>
      </c>
      <c r="F67" s="161" t="n">
        <v>59.7</v>
      </c>
      <c r="G67" s="27" t="n">
        <v>18</v>
      </c>
      <c r="H67" s="164" t="n">
        <v>111</v>
      </c>
      <c r="I67" s="165" t="n">
        <v>38000</v>
      </c>
      <c r="J67" s="165" t="inlineStr">
        <is>
          <t>고</t>
        </is>
      </c>
      <c r="K67" s="165" t="n">
        <v>27000</v>
      </c>
      <c r="L67" s="165" t="inlineStr">
        <is>
          <t>고</t>
        </is>
      </c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78B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마전양우내안애퍼스트힐</t>
        </is>
      </c>
      <c r="B68" s="16" t="inlineStr">
        <is>
          <t>'22.02.</t>
        </is>
      </c>
      <c r="C68" s="164" t="n">
        <v>545</v>
      </c>
      <c r="D68" s="161" t="n">
        <v>79.59999999999999</v>
      </c>
      <c r="E68" s="163" t="n">
        <v>24</v>
      </c>
      <c r="F68" s="161" t="n">
        <v>60</v>
      </c>
      <c r="G68" s="27" t="n">
        <v>18</v>
      </c>
      <c r="H68" s="164" t="n">
        <v>162</v>
      </c>
      <c r="I68" s="165" t="n">
        <v>40000</v>
      </c>
      <c r="J68" s="165" t="inlineStr">
        <is>
          <t>6</t>
        </is>
      </c>
      <c r="K68" s="165" t="n">
        <v>28000</v>
      </c>
      <c r="L68" s="165" t="inlineStr">
        <is>
          <t>8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79A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마전양우내안애퍼스트힐</t>
        </is>
      </c>
      <c r="B69" s="16" t="inlineStr">
        <is>
          <t>'22.02.</t>
        </is>
      </c>
      <c r="C69" s="164" t="n">
        <v>545</v>
      </c>
      <c r="D69" s="161" t="n">
        <v>93.90000000000001</v>
      </c>
      <c r="E69" s="163" t="n">
        <v>28</v>
      </c>
      <c r="F69" s="161" t="n">
        <v>72</v>
      </c>
      <c r="G69" s="27" t="n">
        <v>22</v>
      </c>
      <c r="H69" s="164" t="n">
        <v>32</v>
      </c>
      <c r="I69" s="165" t="n">
        <v>47000</v>
      </c>
      <c r="J69" s="165" t="inlineStr">
        <is>
          <t>6</t>
        </is>
      </c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n">
        <v>93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마전양우내안애퍼스트힐</t>
        </is>
      </c>
      <c r="B70" s="16" t="inlineStr">
        <is>
          <t>'22.02.</t>
        </is>
      </c>
      <c r="C70" s="164" t="n">
        <v>545</v>
      </c>
      <c r="D70" s="161" t="n">
        <v>110.5</v>
      </c>
      <c r="E70" s="163" t="n">
        <v>33</v>
      </c>
      <c r="F70" s="161" t="n">
        <v>84.8</v>
      </c>
      <c r="G70" s="27" t="n">
        <v>26</v>
      </c>
      <c r="H70" s="164" t="n">
        <v>49</v>
      </c>
      <c r="I70" s="165" t="n">
        <v>45000</v>
      </c>
      <c r="J70" s="165" t="inlineStr">
        <is>
          <t>중</t>
        </is>
      </c>
      <c r="K70" s="165" t="n">
        <v>29000</v>
      </c>
      <c r="L70" s="165" t="inlineStr">
        <is>
          <t>13</t>
        </is>
      </c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110B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마전양우내안애퍼스트힐</t>
        </is>
      </c>
      <c r="B71" s="16" t="inlineStr">
        <is>
          <t>'22.02.</t>
        </is>
      </c>
      <c r="C71" s="164" t="n">
        <v>545</v>
      </c>
      <c r="D71" s="161" t="n">
        <v>111.2</v>
      </c>
      <c r="E71" s="163" t="n">
        <v>34</v>
      </c>
      <c r="F71" s="161" t="n">
        <v>84.90000000000001</v>
      </c>
      <c r="G71" s="27" t="n">
        <v>26</v>
      </c>
      <c r="H71" s="164" t="n">
        <v>191</v>
      </c>
      <c r="I71" s="165" t="n">
        <v>50000</v>
      </c>
      <c r="J71" s="165" t="inlineStr">
        <is>
          <t>고</t>
        </is>
      </c>
      <c r="K71" s="165" t="n">
        <v>28000</v>
      </c>
      <c r="L71" s="165" t="inlineStr">
        <is>
          <t>8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111A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n"/>
      <c r="B72" s="113" t="n"/>
      <c r="C72" s="10" t="n"/>
      <c r="D72" s="13" t="n"/>
      <c r="E72" s="20" t="n"/>
      <c r="F72" s="161" t="n"/>
      <c r="G72" s="13" t="n"/>
      <c r="H72" s="13" t="n"/>
      <c r="I72" s="13" t="n"/>
      <c r="J72" s="13" t="n"/>
      <c r="K72" s="13" t="n"/>
      <c r="L72" s="13" t="n"/>
      <c r="M72" s="13" t="n"/>
      <c r="N72" s="13" t="n"/>
      <c r="O72" s="162" t="n"/>
      <c r="P72" s="162" t="n"/>
      <c r="Q72" s="163" t="n"/>
      <c r="R72" s="163" t="n"/>
      <c r="S72" s="13" t="n"/>
      <c r="T72" s="70" t="n"/>
      <c r="U72" s="13" t="n"/>
      <c r="W72" s="107">
        <f>$A$4&amp;" "&amp;A73&amp;"("&amp;B73&amp;","&amp;C73&amp;"^)"</f>
        <v/>
      </c>
      <c r="X72" s="108" t="n"/>
      <c r="Y72" s="108" t="n"/>
      <c r="Z72" s="108" t="n"/>
      <c r="AA72" s="108" t="n"/>
      <c r="AB72" s="108" t="n"/>
      <c r="AC72" s="108" t="n"/>
      <c r="AD72" s="108" t="n"/>
      <c r="AE72" s="108" t="n"/>
      <c r="AF72" s="109" t="n"/>
      <c r="AH72" s="36">
        <f>IF(A72="","",A72)</f>
        <v/>
      </c>
      <c r="AI72" s="160">
        <f>IF(E72="","",E72)</f>
        <v/>
      </c>
      <c r="AJ72" s="113" t="n"/>
      <c r="AK72" s="113" t="n"/>
      <c r="AL72" s="113" t="n"/>
      <c r="AM72" s="113" t="n"/>
      <c r="AN72" s="113" t="n"/>
      <c r="AO72" s="113" t="n"/>
      <c r="AP72" s="113" t="n"/>
      <c r="AQ72" s="113" t="n"/>
      <c r="AR72" s="113" t="n"/>
      <c r="AS72" s="113" t="n"/>
      <c r="AT72" s="113" t="n"/>
      <c r="AU72" s="113" t="n"/>
      <c r="AV72" s="113" t="n"/>
    </row>
    <row r="73">
      <c r="A73" s="13" t="inlineStr">
        <is>
          <t>마전풍림아이원4차</t>
        </is>
      </c>
      <c r="B73" s="16" t="inlineStr">
        <is>
          <t>'07.01.</t>
        </is>
      </c>
      <c r="C73" s="164" t="n">
        <v>216</v>
      </c>
      <c r="D73" s="161" t="n">
        <v>112.5</v>
      </c>
      <c r="E73" s="163" t="n">
        <v>34</v>
      </c>
      <c r="F73" s="161" t="n">
        <v>84.3</v>
      </c>
      <c r="G73" s="27" t="n">
        <v>26</v>
      </c>
      <c r="H73" s="164" t="n">
        <v>144</v>
      </c>
      <c r="I73" s="165" t="n"/>
      <c r="J73" s="165" t="n"/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n">
        <v>112</v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마전풍림아이원4차</t>
        </is>
      </c>
      <c r="B74" s="16" t="inlineStr">
        <is>
          <t>'07.01.</t>
        </is>
      </c>
      <c r="C74" s="164" t="n">
        <v>216</v>
      </c>
      <c r="D74" s="161" t="n">
        <v>132.3</v>
      </c>
      <c r="E74" s="163" t="n">
        <v>40</v>
      </c>
      <c r="F74" s="161" t="n">
        <v>106.9</v>
      </c>
      <c r="G74" s="27" t="n">
        <v>32</v>
      </c>
      <c r="H74" s="164" t="n">
        <v>72</v>
      </c>
      <c r="I74" s="165" t="n"/>
      <c r="J74" s="165" t="n"/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n">
        <v>132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n"/>
      <c r="B75" s="113" t="n"/>
      <c r="C75" s="10" t="n"/>
      <c r="D75" s="13" t="n"/>
      <c r="E75" s="20" t="n"/>
      <c r="F75" s="161" t="n"/>
      <c r="G75" s="13" t="n"/>
      <c r="H75" s="13" t="n"/>
      <c r="I75" s="13" t="n"/>
      <c r="J75" s="13" t="n"/>
      <c r="K75" s="13" t="n"/>
      <c r="L75" s="13" t="n"/>
      <c r="M75" s="13" t="n"/>
      <c r="N75" s="13" t="n"/>
      <c r="O75" s="162" t="n"/>
      <c r="P75" s="162" t="n"/>
      <c r="Q75" s="163" t="n"/>
      <c r="R75" s="163" t="n"/>
      <c r="S75" s="13" t="n"/>
      <c r="T75" s="70" t="n"/>
      <c r="U75" s="13" t="n"/>
      <c r="W75" s="107">
        <f>$A$4&amp;" "&amp;A76&amp;"("&amp;B76&amp;","&amp;C76&amp;"^)"</f>
        <v/>
      </c>
      <c r="X75" s="108" t="n"/>
      <c r="Y75" s="108" t="n"/>
      <c r="Z75" s="108" t="n"/>
      <c r="AA75" s="108" t="n"/>
      <c r="AB75" s="108" t="n"/>
      <c r="AC75" s="108" t="n"/>
      <c r="AD75" s="108" t="n"/>
      <c r="AE75" s="108" t="n"/>
      <c r="AF75" s="109" t="n"/>
      <c r="AH75" s="36">
        <f>IF(A75="","",A75)</f>
        <v/>
      </c>
      <c r="AI75" s="160">
        <f>IF(E75="","",E75)</f>
        <v/>
      </c>
      <c r="AJ75" s="113" t="n"/>
      <c r="AK75" s="113" t="n"/>
      <c r="AL75" s="113" t="n"/>
      <c r="AM75" s="113" t="n"/>
      <c r="AN75" s="113" t="n"/>
      <c r="AO75" s="113" t="n"/>
      <c r="AP75" s="113" t="n"/>
      <c r="AQ75" s="113" t="n"/>
      <c r="AR75" s="113" t="n"/>
      <c r="AS75" s="113" t="n"/>
      <c r="AT75" s="113" t="n"/>
      <c r="AU75" s="113" t="n"/>
      <c r="AV75" s="113" t="n"/>
    </row>
    <row r="76">
      <c r="A76" s="13" t="inlineStr">
        <is>
          <t>목화</t>
        </is>
      </c>
      <c r="B76" s="16" t="inlineStr">
        <is>
          <t>'90.08.</t>
        </is>
      </c>
      <c r="C76" s="164" t="n">
        <v>300</v>
      </c>
      <c r="D76" s="161" t="n">
        <v>55.4</v>
      </c>
      <c r="E76" s="163" t="n">
        <v>17</v>
      </c>
      <c r="F76" s="161" t="n">
        <v>41.3</v>
      </c>
      <c r="G76" s="27" t="n">
        <v>12</v>
      </c>
      <c r="H76" s="164" t="n">
        <v>30</v>
      </c>
      <c r="I76" s="165" t="n"/>
      <c r="J76" s="165" t="n"/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2</v>
      </c>
      <c r="R76" s="113" t="n">
        <v>1</v>
      </c>
      <c r="S76" s="113" t="inlineStr">
        <is>
          <t>계</t>
        </is>
      </c>
      <c r="T76" s="8" t="n">
        <v>55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목화</t>
        </is>
      </c>
      <c r="B77" s="16" t="inlineStr">
        <is>
          <t>'90.08.</t>
        </is>
      </c>
      <c r="C77" s="164" t="n">
        <v>300</v>
      </c>
      <c r="D77" s="161" t="n">
        <v>58.5</v>
      </c>
      <c r="E77" s="163" t="n">
        <v>18</v>
      </c>
      <c r="F77" s="161" t="n">
        <v>44</v>
      </c>
      <c r="G77" s="27" t="n">
        <v>13</v>
      </c>
      <c r="H77" s="164" t="n">
        <v>80</v>
      </c>
      <c r="I77" s="165" t="n"/>
      <c r="J77" s="165" t="n"/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2</v>
      </c>
      <c r="R77" s="113" t="n">
        <v>1</v>
      </c>
      <c r="S77" s="113" t="inlineStr">
        <is>
          <t>계</t>
        </is>
      </c>
      <c r="T77" s="8" t="n">
        <v>58</v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목화</t>
        </is>
      </c>
      <c r="B78" s="16" t="inlineStr">
        <is>
          <t>'90.08.</t>
        </is>
      </c>
      <c r="C78" s="164" t="n">
        <v>300</v>
      </c>
      <c r="D78" s="161" t="n">
        <v>74.90000000000001</v>
      </c>
      <c r="E78" s="163" t="n">
        <v>23</v>
      </c>
      <c r="F78" s="161" t="n">
        <v>57.5</v>
      </c>
      <c r="G78" s="27" t="n">
        <v>17</v>
      </c>
      <c r="H78" s="164" t="n">
        <v>130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1</v>
      </c>
      <c r="S78" s="113" t="inlineStr">
        <is>
          <t>계</t>
        </is>
      </c>
      <c r="T78" s="8" t="n">
        <v>74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목화</t>
        </is>
      </c>
      <c r="B79" s="16" t="inlineStr">
        <is>
          <t>'90.08.</t>
        </is>
      </c>
      <c r="C79" s="164" t="n">
        <v>300</v>
      </c>
      <c r="D79" s="161" t="n">
        <v>78</v>
      </c>
      <c r="E79" s="163" t="n">
        <v>24</v>
      </c>
      <c r="F79" s="161" t="n">
        <v>60</v>
      </c>
      <c r="G79" s="27" t="n">
        <v>18</v>
      </c>
      <c r="H79" s="164" t="n">
        <v>20</v>
      </c>
      <c r="I79" s="165" t="n"/>
      <c r="J79" s="165" t="n"/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1</v>
      </c>
      <c r="S79" s="113" t="inlineStr">
        <is>
          <t>계</t>
        </is>
      </c>
      <c r="T79" s="8" t="n">
        <v>78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목화</t>
        </is>
      </c>
      <c r="B80" s="16" t="inlineStr">
        <is>
          <t>'90.08.</t>
        </is>
      </c>
      <c r="C80" s="164" t="n">
        <v>300</v>
      </c>
      <c r="D80" s="161" t="n">
        <v>100.9</v>
      </c>
      <c r="E80" s="163" t="n">
        <v>31</v>
      </c>
      <c r="F80" s="161" t="n">
        <v>79.09999999999999</v>
      </c>
      <c r="G80" s="27" t="n">
        <v>24</v>
      </c>
      <c r="H80" s="164" t="n">
        <v>40</v>
      </c>
      <c r="I80" s="165" t="n"/>
      <c r="J80" s="165" t="n"/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1</v>
      </c>
      <c r="S80" s="113" t="inlineStr">
        <is>
          <t>계</t>
        </is>
      </c>
      <c r="T80" s="8" t="n">
        <v>100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n"/>
      <c r="B81" s="113" t="n"/>
      <c r="C81" s="10" t="n"/>
      <c r="D81" s="13" t="n"/>
      <c r="E81" s="20" t="n"/>
      <c r="F81" s="161" t="n"/>
      <c r="G81" s="13" t="n"/>
      <c r="H81" s="13" t="n"/>
      <c r="I81" s="13" t="n"/>
      <c r="J81" s="13" t="n"/>
      <c r="K81" s="13" t="n"/>
      <c r="L81" s="13" t="n"/>
      <c r="M81" s="13" t="n"/>
      <c r="N81" s="13" t="n"/>
      <c r="O81" s="162" t="n"/>
      <c r="P81" s="162" t="n"/>
      <c r="Q81" s="163" t="n"/>
      <c r="R81" s="163" t="n"/>
      <c r="S81" s="13" t="n"/>
      <c r="T81" s="70" t="n"/>
      <c r="U81" s="13" t="n"/>
      <c r="W81" s="107">
        <f>$A$4&amp;" "&amp;A82&amp;"("&amp;B82&amp;","&amp;C82&amp;"^)"</f>
        <v/>
      </c>
      <c r="X81" s="108" t="n"/>
      <c r="Y81" s="108" t="n"/>
      <c r="Z81" s="108" t="n"/>
      <c r="AA81" s="108" t="n"/>
      <c r="AB81" s="108" t="n"/>
      <c r="AC81" s="108" t="n"/>
      <c r="AD81" s="108" t="n"/>
      <c r="AE81" s="108" t="n"/>
      <c r="AF81" s="109" t="n"/>
      <c r="AH81" s="36">
        <f>IF(A81="","",A81)</f>
        <v/>
      </c>
      <c r="AI81" s="160">
        <f>IF(E81="","",E81)</f>
        <v/>
      </c>
      <c r="AJ81" s="113" t="n"/>
      <c r="AK81" s="113" t="n"/>
      <c r="AL81" s="113" t="n"/>
      <c r="AM81" s="113" t="n"/>
      <c r="AN81" s="113" t="n"/>
      <c r="AO81" s="113" t="n"/>
      <c r="AP81" s="113" t="n"/>
      <c r="AQ81" s="113" t="n"/>
      <c r="AR81" s="113" t="n"/>
      <c r="AS81" s="113" t="n"/>
      <c r="AT81" s="113" t="n"/>
      <c r="AU81" s="113" t="n"/>
      <c r="AV81" s="113" t="n"/>
    </row>
    <row r="82">
      <c r="A82" s="13" t="inlineStr">
        <is>
          <t>장미</t>
        </is>
      </c>
      <c r="B82" s="16" t="inlineStr">
        <is>
          <t>'90.10.</t>
        </is>
      </c>
      <c r="C82" s="164" t="n">
        <v>260</v>
      </c>
      <c r="D82" s="161" t="n">
        <v>53.5</v>
      </c>
      <c r="E82" s="163" t="n">
        <v>16</v>
      </c>
      <c r="F82" s="161" t="n">
        <v>39.6</v>
      </c>
      <c r="G82" s="27" t="n">
        <v>12</v>
      </c>
      <c r="H82" s="164" t="n">
        <v>50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2</v>
      </c>
      <c r="R82" s="113" t="n">
        <v>1</v>
      </c>
      <c r="S82" s="113" t="inlineStr">
        <is>
          <t>계</t>
        </is>
      </c>
      <c r="T82" s="8" t="n">
        <v>53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장미</t>
        </is>
      </c>
      <c r="B83" s="16" t="inlineStr">
        <is>
          <t>'90.10.</t>
        </is>
      </c>
      <c r="C83" s="164" t="n">
        <v>260</v>
      </c>
      <c r="D83" s="161" t="n">
        <v>56.8</v>
      </c>
      <c r="E83" s="163" t="n">
        <v>17</v>
      </c>
      <c r="F83" s="161" t="n">
        <v>42.1</v>
      </c>
      <c r="G83" s="27" t="n">
        <v>13</v>
      </c>
      <c r="H83" s="164" t="n">
        <v>160</v>
      </c>
      <c r="I83" s="165" t="n"/>
      <c r="J83" s="165" t="n"/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2</v>
      </c>
      <c r="R83" s="113" t="n">
        <v>1</v>
      </c>
      <c r="S83" s="113" t="inlineStr">
        <is>
          <t>계</t>
        </is>
      </c>
      <c r="T83" s="8" t="n">
        <v>56</v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장미</t>
        </is>
      </c>
      <c r="B84" s="16" t="inlineStr">
        <is>
          <t>'90.10.</t>
        </is>
      </c>
      <c r="C84" s="164" t="n">
        <v>260</v>
      </c>
      <c r="D84" s="161" t="n">
        <v>75.40000000000001</v>
      </c>
      <c r="E84" s="163" t="n">
        <v>23</v>
      </c>
      <c r="F84" s="161" t="n">
        <v>57.6</v>
      </c>
      <c r="G84" s="27" t="n">
        <v>17</v>
      </c>
      <c r="H84" s="164" t="n">
        <v>50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1</v>
      </c>
      <c r="S84" s="113" t="inlineStr">
        <is>
          <t>계</t>
        </is>
      </c>
      <c r="T84" s="8" t="n">
        <v>75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1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2" t="n"/>
      <c r="P85" s="162" t="n"/>
      <c r="Q85" s="163" t="n"/>
      <c r="R85" s="163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0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대원레스피아2단지</t>
        </is>
      </c>
      <c r="B86" s="16" t="inlineStr">
        <is>
          <t>'04.11.</t>
        </is>
      </c>
      <c r="C86" s="164" t="n">
        <v>311</v>
      </c>
      <c r="D86" s="161" t="n">
        <v>80.2</v>
      </c>
      <c r="E86" s="163" t="n">
        <v>24</v>
      </c>
      <c r="F86" s="161" t="n">
        <v>59.7</v>
      </c>
      <c r="G86" s="27" t="n">
        <v>18</v>
      </c>
      <c r="H86" s="164" t="n">
        <v>76</v>
      </c>
      <c r="I86" s="165" t="n">
        <v>24000</v>
      </c>
      <c r="J86" s="165" t="inlineStr">
        <is>
          <t>5</t>
        </is>
      </c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n">
        <v>80</v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대원레스피아2단지</t>
        </is>
      </c>
      <c r="B87" s="16" t="inlineStr">
        <is>
          <t>'04.11.</t>
        </is>
      </c>
      <c r="C87" s="164" t="n">
        <v>311</v>
      </c>
      <c r="D87" s="161" t="n">
        <v>110.3</v>
      </c>
      <c r="E87" s="163" t="n">
        <v>33</v>
      </c>
      <c r="F87" s="161" t="n">
        <v>84.8</v>
      </c>
      <c r="G87" s="27" t="n">
        <v>26</v>
      </c>
      <c r="H87" s="164" t="n">
        <v>137</v>
      </c>
      <c r="I87" s="165" t="n">
        <v>28500</v>
      </c>
      <c r="J87" s="165" t="inlineStr">
        <is>
          <t>중</t>
        </is>
      </c>
      <c r="K87" s="165" t="n">
        <v>24000</v>
      </c>
      <c r="L87" s="165" t="inlineStr">
        <is>
          <t>14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inlineStr">
        <is>
          <t>110A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대원레스피아2단지</t>
        </is>
      </c>
      <c r="B88" s="16" t="inlineStr">
        <is>
          <t>'04.11.</t>
        </is>
      </c>
      <c r="C88" s="164" t="n">
        <v>311</v>
      </c>
      <c r="D88" s="161" t="n">
        <v>110.5</v>
      </c>
      <c r="E88" s="163" t="n">
        <v>33</v>
      </c>
      <c r="F88" s="161" t="n">
        <v>85</v>
      </c>
      <c r="G88" s="27" t="n">
        <v>26</v>
      </c>
      <c r="H88" s="164" t="n">
        <v>98</v>
      </c>
      <c r="I88" s="165" t="n">
        <v>29500</v>
      </c>
      <c r="J88" s="165" t="inlineStr">
        <is>
          <t>10</t>
        </is>
      </c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110B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n"/>
      <c r="B89" s="113" t="n"/>
      <c r="C89" s="10" t="n"/>
      <c r="D89" s="13" t="n"/>
      <c r="E89" s="20" t="n"/>
      <c r="F89" s="161" t="n"/>
      <c r="G89" s="13" t="n"/>
      <c r="H89" s="13" t="n"/>
      <c r="I89" s="13" t="n"/>
      <c r="J89" s="13" t="n"/>
      <c r="K89" s="13" t="n"/>
      <c r="L89" s="13" t="n"/>
      <c r="M89" s="13" t="n"/>
      <c r="N89" s="13" t="n"/>
      <c r="O89" s="162" t="n"/>
      <c r="P89" s="162" t="n"/>
      <c r="Q89" s="163" t="n"/>
      <c r="R89" s="163" t="n"/>
      <c r="S89" s="13" t="n"/>
      <c r="T89" s="70" t="n"/>
      <c r="U89" s="13" t="n"/>
      <c r="W89" s="107">
        <f>$A$4&amp;" "&amp;A90&amp;"("&amp;B90&amp;","&amp;C90&amp;"^)"</f>
        <v/>
      </c>
      <c r="X89" s="108" t="n"/>
      <c r="Y89" s="108" t="n"/>
      <c r="Z89" s="108" t="n"/>
      <c r="AA89" s="108" t="n"/>
      <c r="AB89" s="108" t="n"/>
      <c r="AC89" s="108" t="n"/>
      <c r="AD89" s="108" t="n"/>
      <c r="AE89" s="108" t="n"/>
      <c r="AF89" s="109" t="n"/>
      <c r="AH89" s="36">
        <f>IF(A89="","",A89)</f>
        <v/>
      </c>
      <c r="AI89" s="160">
        <f>IF(E89="","",E89)</f>
        <v/>
      </c>
      <c r="AJ89" s="113" t="n"/>
      <c r="AK89" s="113" t="n"/>
      <c r="AL89" s="113" t="n"/>
      <c r="AM89" s="113" t="n"/>
      <c r="AN89" s="113" t="n"/>
      <c r="AO89" s="113" t="n"/>
      <c r="AP89" s="113" t="n"/>
      <c r="AQ89" s="113" t="n"/>
      <c r="AR89" s="113" t="n"/>
      <c r="AS89" s="113" t="n"/>
      <c r="AT89" s="113" t="n"/>
      <c r="AU89" s="113" t="n"/>
      <c r="AV89" s="113" t="n"/>
    </row>
    <row r="90">
      <c r="A90" s="13" t="inlineStr">
        <is>
          <t>당하풍림아이원3차</t>
        </is>
      </c>
      <c r="B90" s="16" t="inlineStr">
        <is>
          <t>'04.10.</t>
        </is>
      </c>
      <c r="C90" s="164" t="n">
        <v>579</v>
      </c>
      <c r="D90" s="161" t="n">
        <v>83.8</v>
      </c>
      <c r="E90" s="163" t="n">
        <v>25</v>
      </c>
      <c r="F90" s="161" t="n">
        <v>59.9</v>
      </c>
      <c r="G90" s="27" t="n">
        <v>18</v>
      </c>
      <c r="H90" s="164" t="n">
        <v>237</v>
      </c>
      <c r="I90" s="165" t="n">
        <v>33000</v>
      </c>
      <c r="J90" s="165" t="inlineStr">
        <is>
          <t>고</t>
        </is>
      </c>
      <c r="K90" s="165" t="n">
        <v>23000</v>
      </c>
      <c r="L90" s="165" t="inlineStr">
        <is>
          <t>15</t>
        </is>
      </c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n">
        <v>83</v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당하풍림아이원3차</t>
        </is>
      </c>
      <c r="B91" s="16" t="inlineStr">
        <is>
          <t>'04.10.</t>
        </is>
      </c>
      <c r="C91" s="164" t="n">
        <v>579</v>
      </c>
      <c r="D91" s="161" t="n">
        <v>110.6</v>
      </c>
      <c r="E91" s="163" t="n">
        <v>33</v>
      </c>
      <c r="F91" s="161" t="n">
        <v>85</v>
      </c>
      <c r="G91" s="27" t="n">
        <v>26</v>
      </c>
      <c r="H91" s="164" t="n">
        <v>283</v>
      </c>
      <c r="I91" s="165" t="n">
        <v>37500</v>
      </c>
      <c r="J91" s="165" t="inlineStr">
        <is>
          <t>9</t>
        </is>
      </c>
      <c r="K91" s="165" t="n">
        <v>29000</v>
      </c>
      <c r="L91" s="165" t="inlineStr">
        <is>
          <t>5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110C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당하풍림아이원3차</t>
        </is>
      </c>
      <c r="B92" s="16" t="inlineStr">
        <is>
          <t>'04.10.</t>
        </is>
      </c>
      <c r="C92" s="164" t="n">
        <v>579</v>
      </c>
      <c r="D92" s="161" t="n">
        <v>110.6</v>
      </c>
      <c r="E92" s="163" t="n">
        <v>33</v>
      </c>
      <c r="F92" s="161" t="n">
        <v>85</v>
      </c>
      <c r="G92" s="27" t="n">
        <v>26</v>
      </c>
      <c r="H92" s="164" t="n">
        <v>30</v>
      </c>
      <c r="I92" s="165" t="n">
        <v>37500</v>
      </c>
      <c r="J92" s="165" t="inlineStr">
        <is>
          <t>9</t>
        </is>
      </c>
      <c r="K92" s="165" t="n">
        <v>29000</v>
      </c>
      <c r="L92" s="165" t="inlineStr">
        <is>
          <t>5</t>
        </is>
      </c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110A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당하풍림아이원3차</t>
        </is>
      </c>
      <c r="B93" s="16" t="inlineStr">
        <is>
          <t>'04.10.</t>
        </is>
      </c>
      <c r="C93" s="164" t="n">
        <v>579</v>
      </c>
      <c r="D93" s="161" t="n">
        <v>110.6</v>
      </c>
      <c r="E93" s="163" t="n">
        <v>33</v>
      </c>
      <c r="F93" s="161" t="n">
        <v>85</v>
      </c>
      <c r="G93" s="27" t="n">
        <v>26</v>
      </c>
      <c r="H93" s="164" t="n">
        <v>29</v>
      </c>
      <c r="I93" s="165" t="n">
        <v>37500</v>
      </c>
      <c r="J93" s="165" t="inlineStr">
        <is>
          <t>9</t>
        </is>
      </c>
      <c r="K93" s="165" t="n">
        <v>29000</v>
      </c>
      <c r="L93" s="165" t="inlineStr">
        <is>
          <t>5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110B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n"/>
      <c r="B94" s="113" t="n"/>
      <c r="C94" s="10" t="n"/>
      <c r="D94" s="13" t="n"/>
      <c r="E94" s="20" t="n"/>
      <c r="F94" s="161" t="n"/>
      <c r="G94" s="13" t="n"/>
      <c r="H94" s="13" t="n"/>
      <c r="I94" s="13" t="n"/>
      <c r="J94" s="13" t="n"/>
      <c r="K94" s="13" t="n"/>
      <c r="L94" s="13" t="n"/>
      <c r="M94" s="13" t="n"/>
      <c r="N94" s="13" t="n"/>
      <c r="O94" s="162" t="n"/>
      <c r="P94" s="162" t="n"/>
      <c r="Q94" s="163" t="n"/>
      <c r="R94" s="163" t="n"/>
      <c r="S94" s="13" t="n"/>
      <c r="T94" s="70" t="n"/>
      <c r="U94" s="13" t="n"/>
      <c r="W94" s="107">
        <f>$A$4&amp;" "&amp;A95&amp;"("&amp;B95&amp;","&amp;C95&amp;"^)"</f>
        <v/>
      </c>
      <c r="X94" s="108" t="n"/>
      <c r="Y94" s="108" t="n"/>
      <c r="Z94" s="108" t="n"/>
      <c r="AA94" s="108" t="n"/>
      <c r="AB94" s="108" t="n"/>
      <c r="AC94" s="108" t="n"/>
      <c r="AD94" s="108" t="n"/>
      <c r="AE94" s="108" t="n"/>
      <c r="AF94" s="109" t="n"/>
      <c r="AH94" s="36">
        <f>IF(A94="","",A94)</f>
        <v/>
      </c>
      <c r="AI94" s="160">
        <f>IF(E94="","",E94)</f>
        <v/>
      </c>
      <c r="AJ94" s="113" t="n"/>
      <c r="AK94" s="113" t="n"/>
      <c r="AL94" s="113" t="n"/>
      <c r="AM94" s="113" t="n"/>
      <c r="AN94" s="113" t="n"/>
      <c r="AO94" s="113" t="n"/>
      <c r="AP94" s="113" t="n"/>
      <c r="AQ94" s="113" t="n"/>
      <c r="AR94" s="113" t="n"/>
      <c r="AS94" s="113" t="n"/>
      <c r="AT94" s="113" t="n"/>
      <c r="AU94" s="113" t="n"/>
      <c r="AV94" s="113" t="n"/>
    </row>
    <row r="95">
      <c r="A95" s="13" t="inlineStr">
        <is>
          <t>검단금호어울림</t>
        </is>
      </c>
      <c r="B95" s="16" t="inlineStr">
        <is>
          <t>'04.06.</t>
        </is>
      </c>
      <c r="C95" s="164" t="n">
        <v>236</v>
      </c>
      <c r="D95" s="161" t="n">
        <v>106.2</v>
      </c>
      <c r="E95" s="163" t="n">
        <v>32</v>
      </c>
      <c r="F95" s="161" t="n">
        <v>85</v>
      </c>
      <c r="G95" s="27" t="n">
        <v>26</v>
      </c>
      <c r="H95" s="164" t="n">
        <v>236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n">
        <v>106</v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n"/>
      <c r="B96" s="113" t="n"/>
      <c r="C96" s="10" t="n"/>
      <c r="D96" s="13" t="n"/>
      <c r="E96" s="20" t="n"/>
      <c r="F96" s="161" t="n"/>
      <c r="G96" s="13" t="n"/>
      <c r="H96" s="13" t="n"/>
      <c r="I96" s="13" t="n"/>
      <c r="J96" s="13" t="n"/>
      <c r="K96" s="13" t="n"/>
      <c r="L96" s="13" t="n"/>
      <c r="M96" s="13" t="n"/>
      <c r="N96" s="13" t="n"/>
      <c r="O96" s="162" t="n"/>
      <c r="P96" s="162" t="n"/>
      <c r="Q96" s="163" t="n"/>
      <c r="R96" s="163" t="n"/>
      <c r="S96" s="13" t="n"/>
      <c r="T96" s="70" t="n"/>
      <c r="U96" s="13" t="n"/>
      <c r="W96" s="107">
        <f>$A$4&amp;" "&amp;A97&amp;"("&amp;B97&amp;","&amp;C97&amp;"^)"</f>
        <v/>
      </c>
      <c r="X96" s="108" t="n"/>
      <c r="Y96" s="108" t="n"/>
      <c r="Z96" s="108" t="n"/>
      <c r="AA96" s="108" t="n"/>
      <c r="AB96" s="108" t="n"/>
      <c r="AC96" s="108" t="n"/>
      <c r="AD96" s="108" t="n"/>
      <c r="AE96" s="108" t="n"/>
      <c r="AF96" s="109" t="n"/>
      <c r="AH96" s="36">
        <f>IF(A96="","",A96)</f>
        <v/>
      </c>
      <c r="AI96" s="160">
        <f>IF(E96="","",E96)</f>
        <v/>
      </c>
      <c r="AJ96" s="113" t="n"/>
      <c r="AK96" s="113" t="n"/>
      <c r="AL96" s="113" t="n"/>
      <c r="AM96" s="113" t="n"/>
      <c r="AN96" s="113" t="n"/>
      <c r="AO96" s="113" t="n"/>
      <c r="AP96" s="113" t="n"/>
      <c r="AQ96" s="113" t="n"/>
      <c r="AR96" s="113" t="n"/>
      <c r="AS96" s="113" t="n"/>
      <c r="AT96" s="113" t="n"/>
      <c r="AU96" s="113" t="n"/>
      <c r="AV96" s="113" t="n"/>
    </row>
    <row r="97">
      <c r="A97" s="13" t="inlineStr">
        <is>
          <t>영남탑스빌</t>
        </is>
      </c>
      <c r="B97" s="16" t="inlineStr">
        <is>
          <t>'00.04.</t>
        </is>
      </c>
      <c r="C97" s="164" t="n">
        <v>1042</v>
      </c>
      <c r="D97" s="161" t="n">
        <v>111.7</v>
      </c>
      <c r="E97" s="163" t="n">
        <v>34</v>
      </c>
      <c r="F97" s="161" t="n">
        <v>85</v>
      </c>
      <c r="G97" s="27" t="n">
        <v>26</v>
      </c>
      <c r="H97" s="164" t="n">
        <v>394</v>
      </c>
      <c r="I97" s="165" t="n">
        <v>36000</v>
      </c>
      <c r="J97" s="165" t="inlineStr">
        <is>
          <t>20</t>
        </is>
      </c>
      <c r="K97" s="165" t="n">
        <v>29000</v>
      </c>
      <c r="L97" s="165" t="inlineStr">
        <is>
          <t>7</t>
        </is>
      </c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n">
        <v>111</v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영남탑스빌</t>
        </is>
      </c>
      <c r="B98" s="16" t="inlineStr">
        <is>
          <t>'00.04.</t>
        </is>
      </c>
      <c r="C98" s="164" t="n">
        <v>1042</v>
      </c>
      <c r="D98" s="161" t="n">
        <v>152</v>
      </c>
      <c r="E98" s="163" t="n">
        <v>46</v>
      </c>
      <c r="F98" s="161" t="n">
        <v>119.9</v>
      </c>
      <c r="G98" s="27" t="n">
        <v>36</v>
      </c>
      <c r="H98" s="164" t="n">
        <v>124</v>
      </c>
      <c r="I98" s="165" t="n">
        <v>40000</v>
      </c>
      <c r="J98" s="165" t="inlineStr">
        <is>
          <t>9</t>
        </is>
      </c>
      <c r="K98" s="165" t="n">
        <v>36000</v>
      </c>
      <c r="L98" s="165" t="inlineStr">
        <is>
          <t>9</t>
        </is>
      </c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4</v>
      </c>
      <c r="R98" s="113" t="n">
        <v>2</v>
      </c>
      <c r="S98" s="113" t="inlineStr">
        <is>
          <t>계</t>
        </is>
      </c>
      <c r="T98" s="8" t="n">
        <v>152</v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영남탑스빌</t>
        </is>
      </c>
      <c r="B99" s="16" t="inlineStr">
        <is>
          <t>'00.04.</t>
        </is>
      </c>
      <c r="C99" s="164" t="n">
        <v>1042</v>
      </c>
      <c r="D99" s="161" t="n">
        <v>187.2</v>
      </c>
      <c r="E99" s="163" t="n">
        <v>57</v>
      </c>
      <c r="F99" s="161" t="n">
        <v>153</v>
      </c>
      <c r="G99" s="27" t="n">
        <v>46</v>
      </c>
      <c r="H99" s="164" t="n">
        <v>304</v>
      </c>
      <c r="I99" s="165" t="n">
        <v>45000</v>
      </c>
      <c r="J99" s="165" t="inlineStr">
        <is>
          <t>13</t>
        </is>
      </c>
      <c r="K99" s="165" t="n">
        <v>35000</v>
      </c>
      <c r="L99" s="165" t="inlineStr">
        <is>
          <t>19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5</v>
      </c>
      <c r="R99" s="113" t="n">
        <v>2</v>
      </c>
      <c r="S99" s="113" t="inlineStr">
        <is>
          <t>계</t>
        </is>
      </c>
      <c r="T99" s="8" t="n">
        <v>187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영남탑스빌</t>
        </is>
      </c>
      <c r="B100" s="16" t="inlineStr">
        <is>
          <t>'00.04.</t>
        </is>
      </c>
      <c r="C100" s="164" t="n">
        <v>1042</v>
      </c>
      <c r="D100" s="161" t="n">
        <v>216</v>
      </c>
      <c r="E100" s="163" t="n">
        <v>65</v>
      </c>
      <c r="F100" s="161" t="n">
        <v>179.7</v>
      </c>
      <c r="G100" s="27" t="n">
        <v>54</v>
      </c>
      <c r="H100" s="164" t="n">
        <v>134</v>
      </c>
      <c r="I100" s="165" t="n">
        <v>47000</v>
      </c>
      <c r="J100" s="165" t="inlineStr">
        <is>
          <t>14</t>
        </is>
      </c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5</v>
      </c>
      <c r="R100" s="113" t="n">
        <v>2</v>
      </c>
      <c r="S100" s="113" t="inlineStr">
        <is>
          <t>계</t>
        </is>
      </c>
      <c r="T100" s="8" t="n">
        <v>216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영남탑스빌</t>
        </is>
      </c>
      <c r="B101" s="16" t="inlineStr">
        <is>
          <t>'00.04.</t>
        </is>
      </c>
      <c r="C101" s="164" t="n">
        <v>1042</v>
      </c>
      <c r="D101" s="161" t="n">
        <v>238.9</v>
      </c>
      <c r="E101" s="163" t="n">
        <v>72</v>
      </c>
      <c r="F101" s="161" t="n">
        <v>200.2</v>
      </c>
      <c r="G101" s="27" t="n">
        <v>61</v>
      </c>
      <c r="H101" s="164" t="n">
        <v>86</v>
      </c>
      <c r="I101" s="165" t="n">
        <v>59000</v>
      </c>
      <c r="J101" s="165" t="inlineStr">
        <is>
          <t>8</t>
        </is>
      </c>
      <c r="K101" s="165" t="n">
        <v>45000</v>
      </c>
      <c r="L101" s="165" t="inlineStr">
        <is>
          <t>15</t>
        </is>
      </c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5</v>
      </c>
      <c r="R101" s="113" t="n">
        <v>2</v>
      </c>
      <c r="S101" s="113" t="inlineStr">
        <is>
          <t>계</t>
        </is>
      </c>
      <c r="T101" s="8" t="n">
        <v>238</v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n"/>
      <c r="B102" s="113" t="n"/>
      <c r="C102" s="10" t="n"/>
      <c r="D102" s="13" t="n"/>
      <c r="E102" s="20" t="n"/>
      <c r="F102" s="161" t="n"/>
      <c r="G102" s="13" t="n"/>
      <c r="H102" s="13" t="n"/>
      <c r="I102" s="13" t="n"/>
      <c r="J102" s="13" t="n"/>
      <c r="K102" s="13" t="n"/>
      <c r="L102" s="13" t="n"/>
      <c r="M102" s="13" t="n"/>
      <c r="N102" s="13" t="n"/>
      <c r="O102" s="162" t="n"/>
      <c r="P102" s="162" t="n"/>
      <c r="Q102" s="163" t="n"/>
      <c r="R102" s="163" t="n"/>
      <c r="S102" s="13" t="n"/>
      <c r="T102" s="70" t="n"/>
      <c r="U102" s="13" t="n"/>
      <c r="W102" s="107">
        <f>$A$4&amp;" "&amp;A103&amp;"("&amp;B103&amp;","&amp;C103&amp;"^)"</f>
        <v/>
      </c>
      <c r="X102" s="108" t="n"/>
      <c r="Y102" s="108" t="n"/>
      <c r="Z102" s="108" t="n"/>
      <c r="AA102" s="108" t="n"/>
      <c r="AB102" s="108" t="n"/>
      <c r="AC102" s="108" t="n"/>
      <c r="AD102" s="108" t="n"/>
      <c r="AE102" s="108" t="n"/>
      <c r="AF102" s="109" t="n"/>
      <c r="AH102" s="36">
        <f>IF(A102="","",A102)</f>
        <v/>
      </c>
      <c r="AI102" s="160">
        <f>IF(E102="","",E102)</f>
        <v/>
      </c>
      <c r="AJ102" s="113" t="n"/>
      <c r="AK102" s="113" t="n"/>
      <c r="AL102" s="113" t="n"/>
      <c r="AM102" s="113" t="n"/>
      <c r="AN102" s="113" t="n"/>
      <c r="AO102" s="113" t="n"/>
      <c r="AP102" s="113" t="n"/>
      <c r="AQ102" s="113" t="n"/>
      <c r="AR102" s="113" t="n"/>
      <c r="AS102" s="113" t="n"/>
      <c r="AT102" s="113" t="n"/>
      <c r="AU102" s="113" t="n"/>
      <c r="AV102" s="113" t="n"/>
    </row>
    <row r="103">
      <c r="A103" s="13" t="inlineStr">
        <is>
          <t>영진</t>
        </is>
      </c>
      <c r="B103" s="16" t="inlineStr">
        <is>
          <t>'99.07.</t>
        </is>
      </c>
      <c r="C103" s="164" t="n">
        <v>299</v>
      </c>
      <c r="D103" s="161" t="n">
        <v>80.7</v>
      </c>
      <c r="E103" s="163" t="n">
        <v>24</v>
      </c>
      <c r="F103" s="161" t="n">
        <v>60</v>
      </c>
      <c r="G103" s="27" t="n">
        <v>18</v>
      </c>
      <c r="H103" s="164" t="n">
        <v>113</v>
      </c>
      <c r="I103" s="165" t="n"/>
      <c r="J103" s="165" t="n"/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1</v>
      </c>
      <c r="S103" s="113" t="inlineStr">
        <is>
          <t>계</t>
        </is>
      </c>
      <c r="T103" s="8" t="n">
        <v>80</v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영진</t>
        </is>
      </c>
      <c r="B104" s="16" t="inlineStr">
        <is>
          <t>'99.07.</t>
        </is>
      </c>
      <c r="C104" s="164" t="n">
        <v>299</v>
      </c>
      <c r="D104" s="161" t="n">
        <v>107.5</v>
      </c>
      <c r="E104" s="163" t="n">
        <v>33</v>
      </c>
      <c r="F104" s="161" t="n">
        <v>84.90000000000001</v>
      </c>
      <c r="G104" s="27" t="n">
        <v>26</v>
      </c>
      <c r="H104" s="164" t="n">
        <v>96</v>
      </c>
      <c r="I104" s="165" t="n"/>
      <c r="J104" s="165" t="n"/>
      <c r="K104" s="165" t="n"/>
      <c r="L104" s="165" t="n"/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n">
        <v>107</v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영진</t>
        </is>
      </c>
      <c r="B105" s="16" t="inlineStr">
        <is>
          <t>'99.07.</t>
        </is>
      </c>
      <c r="C105" s="164" t="n">
        <v>299</v>
      </c>
      <c r="D105" s="161" t="n">
        <v>111.7</v>
      </c>
      <c r="E105" s="163" t="n">
        <v>34</v>
      </c>
      <c r="F105" s="161" t="n">
        <v>84.90000000000001</v>
      </c>
      <c r="G105" s="27" t="n">
        <v>26</v>
      </c>
      <c r="H105" s="164" t="n">
        <v>18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n">
        <v>111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영진</t>
        </is>
      </c>
      <c r="B106" s="16" t="inlineStr">
        <is>
          <t>'99.07.</t>
        </is>
      </c>
      <c r="C106" s="164" t="n">
        <v>299</v>
      </c>
      <c r="D106" s="161" t="n">
        <v>129.1</v>
      </c>
      <c r="E106" s="163" t="n">
        <v>39</v>
      </c>
      <c r="F106" s="161" t="n">
        <v>110</v>
      </c>
      <c r="G106" s="27" t="n">
        <v>33</v>
      </c>
      <c r="H106" s="164" t="n">
        <v>19</v>
      </c>
      <c r="I106" s="165" t="n"/>
      <c r="J106" s="165" t="n"/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4</v>
      </c>
      <c r="R106" s="113" t="n">
        <v>2</v>
      </c>
      <c r="S106" s="113" t="inlineStr">
        <is>
          <t>계</t>
        </is>
      </c>
      <c r="T106" s="8" t="n">
        <v>129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영진</t>
        </is>
      </c>
      <c r="B107" s="16" t="inlineStr">
        <is>
          <t>'99.07.</t>
        </is>
      </c>
      <c r="C107" s="164" t="n">
        <v>299</v>
      </c>
      <c r="D107" s="161" t="n">
        <v>144.1</v>
      </c>
      <c r="E107" s="163" t="n">
        <v>44</v>
      </c>
      <c r="F107" s="161" t="n">
        <v>113.8</v>
      </c>
      <c r="G107" s="27" t="n">
        <v>34</v>
      </c>
      <c r="H107" s="164" t="n">
        <v>53</v>
      </c>
      <c r="I107" s="165" t="n"/>
      <c r="J107" s="165" t="n"/>
      <c r="K107" s="165" t="n"/>
      <c r="L107" s="165" t="n"/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4</v>
      </c>
      <c r="R107" s="113" t="n">
        <v>2</v>
      </c>
      <c r="S107" s="113" t="inlineStr">
        <is>
          <t>계</t>
        </is>
      </c>
      <c r="T107" s="8" t="n">
        <v>144</v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n"/>
      <c r="B108" s="113" t="n"/>
      <c r="C108" s="10" t="n"/>
      <c r="D108" s="13" t="n"/>
      <c r="E108" s="20" t="n"/>
      <c r="F108" s="161" t="n"/>
      <c r="G108" s="13" t="n"/>
      <c r="H108" s="13" t="n"/>
      <c r="I108" s="13" t="n"/>
      <c r="J108" s="13" t="n"/>
      <c r="K108" s="13" t="n"/>
      <c r="L108" s="13" t="n"/>
      <c r="M108" s="13" t="n"/>
      <c r="N108" s="13" t="n"/>
      <c r="O108" s="162" t="n"/>
      <c r="P108" s="162" t="n"/>
      <c r="Q108" s="163" t="n"/>
      <c r="R108" s="163" t="n"/>
      <c r="S108" s="13" t="n"/>
      <c r="T108" s="70" t="n"/>
      <c r="U108" s="13" t="n"/>
      <c r="W108" s="107">
        <f>$A$4&amp;" "&amp;A109&amp;"("&amp;B109&amp;","&amp;C109&amp;"^)"</f>
        <v/>
      </c>
      <c r="X108" s="108" t="n"/>
      <c r="Y108" s="108" t="n"/>
      <c r="Z108" s="108" t="n"/>
      <c r="AA108" s="108" t="n"/>
      <c r="AB108" s="108" t="n"/>
      <c r="AC108" s="108" t="n"/>
      <c r="AD108" s="108" t="n"/>
      <c r="AE108" s="108" t="n"/>
      <c r="AF108" s="109" t="n"/>
      <c r="AH108" s="36">
        <f>IF(A108="","",A108)</f>
        <v/>
      </c>
      <c r="AI108" s="160">
        <f>IF(E108="","",E108)</f>
        <v/>
      </c>
      <c r="AJ108" s="113" t="n"/>
      <c r="AK108" s="113" t="n"/>
      <c r="AL108" s="113" t="n"/>
      <c r="AM108" s="113" t="n"/>
      <c r="AN108" s="113" t="n"/>
      <c r="AO108" s="113" t="n"/>
      <c r="AP108" s="113" t="n"/>
      <c r="AQ108" s="113" t="n"/>
      <c r="AR108" s="113" t="n"/>
      <c r="AS108" s="113" t="n"/>
      <c r="AT108" s="113" t="n"/>
      <c r="AU108" s="113" t="n"/>
      <c r="AV108" s="113" t="n"/>
    </row>
    <row r="109">
      <c r="A109" s="13" t="inlineStr">
        <is>
          <t>검단2차아이파크</t>
        </is>
      </c>
      <c r="B109" s="16" t="inlineStr">
        <is>
          <t>'10.05.</t>
        </is>
      </c>
      <c r="C109" s="164" t="n">
        <v>409</v>
      </c>
      <c r="D109" s="161" t="n">
        <v>141.8</v>
      </c>
      <c r="E109" s="163" t="n">
        <v>43</v>
      </c>
      <c r="F109" s="161" t="n">
        <v>114.2</v>
      </c>
      <c r="G109" s="27" t="n">
        <v>35</v>
      </c>
      <c r="H109" s="164" t="n">
        <v>40</v>
      </c>
      <c r="I109" s="165" t="n">
        <v>55000</v>
      </c>
      <c r="J109" s="165" t="inlineStr">
        <is>
          <t>고</t>
        </is>
      </c>
      <c r="K109" s="165" t="n">
        <v>37000</v>
      </c>
      <c r="L109" s="165" t="inlineStr">
        <is>
          <t>14</t>
        </is>
      </c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4</v>
      </c>
      <c r="R109" s="113" t="n">
        <v>2</v>
      </c>
      <c r="S109" s="113" t="inlineStr">
        <is>
          <t>계</t>
        </is>
      </c>
      <c r="T109" s="8" t="inlineStr">
        <is>
          <t>141A</t>
        </is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검단2차아이파크</t>
        </is>
      </c>
      <c r="B110" s="16" t="inlineStr">
        <is>
          <t>'10.05.</t>
        </is>
      </c>
      <c r="C110" s="164" t="n">
        <v>409</v>
      </c>
      <c r="D110" s="161" t="n">
        <v>161.3</v>
      </c>
      <c r="E110" s="163" t="n">
        <v>49</v>
      </c>
      <c r="F110" s="161" t="n">
        <v>131.9</v>
      </c>
      <c r="G110" s="27" t="n">
        <v>40</v>
      </c>
      <c r="H110" s="164" t="n">
        <v>163</v>
      </c>
      <c r="I110" s="165" t="n">
        <v>60000</v>
      </c>
      <c r="J110" s="165" t="inlineStr">
        <is>
          <t>5</t>
        </is>
      </c>
      <c r="K110" s="165" t="n">
        <v>42000</v>
      </c>
      <c r="L110" s="165" t="inlineStr">
        <is>
          <t>고</t>
        </is>
      </c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4</v>
      </c>
      <c r="R110" s="113" t="n">
        <v>2</v>
      </c>
      <c r="S110" s="113" t="inlineStr">
        <is>
          <t>계</t>
        </is>
      </c>
      <c r="T110" s="8" t="inlineStr">
        <is>
          <t>161A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검단2차아이파크</t>
        </is>
      </c>
      <c r="B111" s="16" t="inlineStr">
        <is>
          <t>'10.05.</t>
        </is>
      </c>
      <c r="C111" s="164" t="n">
        <v>409</v>
      </c>
      <c r="D111" s="161" t="n">
        <v>161.3</v>
      </c>
      <c r="E111" s="163" t="n">
        <v>49</v>
      </c>
      <c r="F111" s="161" t="n">
        <v>131.9</v>
      </c>
      <c r="G111" s="27" t="n">
        <v>40</v>
      </c>
      <c r="H111" s="164" t="n">
        <v>45</v>
      </c>
      <c r="I111" s="165" t="n">
        <v>60000</v>
      </c>
      <c r="J111" s="165" t="inlineStr">
        <is>
          <t>5</t>
        </is>
      </c>
      <c r="K111" s="165" t="n">
        <v>42000</v>
      </c>
      <c r="L111" s="165" t="inlineStr">
        <is>
          <t>고</t>
        </is>
      </c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4</v>
      </c>
      <c r="R111" s="113" t="n">
        <v>2</v>
      </c>
      <c r="S111" s="113" t="inlineStr">
        <is>
          <t>계</t>
        </is>
      </c>
      <c r="T111" s="8" t="inlineStr">
        <is>
          <t>161D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검단2차아이파크</t>
        </is>
      </c>
      <c r="B112" s="16" t="inlineStr">
        <is>
          <t>'10.05.</t>
        </is>
      </c>
      <c r="C112" s="164" t="n">
        <v>409</v>
      </c>
      <c r="D112" s="161" t="n">
        <v>161.4</v>
      </c>
      <c r="E112" s="163" t="n">
        <v>49</v>
      </c>
      <c r="F112" s="161" t="n">
        <v>132.4</v>
      </c>
      <c r="G112" s="27" t="n">
        <v>40</v>
      </c>
      <c r="H112" s="164" t="n">
        <v>30</v>
      </c>
      <c r="I112" s="165" t="n"/>
      <c r="J112" s="165" t="n"/>
      <c r="K112" s="165" t="n"/>
      <c r="L112" s="165" t="n"/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inlineStr">
        <is>
          <t>161E</t>
        </is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검단2차아이파크</t>
        </is>
      </c>
      <c r="B113" s="16" t="inlineStr">
        <is>
          <t>'10.05.</t>
        </is>
      </c>
      <c r="C113" s="164" t="n">
        <v>409</v>
      </c>
      <c r="D113" s="161" t="n">
        <v>161.3</v>
      </c>
      <c r="E113" s="163" t="n">
        <v>49</v>
      </c>
      <c r="F113" s="161" t="n">
        <v>131.3</v>
      </c>
      <c r="G113" s="27" t="n">
        <v>40</v>
      </c>
      <c r="H113" s="164" t="n">
        <v>14</v>
      </c>
      <c r="I113" s="165" t="n"/>
      <c r="J113" s="165" t="n"/>
      <c r="K113" s="165" t="n"/>
      <c r="L113" s="165" t="n"/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4</v>
      </c>
      <c r="R113" s="113" t="n">
        <v>2</v>
      </c>
      <c r="S113" s="113" t="inlineStr">
        <is>
          <t>계</t>
        </is>
      </c>
      <c r="T113" s="8" t="inlineStr">
        <is>
          <t>161B</t>
        </is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검단2차아이파크</t>
        </is>
      </c>
      <c r="B114" s="16" t="inlineStr">
        <is>
          <t>'10.05.</t>
        </is>
      </c>
      <c r="C114" s="164" t="n">
        <v>409</v>
      </c>
      <c r="D114" s="161" t="n">
        <v>161.3</v>
      </c>
      <c r="E114" s="163" t="n">
        <v>49</v>
      </c>
      <c r="F114" s="161" t="n">
        <v>131.9</v>
      </c>
      <c r="G114" s="27" t="n">
        <v>40</v>
      </c>
      <c r="H114" s="164" t="n">
        <v>12</v>
      </c>
      <c r="I114" s="165" t="n">
        <v>60000</v>
      </c>
      <c r="J114" s="165" t="inlineStr">
        <is>
          <t>5</t>
        </is>
      </c>
      <c r="K114" s="165" t="n">
        <v>42000</v>
      </c>
      <c r="L114" s="165" t="inlineStr">
        <is>
          <t>고</t>
        </is>
      </c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inlineStr">
        <is>
          <t>-</t>
        </is>
      </c>
      <c r="R114" s="113" t="inlineStr">
        <is>
          <t>-</t>
        </is>
      </c>
      <c r="S114" s="113" t="inlineStr">
        <is>
          <t>복</t>
        </is>
      </c>
      <c r="T114" s="8" t="inlineStr">
        <is>
          <t>161탑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검단2차아이파크</t>
        </is>
      </c>
      <c r="B115" s="16" t="inlineStr">
        <is>
          <t>'10.05.</t>
        </is>
      </c>
      <c r="C115" s="164" t="n">
        <v>409</v>
      </c>
      <c r="D115" s="161" t="n">
        <v>161.3</v>
      </c>
      <c r="E115" s="163" t="n">
        <v>49</v>
      </c>
      <c r="F115" s="161" t="n">
        <v>131.3</v>
      </c>
      <c r="G115" s="27" t="n">
        <v>40</v>
      </c>
      <c r="H115" s="164" t="n">
        <v>1</v>
      </c>
      <c r="I115" s="165" t="n"/>
      <c r="J115" s="165" t="n"/>
      <c r="K115" s="165" t="n"/>
      <c r="L115" s="165" t="n"/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4</v>
      </c>
      <c r="R115" s="113" t="n">
        <v>3</v>
      </c>
      <c r="S115" s="113" t="inlineStr">
        <is>
          <t>계</t>
        </is>
      </c>
      <c r="T115" s="8" t="inlineStr">
        <is>
          <t>161C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검단2차아이파크</t>
        </is>
      </c>
      <c r="B116" s="16" t="inlineStr">
        <is>
          <t>'10.05.</t>
        </is>
      </c>
      <c r="C116" s="164" t="n">
        <v>409</v>
      </c>
      <c r="D116" s="161" t="n">
        <v>172.4</v>
      </c>
      <c r="E116" s="163" t="n">
        <v>52</v>
      </c>
      <c r="F116" s="161" t="n">
        <v>145.1</v>
      </c>
      <c r="G116" s="27" t="n">
        <v>44</v>
      </c>
      <c r="H116" s="164" t="n">
        <v>60</v>
      </c>
      <c r="I116" s="165" t="n">
        <v>60000</v>
      </c>
      <c r="J116" s="165" t="inlineStr">
        <is>
          <t>8</t>
        </is>
      </c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3</v>
      </c>
      <c r="S116" s="113" t="inlineStr">
        <is>
          <t>계</t>
        </is>
      </c>
      <c r="T116" s="8" t="inlineStr">
        <is>
          <t>172B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검단2차아이파크</t>
        </is>
      </c>
      <c r="B117" s="16" t="inlineStr">
        <is>
          <t>'10.05.</t>
        </is>
      </c>
      <c r="C117" s="164" t="n">
        <v>409</v>
      </c>
      <c r="D117" s="161" t="n">
        <v>172.4</v>
      </c>
      <c r="E117" s="163" t="n">
        <v>52</v>
      </c>
      <c r="F117" s="161" t="n">
        <v>145.2</v>
      </c>
      <c r="G117" s="27" t="n">
        <v>44</v>
      </c>
      <c r="H117" s="164" t="n">
        <v>56</v>
      </c>
      <c r="I117" s="165" t="n">
        <v>63000</v>
      </c>
      <c r="J117" s="165" t="inlineStr">
        <is>
          <t>14</t>
        </is>
      </c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4</v>
      </c>
      <c r="R117" s="113" t="n">
        <v>3</v>
      </c>
      <c r="S117" s="113" t="inlineStr">
        <is>
          <t>복</t>
        </is>
      </c>
      <c r="T117" s="8" t="inlineStr">
        <is>
          <t>172A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n"/>
      <c r="B118" s="113" t="n"/>
      <c r="C118" s="10" t="n"/>
      <c r="D118" s="13" t="n"/>
      <c r="E118" s="20" t="n"/>
      <c r="F118" s="161" t="n"/>
      <c r="G118" s="13" t="n"/>
      <c r="H118" s="13" t="n"/>
      <c r="I118" s="13" t="n"/>
      <c r="J118" s="13" t="n"/>
      <c r="K118" s="13" t="n"/>
      <c r="L118" s="13" t="n"/>
      <c r="M118" s="13" t="n"/>
      <c r="N118" s="13" t="n"/>
      <c r="O118" s="162" t="n"/>
      <c r="P118" s="162" t="n"/>
      <c r="Q118" s="163" t="n"/>
      <c r="R118" s="163" t="n"/>
      <c r="S118" s="13" t="n"/>
      <c r="T118" s="70" t="n"/>
      <c r="U118" s="13" t="n"/>
      <c r="W118" s="107">
        <f>$A$4&amp;" "&amp;A119&amp;"("&amp;B119&amp;","&amp;C119&amp;"^)"</f>
        <v/>
      </c>
      <c r="X118" s="108" t="n"/>
      <c r="Y118" s="108" t="n"/>
      <c r="Z118" s="108" t="n"/>
      <c r="AA118" s="108" t="n"/>
      <c r="AB118" s="108" t="n"/>
      <c r="AC118" s="108" t="n"/>
      <c r="AD118" s="108" t="n"/>
      <c r="AE118" s="108" t="n"/>
      <c r="AF118" s="109" t="n"/>
      <c r="AH118" s="36">
        <f>IF(A118="","",A118)</f>
        <v/>
      </c>
      <c r="AI118" s="160">
        <f>IF(E118="","",E118)</f>
        <v/>
      </c>
      <c r="AJ118" s="113" t="n"/>
      <c r="AK118" s="113" t="n"/>
      <c r="AL118" s="113" t="n"/>
      <c r="AM118" s="113" t="n"/>
      <c r="AN118" s="113" t="n"/>
      <c r="AO118" s="113" t="n"/>
      <c r="AP118" s="113" t="n"/>
      <c r="AQ118" s="113" t="n"/>
      <c r="AR118" s="113" t="n"/>
      <c r="AS118" s="113" t="n"/>
      <c r="AT118" s="113" t="n"/>
      <c r="AU118" s="113" t="n"/>
      <c r="AV118" s="113" t="n"/>
    </row>
    <row r="119">
      <c r="A119" s="13" t="inlineStr">
        <is>
          <t>유호</t>
        </is>
      </c>
      <c r="B119" s="16" t="inlineStr">
        <is>
          <t>'92.02.</t>
        </is>
      </c>
      <c r="C119" s="164" t="n">
        <v>255</v>
      </c>
      <c r="D119" s="161" t="n">
        <v>60.1</v>
      </c>
      <c r="E119" s="163" t="n">
        <v>18</v>
      </c>
      <c r="F119" s="161" t="n">
        <v>44.9</v>
      </c>
      <c r="G119" s="27" t="n">
        <v>14</v>
      </c>
      <c r="H119" s="164" t="n">
        <v>45</v>
      </c>
      <c r="I119" s="165" t="n"/>
      <c r="J119" s="165" t="n"/>
      <c r="K119" s="165" t="n"/>
      <c r="L119" s="165" t="n"/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1</v>
      </c>
      <c r="S119" s="113" t="inlineStr">
        <is>
          <t>계</t>
        </is>
      </c>
      <c r="T119" s="8" t="n">
        <v>60</v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유호</t>
        </is>
      </c>
      <c r="B120" s="16" t="inlineStr">
        <is>
          <t>'92.02.</t>
        </is>
      </c>
      <c r="C120" s="164" t="n">
        <v>255</v>
      </c>
      <c r="D120" s="161" t="n">
        <v>68</v>
      </c>
      <c r="E120" s="163" t="n">
        <v>21</v>
      </c>
      <c r="F120" s="161" t="n">
        <v>51.5</v>
      </c>
      <c r="G120" s="27" t="n">
        <v>16</v>
      </c>
      <c r="H120" s="164" t="n">
        <v>20</v>
      </c>
      <c r="I120" s="165" t="n"/>
      <c r="J120" s="165" t="n"/>
      <c r="K120" s="165" t="n"/>
      <c r="L120" s="165" t="n"/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3</v>
      </c>
      <c r="R120" s="113" t="n">
        <v>1</v>
      </c>
      <c r="S120" s="113" t="inlineStr">
        <is>
          <t>계</t>
        </is>
      </c>
      <c r="T120" s="8" t="n">
        <v>67</v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유호</t>
        </is>
      </c>
      <c r="B121" s="16" t="inlineStr">
        <is>
          <t>'92.02.</t>
        </is>
      </c>
      <c r="C121" s="164" t="n">
        <v>255</v>
      </c>
      <c r="D121" s="161" t="n">
        <v>74.8</v>
      </c>
      <c r="E121" s="163" t="n">
        <v>23</v>
      </c>
      <c r="F121" s="161" t="n">
        <v>57.2</v>
      </c>
      <c r="G121" s="27" t="n">
        <v>17</v>
      </c>
      <c r="H121" s="164" t="n">
        <v>40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3</v>
      </c>
      <c r="R121" s="113" t="n">
        <v>1</v>
      </c>
      <c r="S121" s="113" t="inlineStr">
        <is>
          <t>계</t>
        </is>
      </c>
      <c r="T121" s="8" t="inlineStr">
        <is>
          <t>74A</t>
        </is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유호</t>
        </is>
      </c>
      <c r="B122" s="16" t="inlineStr">
        <is>
          <t>'92.02.</t>
        </is>
      </c>
      <c r="C122" s="164" t="n">
        <v>255</v>
      </c>
      <c r="D122" s="161" t="n">
        <v>74.09999999999999</v>
      </c>
      <c r="E122" s="163" t="n">
        <v>22</v>
      </c>
      <c r="F122" s="161" t="n">
        <v>56.5</v>
      </c>
      <c r="G122" s="27" t="n">
        <v>17</v>
      </c>
      <c r="H122" s="164" t="n">
        <v>5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3</v>
      </c>
      <c r="R122" s="113" t="n">
        <v>1</v>
      </c>
      <c r="S122" s="113" t="inlineStr">
        <is>
          <t>계</t>
        </is>
      </c>
      <c r="T122" s="8" t="n">
        <v>74</v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유호</t>
        </is>
      </c>
      <c r="B123" s="16" t="inlineStr">
        <is>
          <t>'92.02.</t>
        </is>
      </c>
      <c r="C123" s="164" t="n">
        <v>255</v>
      </c>
      <c r="D123" s="161" t="n">
        <v>75.09999999999999</v>
      </c>
      <c r="E123" s="163" t="n">
        <v>23</v>
      </c>
      <c r="F123" s="161" t="n">
        <v>57.4</v>
      </c>
      <c r="G123" s="27" t="n">
        <v>17</v>
      </c>
      <c r="H123" s="164" t="n">
        <v>30</v>
      </c>
      <c r="I123" s="165" t="n"/>
      <c r="J123" s="165" t="n"/>
      <c r="K123" s="165" t="n"/>
      <c r="L123" s="165" t="n"/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3</v>
      </c>
      <c r="R123" s="113" t="n">
        <v>1</v>
      </c>
      <c r="S123" s="113" t="inlineStr">
        <is>
          <t>계</t>
        </is>
      </c>
      <c r="T123" s="8" t="inlineStr">
        <is>
          <t>75B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inlineStr">
        <is>
          <t>유호</t>
        </is>
      </c>
      <c r="B124" s="16" t="inlineStr">
        <is>
          <t>'92.02.</t>
        </is>
      </c>
      <c r="C124" s="164" t="n">
        <v>255</v>
      </c>
      <c r="D124" s="161" t="n">
        <v>75.3</v>
      </c>
      <c r="E124" s="163" t="n">
        <v>23</v>
      </c>
      <c r="F124" s="161" t="n">
        <v>57.5</v>
      </c>
      <c r="G124" s="27" t="n">
        <v>17</v>
      </c>
      <c r="H124" s="164" t="n">
        <v>20</v>
      </c>
      <c r="I124" s="165" t="n"/>
      <c r="J124" s="165" t="n"/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1</v>
      </c>
      <c r="S124" s="113" t="inlineStr">
        <is>
          <t>계</t>
        </is>
      </c>
      <c r="T124" s="8" t="inlineStr">
        <is>
          <t>75C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유호</t>
        </is>
      </c>
      <c r="B125" s="16" t="inlineStr">
        <is>
          <t>'92.02.</t>
        </is>
      </c>
      <c r="C125" s="164" t="n">
        <v>255</v>
      </c>
      <c r="D125" s="161" t="n">
        <v>78</v>
      </c>
      <c r="E125" s="163" t="n">
        <v>24</v>
      </c>
      <c r="F125" s="161" t="n">
        <v>59.6</v>
      </c>
      <c r="G125" s="27" t="n">
        <v>18</v>
      </c>
      <c r="H125" s="164" t="n">
        <v>60</v>
      </c>
      <c r="I125" s="165" t="n"/>
      <c r="J125" s="165" t="n"/>
      <c r="K125" s="165" t="n"/>
      <c r="L125" s="165" t="n"/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1</v>
      </c>
      <c r="S125" s="113" t="inlineStr">
        <is>
          <t>계</t>
        </is>
      </c>
      <c r="T125" s="8" t="n">
        <v>77</v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유호</t>
        </is>
      </c>
      <c r="B126" s="16" t="inlineStr">
        <is>
          <t>'92.02.</t>
        </is>
      </c>
      <c r="C126" s="164" t="n">
        <v>255</v>
      </c>
      <c r="D126" s="161" t="n">
        <v>109.5</v>
      </c>
      <c r="E126" s="163" t="n">
        <v>33</v>
      </c>
      <c r="F126" s="161" t="n">
        <v>84.7</v>
      </c>
      <c r="G126" s="27" t="n">
        <v>26</v>
      </c>
      <c r="H126" s="164" t="n">
        <v>30</v>
      </c>
      <c r="I126" s="165" t="n"/>
      <c r="J126" s="165" t="n"/>
      <c r="K126" s="165" t="n"/>
      <c r="L126" s="165" t="n"/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3</v>
      </c>
      <c r="R126" s="113" t="n">
        <v>2</v>
      </c>
      <c r="S126" s="113" t="inlineStr">
        <is>
          <t>계</t>
        </is>
      </c>
      <c r="T126" s="8" t="n">
        <v>109</v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유호</t>
        </is>
      </c>
      <c r="B127" s="16" t="inlineStr">
        <is>
          <t>'92.02.</t>
        </is>
      </c>
      <c r="C127" s="164" t="n">
        <v>255</v>
      </c>
      <c r="D127" s="161" t="n">
        <v>114.9</v>
      </c>
      <c r="E127" s="163" t="n">
        <v>35</v>
      </c>
      <c r="F127" s="161" t="n">
        <v>84.7</v>
      </c>
      <c r="G127" s="27" t="n">
        <v>26</v>
      </c>
      <c r="H127" s="164" t="n">
        <v>5</v>
      </c>
      <c r="I127" s="165" t="n"/>
      <c r="J127" s="165" t="n"/>
      <c r="K127" s="165" t="n"/>
      <c r="L127" s="165" t="n"/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3</v>
      </c>
      <c r="R127" s="113" t="n">
        <v>2</v>
      </c>
      <c r="S127" s="113" t="inlineStr">
        <is>
          <t>합</t>
        </is>
      </c>
      <c r="T127" s="8" t="n">
        <v>114</v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n"/>
      <c r="B128" s="113" t="n"/>
      <c r="C128" s="10" t="n"/>
      <c r="D128" s="13" t="n"/>
      <c r="E128" s="20" t="n"/>
      <c r="F128" s="161" t="n"/>
      <c r="G128" s="13" t="n"/>
      <c r="H128" s="13" t="n"/>
      <c r="I128" s="13" t="n"/>
      <c r="J128" s="13" t="n"/>
      <c r="K128" s="13" t="n"/>
      <c r="L128" s="13" t="n"/>
      <c r="M128" s="13" t="n"/>
      <c r="N128" s="13" t="n"/>
      <c r="O128" s="162" t="n"/>
      <c r="P128" s="162" t="n"/>
      <c r="Q128" s="163" t="n"/>
      <c r="R128" s="163" t="n"/>
      <c r="S128" s="13" t="n"/>
      <c r="T128" s="70" t="n"/>
      <c r="U128" s="13" t="n"/>
      <c r="W128" s="107">
        <f>$A$4&amp;" "&amp;A129&amp;"("&amp;B129&amp;","&amp;C129&amp;"^)"</f>
        <v/>
      </c>
      <c r="X128" s="108" t="n"/>
      <c r="Y128" s="108" t="n"/>
      <c r="Z128" s="108" t="n"/>
      <c r="AA128" s="108" t="n"/>
      <c r="AB128" s="108" t="n"/>
      <c r="AC128" s="108" t="n"/>
      <c r="AD128" s="108" t="n"/>
      <c r="AE128" s="108" t="n"/>
      <c r="AF128" s="109" t="n"/>
      <c r="AH128" s="36">
        <f>IF(A128="","",A128)</f>
        <v/>
      </c>
      <c r="AI128" s="160">
        <f>IF(E128="","",E128)</f>
        <v/>
      </c>
      <c r="AJ128" s="113" t="n"/>
      <c r="AK128" s="113" t="n"/>
      <c r="AL128" s="113" t="n"/>
      <c r="AM128" s="113" t="n"/>
      <c r="AN128" s="113" t="n"/>
      <c r="AO128" s="113" t="n"/>
      <c r="AP128" s="113" t="n"/>
      <c r="AQ128" s="113" t="n"/>
      <c r="AR128" s="113" t="n"/>
      <c r="AS128" s="113" t="n"/>
      <c r="AT128" s="113" t="n"/>
      <c r="AU128" s="113" t="n"/>
      <c r="AV128" s="113" t="n"/>
    </row>
    <row r="129">
      <c r="A129" s="13" t="inlineStr">
        <is>
          <t>검단우방아이유쉘2차</t>
        </is>
      </c>
      <c r="B129" s="16" t="inlineStr">
        <is>
          <t>'18.06.</t>
        </is>
      </c>
      <c r="C129" s="164" t="n">
        <v>380</v>
      </c>
      <c r="D129" s="161" t="n">
        <v>84.3</v>
      </c>
      <c r="E129" s="163" t="n">
        <v>25</v>
      </c>
      <c r="F129" s="161" t="n">
        <v>59.9</v>
      </c>
      <c r="G129" s="27" t="n">
        <v>18</v>
      </c>
      <c r="H129" s="164" t="n">
        <v>209</v>
      </c>
      <c r="I129" s="165" t="n"/>
      <c r="J129" s="165" t="n"/>
      <c r="K129" s="165" t="n"/>
      <c r="L129" s="165" t="n"/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3</v>
      </c>
      <c r="R129" s="113" t="n">
        <v>2</v>
      </c>
      <c r="S129" s="113" t="inlineStr">
        <is>
          <t>계</t>
        </is>
      </c>
      <c r="T129" s="8" t="inlineStr">
        <is>
          <t>84A</t>
        </is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검단우방아이유쉘2차</t>
        </is>
      </c>
      <c r="B130" s="16" t="inlineStr">
        <is>
          <t>'18.06.</t>
        </is>
      </c>
      <c r="C130" s="164" t="n">
        <v>380</v>
      </c>
      <c r="D130" s="161" t="n">
        <v>85.2</v>
      </c>
      <c r="E130" s="163" t="n">
        <v>26</v>
      </c>
      <c r="F130" s="161" t="n">
        <v>59.9</v>
      </c>
      <c r="G130" s="27" t="n">
        <v>18</v>
      </c>
      <c r="H130" s="164" t="n">
        <v>22</v>
      </c>
      <c r="I130" s="165" t="n">
        <v>41000</v>
      </c>
      <c r="J130" s="165" t="inlineStr">
        <is>
          <t>12</t>
        </is>
      </c>
      <c r="K130" s="165" t="n"/>
      <c r="L130" s="165" t="n"/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3</v>
      </c>
      <c r="R130" s="113" t="n">
        <v>2</v>
      </c>
      <c r="S130" s="113" t="inlineStr">
        <is>
          <t>계</t>
        </is>
      </c>
      <c r="T130" s="8" t="inlineStr">
        <is>
          <t>85B</t>
        </is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inlineStr">
        <is>
          <t>검단우방아이유쉘2차</t>
        </is>
      </c>
      <c r="B131" s="16" t="inlineStr">
        <is>
          <t>'18.06.</t>
        </is>
      </c>
      <c r="C131" s="164" t="n">
        <v>380</v>
      </c>
      <c r="D131" s="161" t="n">
        <v>115.1</v>
      </c>
      <c r="E131" s="163" t="n">
        <v>35</v>
      </c>
      <c r="F131" s="161" t="n">
        <v>84.90000000000001</v>
      </c>
      <c r="G131" s="27" t="n">
        <v>26</v>
      </c>
      <c r="H131" s="164" t="n">
        <v>30</v>
      </c>
      <c r="I131" s="165" t="n">
        <v>42500</v>
      </c>
      <c r="J131" s="165" t="inlineStr">
        <is>
          <t>6</t>
        </is>
      </c>
      <c r="K131" s="165" t="n">
        <v>34000</v>
      </c>
      <c r="L131" s="165" t="inlineStr">
        <is>
          <t>15</t>
        </is>
      </c>
      <c r="M131" s="166">
        <f>I131-K131</f>
        <v/>
      </c>
      <c r="N131" s="7">
        <f>IF(ISERROR(K131/I131),"",K131/I131)</f>
        <v/>
      </c>
      <c r="O131" s="162">
        <f>I131/E131</f>
        <v/>
      </c>
      <c r="P131" s="162">
        <f>K131/E131</f>
        <v/>
      </c>
      <c r="Q131" s="113" t="n">
        <v>4</v>
      </c>
      <c r="R131" s="113" t="n">
        <v>2</v>
      </c>
      <c r="S131" s="113" t="inlineStr">
        <is>
          <t>계</t>
        </is>
      </c>
      <c r="T131" s="8" t="inlineStr">
        <is>
          <t>115A</t>
        </is>
      </c>
      <c r="U131" s="13" t="n"/>
      <c r="W131" s="161">
        <f>D131</f>
        <v/>
      </c>
      <c r="X131" s="163">
        <f>E131</f>
        <v/>
      </c>
      <c r="Y131" s="159">
        <f>H131</f>
        <v/>
      </c>
      <c r="Z131" s="166">
        <f>I131</f>
        <v/>
      </c>
      <c r="AA131" s="166">
        <f>K131</f>
        <v/>
      </c>
      <c r="AB131" s="166">
        <f>M131</f>
        <v/>
      </c>
      <c r="AC131" s="7">
        <f>N131</f>
        <v/>
      </c>
      <c r="AD131" s="162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3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  <row r="132">
      <c r="A132" s="13" t="inlineStr">
        <is>
          <t>검단우방아이유쉘2차</t>
        </is>
      </c>
      <c r="B132" s="16" t="inlineStr">
        <is>
          <t>'18.06.</t>
        </is>
      </c>
      <c r="C132" s="164" t="n">
        <v>380</v>
      </c>
      <c r="D132" s="161" t="n">
        <v>116.3</v>
      </c>
      <c r="E132" s="163" t="n">
        <v>35</v>
      </c>
      <c r="F132" s="161" t="n">
        <v>84.8</v>
      </c>
      <c r="G132" s="27" t="n">
        <v>26</v>
      </c>
      <c r="H132" s="164" t="n">
        <v>119</v>
      </c>
      <c r="I132" s="165" t="n">
        <v>43000</v>
      </c>
      <c r="J132" s="165" t="inlineStr">
        <is>
          <t>5</t>
        </is>
      </c>
      <c r="K132" s="165" t="n">
        <v>30000</v>
      </c>
      <c r="L132" s="165" t="inlineStr">
        <is>
          <t>6</t>
        </is>
      </c>
      <c r="M132" s="166">
        <f>I132-K132</f>
        <v/>
      </c>
      <c r="N132" s="7">
        <f>IF(ISERROR(K132/I132),"",K132/I132)</f>
        <v/>
      </c>
      <c r="O132" s="162">
        <f>I132/E132</f>
        <v/>
      </c>
      <c r="P132" s="162">
        <f>K132/E132</f>
        <v/>
      </c>
      <c r="Q132" s="113" t="n">
        <v>3</v>
      </c>
      <c r="R132" s="113" t="n">
        <v>2</v>
      </c>
      <c r="S132" s="113" t="inlineStr">
        <is>
          <t>계</t>
        </is>
      </c>
      <c r="T132" s="8" t="inlineStr">
        <is>
          <t>116B</t>
        </is>
      </c>
      <c r="U132" s="13" t="n"/>
      <c r="W132" s="161">
        <f>D132</f>
        <v/>
      </c>
      <c r="X132" s="163">
        <f>E132</f>
        <v/>
      </c>
      <c r="Y132" s="159">
        <f>H132</f>
        <v/>
      </c>
      <c r="Z132" s="166">
        <f>I132</f>
        <v/>
      </c>
      <c r="AA132" s="166">
        <f>K132</f>
        <v/>
      </c>
      <c r="AB132" s="166">
        <f>M132</f>
        <v/>
      </c>
      <c r="AC132" s="7">
        <f>N132</f>
        <v/>
      </c>
      <c r="AD132" s="162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3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n"/>
      <c r="B133" s="113" t="n"/>
      <c r="C133" s="10" t="n"/>
      <c r="D133" s="13" t="n"/>
      <c r="E133" s="20" t="n"/>
      <c r="F133" s="161" t="n"/>
      <c r="G133" s="13" t="n"/>
      <c r="H133" s="13" t="n"/>
      <c r="I133" s="13" t="n"/>
      <c r="J133" s="13" t="n"/>
      <c r="K133" s="13" t="n"/>
      <c r="L133" s="13" t="n"/>
      <c r="M133" s="13" t="n"/>
      <c r="N133" s="13" t="n"/>
      <c r="O133" s="162" t="n"/>
      <c r="P133" s="162" t="n"/>
      <c r="Q133" s="163" t="n"/>
      <c r="R133" s="163" t="n"/>
      <c r="S133" s="13" t="n"/>
      <c r="T133" s="70" t="n"/>
      <c r="U133" s="13" t="n"/>
      <c r="W133" s="107">
        <f>$A$4&amp;" "&amp;A134&amp;"("&amp;B134&amp;","&amp;C134&amp;"^)"</f>
        <v/>
      </c>
      <c r="X133" s="108" t="n"/>
      <c r="Y133" s="108" t="n"/>
      <c r="Z133" s="108" t="n"/>
      <c r="AA133" s="108" t="n"/>
      <c r="AB133" s="108" t="n"/>
      <c r="AC133" s="108" t="n"/>
      <c r="AD133" s="108" t="n"/>
      <c r="AE133" s="108" t="n"/>
      <c r="AF133" s="109" t="n"/>
      <c r="AH133" s="36">
        <f>IF(A133="","",A133)</f>
        <v/>
      </c>
      <c r="AI133" s="160">
        <f>IF(E133="","",E133)</f>
        <v/>
      </c>
      <c r="AJ133" s="113" t="n"/>
      <c r="AK133" s="113" t="n"/>
      <c r="AL133" s="113" t="n"/>
      <c r="AM133" s="113" t="n"/>
      <c r="AN133" s="113" t="n"/>
      <c r="AO133" s="113" t="n"/>
      <c r="AP133" s="113" t="n"/>
      <c r="AQ133" s="113" t="n"/>
      <c r="AR133" s="113" t="n"/>
      <c r="AS133" s="113" t="n"/>
      <c r="AT133" s="113" t="n"/>
      <c r="AU133" s="113" t="n"/>
      <c r="AV133" s="113" t="n"/>
    </row>
    <row r="134">
      <c r="A134" s="13" t="inlineStr">
        <is>
          <t>현대</t>
        </is>
      </c>
      <c r="B134" s="16" t="inlineStr">
        <is>
          <t>'98.05.</t>
        </is>
      </c>
      <c r="C134" s="164" t="n">
        <v>417</v>
      </c>
      <c r="D134" s="161" t="n">
        <v>75.2</v>
      </c>
      <c r="E134" s="163" t="n">
        <v>23</v>
      </c>
      <c r="F134" s="161" t="n">
        <v>59.8</v>
      </c>
      <c r="G134" s="27" t="n">
        <v>18</v>
      </c>
      <c r="H134" s="164" t="n">
        <v>135</v>
      </c>
      <c r="I134" s="165" t="n">
        <v>29000</v>
      </c>
      <c r="J134" s="165" t="inlineStr">
        <is>
          <t>5</t>
        </is>
      </c>
      <c r="K134" s="165" t="n"/>
      <c r="L134" s="165" t="n"/>
      <c r="M134" s="166">
        <f>I134-K134</f>
        <v/>
      </c>
      <c r="N134" s="7">
        <f>IF(ISERROR(K134/I134),"",K134/I134)</f>
        <v/>
      </c>
      <c r="O134" s="162">
        <f>I134/E134</f>
        <v/>
      </c>
      <c r="P134" s="162">
        <f>K134/E134</f>
        <v/>
      </c>
      <c r="Q134" s="113" t="n">
        <v>3</v>
      </c>
      <c r="R134" s="113" t="n">
        <v>1</v>
      </c>
      <c r="S134" s="113" t="inlineStr">
        <is>
          <t>계</t>
        </is>
      </c>
      <c r="T134" s="8" t="n">
        <v>75</v>
      </c>
      <c r="U134" s="13" t="n"/>
      <c r="W134" s="161">
        <f>D134</f>
        <v/>
      </c>
      <c r="X134" s="163">
        <f>E134</f>
        <v/>
      </c>
      <c r="Y134" s="159">
        <f>H134</f>
        <v/>
      </c>
      <c r="Z134" s="166">
        <f>I134</f>
        <v/>
      </c>
      <c r="AA134" s="166">
        <f>K134</f>
        <v/>
      </c>
      <c r="AB134" s="166">
        <f>M134</f>
        <v/>
      </c>
      <c r="AC134" s="7">
        <f>N134</f>
        <v/>
      </c>
      <c r="AD134" s="162">
        <f>O134</f>
        <v/>
      </c>
      <c r="AE134" s="113">
        <f>S134</f>
        <v/>
      </c>
      <c r="AF134" s="113">
        <f>Q134&amp;"/"&amp;R134</f>
        <v/>
      </c>
      <c r="AH134" s="36">
        <f>IF(A134="","",A134)</f>
        <v/>
      </c>
      <c r="AI134" s="163">
        <f>IF(E134="","",E134)</f>
        <v/>
      </c>
      <c r="AJ134" s="113">
        <f>IF(AI134="","",$AJ$2)</f>
        <v/>
      </c>
      <c r="AK134" s="113" t="inlineStr">
        <is>
          <t>A</t>
        </is>
      </c>
      <c r="AL134" s="113" t="inlineStr">
        <is>
          <t>A+</t>
        </is>
      </c>
      <c r="AM134" s="113" t="inlineStr">
        <is>
          <t>B+</t>
        </is>
      </c>
      <c r="AN134" s="113">
        <f>IF(AI134="","",$AN$2)</f>
        <v/>
      </c>
      <c r="AO134" s="113">
        <f>IF(N134="","",IF(N134&gt;=$AO$1/100,"O","X"))</f>
        <v/>
      </c>
      <c r="AP134" s="113">
        <f>IF(I134="","",IF(I134&lt;=$AP$1,"O","X"))</f>
        <v/>
      </c>
      <c r="AQ134" s="113">
        <f>IF(O134="","",IF(O134&lt;=$AQ$1,"O","X"))</f>
        <v/>
      </c>
      <c r="AR134" s="113">
        <f>IF(M134="","",IF(M134&lt;=$AR$1,"O","X"))</f>
        <v/>
      </c>
      <c r="AS134" s="113" t="inlineStr">
        <is>
          <t>X</t>
        </is>
      </c>
      <c r="AT134" s="113">
        <f>IF(OR(F134="",AI134=""),"",IF(AND((F134&lt;=85),(AI134&gt;=15)),"O","X"))</f>
        <v/>
      </c>
      <c r="AU134" s="113">
        <f>IF(C134="","",IF(C134&gt;=$AU$1,"O","X"))</f>
        <v/>
      </c>
      <c r="AV134" s="113">
        <f>IF(AO134="","",IF(AND(AO134="O",AP134="O",AR134="O",AT134="O",AU134="O"),"후보","X"))</f>
        <v/>
      </c>
    </row>
    <row r="135">
      <c r="A135" s="13" t="inlineStr">
        <is>
          <t>현대</t>
        </is>
      </c>
      <c r="B135" s="16" t="inlineStr">
        <is>
          <t>'98.05.</t>
        </is>
      </c>
      <c r="C135" s="164" t="n">
        <v>417</v>
      </c>
      <c r="D135" s="161" t="n">
        <v>106.5</v>
      </c>
      <c r="E135" s="163" t="n">
        <v>32</v>
      </c>
      <c r="F135" s="161" t="n">
        <v>84.7</v>
      </c>
      <c r="G135" s="27" t="n">
        <v>26</v>
      </c>
      <c r="H135" s="164" t="n">
        <v>282</v>
      </c>
      <c r="I135" s="165" t="n">
        <v>31000</v>
      </c>
      <c r="J135" s="165" t="inlineStr">
        <is>
          <t>12</t>
        </is>
      </c>
      <c r="K135" s="165" t="n">
        <v>25000</v>
      </c>
      <c r="L135" s="165" t="inlineStr">
        <is>
          <t>고</t>
        </is>
      </c>
      <c r="M135" s="166">
        <f>I135-K135</f>
        <v/>
      </c>
      <c r="N135" s="7">
        <f>IF(ISERROR(K135/I135),"",K135/I135)</f>
        <v/>
      </c>
      <c r="O135" s="162">
        <f>I135/E135</f>
        <v/>
      </c>
      <c r="P135" s="162">
        <f>K135/E135</f>
        <v/>
      </c>
      <c r="Q135" s="113" t="n">
        <v>3</v>
      </c>
      <c r="R135" s="113" t="n">
        <v>2</v>
      </c>
      <c r="S135" s="113" t="inlineStr">
        <is>
          <t>계</t>
        </is>
      </c>
      <c r="T135" s="8" t="n">
        <v>106</v>
      </c>
      <c r="U135" s="13" t="n"/>
      <c r="W135" s="161">
        <f>D135</f>
        <v/>
      </c>
      <c r="X135" s="163">
        <f>E135</f>
        <v/>
      </c>
      <c r="Y135" s="159">
        <f>H135</f>
        <v/>
      </c>
      <c r="Z135" s="166">
        <f>I135</f>
        <v/>
      </c>
      <c r="AA135" s="166">
        <f>K135</f>
        <v/>
      </c>
      <c r="AB135" s="166">
        <f>M135</f>
        <v/>
      </c>
      <c r="AC135" s="7">
        <f>N135</f>
        <v/>
      </c>
      <c r="AD135" s="162">
        <f>O135</f>
        <v/>
      </c>
      <c r="AE135" s="113">
        <f>S135</f>
        <v/>
      </c>
      <c r="AF135" s="113">
        <f>Q135&amp;"/"&amp;R135</f>
        <v/>
      </c>
      <c r="AH135" s="36">
        <f>IF(A135="","",A135)</f>
        <v/>
      </c>
      <c r="AI135" s="163">
        <f>IF(E135="","",E135)</f>
        <v/>
      </c>
      <c r="AJ135" s="113">
        <f>IF(AI135="","",$AJ$2)</f>
        <v/>
      </c>
      <c r="AK135" s="113" t="inlineStr">
        <is>
          <t>A</t>
        </is>
      </c>
      <c r="AL135" s="113" t="inlineStr">
        <is>
          <t>A+</t>
        </is>
      </c>
      <c r="AM135" s="113" t="inlineStr">
        <is>
          <t>B+</t>
        </is>
      </c>
      <c r="AN135" s="113">
        <f>IF(AI135="","",$AN$2)</f>
        <v/>
      </c>
      <c r="AO135" s="113">
        <f>IF(N135="","",IF(N135&gt;=$AO$1/100,"O","X"))</f>
        <v/>
      </c>
      <c r="AP135" s="113">
        <f>IF(I135="","",IF(I135&lt;=$AP$1,"O","X"))</f>
        <v/>
      </c>
      <c r="AQ135" s="113">
        <f>IF(O135="","",IF(O135&lt;=$AQ$1,"O","X"))</f>
        <v/>
      </c>
      <c r="AR135" s="113">
        <f>IF(M135="","",IF(M135&lt;=$AR$1,"O","X"))</f>
        <v/>
      </c>
      <c r="AS135" s="113" t="inlineStr">
        <is>
          <t>X</t>
        </is>
      </c>
      <c r="AT135" s="113">
        <f>IF(OR(F135="",AI135=""),"",IF(AND((F135&lt;=85),(AI135&gt;=15)),"O","X"))</f>
        <v/>
      </c>
      <c r="AU135" s="113">
        <f>IF(C135="","",IF(C135&gt;=$AU$1,"O","X"))</f>
        <v/>
      </c>
      <c r="AV135" s="113">
        <f>IF(AO135="","",IF(AND(AO135="O",AP135="O",AR135="O",AT135="O",AU135="O"),"후보","X"))</f>
        <v/>
      </c>
    </row>
    <row r="136">
      <c r="A136" s="13" t="n"/>
      <c r="B136" s="113" t="n"/>
      <c r="C136" s="10" t="n"/>
      <c r="D136" s="13" t="n"/>
      <c r="E136" s="20" t="n"/>
      <c r="F136" s="161" t="n"/>
      <c r="G136" s="13" t="n"/>
      <c r="H136" s="13" t="n"/>
      <c r="I136" s="13" t="n"/>
      <c r="J136" s="13" t="n"/>
      <c r="K136" s="13" t="n"/>
      <c r="L136" s="13" t="n"/>
      <c r="M136" s="13" t="n"/>
      <c r="N136" s="13" t="n"/>
      <c r="O136" s="162" t="n"/>
      <c r="P136" s="162" t="n"/>
      <c r="Q136" s="163" t="n"/>
      <c r="R136" s="163" t="n"/>
      <c r="S136" s="13" t="n"/>
      <c r="T136" s="70" t="n"/>
      <c r="U136" s="13" t="n"/>
      <c r="W136" s="107">
        <f>$A$4&amp;" "&amp;A137&amp;"("&amp;B137&amp;","&amp;C137&amp;"^)"</f>
        <v/>
      </c>
      <c r="X136" s="108" t="n"/>
      <c r="Y136" s="108" t="n"/>
      <c r="Z136" s="108" t="n"/>
      <c r="AA136" s="108" t="n"/>
      <c r="AB136" s="108" t="n"/>
      <c r="AC136" s="108" t="n"/>
      <c r="AD136" s="108" t="n"/>
      <c r="AE136" s="108" t="n"/>
      <c r="AF136" s="109" t="n"/>
      <c r="AH136" s="36">
        <f>IF(A136="","",A136)</f>
        <v/>
      </c>
      <c r="AI136" s="160">
        <f>IF(E136="","",E136)</f>
        <v/>
      </c>
      <c r="AJ136" s="113" t="n"/>
      <c r="AK136" s="113" t="n"/>
      <c r="AL136" s="113" t="n"/>
      <c r="AM136" s="113" t="n"/>
      <c r="AN136" s="113" t="n"/>
      <c r="AO136" s="113" t="n"/>
      <c r="AP136" s="113" t="n"/>
      <c r="AQ136" s="113" t="n"/>
      <c r="AR136" s="113" t="n"/>
      <c r="AS136" s="113" t="n"/>
      <c r="AT136" s="113" t="n"/>
      <c r="AU136" s="113" t="n"/>
      <c r="AV136" s="113" t="n"/>
    </row>
    <row r="137">
      <c r="A137" s="13" t="inlineStr">
        <is>
          <t>검단우림필유</t>
        </is>
      </c>
      <c r="B137" s="16" t="inlineStr">
        <is>
          <t>'07.01.</t>
        </is>
      </c>
      <c r="C137" s="164" t="n">
        <v>429</v>
      </c>
      <c r="D137" s="161" t="n">
        <v>81.3</v>
      </c>
      <c r="E137" s="163" t="n">
        <v>25</v>
      </c>
      <c r="F137" s="161" t="n">
        <v>59.9</v>
      </c>
      <c r="G137" s="27" t="n">
        <v>18</v>
      </c>
      <c r="H137" s="164" t="n">
        <v>90</v>
      </c>
      <c r="I137" s="165" t="n">
        <v>35000</v>
      </c>
      <c r="J137" s="165" t="inlineStr">
        <is>
          <t>5</t>
        </is>
      </c>
      <c r="K137" s="165" t="n"/>
      <c r="L137" s="165" t="n"/>
      <c r="M137" s="166">
        <f>I137-K137</f>
        <v/>
      </c>
      <c r="N137" s="7">
        <f>IF(ISERROR(K137/I137),"",K137/I137)</f>
        <v/>
      </c>
      <c r="O137" s="162">
        <f>I137/E137</f>
        <v/>
      </c>
      <c r="P137" s="162">
        <f>K137/E137</f>
        <v/>
      </c>
      <c r="Q137" s="113" t="n">
        <v>3</v>
      </c>
      <c r="R137" s="113" t="n">
        <v>2</v>
      </c>
      <c r="S137" s="113" t="inlineStr">
        <is>
          <t>계</t>
        </is>
      </c>
      <c r="T137" s="8" t="n">
        <v>81</v>
      </c>
      <c r="U137" s="13" t="n"/>
      <c r="W137" s="161">
        <f>D137</f>
        <v/>
      </c>
      <c r="X137" s="163">
        <f>E137</f>
        <v/>
      </c>
      <c r="Y137" s="159">
        <f>H137</f>
        <v/>
      </c>
      <c r="Z137" s="166">
        <f>I137</f>
        <v/>
      </c>
      <c r="AA137" s="166">
        <f>K137</f>
        <v/>
      </c>
      <c r="AB137" s="166">
        <f>M137</f>
        <v/>
      </c>
      <c r="AC137" s="7">
        <f>N137</f>
        <v/>
      </c>
      <c r="AD137" s="162">
        <f>O137</f>
        <v/>
      </c>
      <c r="AE137" s="113">
        <f>S137</f>
        <v/>
      </c>
      <c r="AF137" s="113">
        <f>Q137&amp;"/"&amp;R137</f>
        <v/>
      </c>
      <c r="AH137" s="36">
        <f>IF(A137="","",A137)</f>
        <v/>
      </c>
      <c r="AI137" s="163">
        <f>IF(E137="","",E137)</f>
        <v/>
      </c>
      <c r="AJ137" s="113">
        <f>IF(AI137="","",$AJ$2)</f>
        <v/>
      </c>
      <c r="AK137" s="113" t="inlineStr">
        <is>
          <t>A</t>
        </is>
      </c>
      <c r="AL137" s="113" t="inlineStr">
        <is>
          <t>A+</t>
        </is>
      </c>
      <c r="AM137" s="113" t="inlineStr">
        <is>
          <t>B+</t>
        </is>
      </c>
      <c r="AN137" s="113">
        <f>IF(AI137="","",$AN$2)</f>
        <v/>
      </c>
      <c r="AO137" s="113">
        <f>IF(N137="","",IF(N137&gt;=$AO$1/100,"O","X"))</f>
        <v/>
      </c>
      <c r="AP137" s="113">
        <f>IF(I137="","",IF(I137&lt;=$AP$1,"O","X"))</f>
        <v/>
      </c>
      <c r="AQ137" s="113">
        <f>IF(O137="","",IF(O137&lt;=$AQ$1,"O","X"))</f>
        <v/>
      </c>
      <c r="AR137" s="113">
        <f>IF(M137="","",IF(M137&lt;=$AR$1,"O","X"))</f>
        <v/>
      </c>
      <c r="AS137" s="113" t="inlineStr">
        <is>
          <t>X</t>
        </is>
      </c>
      <c r="AT137" s="113">
        <f>IF(OR(F137="",AI137=""),"",IF(AND((F137&lt;=85),(AI137&gt;=15)),"O","X"))</f>
        <v/>
      </c>
      <c r="AU137" s="113">
        <f>IF(C137="","",IF(C137&gt;=$AU$1,"O","X"))</f>
        <v/>
      </c>
      <c r="AV137" s="113">
        <f>IF(AO137="","",IF(AND(AO137="O",AP137="O",AR137="O",AT137="O",AU137="O"),"후보","X"))</f>
        <v/>
      </c>
    </row>
    <row r="138">
      <c r="A138" s="13" t="inlineStr">
        <is>
          <t>검단우림필유</t>
        </is>
      </c>
      <c r="B138" s="16" t="inlineStr">
        <is>
          <t>'07.01.</t>
        </is>
      </c>
      <c r="C138" s="164" t="n">
        <v>429</v>
      </c>
      <c r="D138" s="161" t="n">
        <v>108</v>
      </c>
      <c r="E138" s="163" t="n">
        <v>33</v>
      </c>
      <c r="F138" s="161" t="n">
        <v>84.90000000000001</v>
      </c>
      <c r="G138" s="27" t="n">
        <v>26</v>
      </c>
      <c r="H138" s="164" t="n">
        <v>285</v>
      </c>
      <c r="I138" s="165" t="n">
        <v>35000</v>
      </c>
      <c r="J138" s="165" t="inlineStr">
        <is>
          <t>10</t>
        </is>
      </c>
      <c r="K138" s="165" t="n">
        <v>27000</v>
      </c>
      <c r="L138" s="165" t="inlineStr">
        <is>
          <t>6</t>
        </is>
      </c>
      <c r="M138" s="166">
        <f>I138-K138</f>
        <v/>
      </c>
      <c r="N138" s="7">
        <f>IF(ISERROR(K138/I138),"",K138/I138)</f>
        <v/>
      </c>
      <c r="O138" s="162">
        <f>I138/E138</f>
        <v/>
      </c>
      <c r="P138" s="162">
        <f>K138/E138</f>
        <v/>
      </c>
      <c r="Q138" s="113" t="n">
        <v>3</v>
      </c>
      <c r="R138" s="113" t="n">
        <v>2</v>
      </c>
      <c r="S138" s="113" t="inlineStr">
        <is>
          <t>계</t>
        </is>
      </c>
      <c r="T138" s="8" t="n">
        <v>107</v>
      </c>
      <c r="U138" s="13" t="n"/>
      <c r="W138" s="161">
        <f>D138</f>
        <v/>
      </c>
      <c r="X138" s="163">
        <f>E138</f>
        <v/>
      </c>
      <c r="Y138" s="159">
        <f>H138</f>
        <v/>
      </c>
      <c r="Z138" s="166">
        <f>I138</f>
        <v/>
      </c>
      <c r="AA138" s="166">
        <f>K138</f>
        <v/>
      </c>
      <c r="AB138" s="166">
        <f>M138</f>
        <v/>
      </c>
      <c r="AC138" s="7">
        <f>N138</f>
        <v/>
      </c>
      <c r="AD138" s="162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3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inlineStr">
        <is>
          <t>검단우림필유</t>
        </is>
      </c>
      <c r="B139" s="16" t="inlineStr">
        <is>
          <t>'07.01.</t>
        </is>
      </c>
      <c r="C139" s="164" t="n">
        <v>429</v>
      </c>
      <c r="D139" s="161" t="n">
        <v>141.1</v>
      </c>
      <c r="E139" s="163" t="n">
        <v>43</v>
      </c>
      <c r="F139" s="161" t="n">
        <v>110.7</v>
      </c>
      <c r="G139" s="27" t="n">
        <v>33</v>
      </c>
      <c r="H139" s="164" t="n">
        <v>54</v>
      </c>
      <c r="I139" s="165" t="n">
        <v>41000</v>
      </c>
      <c r="J139" s="165" t="inlineStr">
        <is>
          <t>5</t>
        </is>
      </c>
      <c r="K139" s="165" t="n">
        <v>32000</v>
      </c>
      <c r="L139" s="165" t="inlineStr">
        <is>
          <t>14</t>
        </is>
      </c>
      <c r="M139" s="166">
        <f>I139-K139</f>
        <v/>
      </c>
      <c r="N139" s="7">
        <f>IF(ISERROR(K139/I139),"",K139/I139)</f>
        <v/>
      </c>
      <c r="O139" s="162">
        <f>I139/E139</f>
        <v/>
      </c>
      <c r="P139" s="162">
        <f>K139/E139</f>
        <v/>
      </c>
      <c r="Q139" s="113" t="n">
        <v>4</v>
      </c>
      <c r="R139" s="113" t="n">
        <v>2</v>
      </c>
      <c r="S139" s="113" t="inlineStr">
        <is>
          <t>계</t>
        </is>
      </c>
      <c r="T139" s="8" t="n">
        <v>141</v>
      </c>
      <c r="U139" s="13" t="n"/>
      <c r="W139" s="161">
        <f>D139</f>
        <v/>
      </c>
      <c r="X139" s="163">
        <f>E139</f>
        <v/>
      </c>
      <c r="Y139" s="159">
        <f>H139</f>
        <v/>
      </c>
      <c r="Z139" s="166">
        <f>I139</f>
        <v/>
      </c>
      <c r="AA139" s="166">
        <f>K139</f>
        <v/>
      </c>
      <c r="AB139" s="166">
        <f>M139</f>
        <v/>
      </c>
      <c r="AC139" s="7">
        <f>N139</f>
        <v/>
      </c>
      <c r="AD139" s="162">
        <f>O139</f>
        <v/>
      </c>
      <c r="AE139" s="113">
        <f>S139</f>
        <v/>
      </c>
      <c r="AF139" s="113">
        <f>Q139&amp;"/"&amp;R139</f>
        <v/>
      </c>
      <c r="AH139" s="36">
        <f>IF(A139="","",A139)</f>
        <v/>
      </c>
      <c r="AI139" s="163">
        <f>IF(E139="","",E139)</f>
        <v/>
      </c>
      <c r="AJ139" s="113">
        <f>IF(AI139="","",$AJ$2)</f>
        <v/>
      </c>
      <c r="AK139" s="113" t="inlineStr">
        <is>
          <t>A</t>
        </is>
      </c>
      <c r="AL139" s="113" t="inlineStr">
        <is>
          <t>A+</t>
        </is>
      </c>
      <c r="AM139" s="113" t="inlineStr">
        <is>
          <t>B+</t>
        </is>
      </c>
      <c r="AN139" s="113">
        <f>IF(AI139="","",$AN$2)</f>
        <v/>
      </c>
      <c r="AO139" s="113">
        <f>IF(N139="","",IF(N139&gt;=$AO$1/100,"O","X"))</f>
        <v/>
      </c>
      <c r="AP139" s="113">
        <f>IF(I139="","",IF(I139&lt;=$AP$1,"O","X"))</f>
        <v/>
      </c>
      <c r="AQ139" s="113">
        <f>IF(O139="","",IF(O139&lt;=$AQ$1,"O","X"))</f>
        <v/>
      </c>
      <c r="AR139" s="113">
        <f>IF(M139="","",IF(M139&lt;=$AR$1,"O","X"))</f>
        <v/>
      </c>
      <c r="AS139" s="113" t="inlineStr">
        <is>
          <t>X</t>
        </is>
      </c>
      <c r="AT139" s="113">
        <f>IF(OR(F139="",AI139=""),"",IF(AND((F139&lt;=85),(AI139&gt;=15)),"O","X"))</f>
        <v/>
      </c>
      <c r="AU139" s="113">
        <f>IF(C139="","",IF(C139&gt;=$AU$1,"O","X"))</f>
        <v/>
      </c>
      <c r="AV139" s="113">
        <f>IF(AO139="","",IF(AND(AO139="O",AP139="O",AR139="O",AT139="O",AU139="O"),"후보","X"))</f>
        <v/>
      </c>
    </row>
  </sheetData>
  <mergeCells count="1">
    <mergeCell ref="AJ1:AN1"/>
  </mergeCells>
  <conditionalFormatting sqref="AV4:AV6">
    <cfRule type="expression" priority="2183" dxfId="17">
      <formula>AV4="X"</formula>
    </cfRule>
    <cfRule type="expression" priority="2184" dxfId="16">
      <formula>AV4="후보"</formula>
    </cfRule>
  </conditionalFormatting>
  <conditionalFormatting sqref="AC1:AC2 AC4:AC6 N4:N5">
    <cfRule type="cellIs" priority="2180" operator="greaterThan" dxfId="13">
      <formula>0.9</formula>
    </cfRule>
    <cfRule type="cellIs" priority="2181" operator="greaterThan" dxfId="12">
      <formula>0.85</formula>
    </cfRule>
  </conditionalFormatting>
  <conditionalFormatting sqref="N1:N2">
    <cfRule type="cellIs" priority="2178" operator="greaterThan" dxfId="13">
      <formula>0.9</formula>
    </cfRule>
    <cfRule type="cellIs" priority="2179" operator="greaterThan" dxfId="12">
      <formula>0.85</formula>
    </cfRule>
  </conditionalFormatting>
  <conditionalFormatting sqref="N6">
    <cfRule type="cellIs" priority="2176" operator="greaterThan" dxfId="13">
      <formula>0.9</formula>
    </cfRule>
    <cfRule type="cellIs" priority="2177" operator="greaterThan" dxfId="12">
      <formula>0.85</formula>
    </cfRule>
  </conditionalFormatting>
  <conditionalFormatting sqref="E6">
    <cfRule type="expression" priority="2172" dxfId="3">
      <formula>AND(IF(OR($Q6=1,$Q6=2),1,0),IF($X6&lt;=20,1,0))</formula>
    </cfRule>
    <cfRule type="expression" priority="2173" dxfId="2">
      <formula>AND(IF($Q6=2,1,0),IF($X6&lt;30,1,0))</formula>
    </cfRule>
    <cfRule type="expression" priority="2174" dxfId="1">
      <formula>AND(IF($Q6=3,1,0),IF($X6&lt;30,1,0))</formula>
    </cfRule>
    <cfRule type="expression" priority="2175" dxfId="0">
      <formula>AND(IF($Q6=3,1,IF($Q6=4,1,0)),IF($F6&lt;=85,1,0))</formula>
    </cfRule>
  </conditionalFormatting>
  <conditionalFormatting sqref="X6">
    <cfRule type="expression" priority="2168" dxfId="3">
      <formula>AND(IF(OR($Q6=1,$Q6=2),1,0),IF($X6&lt;=20,1,0))</formula>
    </cfRule>
    <cfRule type="expression" priority="2169" dxfId="2">
      <formula>AND(IF($Q6=2,1,0),IF($X6&lt;30,1,0))</formula>
    </cfRule>
    <cfRule type="expression" priority="2170" dxfId="1">
      <formula>AND(IF($Q6=3,1,0),IF($X6&lt;30,1,0))</formula>
    </cfRule>
    <cfRule type="expression" priority="2171" dxfId="0">
      <formula>AND(IF($Q6=3,1,IF($Q6=4,1,0)),IF($F6&lt;=85,1,0))</formula>
    </cfRule>
  </conditionalFormatting>
  <conditionalFormatting sqref="AI6">
    <cfRule type="expression" priority="2164" dxfId="3">
      <formula>AND(IF(OR($Q6=1,$Q6=2),1,0),IF($X6&lt;=20,1,0))</formula>
    </cfRule>
    <cfRule type="expression" priority="2165" dxfId="2">
      <formula>AND(IF($Q6=2,1,0),IF($X6&lt;30,1,0))</formula>
    </cfRule>
    <cfRule type="expression" priority="2166" dxfId="1">
      <formula>AND(IF($Q6=3,1,0),IF($X6&lt;30,1,0))</formula>
    </cfRule>
    <cfRule type="expression" priority="2167" dxfId="0">
      <formula>AND(IF($Q6=3,1,IF($Q6=4,1,0)),IF($F6&lt;=85,1,0))</formula>
    </cfRule>
  </conditionalFormatting>
  <conditionalFormatting sqref="AV7">
    <cfRule type="expression" priority="2162" dxfId="17">
      <formula>AV7="X"</formula>
    </cfRule>
    <cfRule type="expression" priority="2163" dxfId="16">
      <formula>AV7="후보"</formula>
    </cfRule>
  </conditionalFormatting>
  <conditionalFormatting sqref="AC7">
    <cfRule type="cellIs" priority="2159" operator="greaterThan" dxfId="13">
      <formula>0.9</formula>
    </cfRule>
    <cfRule type="cellIs" priority="2160" operator="greaterThan" dxfId="12">
      <formula>0.85</formula>
    </cfRule>
  </conditionalFormatting>
  <conditionalFormatting sqref="N7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E7">
    <cfRule type="expression" priority="2153" dxfId="3">
      <formula>AND(IF(OR($Q7=1,$Q7=2),1,0),IF($X7&lt;=20,1,0))</formula>
    </cfRule>
    <cfRule type="expression" priority="2154" dxfId="2">
      <formula>AND(IF($Q7=2,1,0),IF($X7&lt;30,1,0))</formula>
    </cfRule>
    <cfRule type="expression" priority="2155" dxfId="1">
      <formula>AND(IF($Q7=3,1,0),IF($X7&lt;30,1,0))</formula>
    </cfRule>
    <cfRule type="expression" priority="2156" dxfId="0">
      <formula>AND(IF($Q7=3,1,IF($Q7=4,1,0)),IF($F7&lt;=85,1,0))</formula>
    </cfRule>
  </conditionalFormatting>
  <conditionalFormatting sqref="X7">
    <cfRule type="expression" priority="2149" dxfId="3">
      <formula>AND(IF(OR($Q7=1,$Q7=2),1,0),IF($X7&lt;=20,1,0))</formula>
    </cfRule>
    <cfRule type="expression" priority="2150" dxfId="2">
      <formula>AND(IF($Q7=2,1,0),IF($X7&lt;30,1,0))</formula>
    </cfRule>
    <cfRule type="expression" priority="2151" dxfId="1">
      <formula>AND(IF($Q7=3,1,0),IF($X7&lt;30,1,0))</formula>
    </cfRule>
    <cfRule type="expression" priority="2152" dxfId="0">
      <formula>AND(IF($Q7=3,1,IF($Q7=4,1,0)),IF($F7&lt;=85,1,0))</formula>
    </cfRule>
  </conditionalFormatting>
  <conditionalFormatting sqref="AI7">
    <cfRule type="expression" priority="2145" dxfId="3">
      <formula>AND(IF(OR($Q7=1,$Q7=2),1,0),IF($X7&lt;=20,1,0))</formula>
    </cfRule>
    <cfRule type="expression" priority="2146" dxfId="2">
      <formula>AND(IF($Q7=2,1,0),IF($X7&lt;30,1,0))</formula>
    </cfRule>
    <cfRule type="expression" priority="2147" dxfId="1">
      <formula>AND(IF($Q7=3,1,0),IF($X7&lt;30,1,0))</formula>
    </cfRule>
    <cfRule type="expression" priority="2148" dxfId="0">
      <formula>AND(IF($Q7=3,1,IF($Q7=4,1,0)),IF($F7&lt;=85,1,0))</formula>
    </cfRule>
  </conditionalFormatting>
  <conditionalFormatting sqref="AV8">
    <cfRule type="expression" priority="2143" dxfId="17">
      <formula>AV8="X"</formula>
    </cfRule>
    <cfRule type="expression" priority="2144" dxfId="16">
      <formula>AV8="후보"</formula>
    </cfRule>
  </conditionalFormatting>
  <conditionalFormatting sqref="AC8 N8">
    <cfRule type="cellIs" priority="2140" operator="greaterThan" dxfId="13">
      <formula>0.9</formula>
    </cfRule>
    <cfRule type="cellIs" priority="2141" operator="greaterThan" dxfId="12">
      <formula>0.85</formula>
    </cfRule>
  </conditionalFormatting>
  <conditionalFormatting sqref="AV9">
    <cfRule type="expression" priority="2138" dxfId="17">
      <formula>AV9="X"</formula>
    </cfRule>
    <cfRule type="expression" priority="2139" dxfId="16">
      <formula>AV9="후보"</formula>
    </cfRule>
  </conditionalFormatting>
  <conditionalFormatting sqref="AC9">
    <cfRule type="cellIs" priority="2135" operator="greaterThan" dxfId="13">
      <formula>0.9</formula>
    </cfRule>
    <cfRule type="cellIs" priority="2136" operator="greaterThan" dxfId="12">
      <formula>0.85</formula>
    </cfRule>
  </conditionalFormatting>
  <conditionalFormatting sqref="N9">
    <cfRule type="cellIs" priority="2133" operator="greaterThan" dxfId="13">
      <formula>0.9</formula>
    </cfRule>
    <cfRule type="cellIs" priority="2134" operator="greaterThan" dxfId="12">
      <formula>0.85</formula>
    </cfRule>
  </conditionalFormatting>
  <conditionalFormatting sqref="E9">
    <cfRule type="expression" priority="2129" dxfId="3">
      <formula>AND(IF(OR($Q9=1,$Q9=2),1,0),IF($X9&lt;=20,1,0))</formula>
    </cfRule>
    <cfRule type="expression" priority="2130" dxfId="2">
      <formula>AND(IF($Q9=2,1,0),IF($X9&lt;30,1,0))</formula>
    </cfRule>
    <cfRule type="expression" priority="2131" dxfId="1">
      <formula>AND(IF($Q9=3,1,0),IF($X9&lt;30,1,0))</formula>
    </cfRule>
    <cfRule type="expression" priority="2132" dxfId="0">
      <formula>AND(IF($Q9=3,1,IF($Q9=4,1,0)),IF($F9&lt;=85,1,0))</formula>
    </cfRule>
  </conditionalFormatting>
  <conditionalFormatting sqref="X9">
    <cfRule type="expression" priority="2125" dxfId="3">
      <formula>AND(IF(OR($Q9=1,$Q9=2),1,0),IF($X9&lt;=20,1,0))</formula>
    </cfRule>
    <cfRule type="expression" priority="2126" dxfId="2">
      <formula>AND(IF($Q9=2,1,0),IF($X9&lt;30,1,0))</formula>
    </cfRule>
    <cfRule type="expression" priority="2127" dxfId="1">
      <formula>AND(IF($Q9=3,1,0),IF($X9&lt;30,1,0))</formula>
    </cfRule>
    <cfRule type="expression" priority="2128" dxfId="0">
      <formula>AND(IF($Q9=3,1,IF($Q9=4,1,0)),IF($F9&lt;=85,1,0))</formula>
    </cfRule>
  </conditionalFormatting>
  <conditionalFormatting sqref="AI9">
    <cfRule type="expression" priority="2121" dxfId="3">
      <formula>AND(IF(OR($Q9=1,$Q9=2),1,0),IF($X9&lt;=20,1,0))</formula>
    </cfRule>
    <cfRule type="expression" priority="2122" dxfId="2">
      <formula>AND(IF($Q9=2,1,0),IF($X9&lt;30,1,0))</formula>
    </cfRule>
    <cfRule type="expression" priority="2123" dxfId="1">
      <formula>AND(IF($Q9=3,1,0),IF($X9&lt;30,1,0))</formula>
    </cfRule>
    <cfRule type="expression" priority="2124" dxfId="0">
      <formula>AND(IF($Q9=3,1,IF($Q9=4,1,0)),IF($F9&lt;=85,1,0))</formula>
    </cfRule>
  </conditionalFormatting>
  <conditionalFormatting sqref="AV10">
    <cfRule type="expression" priority="2119" dxfId="17">
      <formula>AV10="X"</formula>
    </cfRule>
    <cfRule type="expression" priority="2120" dxfId="16">
      <formula>AV10="후보"</formula>
    </cfRule>
  </conditionalFormatting>
  <conditionalFormatting sqref="AC10">
    <cfRule type="cellIs" priority="2116" operator="greaterThan" dxfId="13">
      <formula>0.9</formula>
    </cfRule>
    <cfRule type="cellIs" priority="2117" operator="greaterThan" dxfId="12">
      <formula>0.85</formula>
    </cfRule>
  </conditionalFormatting>
  <conditionalFormatting sqref="N10">
    <cfRule type="cellIs" priority="2114" operator="greaterThan" dxfId="13">
      <formula>0.9</formula>
    </cfRule>
    <cfRule type="cellIs" priority="2115" operator="greaterThan" dxfId="12">
      <formula>0.85</formula>
    </cfRule>
  </conditionalFormatting>
  <conditionalFormatting sqref="E10">
    <cfRule type="expression" priority="2110" dxfId="3">
      <formula>AND(IF(OR($Q10=1,$Q10=2),1,0),IF($X10&lt;=20,1,0))</formula>
    </cfRule>
    <cfRule type="expression" priority="2111" dxfId="2">
      <formula>AND(IF($Q10=2,1,0),IF($X10&lt;30,1,0))</formula>
    </cfRule>
    <cfRule type="expression" priority="2112" dxfId="1">
      <formula>AND(IF($Q10=3,1,0),IF($X10&lt;30,1,0))</formula>
    </cfRule>
    <cfRule type="expression" priority="2113" dxfId="0">
      <formula>AND(IF($Q10=3,1,IF($Q10=4,1,0)),IF($F10&lt;=85,1,0))</formula>
    </cfRule>
  </conditionalFormatting>
  <conditionalFormatting sqref="X10">
    <cfRule type="expression" priority="2106" dxfId="3">
      <formula>AND(IF(OR($Q10=1,$Q10=2),1,0),IF($X10&lt;=20,1,0))</formula>
    </cfRule>
    <cfRule type="expression" priority="2107" dxfId="2">
      <formula>AND(IF($Q10=2,1,0),IF($X10&lt;30,1,0))</formula>
    </cfRule>
    <cfRule type="expression" priority="2108" dxfId="1">
      <formula>AND(IF($Q10=3,1,0),IF($X10&lt;30,1,0))</formula>
    </cfRule>
    <cfRule type="expression" priority="2109" dxfId="0">
      <formula>AND(IF($Q10=3,1,IF($Q10=4,1,0)),IF($F10&lt;=85,1,0))</formula>
    </cfRule>
  </conditionalFormatting>
  <conditionalFormatting sqref="AI10">
    <cfRule type="expression" priority="2102" dxfId="3">
      <formula>AND(IF(OR($Q10=1,$Q10=2),1,0),IF($X10&lt;=20,1,0))</formula>
    </cfRule>
    <cfRule type="expression" priority="2103" dxfId="2">
      <formula>AND(IF($Q10=2,1,0),IF($X10&lt;30,1,0))</formula>
    </cfRule>
    <cfRule type="expression" priority="2104" dxfId="1">
      <formula>AND(IF($Q10=3,1,0),IF($X10&lt;30,1,0))</formula>
    </cfRule>
    <cfRule type="expression" priority="2105" dxfId="0">
      <formula>AND(IF($Q10=3,1,IF($Q10=4,1,0)),IF($F10&lt;=85,1,0))</formula>
    </cfRule>
  </conditionalFormatting>
  <conditionalFormatting sqref="AV11">
    <cfRule type="expression" priority="2100" dxfId="17">
      <formula>AV11="X"</formula>
    </cfRule>
    <cfRule type="expression" priority="2101" dxfId="16">
      <formula>AV11="후보"</formula>
    </cfRule>
  </conditionalFormatting>
  <conditionalFormatting sqref="AC11">
    <cfRule type="cellIs" priority="2097" operator="greaterThan" dxfId="13">
      <formula>0.9</formula>
    </cfRule>
    <cfRule type="cellIs" priority="2098" operator="greaterThan" dxfId="12">
      <formula>0.85</formula>
    </cfRule>
  </conditionalFormatting>
  <conditionalFormatting sqref="N11">
    <cfRule type="cellIs" priority="2095" operator="greaterThan" dxfId="13">
      <formula>0.9</formula>
    </cfRule>
    <cfRule type="cellIs" priority="2096" operator="greaterThan" dxfId="12">
      <formula>0.85</formula>
    </cfRule>
  </conditionalFormatting>
  <conditionalFormatting sqref="E11">
    <cfRule type="expression" priority="2091" dxfId="3">
      <formula>AND(IF(OR($Q11=1,$Q11=2),1,0),IF($X11&lt;=20,1,0))</formula>
    </cfRule>
    <cfRule type="expression" priority="2092" dxfId="2">
      <formula>AND(IF($Q11=2,1,0),IF($X11&lt;30,1,0))</formula>
    </cfRule>
    <cfRule type="expression" priority="2093" dxfId="1">
      <formula>AND(IF($Q11=3,1,0),IF($X11&lt;30,1,0))</formula>
    </cfRule>
    <cfRule type="expression" priority="2094" dxfId="0">
      <formula>AND(IF($Q11=3,1,IF($Q11=4,1,0)),IF($F11&lt;=85,1,0))</formula>
    </cfRule>
  </conditionalFormatting>
  <conditionalFormatting sqref="X11">
    <cfRule type="expression" priority="2087" dxfId="3">
      <formula>AND(IF(OR($Q11=1,$Q11=2),1,0),IF($X11&lt;=20,1,0))</formula>
    </cfRule>
    <cfRule type="expression" priority="2088" dxfId="2">
      <formula>AND(IF($Q11=2,1,0),IF($X11&lt;30,1,0))</formula>
    </cfRule>
    <cfRule type="expression" priority="2089" dxfId="1">
      <formula>AND(IF($Q11=3,1,0),IF($X11&lt;30,1,0))</formula>
    </cfRule>
    <cfRule type="expression" priority="2090" dxfId="0">
      <formula>AND(IF($Q11=3,1,IF($Q11=4,1,0)),IF($F11&lt;=85,1,0))</formula>
    </cfRule>
  </conditionalFormatting>
  <conditionalFormatting sqref="AI11">
    <cfRule type="expression" priority="2083" dxfId="3">
      <formula>AND(IF(OR($Q11=1,$Q11=2),1,0),IF($X11&lt;=20,1,0))</formula>
    </cfRule>
    <cfRule type="expression" priority="2084" dxfId="2">
      <formula>AND(IF($Q11=2,1,0),IF($X11&lt;30,1,0))</formula>
    </cfRule>
    <cfRule type="expression" priority="2085" dxfId="1">
      <formula>AND(IF($Q11=3,1,0),IF($X11&lt;30,1,0))</formula>
    </cfRule>
    <cfRule type="expression" priority="2086" dxfId="0">
      <formula>AND(IF($Q11=3,1,IF($Q11=4,1,0)),IF($F11&lt;=85,1,0))</formula>
    </cfRule>
  </conditionalFormatting>
  <conditionalFormatting sqref="AV12">
    <cfRule type="expression" priority="2081" dxfId="17">
      <formula>AV12="X"</formula>
    </cfRule>
    <cfRule type="expression" priority="2082" dxfId="16">
      <formula>AV12="후보"</formula>
    </cfRule>
  </conditionalFormatting>
  <conditionalFormatting sqref="AC12 N12">
    <cfRule type="cellIs" priority="2078" operator="greaterThan" dxfId="13">
      <formula>0.9</formula>
    </cfRule>
    <cfRule type="cellIs" priority="2079" operator="greaterThan" dxfId="12">
      <formula>0.85</formula>
    </cfRule>
  </conditionalFormatting>
  <conditionalFormatting sqref="AV13">
    <cfRule type="expression" priority="2076" dxfId="17">
      <formula>AV13="X"</formula>
    </cfRule>
    <cfRule type="expression" priority="2077" dxfId="16">
      <formula>AV13="후보"</formula>
    </cfRule>
  </conditionalFormatting>
  <conditionalFormatting sqref="AC13">
    <cfRule type="cellIs" priority="2073" operator="greaterThan" dxfId="13">
      <formula>0.9</formula>
    </cfRule>
    <cfRule type="cellIs" priority="2074" operator="greaterThan" dxfId="12">
      <formula>0.85</formula>
    </cfRule>
  </conditionalFormatting>
  <conditionalFormatting sqref="N13">
    <cfRule type="cellIs" priority="2071" operator="greaterThan" dxfId="13">
      <formula>0.9</formula>
    </cfRule>
    <cfRule type="cellIs" priority="2072" operator="greaterThan" dxfId="12">
      <formula>0.85</formula>
    </cfRule>
  </conditionalFormatting>
  <conditionalFormatting sqref="E13">
    <cfRule type="expression" priority="2067" dxfId="3">
      <formula>AND(IF(OR($Q13=1,$Q13=2),1,0),IF($X13&lt;=20,1,0))</formula>
    </cfRule>
    <cfRule type="expression" priority="2068" dxfId="2">
      <formula>AND(IF($Q13=2,1,0),IF($X13&lt;30,1,0))</formula>
    </cfRule>
    <cfRule type="expression" priority="2069" dxfId="1">
      <formula>AND(IF($Q13=3,1,0),IF($X13&lt;30,1,0))</formula>
    </cfRule>
    <cfRule type="expression" priority="2070" dxfId="0">
      <formula>AND(IF($Q13=3,1,IF($Q13=4,1,0)),IF($F13&lt;=85,1,0))</formula>
    </cfRule>
  </conditionalFormatting>
  <conditionalFormatting sqref="X13">
    <cfRule type="expression" priority="2063" dxfId="3">
      <formula>AND(IF(OR($Q13=1,$Q13=2),1,0),IF($X13&lt;=20,1,0))</formula>
    </cfRule>
    <cfRule type="expression" priority="2064" dxfId="2">
      <formula>AND(IF($Q13=2,1,0),IF($X13&lt;30,1,0))</formula>
    </cfRule>
    <cfRule type="expression" priority="2065" dxfId="1">
      <formula>AND(IF($Q13=3,1,0),IF($X13&lt;30,1,0))</formula>
    </cfRule>
    <cfRule type="expression" priority="2066" dxfId="0">
      <formula>AND(IF($Q13=3,1,IF($Q13=4,1,0)),IF($F13&lt;=85,1,0))</formula>
    </cfRule>
  </conditionalFormatting>
  <conditionalFormatting sqref="AI13">
    <cfRule type="expression" priority="2059" dxfId="3">
      <formula>AND(IF(OR($Q13=1,$Q13=2),1,0),IF($X13&lt;=20,1,0))</formula>
    </cfRule>
    <cfRule type="expression" priority="2060" dxfId="2">
      <formula>AND(IF($Q13=2,1,0),IF($X13&lt;30,1,0))</formula>
    </cfRule>
    <cfRule type="expression" priority="2061" dxfId="1">
      <formula>AND(IF($Q13=3,1,0),IF($X13&lt;30,1,0))</formula>
    </cfRule>
    <cfRule type="expression" priority="2062" dxfId="0">
      <formula>AND(IF($Q13=3,1,IF($Q13=4,1,0)),IF($F13&lt;=85,1,0))</formula>
    </cfRule>
  </conditionalFormatting>
  <conditionalFormatting sqref="AV14">
    <cfRule type="expression" priority="2057" dxfId="17">
      <formula>AV14="X"</formula>
    </cfRule>
    <cfRule type="expression" priority="2058" dxfId="16">
      <formula>AV14="후보"</formula>
    </cfRule>
  </conditionalFormatting>
  <conditionalFormatting sqref="AC14">
    <cfRule type="cellIs" priority="2054" operator="greaterThan" dxfId="13">
      <formula>0.9</formula>
    </cfRule>
    <cfRule type="cellIs" priority="2055" operator="greaterThan" dxfId="12">
      <formula>0.85</formula>
    </cfRule>
  </conditionalFormatting>
  <conditionalFormatting sqref="N14">
    <cfRule type="cellIs" priority="2052" operator="greaterThan" dxfId="13">
      <formula>0.9</formula>
    </cfRule>
    <cfRule type="cellIs" priority="2053" operator="greaterThan" dxfId="12">
      <formula>0.85</formula>
    </cfRule>
  </conditionalFormatting>
  <conditionalFormatting sqref="E14">
    <cfRule type="expression" priority="2048" dxfId="3">
      <formula>AND(IF(OR($Q14=1,$Q14=2),1,0),IF($X14&lt;=20,1,0))</formula>
    </cfRule>
    <cfRule type="expression" priority="2049" dxfId="2">
      <formula>AND(IF($Q14=2,1,0),IF($X14&lt;30,1,0))</formula>
    </cfRule>
    <cfRule type="expression" priority="2050" dxfId="1">
      <formula>AND(IF($Q14=3,1,0),IF($X14&lt;30,1,0))</formula>
    </cfRule>
    <cfRule type="expression" priority="2051" dxfId="0">
      <formula>AND(IF($Q14=3,1,IF($Q14=4,1,0)),IF($F14&lt;=85,1,0))</formula>
    </cfRule>
  </conditionalFormatting>
  <conditionalFormatting sqref="X14">
    <cfRule type="expression" priority="2044" dxfId="3">
      <formula>AND(IF(OR($Q14=1,$Q14=2),1,0),IF($X14&lt;=20,1,0))</formula>
    </cfRule>
    <cfRule type="expression" priority="2045" dxfId="2">
      <formula>AND(IF($Q14=2,1,0),IF($X14&lt;30,1,0))</formula>
    </cfRule>
    <cfRule type="expression" priority="2046" dxfId="1">
      <formula>AND(IF($Q14=3,1,0),IF($X14&lt;30,1,0))</formula>
    </cfRule>
    <cfRule type="expression" priority="2047" dxfId="0">
      <formula>AND(IF($Q14=3,1,IF($Q14=4,1,0)),IF($F14&lt;=85,1,0))</formula>
    </cfRule>
  </conditionalFormatting>
  <conditionalFormatting sqref="AI14">
    <cfRule type="expression" priority="2040" dxfId="3">
      <formula>AND(IF(OR($Q14=1,$Q14=2),1,0),IF($X14&lt;=20,1,0))</formula>
    </cfRule>
    <cfRule type="expression" priority="2041" dxfId="2">
      <formula>AND(IF($Q14=2,1,0),IF($X14&lt;30,1,0))</formula>
    </cfRule>
    <cfRule type="expression" priority="2042" dxfId="1">
      <formula>AND(IF($Q14=3,1,0),IF($X14&lt;30,1,0))</formula>
    </cfRule>
    <cfRule type="expression" priority="2043" dxfId="0">
      <formula>AND(IF($Q14=3,1,IF($Q14=4,1,0)),IF($F14&lt;=85,1,0))</formula>
    </cfRule>
  </conditionalFormatting>
  <conditionalFormatting sqref="AV15">
    <cfRule type="expression" priority="2038" dxfId="17">
      <formula>AV15="X"</formula>
    </cfRule>
    <cfRule type="expression" priority="2039" dxfId="16">
      <formula>AV15="후보"</formula>
    </cfRule>
  </conditionalFormatting>
  <conditionalFormatting sqref="AC15">
    <cfRule type="cellIs" priority="2035" operator="greaterThan" dxfId="13">
      <formula>0.9</formula>
    </cfRule>
    <cfRule type="cellIs" priority="2036" operator="greaterThan" dxfId="12">
      <formula>0.85</formula>
    </cfRule>
  </conditionalFormatting>
  <conditionalFormatting sqref="N15">
    <cfRule type="cellIs" priority="2033" operator="greaterThan" dxfId="13">
      <formula>0.9</formula>
    </cfRule>
    <cfRule type="cellIs" priority="2034" operator="greaterThan" dxfId="12">
      <formula>0.85</formula>
    </cfRule>
  </conditionalFormatting>
  <conditionalFormatting sqref="E15">
    <cfRule type="expression" priority="2029" dxfId="3">
      <formula>AND(IF(OR($Q15=1,$Q15=2),1,0),IF($X15&lt;=20,1,0))</formula>
    </cfRule>
    <cfRule type="expression" priority="2030" dxfId="2">
      <formula>AND(IF($Q15=2,1,0),IF($X15&lt;30,1,0))</formula>
    </cfRule>
    <cfRule type="expression" priority="2031" dxfId="1">
      <formula>AND(IF($Q15=3,1,0),IF($X15&lt;30,1,0))</formula>
    </cfRule>
    <cfRule type="expression" priority="2032" dxfId="0">
      <formula>AND(IF($Q15=3,1,IF($Q15=4,1,0)),IF($F15&lt;=85,1,0))</formula>
    </cfRule>
  </conditionalFormatting>
  <conditionalFormatting sqref="X15">
    <cfRule type="expression" priority="2025" dxfId="3">
      <formula>AND(IF(OR($Q15=1,$Q15=2),1,0),IF($X15&lt;=20,1,0))</formula>
    </cfRule>
    <cfRule type="expression" priority="2026" dxfId="2">
      <formula>AND(IF($Q15=2,1,0),IF($X15&lt;30,1,0))</formula>
    </cfRule>
    <cfRule type="expression" priority="2027" dxfId="1">
      <formula>AND(IF($Q15=3,1,0),IF($X15&lt;30,1,0))</formula>
    </cfRule>
    <cfRule type="expression" priority="2028" dxfId="0">
      <formula>AND(IF($Q15=3,1,IF($Q15=4,1,0)),IF($F15&lt;=85,1,0))</formula>
    </cfRule>
  </conditionalFormatting>
  <conditionalFormatting sqref="AI15">
    <cfRule type="expression" priority="2021" dxfId="3">
      <formula>AND(IF(OR($Q15=1,$Q15=2),1,0),IF($X15&lt;=20,1,0))</formula>
    </cfRule>
    <cfRule type="expression" priority="2022" dxfId="2">
      <formula>AND(IF($Q15=2,1,0),IF($X15&lt;30,1,0))</formula>
    </cfRule>
    <cfRule type="expression" priority="2023" dxfId="1">
      <formula>AND(IF($Q15=3,1,0),IF($X15&lt;30,1,0))</formula>
    </cfRule>
    <cfRule type="expression" priority="2024" dxfId="0">
      <formula>AND(IF($Q15=3,1,IF($Q15=4,1,0)),IF($F15&lt;=85,1,0))</formula>
    </cfRule>
  </conditionalFormatting>
  <conditionalFormatting sqref="AV16">
    <cfRule type="expression" priority="2019" dxfId="17">
      <formula>AV16="X"</formula>
    </cfRule>
    <cfRule type="expression" priority="2020" dxfId="16">
      <formula>AV16="후보"</formula>
    </cfRule>
  </conditionalFormatting>
  <conditionalFormatting sqref="AC16 N16">
    <cfRule type="cellIs" priority="2016" operator="greaterThan" dxfId="13">
      <formula>0.9</formula>
    </cfRule>
    <cfRule type="cellIs" priority="2017" operator="greaterThan" dxfId="12">
      <formula>0.85</formula>
    </cfRule>
  </conditionalFormatting>
  <conditionalFormatting sqref="AV17">
    <cfRule type="expression" priority="2014" dxfId="17">
      <formula>AV17="X"</formula>
    </cfRule>
    <cfRule type="expression" priority="2015" dxfId="16">
      <formula>AV17="후보"</formula>
    </cfRule>
  </conditionalFormatting>
  <conditionalFormatting sqref="AC17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17">
    <cfRule type="cellIs" priority="2009" operator="greaterThan" dxfId="13">
      <formula>0.9</formula>
    </cfRule>
    <cfRule type="cellIs" priority="2010" operator="greaterThan" dxfId="12">
      <formula>0.85</formula>
    </cfRule>
  </conditionalFormatting>
  <conditionalFormatting sqref="E17">
    <cfRule type="expression" priority="2005" dxfId="3">
      <formula>AND(IF(OR($Q17=1,$Q17=2),1,0),IF($X17&lt;=20,1,0))</formula>
    </cfRule>
    <cfRule type="expression" priority="2006" dxfId="2">
      <formula>AND(IF($Q17=2,1,0),IF($X17&lt;30,1,0))</formula>
    </cfRule>
    <cfRule type="expression" priority="2007" dxfId="1">
      <formula>AND(IF($Q17=3,1,0),IF($X17&lt;30,1,0))</formula>
    </cfRule>
    <cfRule type="expression" priority="2008" dxfId="0">
      <formula>AND(IF($Q17=3,1,IF($Q17=4,1,0)),IF($F17&lt;=85,1,0))</formula>
    </cfRule>
  </conditionalFormatting>
  <conditionalFormatting sqref="X17">
    <cfRule type="expression" priority="2001" dxfId="3">
      <formula>AND(IF(OR($Q17=1,$Q17=2),1,0),IF($X17&lt;=20,1,0))</formula>
    </cfRule>
    <cfRule type="expression" priority="2002" dxfId="2">
      <formula>AND(IF($Q17=2,1,0),IF($X17&lt;30,1,0))</formula>
    </cfRule>
    <cfRule type="expression" priority="2003" dxfId="1">
      <formula>AND(IF($Q17=3,1,0),IF($X17&lt;30,1,0))</formula>
    </cfRule>
    <cfRule type="expression" priority="2004" dxfId="0">
      <formula>AND(IF($Q17=3,1,IF($Q17=4,1,0)),IF($F17&lt;=85,1,0))</formula>
    </cfRule>
  </conditionalFormatting>
  <conditionalFormatting sqref="AI17">
    <cfRule type="expression" priority="1997" dxfId="3">
      <formula>AND(IF(OR($Q17=1,$Q17=2),1,0),IF($X17&lt;=20,1,0))</formula>
    </cfRule>
    <cfRule type="expression" priority="1998" dxfId="2">
      <formula>AND(IF($Q17=2,1,0),IF($X17&lt;30,1,0))</formula>
    </cfRule>
    <cfRule type="expression" priority="1999" dxfId="1">
      <formula>AND(IF($Q17=3,1,0),IF($X17&lt;30,1,0))</formula>
    </cfRule>
    <cfRule type="expression" priority="2000" dxfId="0">
      <formula>AND(IF($Q17=3,1,IF($Q17=4,1,0)),IF($F17&lt;=85,1,0))</formula>
    </cfRule>
  </conditionalFormatting>
  <conditionalFormatting sqref="AV18">
    <cfRule type="expression" priority="1995" dxfId="17">
      <formula>AV18="X"</formula>
    </cfRule>
    <cfRule type="expression" priority="1996" dxfId="16">
      <formula>AV18="후보"</formula>
    </cfRule>
  </conditionalFormatting>
  <conditionalFormatting sqref="AC18">
    <cfRule type="cellIs" priority="1992" operator="greaterThan" dxfId="13">
      <formula>0.9</formula>
    </cfRule>
    <cfRule type="cellIs" priority="1993" operator="greaterThan" dxfId="12">
      <formula>0.85</formula>
    </cfRule>
  </conditionalFormatting>
  <conditionalFormatting sqref="N18">
    <cfRule type="cellIs" priority="1990" operator="greaterThan" dxfId="13">
      <formula>0.9</formula>
    </cfRule>
    <cfRule type="cellIs" priority="1991" operator="greaterThan" dxfId="12">
      <formula>0.85</formula>
    </cfRule>
  </conditionalFormatting>
  <conditionalFormatting sqref="E18">
    <cfRule type="expression" priority="1986" dxfId="3">
      <formula>AND(IF(OR($Q18=1,$Q18=2),1,0),IF($X18&lt;=20,1,0))</formula>
    </cfRule>
    <cfRule type="expression" priority="1987" dxfId="2">
      <formula>AND(IF($Q18=2,1,0),IF($X18&lt;30,1,0))</formula>
    </cfRule>
    <cfRule type="expression" priority="1988" dxfId="1">
      <formula>AND(IF($Q18=3,1,0),IF($X18&lt;30,1,0))</formula>
    </cfRule>
    <cfRule type="expression" priority="1989" dxfId="0">
      <formula>AND(IF($Q18=3,1,IF($Q18=4,1,0)),IF($F18&lt;=85,1,0))</formula>
    </cfRule>
  </conditionalFormatting>
  <conditionalFormatting sqref="X18">
    <cfRule type="expression" priority="1982" dxfId="3">
      <formula>AND(IF(OR($Q18=1,$Q18=2),1,0),IF($X18&lt;=20,1,0))</formula>
    </cfRule>
    <cfRule type="expression" priority="1983" dxfId="2">
      <formula>AND(IF($Q18=2,1,0),IF($X18&lt;30,1,0))</formula>
    </cfRule>
    <cfRule type="expression" priority="1984" dxfId="1">
      <formula>AND(IF($Q18=3,1,0),IF($X18&lt;30,1,0))</formula>
    </cfRule>
    <cfRule type="expression" priority="1985" dxfId="0">
      <formula>AND(IF($Q18=3,1,IF($Q18=4,1,0)),IF($F18&lt;=85,1,0))</formula>
    </cfRule>
  </conditionalFormatting>
  <conditionalFormatting sqref="AI18">
    <cfRule type="expression" priority="1978" dxfId="3">
      <formula>AND(IF(OR($Q18=1,$Q18=2),1,0),IF($X18&lt;=20,1,0))</formula>
    </cfRule>
    <cfRule type="expression" priority="1979" dxfId="2">
      <formula>AND(IF($Q18=2,1,0),IF($X18&lt;30,1,0))</formula>
    </cfRule>
    <cfRule type="expression" priority="1980" dxfId="1">
      <formula>AND(IF($Q18=3,1,0),IF($X18&lt;30,1,0))</formula>
    </cfRule>
    <cfRule type="expression" priority="1981" dxfId="0">
      <formula>AND(IF($Q18=3,1,IF($Q18=4,1,0)),IF($F18&lt;=85,1,0))</formula>
    </cfRule>
  </conditionalFormatting>
  <conditionalFormatting sqref="AV19">
    <cfRule type="expression" priority="1976" dxfId="17">
      <formula>AV19="X"</formula>
    </cfRule>
    <cfRule type="expression" priority="1977" dxfId="16">
      <formula>AV19="후보"</formula>
    </cfRule>
  </conditionalFormatting>
  <conditionalFormatting sqref="AC19">
    <cfRule type="cellIs" priority="1973" operator="greaterThan" dxfId="13">
      <formula>0.9</formula>
    </cfRule>
    <cfRule type="cellIs" priority="1974" operator="greaterThan" dxfId="12">
      <formula>0.85</formula>
    </cfRule>
  </conditionalFormatting>
  <conditionalFormatting sqref="N19">
    <cfRule type="cellIs" priority="1971" operator="greaterThan" dxfId="13">
      <formula>0.9</formula>
    </cfRule>
    <cfRule type="cellIs" priority="1972" operator="greaterThan" dxfId="12">
      <formula>0.85</formula>
    </cfRule>
  </conditionalFormatting>
  <conditionalFormatting sqref="E19">
    <cfRule type="expression" priority="1967" dxfId="3">
      <formula>AND(IF(OR($Q19=1,$Q19=2),1,0),IF($X19&lt;=20,1,0))</formula>
    </cfRule>
    <cfRule type="expression" priority="1968" dxfId="2">
      <formula>AND(IF($Q19=2,1,0),IF($X19&lt;30,1,0))</formula>
    </cfRule>
    <cfRule type="expression" priority="1969" dxfId="1">
      <formula>AND(IF($Q19=3,1,0),IF($X19&lt;30,1,0))</formula>
    </cfRule>
    <cfRule type="expression" priority="1970" dxfId="0">
      <formula>AND(IF($Q19=3,1,IF($Q19=4,1,0)),IF($F19&lt;=85,1,0))</formula>
    </cfRule>
  </conditionalFormatting>
  <conditionalFormatting sqref="X19">
    <cfRule type="expression" priority="1963" dxfId="3">
      <formula>AND(IF(OR($Q19=1,$Q19=2),1,0),IF($X19&lt;=20,1,0))</formula>
    </cfRule>
    <cfRule type="expression" priority="1964" dxfId="2">
      <formula>AND(IF($Q19=2,1,0),IF($X19&lt;30,1,0))</formula>
    </cfRule>
    <cfRule type="expression" priority="1965" dxfId="1">
      <formula>AND(IF($Q19=3,1,0),IF($X19&lt;30,1,0))</formula>
    </cfRule>
    <cfRule type="expression" priority="1966" dxfId="0">
      <formula>AND(IF($Q19=3,1,IF($Q19=4,1,0)),IF($F19&lt;=85,1,0))</formula>
    </cfRule>
  </conditionalFormatting>
  <conditionalFormatting sqref="AI19">
    <cfRule type="expression" priority="1959" dxfId="3">
      <formula>AND(IF(OR($Q19=1,$Q19=2),1,0),IF($X19&lt;=20,1,0))</formula>
    </cfRule>
    <cfRule type="expression" priority="1960" dxfId="2">
      <formula>AND(IF($Q19=2,1,0),IF($X19&lt;30,1,0))</formula>
    </cfRule>
    <cfRule type="expression" priority="1961" dxfId="1">
      <formula>AND(IF($Q19=3,1,0),IF($X19&lt;30,1,0))</formula>
    </cfRule>
    <cfRule type="expression" priority="1962" dxfId="0">
      <formula>AND(IF($Q19=3,1,IF($Q19=4,1,0)),IF($F19&lt;=85,1,0))</formula>
    </cfRule>
  </conditionalFormatting>
  <conditionalFormatting sqref="AV20">
    <cfRule type="expression" priority="1957" dxfId="17">
      <formula>AV20="X"</formula>
    </cfRule>
    <cfRule type="expression" priority="1958" dxfId="16">
      <formula>AV20="후보"</formula>
    </cfRule>
  </conditionalFormatting>
  <conditionalFormatting sqref="AC20 N20">
    <cfRule type="cellIs" priority="1954" operator="greaterThan" dxfId="13">
      <formula>0.9</formula>
    </cfRule>
    <cfRule type="cellIs" priority="1955" operator="greaterThan" dxfId="12">
      <formula>0.85</formula>
    </cfRule>
  </conditionalFormatting>
  <conditionalFormatting sqref="AV21">
    <cfRule type="expression" priority="1952" dxfId="17">
      <formula>AV21="X"</formula>
    </cfRule>
    <cfRule type="expression" priority="1953" dxfId="16">
      <formula>AV21="후보"</formula>
    </cfRule>
  </conditionalFormatting>
  <conditionalFormatting sqref="AC21">
    <cfRule type="cellIs" priority="1949" operator="greaterThan" dxfId="13">
      <formula>0.9</formula>
    </cfRule>
    <cfRule type="cellIs" priority="1950" operator="greaterThan" dxfId="12">
      <formula>0.85</formula>
    </cfRule>
  </conditionalFormatting>
  <conditionalFormatting sqref="N21">
    <cfRule type="cellIs" priority="1947" operator="greaterThan" dxfId="13">
      <formula>0.9</formula>
    </cfRule>
    <cfRule type="cellIs" priority="1948" operator="greaterThan" dxfId="12">
      <formula>0.85</formula>
    </cfRule>
  </conditionalFormatting>
  <conditionalFormatting sqref="E21">
    <cfRule type="expression" priority="1943" dxfId="3">
      <formula>AND(IF(OR($Q21=1,$Q21=2),1,0),IF($X21&lt;=20,1,0))</formula>
    </cfRule>
    <cfRule type="expression" priority="1944" dxfId="2">
      <formula>AND(IF($Q21=2,1,0),IF($X21&lt;30,1,0))</formula>
    </cfRule>
    <cfRule type="expression" priority="1945" dxfId="1">
      <formula>AND(IF($Q21=3,1,0),IF($X21&lt;30,1,0))</formula>
    </cfRule>
    <cfRule type="expression" priority="1946" dxfId="0">
      <formula>AND(IF($Q21=3,1,IF($Q21=4,1,0)),IF($F21&lt;=85,1,0))</formula>
    </cfRule>
  </conditionalFormatting>
  <conditionalFormatting sqref="X21">
    <cfRule type="expression" priority="1939" dxfId="3">
      <formula>AND(IF(OR($Q21=1,$Q21=2),1,0),IF($X21&lt;=20,1,0))</formula>
    </cfRule>
    <cfRule type="expression" priority="1940" dxfId="2">
      <formula>AND(IF($Q21=2,1,0),IF($X21&lt;30,1,0))</formula>
    </cfRule>
    <cfRule type="expression" priority="1941" dxfId="1">
      <formula>AND(IF($Q21=3,1,0),IF($X21&lt;30,1,0))</formula>
    </cfRule>
    <cfRule type="expression" priority="1942" dxfId="0">
      <formula>AND(IF($Q21=3,1,IF($Q21=4,1,0)),IF($F21&lt;=85,1,0))</formula>
    </cfRule>
  </conditionalFormatting>
  <conditionalFormatting sqref="AI21">
    <cfRule type="expression" priority="1935" dxfId="3">
      <formula>AND(IF(OR($Q21=1,$Q21=2),1,0),IF($X21&lt;=20,1,0))</formula>
    </cfRule>
    <cfRule type="expression" priority="1936" dxfId="2">
      <formula>AND(IF($Q21=2,1,0),IF($X21&lt;30,1,0))</formula>
    </cfRule>
    <cfRule type="expression" priority="1937" dxfId="1">
      <formula>AND(IF($Q21=3,1,0),IF($X21&lt;30,1,0))</formula>
    </cfRule>
    <cfRule type="expression" priority="1938" dxfId="0">
      <formula>AND(IF($Q21=3,1,IF($Q21=4,1,0)),IF($F21&lt;=85,1,0))</formula>
    </cfRule>
  </conditionalFormatting>
  <conditionalFormatting sqref="AV22">
    <cfRule type="expression" priority="1933" dxfId="17">
      <formula>AV22="X"</formula>
    </cfRule>
    <cfRule type="expression" priority="1934" dxfId="16">
      <formula>AV22="후보"</formula>
    </cfRule>
  </conditionalFormatting>
  <conditionalFormatting sqref="AC22">
    <cfRule type="cellIs" priority="1930" operator="greaterThan" dxfId="13">
      <formula>0.9</formula>
    </cfRule>
    <cfRule type="cellIs" priority="1931" operator="greaterThan" dxfId="12">
      <formula>0.85</formula>
    </cfRule>
  </conditionalFormatting>
  <conditionalFormatting sqref="N22">
    <cfRule type="cellIs" priority="1928" operator="greaterThan" dxfId="13">
      <formula>0.9</formula>
    </cfRule>
    <cfRule type="cellIs" priority="1929" operator="greaterThan" dxfId="12">
      <formula>0.85</formula>
    </cfRule>
  </conditionalFormatting>
  <conditionalFormatting sqref="E22">
    <cfRule type="expression" priority="1924" dxfId="3">
      <formula>AND(IF(OR($Q22=1,$Q22=2),1,0),IF($X22&lt;=20,1,0))</formula>
    </cfRule>
    <cfRule type="expression" priority="1925" dxfId="2">
      <formula>AND(IF($Q22=2,1,0),IF($X22&lt;30,1,0))</formula>
    </cfRule>
    <cfRule type="expression" priority="1926" dxfId="1">
      <formula>AND(IF($Q22=3,1,0),IF($X22&lt;30,1,0))</formula>
    </cfRule>
    <cfRule type="expression" priority="1927" dxfId="0">
      <formula>AND(IF($Q22=3,1,IF($Q22=4,1,0)),IF($F22&lt;=85,1,0))</formula>
    </cfRule>
  </conditionalFormatting>
  <conditionalFormatting sqref="X22">
    <cfRule type="expression" priority="1920" dxfId="3">
      <formula>AND(IF(OR($Q22=1,$Q22=2),1,0),IF($X22&lt;=20,1,0))</formula>
    </cfRule>
    <cfRule type="expression" priority="1921" dxfId="2">
      <formula>AND(IF($Q22=2,1,0),IF($X22&lt;30,1,0))</formula>
    </cfRule>
    <cfRule type="expression" priority="1922" dxfId="1">
      <formula>AND(IF($Q22=3,1,0),IF($X22&lt;30,1,0))</formula>
    </cfRule>
    <cfRule type="expression" priority="1923" dxfId="0">
      <formula>AND(IF($Q22=3,1,IF($Q22=4,1,0)),IF($F22&lt;=85,1,0))</formula>
    </cfRule>
  </conditionalFormatting>
  <conditionalFormatting sqref="AI22">
    <cfRule type="expression" priority="1916" dxfId="3">
      <formula>AND(IF(OR($Q22=1,$Q22=2),1,0),IF($X22&lt;=20,1,0))</formula>
    </cfRule>
    <cfRule type="expression" priority="1917" dxfId="2">
      <formula>AND(IF($Q22=2,1,0),IF($X22&lt;30,1,0))</formula>
    </cfRule>
    <cfRule type="expression" priority="1918" dxfId="1">
      <formula>AND(IF($Q22=3,1,0),IF($X22&lt;30,1,0))</formula>
    </cfRule>
    <cfRule type="expression" priority="1919" dxfId="0">
      <formula>AND(IF($Q22=3,1,IF($Q22=4,1,0)),IF($F22&lt;=85,1,0))</formula>
    </cfRule>
  </conditionalFormatting>
  <conditionalFormatting sqref="AV23">
    <cfRule type="expression" priority="1914" dxfId="17">
      <formula>AV23="X"</formula>
    </cfRule>
    <cfRule type="expression" priority="1915" dxfId="16">
      <formula>AV23="후보"</formula>
    </cfRule>
  </conditionalFormatting>
  <conditionalFormatting sqref="AC23">
    <cfRule type="cellIs" priority="1911" operator="greaterThan" dxfId="13">
      <formula>0.9</formula>
    </cfRule>
    <cfRule type="cellIs" priority="1912" operator="greaterThan" dxfId="12">
      <formula>0.85</formula>
    </cfRule>
  </conditionalFormatting>
  <conditionalFormatting sqref="N23">
    <cfRule type="cellIs" priority="1909" operator="greaterThan" dxfId="13">
      <formula>0.9</formula>
    </cfRule>
    <cfRule type="cellIs" priority="1910" operator="greaterThan" dxfId="12">
      <formula>0.85</formula>
    </cfRule>
  </conditionalFormatting>
  <conditionalFormatting sqref="E23">
    <cfRule type="expression" priority="1905" dxfId="3">
      <formula>AND(IF(OR($Q23=1,$Q23=2),1,0),IF($X23&lt;=20,1,0))</formula>
    </cfRule>
    <cfRule type="expression" priority="1906" dxfId="2">
      <formula>AND(IF($Q23=2,1,0),IF($X23&lt;30,1,0))</formula>
    </cfRule>
    <cfRule type="expression" priority="1907" dxfId="1">
      <formula>AND(IF($Q23=3,1,0),IF($X23&lt;30,1,0))</formula>
    </cfRule>
    <cfRule type="expression" priority="1908" dxfId="0">
      <formula>AND(IF($Q23=3,1,IF($Q23=4,1,0)),IF($F23&lt;=85,1,0))</formula>
    </cfRule>
  </conditionalFormatting>
  <conditionalFormatting sqref="X23">
    <cfRule type="expression" priority="1901" dxfId="3">
      <formula>AND(IF(OR($Q23=1,$Q23=2),1,0),IF($X23&lt;=20,1,0))</formula>
    </cfRule>
    <cfRule type="expression" priority="1902" dxfId="2">
      <formula>AND(IF($Q23=2,1,0),IF($X23&lt;30,1,0))</formula>
    </cfRule>
    <cfRule type="expression" priority="1903" dxfId="1">
      <formula>AND(IF($Q23=3,1,0),IF($X23&lt;30,1,0))</formula>
    </cfRule>
    <cfRule type="expression" priority="1904" dxfId="0">
      <formula>AND(IF($Q23=3,1,IF($Q23=4,1,0)),IF($F23&lt;=85,1,0))</formula>
    </cfRule>
  </conditionalFormatting>
  <conditionalFormatting sqref="AI23">
    <cfRule type="expression" priority="1897" dxfId="3">
      <formula>AND(IF(OR($Q23=1,$Q23=2),1,0),IF($X23&lt;=20,1,0))</formula>
    </cfRule>
    <cfRule type="expression" priority="1898" dxfId="2">
      <formula>AND(IF($Q23=2,1,0),IF($X23&lt;30,1,0))</formula>
    </cfRule>
    <cfRule type="expression" priority="1899" dxfId="1">
      <formula>AND(IF($Q23=3,1,0),IF($X23&lt;30,1,0))</formula>
    </cfRule>
    <cfRule type="expression" priority="1900" dxfId="0">
      <formula>AND(IF($Q23=3,1,IF($Q23=4,1,0)),IF($F23&lt;=85,1,0))</formula>
    </cfRule>
  </conditionalFormatting>
  <conditionalFormatting sqref="AV24">
    <cfRule type="expression" priority="1895" dxfId="17">
      <formula>AV24="X"</formula>
    </cfRule>
    <cfRule type="expression" priority="1896" dxfId="16">
      <formula>AV24="후보"</formula>
    </cfRule>
  </conditionalFormatting>
  <conditionalFormatting sqref="AC24 N24">
    <cfRule type="cellIs" priority="1892" operator="greaterThan" dxfId="13">
      <formula>0.9</formula>
    </cfRule>
    <cfRule type="cellIs" priority="1893" operator="greaterThan" dxfId="12">
      <formula>0.85</formula>
    </cfRule>
  </conditionalFormatting>
  <conditionalFormatting sqref="AV25">
    <cfRule type="expression" priority="1890" dxfId="17">
      <formula>AV25="X"</formula>
    </cfRule>
    <cfRule type="expression" priority="1891" dxfId="16">
      <formula>AV25="후보"</formula>
    </cfRule>
  </conditionalFormatting>
  <conditionalFormatting sqref="AC25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25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25">
    <cfRule type="expression" priority="1881" dxfId="3">
      <formula>AND(IF(OR($Q25=1,$Q25=2),1,0),IF($X25&lt;=20,1,0))</formula>
    </cfRule>
    <cfRule type="expression" priority="1882" dxfId="2">
      <formula>AND(IF($Q25=2,1,0),IF($X25&lt;30,1,0))</formula>
    </cfRule>
    <cfRule type="expression" priority="1883" dxfId="1">
      <formula>AND(IF($Q25=3,1,0),IF($X25&lt;30,1,0))</formula>
    </cfRule>
    <cfRule type="expression" priority="1884" dxfId="0">
      <formula>AND(IF($Q25=3,1,IF($Q25=4,1,0)),IF($F25&lt;=85,1,0))</formula>
    </cfRule>
  </conditionalFormatting>
  <conditionalFormatting sqref="X25">
    <cfRule type="expression" priority="1877" dxfId="3">
      <formula>AND(IF(OR($Q25=1,$Q25=2),1,0),IF($X25&lt;=20,1,0))</formula>
    </cfRule>
    <cfRule type="expression" priority="1878" dxfId="2">
      <formula>AND(IF($Q25=2,1,0),IF($X25&lt;30,1,0))</formula>
    </cfRule>
    <cfRule type="expression" priority="1879" dxfId="1">
      <formula>AND(IF($Q25=3,1,0),IF($X25&lt;30,1,0))</formula>
    </cfRule>
    <cfRule type="expression" priority="1880" dxfId="0">
      <formula>AND(IF($Q25=3,1,IF($Q25=4,1,0)),IF($F25&lt;=85,1,0))</formula>
    </cfRule>
  </conditionalFormatting>
  <conditionalFormatting sqref="AI25">
    <cfRule type="expression" priority="1873" dxfId="3">
      <formula>AND(IF(OR($Q25=1,$Q25=2),1,0),IF($X25&lt;=20,1,0))</formula>
    </cfRule>
    <cfRule type="expression" priority="1874" dxfId="2">
      <formula>AND(IF($Q25=2,1,0),IF($X25&lt;30,1,0))</formula>
    </cfRule>
    <cfRule type="expression" priority="1875" dxfId="1">
      <formula>AND(IF($Q25=3,1,0),IF($X25&lt;30,1,0))</formula>
    </cfRule>
    <cfRule type="expression" priority="1876" dxfId="0">
      <formula>AND(IF($Q25=3,1,IF($Q25=4,1,0)),IF($F25&lt;=85,1,0))</formula>
    </cfRule>
  </conditionalFormatting>
  <conditionalFormatting sqref="AV26">
    <cfRule type="expression" priority="1871" dxfId="17">
      <formula>AV26="X"</formula>
    </cfRule>
    <cfRule type="expression" priority="1872" dxfId="16">
      <formula>AV26="후보"</formula>
    </cfRule>
  </conditionalFormatting>
  <conditionalFormatting sqref="AC26">
    <cfRule type="cellIs" priority="1868" operator="greaterThan" dxfId="13">
      <formula>0.9</formula>
    </cfRule>
    <cfRule type="cellIs" priority="1869" operator="greaterThan" dxfId="12">
      <formula>0.85</formula>
    </cfRule>
  </conditionalFormatting>
  <conditionalFormatting sqref="N26">
    <cfRule type="cellIs" priority="1866" operator="greaterThan" dxfId="13">
      <formula>0.9</formula>
    </cfRule>
    <cfRule type="cellIs" priority="1867" operator="greaterThan" dxfId="12">
      <formula>0.85</formula>
    </cfRule>
  </conditionalFormatting>
  <conditionalFormatting sqref="E26">
    <cfRule type="expression" priority="1862" dxfId="3">
      <formula>AND(IF(OR($Q26=1,$Q26=2),1,0),IF($X26&lt;=20,1,0))</formula>
    </cfRule>
    <cfRule type="expression" priority="1863" dxfId="2">
      <formula>AND(IF($Q26=2,1,0),IF($X26&lt;30,1,0))</formula>
    </cfRule>
    <cfRule type="expression" priority="1864" dxfId="1">
      <formula>AND(IF($Q26=3,1,0),IF($X26&lt;30,1,0))</formula>
    </cfRule>
    <cfRule type="expression" priority="1865" dxfId="0">
      <formula>AND(IF($Q26=3,1,IF($Q26=4,1,0)),IF($F26&lt;=85,1,0))</formula>
    </cfRule>
  </conditionalFormatting>
  <conditionalFormatting sqref="X26">
    <cfRule type="expression" priority="1858" dxfId="3">
      <formula>AND(IF(OR($Q26=1,$Q26=2),1,0),IF($X26&lt;=20,1,0))</formula>
    </cfRule>
    <cfRule type="expression" priority="1859" dxfId="2">
      <formula>AND(IF($Q26=2,1,0),IF($X26&lt;30,1,0))</formula>
    </cfRule>
    <cfRule type="expression" priority="1860" dxfId="1">
      <formula>AND(IF($Q26=3,1,0),IF($X26&lt;30,1,0))</formula>
    </cfRule>
    <cfRule type="expression" priority="1861" dxfId="0">
      <formula>AND(IF($Q26=3,1,IF($Q26=4,1,0)),IF($F26&lt;=85,1,0))</formula>
    </cfRule>
  </conditionalFormatting>
  <conditionalFormatting sqref="AI26">
    <cfRule type="expression" priority="1854" dxfId="3">
      <formula>AND(IF(OR($Q26=1,$Q26=2),1,0),IF($X26&lt;=20,1,0))</formula>
    </cfRule>
    <cfRule type="expression" priority="1855" dxfId="2">
      <formula>AND(IF($Q26=2,1,0),IF($X26&lt;30,1,0))</formula>
    </cfRule>
    <cfRule type="expression" priority="1856" dxfId="1">
      <formula>AND(IF($Q26=3,1,0),IF($X26&lt;30,1,0))</formula>
    </cfRule>
    <cfRule type="expression" priority="1857" dxfId="0">
      <formula>AND(IF($Q26=3,1,IF($Q26=4,1,0)),IF($F26&lt;=85,1,0))</formula>
    </cfRule>
  </conditionalFormatting>
  <conditionalFormatting sqref="AV27">
    <cfRule type="expression" priority="1852" dxfId="17">
      <formula>AV27="X"</formula>
    </cfRule>
    <cfRule type="expression" priority="1853" dxfId="16">
      <formula>AV27="후보"</formula>
    </cfRule>
  </conditionalFormatting>
  <conditionalFormatting sqref="AC27 N27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AV28">
    <cfRule type="expression" priority="1847" dxfId="17">
      <formula>AV28="X"</formula>
    </cfRule>
    <cfRule type="expression" priority="1848" dxfId="16">
      <formula>AV28="후보"</formula>
    </cfRule>
  </conditionalFormatting>
  <conditionalFormatting sqref="AC28">
    <cfRule type="cellIs" priority="1844" operator="greaterThan" dxfId="13">
      <formula>0.9</formula>
    </cfRule>
    <cfRule type="cellIs" priority="1845" operator="greaterThan" dxfId="12">
      <formula>0.85</formula>
    </cfRule>
  </conditionalFormatting>
  <conditionalFormatting sqref="N28">
    <cfRule type="cellIs" priority="1842" operator="greaterThan" dxfId="13">
      <formula>0.9</formula>
    </cfRule>
    <cfRule type="cellIs" priority="1843" operator="greaterThan" dxfId="12">
      <formula>0.85</formula>
    </cfRule>
  </conditionalFormatting>
  <conditionalFormatting sqref="E28">
    <cfRule type="expression" priority="1838" dxfId="3">
      <formula>AND(IF(OR($Q28=1,$Q28=2),1,0),IF($X28&lt;=20,1,0))</formula>
    </cfRule>
    <cfRule type="expression" priority="1839" dxfId="2">
      <formula>AND(IF($Q28=2,1,0),IF($X28&lt;30,1,0))</formula>
    </cfRule>
    <cfRule type="expression" priority="1840" dxfId="1">
      <formula>AND(IF($Q28=3,1,0),IF($X28&lt;30,1,0))</formula>
    </cfRule>
    <cfRule type="expression" priority="1841" dxfId="0">
      <formula>AND(IF($Q28=3,1,IF($Q28=4,1,0)),IF($F28&lt;=85,1,0))</formula>
    </cfRule>
  </conditionalFormatting>
  <conditionalFormatting sqref="X28">
    <cfRule type="expression" priority="1834" dxfId="3">
      <formula>AND(IF(OR($Q28=1,$Q28=2),1,0),IF($X28&lt;=20,1,0))</formula>
    </cfRule>
    <cfRule type="expression" priority="1835" dxfId="2">
      <formula>AND(IF($Q28=2,1,0),IF($X28&lt;30,1,0))</formula>
    </cfRule>
    <cfRule type="expression" priority="1836" dxfId="1">
      <formula>AND(IF($Q28=3,1,0),IF($X28&lt;30,1,0))</formula>
    </cfRule>
    <cfRule type="expression" priority="1837" dxfId="0">
      <formula>AND(IF($Q28=3,1,IF($Q28=4,1,0)),IF($F28&lt;=85,1,0))</formula>
    </cfRule>
  </conditionalFormatting>
  <conditionalFormatting sqref="AI28">
    <cfRule type="expression" priority="1830" dxfId="3">
      <formula>AND(IF(OR($Q28=1,$Q28=2),1,0),IF($X28&lt;=20,1,0))</formula>
    </cfRule>
    <cfRule type="expression" priority="1831" dxfId="2">
      <formula>AND(IF($Q28=2,1,0),IF($X28&lt;30,1,0))</formula>
    </cfRule>
    <cfRule type="expression" priority="1832" dxfId="1">
      <formula>AND(IF($Q28=3,1,0),IF($X28&lt;30,1,0))</formula>
    </cfRule>
    <cfRule type="expression" priority="1833" dxfId="0">
      <formula>AND(IF($Q28=3,1,IF($Q28=4,1,0)),IF($F28&lt;=85,1,0))</formula>
    </cfRule>
  </conditionalFormatting>
  <conditionalFormatting sqref="AV29">
    <cfRule type="expression" priority="1828" dxfId="17">
      <formula>AV29="X"</formula>
    </cfRule>
    <cfRule type="expression" priority="1829" dxfId="16">
      <formula>AV29="후보"</formula>
    </cfRule>
  </conditionalFormatting>
  <conditionalFormatting sqref="AC29">
    <cfRule type="cellIs" priority="1825" operator="greaterThan" dxfId="13">
      <formula>0.9</formula>
    </cfRule>
    <cfRule type="cellIs" priority="1826" operator="greaterThan" dxfId="12">
      <formula>0.85</formula>
    </cfRule>
  </conditionalFormatting>
  <conditionalFormatting sqref="N29">
    <cfRule type="cellIs" priority="1823" operator="greaterThan" dxfId="13">
      <formula>0.9</formula>
    </cfRule>
    <cfRule type="cellIs" priority="1824" operator="greaterThan" dxfId="12">
      <formula>0.85</formula>
    </cfRule>
  </conditionalFormatting>
  <conditionalFormatting sqref="E29">
    <cfRule type="expression" priority="1819" dxfId="3">
      <formula>AND(IF(OR($Q29=1,$Q29=2),1,0),IF($X29&lt;=20,1,0))</formula>
    </cfRule>
    <cfRule type="expression" priority="1820" dxfId="2">
      <formula>AND(IF($Q29=2,1,0),IF($X29&lt;30,1,0))</formula>
    </cfRule>
    <cfRule type="expression" priority="1821" dxfId="1">
      <formula>AND(IF($Q29=3,1,0),IF($X29&lt;30,1,0))</formula>
    </cfRule>
    <cfRule type="expression" priority="1822" dxfId="0">
      <formula>AND(IF($Q29=3,1,IF($Q29=4,1,0)),IF($F29&lt;=85,1,0))</formula>
    </cfRule>
  </conditionalFormatting>
  <conditionalFormatting sqref="X29">
    <cfRule type="expression" priority="1815" dxfId="3">
      <formula>AND(IF(OR($Q29=1,$Q29=2),1,0),IF($X29&lt;=20,1,0))</formula>
    </cfRule>
    <cfRule type="expression" priority="1816" dxfId="2">
      <formula>AND(IF($Q29=2,1,0),IF($X29&lt;30,1,0))</formula>
    </cfRule>
    <cfRule type="expression" priority="1817" dxfId="1">
      <formula>AND(IF($Q29=3,1,0),IF($X29&lt;30,1,0))</formula>
    </cfRule>
    <cfRule type="expression" priority="1818" dxfId="0">
      <formula>AND(IF($Q29=3,1,IF($Q29=4,1,0)),IF($F29&lt;=85,1,0))</formula>
    </cfRule>
  </conditionalFormatting>
  <conditionalFormatting sqref="AI29">
    <cfRule type="expression" priority="1811" dxfId="3">
      <formula>AND(IF(OR($Q29=1,$Q29=2),1,0),IF($X29&lt;=20,1,0))</formula>
    </cfRule>
    <cfRule type="expression" priority="1812" dxfId="2">
      <formula>AND(IF($Q29=2,1,0),IF($X29&lt;30,1,0))</formula>
    </cfRule>
    <cfRule type="expression" priority="1813" dxfId="1">
      <formula>AND(IF($Q29=3,1,0),IF($X29&lt;30,1,0))</formula>
    </cfRule>
    <cfRule type="expression" priority="1814" dxfId="0">
      <formula>AND(IF($Q29=3,1,IF($Q29=4,1,0)),IF($F29&lt;=85,1,0))</formula>
    </cfRule>
  </conditionalFormatting>
  <conditionalFormatting sqref="AV30">
    <cfRule type="expression" priority="1809" dxfId="17">
      <formula>AV30="X"</formula>
    </cfRule>
    <cfRule type="expression" priority="1810" dxfId="16">
      <formula>AV30="후보"</formula>
    </cfRule>
  </conditionalFormatting>
  <conditionalFormatting sqref="AC30">
    <cfRule type="cellIs" priority="1806" operator="greaterThan" dxfId="13">
      <formula>0.9</formula>
    </cfRule>
    <cfRule type="cellIs" priority="1807" operator="greaterThan" dxfId="12">
      <formula>0.85</formula>
    </cfRule>
  </conditionalFormatting>
  <conditionalFormatting sqref="N30">
    <cfRule type="cellIs" priority="1804" operator="greaterThan" dxfId="13">
      <formula>0.9</formula>
    </cfRule>
    <cfRule type="cellIs" priority="1805" operator="greaterThan" dxfId="12">
      <formula>0.85</formula>
    </cfRule>
  </conditionalFormatting>
  <conditionalFormatting sqref="E30">
    <cfRule type="expression" priority="1800" dxfId="3">
      <formula>AND(IF(OR($Q30=1,$Q30=2),1,0),IF($X30&lt;=20,1,0))</formula>
    </cfRule>
    <cfRule type="expression" priority="1801" dxfId="2">
      <formula>AND(IF($Q30=2,1,0),IF($X30&lt;30,1,0))</formula>
    </cfRule>
    <cfRule type="expression" priority="1802" dxfId="1">
      <formula>AND(IF($Q30=3,1,0),IF($X30&lt;30,1,0))</formula>
    </cfRule>
    <cfRule type="expression" priority="1803" dxfId="0">
      <formula>AND(IF($Q30=3,1,IF($Q30=4,1,0)),IF($F30&lt;=85,1,0))</formula>
    </cfRule>
  </conditionalFormatting>
  <conditionalFormatting sqref="X30">
    <cfRule type="expression" priority="1796" dxfId="3">
      <formula>AND(IF(OR($Q30=1,$Q30=2),1,0),IF($X30&lt;=20,1,0))</formula>
    </cfRule>
    <cfRule type="expression" priority="1797" dxfId="2">
      <formula>AND(IF($Q30=2,1,0),IF($X30&lt;30,1,0))</formula>
    </cfRule>
    <cfRule type="expression" priority="1798" dxfId="1">
      <formula>AND(IF($Q30=3,1,0),IF($X30&lt;30,1,0))</formula>
    </cfRule>
    <cfRule type="expression" priority="1799" dxfId="0">
      <formula>AND(IF($Q30=3,1,IF($Q30=4,1,0)),IF($F30&lt;=85,1,0))</formula>
    </cfRule>
  </conditionalFormatting>
  <conditionalFormatting sqref="AI30">
    <cfRule type="expression" priority="1792" dxfId="3">
      <formula>AND(IF(OR($Q30=1,$Q30=2),1,0),IF($X30&lt;=20,1,0))</formula>
    </cfRule>
    <cfRule type="expression" priority="1793" dxfId="2">
      <formula>AND(IF($Q30=2,1,0),IF($X30&lt;30,1,0))</formula>
    </cfRule>
    <cfRule type="expression" priority="1794" dxfId="1">
      <formula>AND(IF($Q30=3,1,0),IF($X30&lt;30,1,0))</formula>
    </cfRule>
    <cfRule type="expression" priority="1795" dxfId="0">
      <formula>AND(IF($Q30=3,1,IF($Q30=4,1,0)),IF($F30&lt;=85,1,0))</formula>
    </cfRule>
  </conditionalFormatting>
  <conditionalFormatting sqref="AV31">
    <cfRule type="expression" priority="1790" dxfId="17">
      <formula>AV31="X"</formula>
    </cfRule>
    <cfRule type="expression" priority="1791" dxfId="16">
      <formula>AV31="후보"</formula>
    </cfRule>
  </conditionalFormatting>
  <conditionalFormatting sqref="AC31 N31">
    <cfRule type="cellIs" priority="1787" operator="greaterThan" dxfId="13">
      <formula>0.9</formula>
    </cfRule>
    <cfRule type="cellIs" priority="1788" operator="greaterThan" dxfId="12">
      <formula>0.85</formula>
    </cfRule>
  </conditionalFormatting>
  <conditionalFormatting sqref="AV32">
    <cfRule type="expression" priority="1785" dxfId="17">
      <formula>AV32="X"</formula>
    </cfRule>
    <cfRule type="expression" priority="1786" dxfId="16">
      <formula>AV32="후보"</formula>
    </cfRule>
  </conditionalFormatting>
  <conditionalFormatting sqref="AC32">
    <cfRule type="cellIs" priority="1782" operator="greaterThan" dxfId="13">
      <formula>0.9</formula>
    </cfRule>
    <cfRule type="cellIs" priority="1783" operator="greaterThan" dxfId="12">
      <formula>0.85</formula>
    </cfRule>
  </conditionalFormatting>
  <conditionalFormatting sqref="N32">
    <cfRule type="cellIs" priority="1780" operator="greaterThan" dxfId="13">
      <formula>0.9</formula>
    </cfRule>
    <cfRule type="cellIs" priority="1781" operator="greaterThan" dxfId="12">
      <formula>0.85</formula>
    </cfRule>
  </conditionalFormatting>
  <conditionalFormatting sqref="E32">
    <cfRule type="expression" priority="1776" dxfId="3">
      <formula>AND(IF(OR($Q32=1,$Q32=2),1,0),IF($X32&lt;=20,1,0))</formula>
    </cfRule>
    <cfRule type="expression" priority="1777" dxfId="2">
      <formula>AND(IF($Q32=2,1,0),IF($X32&lt;30,1,0))</formula>
    </cfRule>
    <cfRule type="expression" priority="1778" dxfId="1">
      <formula>AND(IF($Q32=3,1,0),IF($X32&lt;30,1,0))</formula>
    </cfRule>
    <cfRule type="expression" priority="1779" dxfId="0">
      <formula>AND(IF($Q32=3,1,IF($Q32=4,1,0)),IF($F32&lt;=85,1,0))</formula>
    </cfRule>
  </conditionalFormatting>
  <conditionalFormatting sqref="X32">
    <cfRule type="expression" priority="1772" dxfId="3">
      <formula>AND(IF(OR($Q32=1,$Q32=2),1,0),IF($X32&lt;=20,1,0))</formula>
    </cfRule>
    <cfRule type="expression" priority="1773" dxfId="2">
      <formula>AND(IF($Q32=2,1,0),IF($X32&lt;30,1,0))</formula>
    </cfRule>
    <cfRule type="expression" priority="1774" dxfId="1">
      <formula>AND(IF($Q32=3,1,0),IF($X32&lt;30,1,0))</formula>
    </cfRule>
    <cfRule type="expression" priority="1775" dxfId="0">
      <formula>AND(IF($Q32=3,1,IF($Q32=4,1,0)),IF($F32&lt;=85,1,0))</formula>
    </cfRule>
  </conditionalFormatting>
  <conditionalFormatting sqref="AI32">
    <cfRule type="expression" priority="1768" dxfId="3">
      <formula>AND(IF(OR($Q32=1,$Q32=2),1,0),IF($X32&lt;=20,1,0))</formula>
    </cfRule>
    <cfRule type="expression" priority="1769" dxfId="2">
      <formula>AND(IF($Q32=2,1,0),IF($X32&lt;30,1,0))</formula>
    </cfRule>
    <cfRule type="expression" priority="1770" dxfId="1">
      <formula>AND(IF($Q32=3,1,0),IF($X32&lt;30,1,0))</formula>
    </cfRule>
    <cfRule type="expression" priority="1771" dxfId="0">
      <formula>AND(IF($Q32=3,1,IF($Q32=4,1,0)),IF($F32&lt;=85,1,0))</formula>
    </cfRule>
  </conditionalFormatting>
  <conditionalFormatting sqref="AV33">
    <cfRule type="expression" priority="1766" dxfId="17">
      <formula>AV33="X"</formula>
    </cfRule>
    <cfRule type="expression" priority="1767" dxfId="16">
      <formula>AV33="후보"</formula>
    </cfRule>
  </conditionalFormatting>
  <conditionalFormatting sqref="AC33">
    <cfRule type="cellIs" priority="1763" operator="greaterThan" dxfId="13">
      <formula>0.9</formula>
    </cfRule>
    <cfRule type="cellIs" priority="1764" operator="greaterThan" dxfId="12">
      <formula>0.85</formula>
    </cfRule>
  </conditionalFormatting>
  <conditionalFormatting sqref="N33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E33">
    <cfRule type="expression" priority="1757" dxfId="3">
      <formula>AND(IF(OR($Q33=1,$Q33=2),1,0),IF($X33&lt;=20,1,0))</formula>
    </cfRule>
    <cfRule type="expression" priority="1758" dxfId="2">
      <formula>AND(IF($Q33=2,1,0),IF($X33&lt;30,1,0))</formula>
    </cfRule>
    <cfRule type="expression" priority="1759" dxfId="1">
      <formula>AND(IF($Q33=3,1,0),IF($X33&lt;30,1,0))</formula>
    </cfRule>
    <cfRule type="expression" priority="1760" dxfId="0">
      <formula>AND(IF($Q33=3,1,IF($Q33=4,1,0)),IF($F33&lt;=85,1,0))</formula>
    </cfRule>
  </conditionalFormatting>
  <conditionalFormatting sqref="X33">
    <cfRule type="expression" priority="1753" dxfId="3">
      <formula>AND(IF(OR($Q33=1,$Q33=2),1,0),IF($X33&lt;=20,1,0))</formula>
    </cfRule>
    <cfRule type="expression" priority="1754" dxfId="2">
      <formula>AND(IF($Q33=2,1,0),IF($X33&lt;30,1,0))</formula>
    </cfRule>
    <cfRule type="expression" priority="1755" dxfId="1">
      <formula>AND(IF($Q33=3,1,0),IF($X33&lt;30,1,0))</formula>
    </cfRule>
    <cfRule type="expression" priority="1756" dxfId="0">
      <formula>AND(IF($Q33=3,1,IF($Q33=4,1,0)),IF($F33&lt;=85,1,0))</formula>
    </cfRule>
  </conditionalFormatting>
  <conditionalFormatting sqref="AI33">
    <cfRule type="expression" priority="1749" dxfId="3">
      <formula>AND(IF(OR($Q33=1,$Q33=2),1,0),IF($X33&lt;=20,1,0))</formula>
    </cfRule>
    <cfRule type="expression" priority="1750" dxfId="2">
      <formula>AND(IF($Q33=2,1,0),IF($X33&lt;30,1,0))</formula>
    </cfRule>
    <cfRule type="expression" priority="1751" dxfId="1">
      <formula>AND(IF($Q33=3,1,0),IF($X33&lt;30,1,0))</formula>
    </cfRule>
    <cfRule type="expression" priority="1752" dxfId="0">
      <formula>AND(IF($Q33=3,1,IF($Q33=4,1,0)),IF($F33&lt;=85,1,0))</formula>
    </cfRule>
  </conditionalFormatting>
  <conditionalFormatting sqref="AV34">
    <cfRule type="expression" priority="1747" dxfId="17">
      <formula>AV34="X"</formula>
    </cfRule>
    <cfRule type="expression" priority="1748" dxfId="16">
      <formula>AV34="후보"</formula>
    </cfRule>
  </conditionalFormatting>
  <conditionalFormatting sqref="AC34">
    <cfRule type="cellIs" priority="1744" operator="greaterThan" dxfId="13">
      <formula>0.9</formula>
    </cfRule>
    <cfRule type="cellIs" priority="1745" operator="greaterThan" dxfId="12">
      <formula>0.85</formula>
    </cfRule>
  </conditionalFormatting>
  <conditionalFormatting sqref="N34">
    <cfRule type="cellIs" priority="1742" operator="greaterThan" dxfId="13">
      <formula>0.9</formula>
    </cfRule>
    <cfRule type="cellIs" priority="1743" operator="greaterThan" dxfId="12">
      <formula>0.85</formula>
    </cfRule>
  </conditionalFormatting>
  <conditionalFormatting sqref="E34">
    <cfRule type="expression" priority="1738" dxfId="3">
      <formula>AND(IF(OR($Q34=1,$Q34=2),1,0),IF($X34&lt;=20,1,0))</formula>
    </cfRule>
    <cfRule type="expression" priority="1739" dxfId="2">
      <formula>AND(IF($Q34=2,1,0),IF($X34&lt;30,1,0))</formula>
    </cfRule>
    <cfRule type="expression" priority="1740" dxfId="1">
      <formula>AND(IF($Q34=3,1,0),IF($X34&lt;30,1,0))</formula>
    </cfRule>
    <cfRule type="expression" priority="1741" dxfId="0">
      <formula>AND(IF($Q34=3,1,IF($Q34=4,1,0)),IF($F34&lt;=85,1,0))</formula>
    </cfRule>
  </conditionalFormatting>
  <conditionalFormatting sqref="X34">
    <cfRule type="expression" priority="1734" dxfId="3">
      <formula>AND(IF(OR($Q34=1,$Q34=2),1,0),IF($X34&lt;=20,1,0))</formula>
    </cfRule>
    <cfRule type="expression" priority="1735" dxfId="2">
      <formula>AND(IF($Q34=2,1,0),IF($X34&lt;30,1,0))</formula>
    </cfRule>
    <cfRule type="expression" priority="1736" dxfId="1">
      <formula>AND(IF($Q34=3,1,0),IF($X34&lt;30,1,0))</formula>
    </cfRule>
    <cfRule type="expression" priority="1737" dxfId="0">
      <formula>AND(IF($Q34=3,1,IF($Q34=4,1,0)),IF($F34&lt;=85,1,0))</formula>
    </cfRule>
  </conditionalFormatting>
  <conditionalFormatting sqref="AI34">
    <cfRule type="expression" priority="1730" dxfId="3">
      <formula>AND(IF(OR($Q34=1,$Q34=2),1,0),IF($X34&lt;=20,1,0))</formula>
    </cfRule>
    <cfRule type="expression" priority="1731" dxfId="2">
      <formula>AND(IF($Q34=2,1,0),IF($X34&lt;30,1,0))</formula>
    </cfRule>
    <cfRule type="expression" priority="1732" dxfId="1">
      <formula>AND(IF($Q34=3,1,0),IF($X34&lt;30,1,0))</formula>
    </cfRule>
    <cfRule type="expression" priority="1733" dxfId="0">
      <formula>AND(IF($Q34=3,1,IF($Q34=4,1,0)),IF($F34&lt;=85,1,0))</formula>
    </cfRule>
  </conditionalFormatting>
  <conditionalFormatting sqref="AV35">
    <cfRule type="expression" priority="1728" dxfId="17">
      <formula>AV35="X"</formula>
    </cfRule>
    <cfRule type="expression" priority="1729" dxfId="16">
      <formula>AV35="후보"</formula>
    </cfRule>
  </conditionalFormatting>
  <conditionalFormatting sqref="AC35 N35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AV36">
    <cfRule type="expression" priority="1723" dxfId="17">
      <formula>AV36="X"</formula>
    </cfRule>
    <cfRule type="expression" priority="1724" dxfId="16">
      <formula>AV36="후보"</formula>
    </cfRule>
  </conditionalFormatting>
  <conditionalFormatting sqref="AC36">
    <cfRule type="cellIs" priority="1720" operator="greaterThan" dxfId="13">
      <formula>0.9</formula>
    </cfRule>
    <cfRule type="cellIs" priority="1721" operator="greaterThan" dxfId="12">
      <formula>0.85</formula>
    </cfRule>
  </conditionalFormatting>
  <conditionalFormatting sqref="N36">
    <cfRule type="cellIs" priority="1718" operator="greaterThan" dxfId="13">
      <formula>0.9</formula>
    </cfRule>
    <cfRule type="cellIs" priority="1719" operator="greaterThan" dxfId="12">
      <formula>0.85</formula>
    </cfRule>
  </conditionalFormatting>
  <conditionalFormatting sqref="E36">
    <cfRule type="expression" priority="1714" dxfId="3">
      <formula>AND(IF(OR($Q36=1,$Q36=2),1,0),IF($X36&lt;=20,1,0))</formula>
    </cfRule>
    <cfRule type="expression" priority="1715" dxfId="2">
      <formula>AND(IF($Q36=2,1,0),IF($X36&lt;30,1,0))</formula>
    </cfRule>
    <cfRule type="expression" priority="1716" dxfId="1">
      <formula>AND(IF($Q36=3,1,0),IF($X36&lt;30,1,0))</formula>
    </cfRule>
    <cfRule type="expression" priority="1717" dxfId="0">
      <formula>AND(IF($Q36=3,1,IF($Q36=4,1,0)),IF($F36&lt;=85,1,0))</formula>
    </cfRule>
  </conditionalFormatting>
  <conditionalFormatting sqref="X36">
    <cfRule type="expression" priority="1710" dxfId="3">
      <formula>AND(IF(OR($Q36=1,$Q36=2),1,0),IF($X36&lt;=20,1,0))</formula>
    </cfRule>
    <cfRule type="expression" priority="1711" dxfId="2">
      <formula>AND(IF($Q36=2,1,0),IF($X36&lt;30,1,0))</formula>
    </cfRule>
    <cfRule type="expression" priority="1712" dxfId="1">
      <formula>AND(IF($Q36=3,1,0),IF($X36&lt;30,1,0))</formula>
    </cfRule>
    <cfRule type="expression" priority="1713" dxfId="0">
      <formula>AND(IF($Q36=3,1,IF($Q36=4,1,0)),IF($F36&lt;=85,1,0))</formula>
    </cfRule>
  </conditionalFormatting>
  <conditionalFormatting sqref="AI36">
    <cfRule type="expression" priority="1706" dxfId="3">
      <formula>AND(IF(OR($Q36=1,$Q36=2),1,0),IF($X36&lt;=20,1,0))</formula>
    </cfRule>
    <cfRule type="expression" priority="1707" dxfId="2">
      <formula>AND(IF($Q36=2,1,0),IF($X36&lt;30,1,0))</formula>
    </cfRule>
    <cfRule type="expression" priority="1708" dxfId="1">
      <formula>AND(IF($Q36=3,1,0),IF($X36&lt;30,1,0))</formula>
    </cfRule>
    <cfRule type="expression" priority="1709" dxfId="0">
      <formula>AND(IF($Q36=3,1,IF($Q36=4,1,0)),IF($F36&lt;=85,1,0))</formula>
    </cfRule>
  </conditionalFormatting>
  <conditionalFormatting sqref="AV37">
    <cfRule type="expression" priority="1704" dxfId="17">
      <formula>AV37="X"</formula>
    </cfRule>
    <cfRule type="expression" priority="1705" dxfId="16">
      <formula>AV37="후보"</formula>
    </cfRule>
  </conditionalFormatting>
  <conditionalFormatting sqref="AC37">
    <cfRule type="cellIs" priority="1701" operator="greaterThan" dxfId="13">
      <formula>0.9</formula>
    </cfRule>
    <cfRule type="cellIs" priority="1702" operator="greaterThan" dxfId="12">
      <formula>0.85</formula>
    </cfRule>
  </conditionalFormatting>
  <conditionalFormatting sqref="N37">
    <cfRule type="cellIs" priority="1699" operator="greaterThan" dxfId="13">
      <formula>0.9</formula>
    </cfRule>
    <cfRule type="cellIs" priority="1700" operator="greaterThan" dxfId="12">
      <formula>0.85</formula>
    </cfRule>
  </conditionalFormatting>
  <conditionalFormatting sqref="E37">
    <cfRule type="expression" priority="1695" dxfId="3">
      <formula>AND(IF(OR($Q37=1,$Q37=2),1,0),IF($X37&lt;=20,1,0))</formula>
    </cfRule>
    <cfRule type="expression" priority="1696" dxfId="2">
      <formula>AND(IF($Q37=2,1,0),IF($X37&lt;30,1,0))</formula>
    </cfRule>
    <cfRule type="expression" priority="1697" dxfId="1">
      <formula>AND(IF($Q37=3,1,0),IF($X37&lt;30,1,0))</formula>
    </cfRule>
    <cfRule type="expression" priority="1698" dxfId="0">
      <formula>AND(IF($Q37=3,1,IF($Q37=4,1,0)),IF($F37&lt;=85,1,0))</formula>
    </cfRule>
  </conditionalFormatting>
  <conditionalFormatting sqref="X37">
    <cfRule type="expression" priority="1691" dxfId="3">
      <formula>AND(IF(OR($Q37=1,$Q37=2),1,0),IF($X37&lt;=20,1,0))</formula>
    </cfRule>
    <cfRule type="expression" priority="1692" dxfId="2">
      <formula>AND(IF($Q37=2,1,0),IF($X37&lt;30,1,0))</formula>
    </cfRule>
    <cfRule type="expression" priority="1693" dxfId="1">
      <formula>AND(IF($Q37=3,1,0),IF($X37&lt;30,1,0))</formula>
    </cfRule>
    <cfRule type="expression" priority="1694" dxfId="0">
      <formula>AND(IF($Q37=3,1,IF($Q37=4,1,0)),IF($F37&lt;=85,1,0))</formula>
    </cfRule>
  </conditionalFormatting>
  <conditionalFormatting sqref="AI37">
    <cfRule type="expression" priority="1687" dxfId="3">
      <formula>AND(IF(OR($Q37=1,$Q37=2),1,0),IF($X37&lt;=20,1,0))</formula>
    </cfRule>
    <cfRule type="expression" priority="1688" dxfId="2">
      <formula>AND(IF($Q37=2,1,0),IF($X37&lt;30,1,0))</formula>
    </cfRule>
    <cfRule type="expression" priority="1689" dxfId="1">
      <formula>AND(IF($Q37=3,1,0),IF($X37&lt;30,1,0))</formula>
    </cfRule>
    <cfRule type="expression" priority="1690" dxfId="0">
      <formula>AND(IF($Q37=3,1,IF($Q37=4,1,0)),IF($F37&lt;=85,1,0))</formula>
    </cfRule>
  </conditionalFormatting>
  <conditionalFormatting sqref="AV38">
    <cfRule type="expression" priority="1685" dxfId="17">
      <formula>AV38="X"</formula>
    </cfRule>
    <cfRule type="expression" priority="1686" dxfId="16">
      <formula>AV38="후보"</formula>
    </cfRule>
  </conditionalFormatting>
  <conditionalFormatting sqref="AC38">
    <cfRule type="cellIs" priority="1682" operator="greaterThan" dxfId="13">
      <formula>0.9</formula>
    </cfRule>
    <cfRule type="cellIs" priority="1683" operator="greaterThan" dxfId="12">
      <formula>0.85</formula>
    </cfRule>
  </conditionalFormatting>
  <conditionalFormatting sqref="N38">
    <cfRule type="cellIs" priority="1680" operator="greaterThan" dxfId="13">
      <formula>0.9</formula>
    </cfRule>
    <cfRule type="cellIs" priority="1681" operator="greaterThan" dxfId="12">
      <formula>0.85</formula>
    </cfRule>
  </conditionalFormatting>
  <conditionalFormatting sqref="E38">
    <cfRule type="expression" priority="1676" dxfId="3">
      <formula>AND(IF(OR($Q38=1,$Q38=2),1,0),IF($X38&lt;=20,1,0))</formula>
    </cfRule>
    <cfRule type="expression" priority="1677" dxfId="2">
      <formula>AND(IF($Q38=2,1,0),IF($X38&lt;30,1,0))</formula>
    </cfRule>
    <cfRule type="expression" priority="1678" dxfId="1">
      <formula>AND(IF($Q38=3,1,0),IF($X38&lt;30,1,0))</formula>
    </cfRule>
    <cfRule type="expression" priority="1679" dxfId="0">
      <formula>AND(IF($Q38=3,1,IF($Q38=4,1,0)),IF($F38&lt;=85,1,0))</formula>
    </cfRule>
  </conditionalFormatting>
  <conditionalFormatting sqref="X38">
    <cfRule type="expression" priority="1672" dxfId="3">
      <formula>AND(IF(OR($Q38=1,$Q38=2),1,0),IF($X38&lt;=20,1,0))</formula>
    </cfRule>
    <cfRule type="expression" priority="1673" dxfId="2">
      <formula>AND(IF($Q38=2,1,0),IF($X38&lt;30,1,0))</formula>
    </cfRule>
    <cfRule type="expression" priority="1674" dxfId="1">
      <formula>AND(IF($Q38=3,1,0),IF($X38&lt;30,1,0))</formula>
    </cfRule>
    <cfRule type="expression" priority="1675" dxfId="0">
      <formula>AND(IF($Q38=3,1,IF($Q38=4,1,0)),IF($F38&lt;=85,1,0))</formula>
    </cfRule>
  </conditionalFormatting>
  <conditionalFormatting sqref="AI38">
    <cfRule type="expression" priority="1668" dxfId="3">
      <formula>AND(IF(OR($Q38=1,$Q38=2),1,0),IF($X38&lt;=20,1,0))</formula>
    </cfRule>
    <cfRule type="expression" priority="1669" dxfId="2">
      <formula>AND(IF($Q38=2,1,0),IF($X38&lt;30,1,0))</formula>
    </cfRule>
    <cfRule type="expression" priority="1670" dxfId="1">
      <formula>AND(IF($Q38=3,1,0),IF($X38&lt;30,1,0))</formula>
    </cfRule>
    <cfRule type="expression" priority="1671" dxfId="0">
      <formula>AND(IF($Q38=3,1,IF($Q38=4,1,0)),IF($F38&lt;=85,1,0))</formula>
    </cfRule>
  </conditionalFormatting>
  <conditionalFormatting sqref="AV39">
    <cfRule type="expression" priority="1666" dxfId="17">
      <formula>AV39="X"</formula>
    </cfRule>
    <cfRule type="expression" priority="1667" dxfId="16">
      <formula>AV39="후보"</formula>
    </cfRule>
  </conditionalFormatting>
  <conditionalFormatting sqref="AC39">
    <cfRule type="cellIs" priority="1663" operator="greaterThan" dxfId="13">
      <formula>0.9</formula>
    </cfRule>
    <cfRule type="cellIs" priority="1664" operator="greaterThan" dxfId="12">
      <formula>0.85</formula>
    </cfRule>
  </conditionalFormatting>
  <conditionalFormatting sqref="N39">
    <cfRule type="cellIs" priority="1661" operator="greaterThan" dxfId="13">
      <formula>0.9</formula>
    </cfRule>
    <cfRule type="cellIs" priority="1662" operator="greaterThan" dxfId="12">
      <formula>0.85</formula>
    </cfRule>
  </conditionalFormatting>
  <conditionalFormatting sqref="E39">
    <cfRule type="expression" priority="1657" dxfId="3">
      <formula>AND(IF(OR($Q39=1,$Q39=2),1,0),IF($X39&lt;=20,1,0))</formula>
    </cfRule>
    <cfRule type="expression" priority="1658" dxfId="2">
      <formula>AND(IF($Q39=2,1,0),IF($X39&lt;30,1,0))</formula>
    </cfRule>
    <cfRule type="expression" priority="1659" dxfId="1">
      <formula>AND(IF($Q39=3,1,0),IF($X39&lt;30,1,0))</formula>
    </cfRule>
    <cfRule type="expression" priority="1660" dxfId="0">
      <formula>AND(IF($Q39=3,1,IF($Q39=4,1,0)),IF($F39&lt;=85,1,0))</formula>
    </cfRule>
  </conditionalFormatting>
  <conditionalFormatting sqref="X39">
    <cfRule type="expression" priority="1653" dxfId="3">
      <formula>AND(IF(OR($Q39=1,$Q39=2),1,0),IF($X39&lt;=20,1,0))</formula>
    </cfRule>
    <cfRule type="expression" priority="1654" dxfId="2">
      <formula>AND(IF($Q39=2,1,0),IF($X39&lt;30,1,0))</formula>
    </cfRule>
    <cfRule type="expression" priority="1655" dxfId="1">
      <formula>AND(IF($Q39=3,1,0),IF($X39&lt;30,1,0))</formula>
    </cfRule>
    <cfRule type="expression" priority="1656" dxfId="0">
      <formula>AND(IF($Q39=3,1,IF($Q39=4,1,0)),IF($F39&lt;=85,1,0))</formula>
    </cfRule>
  </conditionalFormatting>
  <conditionalFormatting sqref="AI39">
    <cfRule type="expression" priority="1649" dxfId="3">
      <formula>AND(IF(OR($Q39=1,$Q39=2),1,0),IF($X39&lt;=20,1,0))</formula>
    </cfRule>
    <cfRule type="expression" priority="1650" dxfId="2">
      <formula>AND(IF($Q39=2,1,0),IF($X39&lt;30,1,0))</formula>
    </cfRule>
    <cfRule type="expression" priority="1651" dxfId="1">
      <formula>AND(IF($Q39=3,1,0),IF($X39&lt;30,1,0))</formula>
    </cfRule>
    <cfRule type="expression" priority="1652" dxfId="0">
      <formula>AND(IF($Q39=3,1,IF($Q39=4,1,0)),IF($F39&lt;=85,1,0))</formula>
    </cfRule>
  </conditionalFormatting>
  <conditionalFormatting sqref="AV40">
    <cfRule type="expression" priority="1647" dxfId="17">
      <formula>AV40="X"</formula>
    </cfRule>
    <cfRule type="expression" priority="1648" dxfId="16">
      <formula>AV40="후보"</formula>
    </cfRule>
  </conditionalFormatting>
  <conditionalFormatting sqref="AC40">
    <cfRule type="cellIs" priority="1644" operator="greaterThan" dxfId="13">
      <formula>0.9</formula>
    </cfRule>
    <cfRule type="cellIs" priority="1645" operator="greaterThan" dxfId="12">
      <formula>0.85</formula>
    </cfRule>
  </conditionalFormatting>
  <conditionalFormatting sqref="N40">
    <cfRule type="cellIs" priority="1642" operator="greaterThan" dxfId="13">
      <formula>0.9</formula>
    </cfRule>
    <cfRule type="cellIs" priority="1643" operator="greaterThan" dxfId="12">
      <formula>0.85</formula>
    </cfRule>
  </conditionalFormatting>
  <conditionalFormatting sqref="E40">
    <cfRule type="expression" priority="1638" dxfId="3">
      <formula>AND(IF(OR($Q40=1,$Q40=2),1,0),IF($X40&lt;=20,1,0))</formula>
    </cfRule>
    <cfRule type="expression" priority="1639" dxfId="2">
      <formula>AND(IF($Q40=2,1,0),IF($X40&lt;30,1,0))</formula>
    </cfRule>
    <cfRule type="expression" priority="1640" dxfId="1">
      <formula>AND(IF($Q40=3,1,0),IF($X40&lt;30,1,0))</formula>
    </cfRule>
    <cfRule type="expression" priority="1641" dxfId="0">
      <formula>AND(IF($Q40=3,1,IF($Q40=4,1,0)),IF($F40&lt;=85,1,0))</formula>
    </cfRule>
  </conditionalFormatting>
  <conditionalFormatting sqref="X40">
    <cfRule type="expression" priority="1634" dxfId="3">
      <formula>AND(IF(OR($Q40=1,$Q40=2),1,0),IF($X40&lt;=20,1,0))</formula>
    </cfRule>
    <cfRule type="expression" priority="1635" dxfId="2">
      <formula>AND(IF($Q40=2,1,0),IF($X40&lt;30,1,0))</formula>
    </cfRule>
    <cfRule type="expression" priority="1636" dxfId="1">
      <formula>AND(IF($Q40=3,1,0),IF($X40&lt;30,1,0))</formula>
    </cfRule>
    <cfRule type="expression" priority="1637" dxfId="0">
      <formula>AND(IF($Q40=3,1,IF($Q40=4,1,0)),IF($F40&lt;=85,1,0))</formula>
    </cfRule>
  </conditionalFormatting>
  <conditionalFormatting sqref="AI40">
    <cfRule type="expression" priority="1630" dxfId="3">
      <formula>AND(IF(OR($Q40=1,$Q40=2),1,0),IF($X40&lt;=20,1,0))</formula>
    </cfRule>
    <cfRule type="expression" priority="1631" dxfId="2">
      <formula>AND(IF($Q40=2,1,0),IF($X40&lt;30,1,0))</formula>
    </cfRule>
    <cfRule type="expression" priority="1632" dxfId="1">
      <formula>AND(IF($Q40=3,1,0),IF($X40&lt;30,1,0))</formula>
    </cfRule>
    <cfRule type="expression" priority="1633" dxfId="0">
      <formula>AND(IF($Q40=3,1,IF($Q40=4,1,0)),IF($F40&lt;=85,1,0))</formula>
    </cfRule>
  </conditionalFormatting>
  <conditionalFormatting sqref="AV41">
    <cfRule type="expression" priority="1628" dxfId="17">
      <formula>AV41="X"</formula>
    </cfRule>
    <cfRule type="expression" priority="1629" dxfId="16">
      <formula>AV41="후보"</formula>
    </cfRule>
  </conditionalFormatting>
  <conditionalFormatting sqref="AC41">
    <cfRule type="cellIs" priority="1625" operator="greaterThan" dxfId="13">
      <formula>0.9</formula>
    </cfRule>
    <cfRule type="cellIs" priority="1626" operator="greaterThan" dxfId="12">
      <formula>0.85</formula>
    </cfRule>
  </conditionalFormatting>
  <conditionalFormatting sqref="N41">
    <cfRule type="cellIs" priority="1623" operator="greaterThan" dxfId="13">
      <formula>0.9</formula>
    </cfRule>
    <cfRule type="cellIs" priority="1624" operator="greaterThan" dxfId="12">
      <formula>0.85</formula>
    </cfRule>
  </conditionalFormatting>
  <conditionalFormatting sqref="E41">
    <cfRule type="expression" priority="1619" dxfId="3">
      <formula>AND(IF(OR($Q41=1,$Q41=2),1,0),IF($X41&lt;=20,1,0))</formula>
    </cfRule>
    <cfRule type="expression" priority="1620" dxfId="2">
      <formula>AND(IF($Q41=2,1,0),IF($X41&lt;30,1,0))</formula>
    </cfRule>
    <cfRule type="expression" priority="1621" dxfId="1">
      <formula>AND(IF($Q41=3,1,0),IF($X41&lt;30,1,0))</formula>
    </cfRule>
    <cfRule type="expression" priority="1622" dxfId="0">
      <formula>AND(IF($Q41=3,1,IF($Q41=4,1,0)),IF($F41&lt;=85,1,0))</formula>
    </cfRule>
  </conditionalFormatting>
  <conditionalFormatting sqref="X41">
    <cfRule type="expression" priority="1615" dxfId="3">
      <formula>AND(IF(OR($Q41=1,$Q41=2),1,0),IF($X41&lt;=20,1,0))</formula>
    </cfRule>
    <cfRule type="expression" priority="1616" dxfId="2">
      <formula>AND(IF($Q41=2,1,0),IF($X41&lt;30,1,0))</formula>
    </cfRule>
    <cfRule type="expression" priority="1617" dxfId="1">
      <formula>AND(IF($Q41=3,1,0),IF($X41&lt;30,1,0))</formula>
    </cfRule>
    <cfRule type="expression" priority="1618" dxfId="0">
      <formula>AND(IF($Q41=3,1,IF($Q41=4,1,0)),IF($F41&lt;=85,1,0))</formula>
    </cfRule>
  </conditionalFormatting>
  <conditionalFormatting sqref="AI41">
    <cfRule type="expression" priority="1611" dxfId="3">
      <formula>AND(IF(OR($Q41=1,$Q41=2),1,0),IF($X41&lt;=20,1,0))</formula>
    </cfRule>
    <cfRule type="expression" priority="1612" dxfId="2">
      <formula>AND(IF($Q41=2,1,0),IF($X41&lt;30,1,0))</formula>
    </cfRule>
    <cfRule type="expression" priority="1613" dxfId="1">
      <formula>AND(IF($Q41=3,1,0),IF($X41&lt;30,1,0))</formula>
    </cfRule>
    <cfRule type="expression" priority="1614" dxfId="0">
      <formula>AND(IF($Q41=3,1,IF($Q41=4,1,0)),IF($F41&lt;=85,1,0))</formula>
    </cfRule>
  </conditionalFormatting>
  <conditionalFormatting sqref="AV42">
    <cfRule type="expression" priority="1609" dxfId="17">
      <formula>AV42="X"</formula>
    </cfRule>
    <cfRule type="expression" priority="1610" dxfId="16">
      <formula>AV42="후보"</formula>
    </cfRule>
  </conditionalFormatting>
  <conditionalFormatting sqref="AC42">
    <cfRule type="cellIs" priority="1606" operator="greaterThan" dxfId="13">
      <formula>0.9</formula>
    </cfRule>
    <cfRule type="cellIs" priority="1607" operator="greaterThan" dxfId="12">
      <formula>0.85</formula>
    </cfRule>
  </conditionalFormatting>
  <conditionalFormatting sqref="N42">
    <cfRule type="cellIs" priority="1604" operator="greaterThan" dxfId="13">
      <formula>0.9</formula>
    </cfRule>
    <cfRule type="cellIs" priority="1605" operator="greaterThan" dxfId="12">
      <formula>0.85</formula>
    </cfRule>
  </conditionalFormatting>
  <conditionalFormatting sqref="E42">
    <cfRule type="expression" priority="1600" dxfId="3">
      <formula>AND(IF(OR($Q42=1,$Q42=2),1,0),IF($X42&lt;=20,1,0))</formula>
    </cfRule>
    <cfRule type="expression" priority="1601" dxfId="2">
      <formula>AND(IF($Q42=2,1,0),IF($X42&lt;30,1,0))</formula>
    </cfRule>
    <cfRule type="expression" priority="1602" dxfId="1">
      <formula>AND(IF($Q42=3,1,0),IF($X42&lt;30,1,0))</formula>
    </cfRule>
    <cfRule type="expression" priority="1603" dxfId="0">
      <formula>AND(IF($Q42=3,1,IF($Q42=4,1,0)),IF($F42&lt;=85,1,0))</formula>
    </cfRule>
  </conditionalFormatting>
  <conditionalFormatting sqref="X42">
    <cfRule type="expression" priority="1596" dxfId="3">
      <formula>AND(IF(OR($Q42=1,$Q42=2),1,0),IF($X42&lt;=20,1,0))</formula>
    </cfRule>
    <cfRule type="expression" priority="1597" dxfId="2">
      <formula>AND(IF($Q42=2,1,0),IF($X42&lt;30,1,0))</formula>
    </cfRule>
    <cfRule type="expression" priority="1598" dxfId="1">
      <formula>AND(IF($Q42=3,1,0),IF($X42&lt;30,1,0))</formula>
    </cfRule>
    <cfRule type="expression" priority="1599" dxfId="0">
      <formula>AND(IF($Q42=3,1,IF($Q42=4,1,0)),IF($F42&lt;=85,1,0))</formula>
    </cfRule>
  </conditionalFormatting>
  <conditionalFormatting sqref="AI42">
    <cfRule type="expression" priority="1592" dxfId="3">
      <formula>AND(IF(OR($Q42=1,$Q42=2),1,0),IF($X42&lt;=20,1,0))</formula>
    </cfRule>
    <cfRule type="expression" priority="1593" dxfId="2">
      <formula>AND(IF($Q42=2,1,0),IF($X42&lt;30,1,0))</formula>
    </cfRule>
    <cfRule type="expression" priority="1594" dxfId="1">
      <formula>AND(IF($Q42=3,1,0),IF($X42&lt;30,1,0))</formula>
    </cfRule>
    <cfRule type="expression" priority="1595" dxfId="0">
      <formula>AND(IF($Q42=3,1,IF($Q42=4,1,0)),IF($F42&lt;=85,1,0))</formula>
    </cfRule>
  </conditionalFormatting>
  <conditionalFormatting sqref="AV43">
    <cfRule type="expression" priority="1590" dxfId="17">
      <formula>AV43="X"</formula>
    </cfRule>
    <cfRule type="expression" priority="1591" dxfId="16">
      <formula>AV43="후보"</formula>
    </cfRule>
  </conditionalFormatting>
  <conditionalFormatting sqref="AC43">
    <cfRule type="cellIs" priority="1587" operator="greaterThan" dxfId="13">
      <formula>0.9</formula>
    </cfRule>
    <cfRule type="cellIs" priority="1588" operator="greaterThan" dxfId="12">
      <formula>0.85</formula>
    </cfRule>
  </conditionalFormatting>
  <conditionalFormatting sqref="N43">
    <cfRule type="cellIs" priority="1585" operator="greaterThan" dxfId="13">
      <formula>0.9</formula>
    </cfRule>
    <cfRule type="cellIs" priority="1586" operator="greaterThan" dxfId="12">
      <formula>0.85</formula>
    </cfRule>
  </conditionalFormatting>
  <conditionalFormatting sqref="E43">
    <cfRule type="expression" priority="1581" dxfId="3">
      <formula>AND(IF(OR($Q43=1,$Q43=2),1,0),IF($X43&lt;=20,1,0))</formula>
    </cfRule>
    <cfRule type="expression" priority="1582" dxfId="2">
      <formula>AND(IF($Q43=2,1,0),IF($X43&lt;30,1,0))</formula>
    </cfRule>
    <cfRule type="expression" priority="1583" dxfId="1">
      <formula>AND(IF($Q43=3,1,0),IF($X43&lt;30,1,0))</formula>
    </cfRule>
    <cfRule type="expression" priority="1584" dxfId="0">
      <formula>AND(IF($Q43=3,1,IF($Q43=4,1,0)),IF($F43&lt;=85,1,0))</formula>
    </cfRule>
  </conditionalFormatting>
  <conditionalFormatting sqref="X43">
    <cfRule type="expression" priority="1577" dxfId="3">
      <formula>AND(IF(OR($Q43=1,$Q43=2),1,0),IF($X43&lt;=20,1,0))</formula>
    </cfRule>
    <cfRule type="expression" priority="1578" dxfId="2">
      <formula>AND(IF($Q43=2,1,0),IF($X43&lt;30,1,0))</formula>
    </cfRule>
    <cfRule type="expression" priority="1579" dxfId="1">
      <formula>AND(IF($Q43=3,1,0),IF($X43&lt;30,1,0))</formula>
    </cfRule>
    <cfRule type="expression" priority="1580" dxfId="0">
      <formula>AND(IF($Q43=3,1,IF($Q43=4,1,0)),IF($F43&lt;=85,1,0))</formula>
    </cfRule>
  </conditionalFormatting>
  <conditionalFormatting sqref="AI43">
    <cfRule type="expression" priority="1573" dxfId="3">
      <formula>AND(IF(OR($Q43=1,$Q43=2),1,0),IF($X43&lt;=20,1,0))</formula>
    </cfRule>
    <cfRule type="expression" priority="1574" dxfId="2">
      <formula>AND(IF($Q43=2,1,0),IF($X43&lt;30,1,0))</formula>
    </cfRule>
    <cfRule type="expression" priority="1575" dxfId="1">
      <formula>AND(IF($Q43=3,1,0),IF($X43&lt;30,1,0))</formula>
    </cfRule>
    <cfRule type="expression" priority="1576" dxfId="0">
      <formula>AND(IF($Q43=3,1,IF($Q43=4,1,0)),IF($F43&lt;=85,1,0))</formula>
    </cfRule>
  </conditionalFormatting>
  <conditionalFormatting sqref="AV44">
    <cfRule type="expression" priority="1571" dxfId="17">
      <formula>AV44="X"</formula>
    </cfRule>
    <cfRule type="expression" priority="1572" dxfId="16">
      <formula>AV44="후보"</formula>
    </cfRule>
  </conditionalFormatting>
  <conditionalFormatting sqref="AC44 N44">
    <cfRule type="cellIs" priority="1568" operator="greaterThan" dxfId="13">
      <formula>0.9</formula>
    </cfRule>
    <cfRule type="cellIs" priority="1569" operator="greaterThan" dxfId="12">
      <formula>0.85</formula>
    </cfRule>
  </conditionalFormatting>
  <conditionalFormatting sqref="AV45">
    <cfRule type="expression" priority="1566" dxfId="17">
      <formula>AV45="X"</formula>
    </cfRule>
    <cfRule type="expression" priority="1567" dxfId="16">
      <formula>AV45="후보"</formula>
    </cfRule>
  </conditionalFormatting>
  <conditionalFormatting sqref="AC45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45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45">
    <cfRule type="expression" priority="1557" dxfId="3">
      <formula>AND(IF(OR($Q45=1,$Q45=2),1,0),IF($X45&lt;=20,1,0))</formula>
    </cfRule>
    <cfRule type="expression" priority="1558" dxfId="2">
      <formula>AND(IF($Q45=2,1,0),IF($X45&lt;30,1,0))</formula>
    </cfRule>
    <cfRule type="expression" priority="1559" dxfId="1">
      <formula>AND(IF($Q45=3,1,0),IF($X45&lt;30,1,0))</formula>
    </cfRule>
    <cfRule type="expression" priority="1560" dxfId="0">
      <formula>AND(IF($Q45=3,1,IF($Q45=4,1,0)),IF($F45&lt;=85,1,0))</formula>
    </cfRule>
  </conditionalFormatting>
  <conditionalFormatting sqref="X45">
    <cfRule type="expression" priority="1553" dxfId="3">
      <formula>AND(IF(OR($Q45=1,$Q45=2),1,0),IF($X45&lt;=20,1,0))</formula>
    </cfRule>
    <cfRule type="expression" priority="1554" dxfId="2">
      <formula>AND(IF($Q45=2,1,0),IF($X45&lt;30,1,0))</formula>
    </cfRule>
    <cfRule type="expression" priority="1555" dxfId="1">
      <formula>AND(IF($Q45=3,1,0),IF($X45&lt;30,1,0))</formula>
    </cfRule>
    <cfRule type="expression" priority="1556" dxfId="0">
      <formula>AND(IF($Q45=3,1,IF($Q45=4,1,0)),IF($F45&lt;=85,1,0))</formula>
    </cfRule>
  </conditionalFormatting>
  <conditionalFormatting sqref="AI45">
    <cfRule type="expression" priority="1549" dxfId="3">
      <formula>AND(IF(OR($Q45=1,$Q45=2),1,0),IF($X45&lt;=20,1,0))</formula>
    </cfRule>
    <cfRule type="expression" priority="1550" dxfId="2">
      <formula>AND(IF($Q45=2,1,0),IF($X45&lt;30,1,0))</formula>
    </cfRule>
    <cfRule type="expression" priority="1551" dxfId="1">
      <formula>AND(IF($Q45=3,1,0),IF($X45&lt;30,1,0))</formula>
    </cfRule>
    <cfRule type="expression" priority="1552" dxfId="0">
      <formula>AND(IF($Q45=3,1,IF($Q45=4,1,0)),IF($F45&lt;=85,1,0))</formula>
    </cfRule>
  </conditionalFormatting>
  <conditionalFormatting sqref="AV46">
    <cfRule type="expression" priority="1547" dxfId="17">
      <formula>AV46="X"</formula>
    </cfRule>
    <cfRule type="expression" priority="1548" dxfId="16">
      <formula>AV46="후보"</formula>
    </cfRule>
  </conditionalFormatting>
  <conditionalFormatting sqref="AC46">
    <cfRule type="cellIs" priority="1544" operator="greaterThan" dxfId="13">
      <formula>0.9</formula>
    </cfRule>
    <cfRule type="cellIs" priority="1545" operator="greaterThan" dxfId="12">
      <formula>0.85</formula>
    </cfRule>
  </conditionalFormatting>
  <conditionalFormatting sqref="N46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E46">
    <cfRule type="expression" priority="1538" dxfId="3">
      <formula>AND(IF(OR($Q46=1,$Q46=2),1,0),IF($X46&lt;=20,1,0))</formula>
    </cfRule>
    <cfRule type="expression" priority="1539" dxfId="2">
      <formula>AND(IF($Q46=2,1,0),IF($X46&lt;30,1,0))</formula>
    </cfRule>
    <cfRule type="expression" priority="1540" dxfId="1">
      <formula>AND(IF($Q46=3,1,0),IF($X46&lt;30,1,0))</formula>
    </cfRule>
    <cfRule type="expression" priority="1541" dxfId="0">
      <formula>AND(IF($Q46=3,1,IF($Q46=4,1,0)),IF($F46&lt;=85,1,0))</formula>
    </cfRule>
  </conditionalFormatting>
  <conditionalFormatting sqref="X46">
    <cfRule type="expression" priority="1534" dxfId="3">
      <formula>AND(IF(OR($Q46=1,$Q46=2),1,0),IF($X46&lt;=20,1,0))</formula>
    </cfRule>
    <cfRule type="expression" priority="1535" dxfId="2">
      <formula>AND(IF($Q46=2,1,0),IF($X46&lt;30,1,0))</formula>
    </cfRule>
    <cfRule type="expression" priority="1536" dxfId="1">
      <formula>AND(IF($Q46=3,1,0),IF($X46&lt;30,1,0))</formula>
    </cfRule>
    <cfRule type="expression" priority="1537" dxfId="0">
      <formula>AND(IF($Q46=3,1,IF($Q46=4,1,0)),IF($F46&lt;=85,1,0))</formula>
    </cfRule>
  </conditionalFormatting>
  <conditionalFormatting sqref="AI46">
    <cfRule type="expression" priority="1530" dxfId="3">
      <formula>AND(IF(OR($Q46=1,$Q46=2),1,0),IF($X46&lt;=20,1,0))</formula>
    </cfRule>
    <cfRule type="expression" priority="1531" dxfId="2">
      <formula>AND(IF($Q46=2,1,0),IF($X46&lt;30,1,0))</formula>
    </cfRule>
    <cfRule type="expression" priority="1532" dxfId="1">
      <formula>AND(IF($Q46=3,1,0),IF($X46&lt;30,1,0))</formula>
    </cfRule>
    <cfRule type="expression" priority="1533" dxfId="0">
      <formula>AND(IF($Q46=3,1,IF($Q46=4,1,0)),IF($F46&lt;=85,1,0))</formula>
    </cfRule>
  </conditionalFormatting>
  <conditionalFormatting sqref="AV47">
    <cfRule type="expression" priority="1528" dxfId="17">
      <formula>AV47="X"</formula>
    </cfRule>
    <cfRule type="expression" priority="1529" dxfId="16">
      <formula>AV47="후보"</formula>
    </cfRule>
  </conditionalFormatting>
  <conditionalFormatting sqref="AC47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47">
    <cfRule type="cellIs" priority="1523" operator="greaterThan" dxfId="13">
      <formula>0.9</formula>
    </cfRule>
    <cfRule type="cellIs" priority="1524" operator="greaterThan" dxfId="12">
      <formula>0.85</formula>
    </cfRule>
  </conditionalFormatting>
  <conditionalFormatting sqref="E47">
    <cfRule type="expression" priority="1519" dxfId="3">
      <formula>AND(IF(OR($Q47=1,$Q47=2),1,0),IF($X47&lt;=20,1,0))</formula>
    </cfRule>
    <cfRule type="expression" priority="1520" dxfId="2">
      <formula>AND(IF($Q47=2,1,0),IF($X47&lt;30,1,0))</formula>
    </cfRule>
    <cfRule type="expression" priority="1521" dxfId="1">
      <formula>AND(IF($Q47=3,1,0),IF($X47&lt;30,1,0))</formula>
    </cfRule>
    <cfRule type="expression" priority="1522" dxfId="0">
      <formula>AND(IF($Q47=3,1,IF($Q47=4,1,0)),IF($F47&lt;=85,1,0))</formula>
    </cfRule>
  </conditionalFormatting>
  <conditionalFormatting sqref="X47">
    <cfRule type="expression" priority="1515" dxfId="3">
      <formula>AND(IF(OR($Q47=1,$Q47=2),1,0),IF($X47&lt;=20,1,0))</formula>
    </cfRule>
    <cfRule type="expression" priority="1516" dxfId="2">
      <formula>AND(IF($Q47=2,1,0),IF($X47&lt;30,1,0))</formula>
    </cfRule>
    <cfRule type="expression" priority="1517" dxfId="1">
      <formula>AND(IF($Q47=3,1,0),IF($X47&lt;30,1,0))</formula>
    </cfRule>
    <cfRule type="expression" priority="1518" dxfId="0">
      <formula>AND(IF($Q47=3,1,IF($Q47=4,1,0)),IF($F47&lt;=85,1,0))</formula>
    </cfRule>
  </conditionalFormatting>
  <conditionalFormatting sqref="AI47">
    <cfRule type="expression" priority="1511" dxfId="3">
      <formula>AND(IF(OR($Q47=1,$Q47=2),1,0),IF($X47&lt;=20,1,0))</formula>
    </cfRule>
    <cfRule type="expression" priority="1512" dxfId="2">
      <formula>AND(IF($Q47=2,1,0),IF($X47&lt;30,1,0))</formula>
    </cfRule>
    <cfRule type="expression" priority="1513" dxfId="1">
      <formula>AND(IF($Q47=3,1,0),IF($X47&lt;30,1,0))</formula>
    </cfRule>
    <cfRule type="expression" priority="1514" dxfId="0">
      <formula>AND(IF($Q47=3,1,IF($Q47=4,1,0)),IF($F47&lt;=85,1,0))</formula>
    </cfRule>
  </conditionalFormatting>
  <conditionalFormatting sqref="AV48">
    <cfRule type="expression" priority="1509" dxfId="17">
      <formula>AV48="X"</formula>
    </cfRule>
    <cfRule type="expression" priority="1510" dxfId="16">
      <formula>AV48="후보"</formula>
    </cfRule>
  </conditionalFormatting>
  <conditionalFormatting sqref="AC48">
    <cfRule type="cellIs" priority="1506" operator="greaterThan" dxfId="13">
      <formula>0.9</formula>
    </cfRule>
    <cfRule type="cellIs" priority="1507" operator="greaterThan" dxfId="12">
      <formula>0.85</formula>
    </cfRule>
  </conditionalFormatting>
  <conditionalFormatting sqref="N48">
    <cfRule type="cellIs" priority="1504" operator="greaterThan" dxfId="13">
      <formula>0.9</formula>
    </cfRule>
    <cfRule type="cellIs" priority="1505" operator="greaterThan" dxfId="12">
      <formula>0.85</formula>
    </cfRule>
  </conditionalFormatting>
  <conditionalFormatting sqref="E48">
    <cfRule type="expression" priority="1500" dxfId="3">
      <formula>AND(IF(OR($Q48=1,$Q48=2),1,0),IF($X48&lt;=20,1,0))</formula>
    </cfRule>
    <cfRule type="expression" priority="1501" dxfId="2">
      <formula>AND(IF($Q48=2,1,0),IF($X48&lt;30,1,0))</formula>
    </cfRule>
    <cfRule type="expression" priority="1502" dxfId="1">
      <formula>AND(IF($Q48=3,1,0),IF($X48&lt;30,1,0))</formula>
    </cfRule>
    <cfRule type="expression" priority="1503" dxfId="0">
      <formula>AND(IF($Q48=3,1,IF($Q48=4,1,0)),IF($F48&lt;=85,1,0))</formula>
    </cfRule>
  </conditionalFormatting>
  <conditionalFormatting sqref="X48">
    <cfRule type="expression" priority="1496" dxfId="3">
      <formula>AND(IF(OR($Q48=1,$Q48=2),1,0),IF($X48&lt;=20,1,0))</formula>
    </cfRule>
    <cfRule type="expression" priority="1497" dxfId="2">
      <formula>AND(IF($Q48=2,1,0),IF($X48&lt;30,1,0))</formula>
    </cfRule>
    <cfRule type="expression" priority="1498" dxfId="1">
      <formula>AND(IF($Q48=3,1,0),IF($X48&lt;30,1,0))</formula>
    </cfRule>
    <cfRule type="expression" priority="1499" dxfId="0">
      <formula>AND(IF($Q48=3,1,IF($Q48=4,1,0)),IF($F48&lt;=85,1,0))</formula>
    </cfRule>
  </conditionalFormatting>
  <conditionalFormatting sqref="AI48">
    <cfRule type="expression" priority="1492" dxfId="3">
      <formula>AND(IF(OR($Q48=1,$Q48=2),1,0),IF($X48&lt;=20,1,0))</formula>
    </cfRule>
    <cfRule type="expression" priority="1493" dxfId="2">
      <formula>AND(IF($Q48=2,1,0),IF($X48&lt;30,1,0))</formula>
    </cfRule>
    <cfRule type="expression" priority="1494" dxfId="1">
      <formula>AND(IF($Q48=3,1,0),IF($X48&lt;30,1,0))</formula>
    </cfRule>
    <cfRule type="expression" priority="1495" dxfId="0">
      <formula>AND(IF($Q48=3,1,IF($Q48=4,1,0)),IF($F48&lt;=85,1,0))</formula>
    </cfRule>
  </conditionalFormatting>
  <conditionalFormatting sqref="AV49">
    <cfRule type="expression" priority="1490" dxfId="17">
      <formula>AV49="X"</formula>
    </cfRule>
    <cfRule type="expression" priority="1491" dxfId="16">
      <formula>AV49="후보"</formula>
    </cfRule>
  </conditionalFormatting>
  <conditionalFormatting sqref="AC49">
    <cfRule type="cellIs" priority="1487" operator="greaterThan" dxfId="13">
      <formula>0.9</formula>
    </cfRule>
    <cfRule type="cellIs" priority="1488" operator="greaterThan" dxfId="12">
      <formula>0.85</formula>
    </cfRule>
  </conditionalFormatting>
  <conditionalFormatting sqref="N49">
    <cfRule type="cellIs" priority="1485" operator="greaterThan" dxfId="13">
      <formula>0.9</formula>
    </cfRule>
    <cfRule type="cellIs" priority="1486" operator="greaterThan" dxfId="12">
      <formula>0.85</formula>
    </cfRule>
  </conditionalFormatting>
  <conditionalFormatting sqref="E49">
    <cfRule type="expression" priority="1481" dxfId="3">
      <formula>AND(IF(OR($Q49=1,$Q49=2),1,0),IF($X49&lt;=20,1,0))</formula>
    </cfRule>
    <cfRule type="expression" priority="1482" dxfId="2">
      <formula>AND(IF($Q49=2,1,0),IF($X49&lt;30,1,0))</formula>
    </cfRule>
    <cfRule type="expression" priority="1483" dxfId="1">
      <formula>AND(IF($Q49=3,1,0),IF($X49&lt;30,1,0))</formula>
    </cfRule>
    <cfRule type="expression" priority="1484" dxfId="0">
      <formula>AND(IF($Q49=3,1,IF($Q49=4,1,0)),IF($F49&lt;=85,1,0))</formula>
    </cfRule>
  </conditionalFormatting>
  <conditionalFormatting sqref="X49">
    <cfRule type="expression" priority="1477" dxfId="3">
      <formula>AND(IF(OR($Q49=1,$Q49=2),1,0),IF($X49&lt;=20,1,0))</formula>
    </cfRule>
    <cfRule type="expression" priority="1478" dxfId="2">
      <formula>AND(IF($Q49=2,1,0),IF($X49&lt;30,1,0))</formula>
    </cfRule>
    <cfRule type="expression" priority="1479" dxfId="1">
      <formula>AND(IF($Q49=3,1,0),IF($X49&lt;30,1,0))</formula>
    </cfRule>
    <cfRule type="expression" priority="1480" dxfId="0">
      <formula>AND(IF($Q49=3,1,IF($Q49=4,1,0)),IF($F49&lt;=85,1,0))</formula>
    </cfRule>
  </conditionalFormatting>
  <conditionalFormatting sqref="AI49">
    <cfRule type="expression" priority="1473" dxfId="3">
      <formula>AND(IF(OR($Q49=1,$Q49=2),1,0),IF($X49&lt;=20,1,0))</formula>
    </cfRule>
    <cfRule type="expression" priority="1474" dxfId="2">
      <formula>AND(IF($Q49=2,1,0),IF($X49&lt;30,1,0))</formula>
    </cfRule>
    <cfRule type="expression" priority="1475" dxfId="1">
      <formula>AND(IF($Q49=3,1,0),IF($X49&lt;30,1,0))</formula>
    </cfRule>
    <cfRule type="expression" priority="1476" dxfId="0">
      <formula>AND(IF($Q49=3,1,IF($Q49=4,1,0)),IF($F49&lt;=85,1,0))</formula>
    </cfRule>
  </conditionalFormatting>
  <conditionalFormatting sqref="AV50">
    <cfRule type="expression" priority="1471" dxfId="17">
      <formula>AV50="X"</formula>
    </cfRule>
    <cfRule type="expression" priority="1472" dxfId="16">
      <formula>AV50="후보"</formula>
    </cfRule>
  </conditionalFormatting>
  <conditionalFormatting sqref="AC50 N50">
    <cfRule type="cellIs" priority="1468" operator="greaterThan" dxfId="13">
      <formula>0.9</formula>
    </cfRule>
    <cfRule type="cellIs" priority="1469" operator="greaterThan" dxfId="12">
      <formula>0.85</formula>
    </cfRule>
  </conditionalFormatting>
  <conditionalFormatting sqref="AV51">
    <cfRule type="expression" priority="1466" dxfId="17">
      <formula>AV51="X"</formula>
    </cfRule>
    <cfRule type="expression" priority="1467" dxfId="16">
      <formula>AV51="후보"</formula>
    </cfRule>
  </conditionalFormatting>
  <conditionalFormatting sqref="AC51">
    <cfRule type="cellIs" priority="1463" operator="greaterThan" dxfId="13">
      <formula>0.9</formula>
    </cfRule>
    <cfRule type="cellIs" priority="1464" operator="greaterThan" dxfId="12">
      <formula>0.85</formula>
    </cfRule>
  </conditionalFormatting>
  <conditionalFormatting sqref="N51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E51">
    <cfRule type="expression" priority="1457" dxfId="3">
      <formula>AND(IF(OR($Q51=1,$Q51=2),1,0),IF($X51&lt;=20,1,0))</formula>
    </cfRule>
    <cfRule type="expression" priority="1458" dxfId="2">
      <formula>AND(IF($Q51=2,1,0),IF($X51&lt;30,1,0))</formula>
    </cfRule>
    <cfRule type="expression" priority="1459" dxfId="1">
      <formula>AND(IF($Q51=3,1,0),IF($X51&lt;30,1,0))</formula>
    </cfRule>
    <cfRule type="expression" priority="1460" dxfId="0">
      <formula>AND(IF($Q51=3,1,IF($Q51=4,1,0)),IF($F51&lt;=85,1,0))</formula>
    </cfRule>
  </conditionalFormatting>
  <conditionalFormatting sqref="X51">
    <cfRule type="expression" priority="1453" dxfId="3">
      <formula>AND(IF(OR($Q51=1,$Q51=2),1,0),IF($X51&lt;=20,1,0))</formula>
    </cfRule>
    <cfRule type="expression" priority="1454" dxfId="2">
      <formula>AND(IF($Q51=2,1,0),IF($X51&lt;30,1,0))</formula>
    </cfRule>
    <cfRule type="expression" priority="1455" dxfId="1">
      <formula>AND(IF($Q51=3,1,0),IF($X51&lt;30,1,0))</formula>
    </cfRule>
    <cfRule type="expression" priority="1456" dxfId="0">
      <formula>AND(IF($Q51=3,1,IF($Q51=4,1,0)),IF($F51&lt;=85,1,0))</formula>
    </cfRule>
  </conditionalFormatting>
  <conditionalFormatting sqref="AI51">
    <cfRule type="expression" priority="1449" dxfId="3">
      <formula>AND(IF(OR($Q51=1,$Q51=2),1,0),IF($X51&lt;=20,1,0))</formula>
    </cfRule>
    <cfRule type="expression" priority="1450" dxfId="2">
      <formula>AND(IF($Q51=2,1,0),IF($X51&lt;30,1,0))</formula>
    </cfRule>
    <cfRule type="expression" priority="1451" dxfId="1">
      <formula>AND(IF($Q51=3,1,0),IF($X51&lt;30,1,0))</formula>
    </cfRule>
    <cfRule type="expression" priority="1452" dxfId="0">
      <formula>AND(IF($Q51=3,1,IF($Q51=4,1,0)),IF($F51&lt;=85,1,0))</formula>
    </cfRule>
  </conditionalFormatting>
  <conditionalFormatting sqref="AV52">
    <cfRule type="expression" priority="1447" dxfId="17">
      <formula>AV52="X"</formula>
    </cfRule>
    <cfRule type="expression" priority="1448" dxfId="16">
      <formula>AV52="후보"</formula>
    </cfRule>
  </conditionalFormatting>
  <conditionalFormatting sqref="AC52">
    <cfRule type="cellIs" priority="1444" operator="greaterThan" dxfId="13">
      <formula>0.9</formula>
    </cfRule>
    <cfRule type="cellIs" priority="1445" operator="greaterThan" dxfId="12">
      <formula>0.85</formula>
    </cfRule>
  </conditionalFormatting>
  <conditionalFormatting sqref="N52">
    <cfRule type="cellIs" priority="1442" operator="greaterThan" dxfId="13">
      <formula>0.9</formula>
    </cfRule>
    <cfRule type="cellIs" priority="1443" operator="greaterThan" dxfId="12">
      <formula>0.85</formula>
    </cfRule>
  </conditionalFormatting>
  <conditionalFormatting sqref="E52">
    <cfRule type="expression" priority="1438" dxfId="3">
      <formula>AND(IF(OR($Q52=1,$Q52=2),1,0),IF($X52&lt;=20,1,0))</formula>
    </cfRule>
    <cfRule type="expression" priority="1439" dxfId="2">
      <formula>AND(IF($Q52=2,1,0),IF($X52&lt;30,1,0))</formula>
    </cfRule>
    <cfRule type="expression" priority="1440" dxfId="1">
      <formula>AND(IF($Q52=3,1,0),IF($X52&lt;30,1,0))</formula>
    </cfRule>
    <cfRule type="expression" priority="1441" dxfId="0">
      <formula>AND(IF($Q52=3,1,IF($Q52=4,1,0)),IF($F52&lt;=85,1,0))</formula>
    </cfRule>
  </conditionalFormatting>
  <conditionalFormatting sqref="X52">
    <cfRule type="expression" priority="1434" dxfId="3">
      <formula>AND(IF(OR($Q52=1,$Q52=2),1,0),IF($X52&lt;=20,1,0))</formula>
    </cfRule>
    <cfRule type="expression" priority="1435" dxfId="2">
      <formula>AND(IF($Q52=2,1,0),IF($X52&lt;30,1,0))</formula>
    </cfRule>
    <cfRule type="expression" priority="1436" dxfId="1">
      <formula>AND(IF($Q52=3,1,0),IF($X52&lt;30,1,0))</formula>
    </cfRule>
    <cfRule type="expression" priority="1437" dxfId="0">
      <formula>AND(IF($Q52=3,1,IF($Q52=4,1,0)),IF($F52&lt;=85,1,0))</formula>
    </cfRule>
  </conditionalFormatting>
  <conditionalFormatting sqref="AI52">
    <cfRule type="expression" priority="1430" dxfId="3">
      <formula>AND(IF(OR($Q52=1,$Q52=2),1,0),IF($X52&lt;=20,1,0))</formula>
    </cfRule>
    <cfRule type="expression" priority="1431" dxfId="2">
      <formula>AND(IF($Q52=2,1,0),IF($X52&lt;30,1,0))</formula>
    </cfRule>
    <cfRule type="expression" priority="1432" dxfId="1">
      <formula>AND(IF($Q52=3,1,0),IF($X52&lt;30,1,0))</formula>
    </cfRule>
    <cfRule type="expression" priority="1433" dxfId="0">
      <formula>AND(IF($Q52=3,1,IF($Q52=4,1,0)),IF($F52&lt;=85,1,0))</formula>
    </cfRule>
  </conditionalFormatting>
  <conditionalFormatting sqref="AV53">
    <cfRule type="expression" priority="1428" dxfId="17">
      <formula>AV53="X"</formula>
    </cfRule>
    <cfRule type="expression" priority="1429" dxfId="16">
      <formula>AV53="후보"</formula>
    </cfRule>
  </conditionalFormatting>
  <conditionalFormatting sqref="AC53">
    <cfRule type="cellIs" priority="1425" operator="greaterThan" dxfId="13">
      <formula>0.9</formula>
    </cfRule>
    <cfRule type="cellIs" priority="1426" operator="greaterThan" dxfId="12">
      <formula>0.85</formula>
    </cfRule>
  </conditionalFormatting>
  <conditionalFormatting sqref="N53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E53">
    <cfRule type="expression" priority="1419" dxfId="3">
      <formula>AND(IF(OR($Q53=1,$Q53=2),1,0),IF($X53&lt;=20,1,0))</formula>
    </cfRule>
    <cfRule type="expression" priority="1420" dxfId="2">
      <formula>AND(IF($Q53=2,1,0),IF($X53&lt;30,1,0))</formula>
    </cfRule>
    <cfRule type="expression" priority="1421" dxfId="1">
      <formula>AND(IF($Q53=3,1,0),IF($X53&lt;30,1,0))</formula>
    </cfRule>
    <cfRule type="expression" priority="1422" dxfId="0">
      <formula>AND(IF($Q53=3,1,IF($Q53=4,1,0)),IF($F53&lt;=85,1,0))</formula>
    </cfRule>
  </conditionalFormatting>
  <conditionalFormatting sqref="X53">
    <cfRule type="expression" priority="1415" dxfId="3">
      <formula>AND(IF(OR($Q53=1,$Q53=2),1,0),IF($X53&lt;=20,1,0))</formula>
    </cfRule>
    <cfRule type="expression" priority="1416" dxfId="2">
      <formula>AND(IF($Q53=2,1,0),IF($X53&lt;30,1,0))</formula>
    </cfRule>
    <cfRule type="expression" priority="1417" dxfId="1">
      <formula>AND(IF($Q53=3,1,0),IF($X53&lt;30,1,0))</formula>
    </cfRule>
    <cfRule type="expression" priority="1418" dxfId="0">
      <formula>AND(IF($Q53=3,1,IF($Q53=4,1,0)),IF($F53&lt;=85,1,0))</formula>
    </cfRule>
  </conditionalFormatting>
  <conditionalFormatting sqref="AI53">
    <cfRule type="expression" priority="1411" dxfId="3">
      <formula>AND(IF(OR($Q53=1,$Q53=2),1,0),IF($X53&lt;=20,1,0))</formula>
    </cfRule>
    <cfRule type="expression" priority="1412" dxfId="2">
      <formula>AND(IF($Q53=2,1,0),IF($X53&lt;30,1,0))</formula>
    </cfRule>
    <cfRule type="expression" priority="1413" dxfId="1">
      <formula>AND(IF($Q53=3,1,0),IF($X53&lt;30,1,0))</formula>
    </cfRule>
    <cfRule type="expression" priority="1414" dxfId="0">
      <formula>AND(IF($Q53=3,1,IF($Q53=4,1,0)),IF($F53&lt;=85,1,0))</formula>
    </cfRule>
  </conditionalFormatting>
  <conditionalFormatting sqref="AV54">
    <cfRule type="expression" priority="1409" dxfId="17">
      <formula>AV54="X"</formula>
    </cfRule>
    <cfRule type="expression" priority="1410" dxfId="16">
      <formula>AV54="후보"</formula>
    </cfRule>
  </conditionalFormatting>
  <conditionalFormatting sqref="AC54">
    <cfRule type="cellIs" priority="1406" operator="greaterThan" dxfId="13">
      <formula>0.9</formula>
    </cfRule>
    <cfRule type="cellIs" priority="1407" operator="greaterThan" dxfId="12">
      <formula>0.85</formula>
    </cfRule>
  </conditionalFormatting>
  <conditionalFormatting sqref="N54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E54">
    <cfRule type="expression" priority="1400" dxfId="3">
      <formula>AND(IF(OR($Q54=1,$Q54=2),1,0),IF($X54&lt;=20,1,0))</formula>
    </cfRule>
    <cfRule type="expression" priority="1401" dxfId="2">
      <formula>AND(IF($Q54=2,1,0),IF($X54&lt;30,1,0))</formula>
    </cfRule>
    <cfRule type="expression" priority="1402" dxfId="1">
      <formula>AND(IF($Q54=3,1,0),IF($X54&lt;30,1,0))</formula>
    </cfRule>
    <cfRule type="expression" priority="1403" dxfId="0">
      <formula>AND(IF($Q54=3,1,IF($Q54=4,1,0)),IF($F54&lt;=85,1,0))</formula>
    </cfRule>
  </conditionalFormatting>
  <conditionalFormatting sqref="X54">
    <cfRule type="expression" priority="1396" dxfId="3">
      <formula>AND(IF(OR($Q54=1,$Q54=2),1,0),IF($X54&lt;=20,1,0))</formula>
    </cfRule>
    <cfRule type="expression" priority="1397" dxfId="2">
      <formula>AND(IF($Q54=2,1,0),IF($X54&lt;30,1,0))</formula>
    </cfRule>
    <cfRule type="expression" priority="1398" dxfId="1">
      <formula>AND(IF($Q54=3,1,0),IF($X54&lt;30,1,0))</formula>
    </cfRule>
    <cfRule type="expression" priority="1399" dxfId="0">
      <formula>AND(IF($Q54=3,1,IF($Q54=4,1,0)),IF($F54&lt;=85,1,0))</formula>
    </cfRule>
  </conditionalFormatting>
  <conditionalFormatting sqref="AI54">
    <cfRule type="expression" priority="1392" dxfId="3">
      <formula>AND(IF(OR($Q54=1,$Q54=2),1,0),IF($X54&lt;=20,1,0))</formula>
    </cfRule>
    <cfRule type="expression" priority="1393" dxfId="2">
      <formula>AND(IF($Q54=2,1,0),IF($X54&lt;30,1,0))</formula>
    </cfRule>
    <cfRule type="expression" priority="1394" dxfId="1">
      <formula>AND(IF($Q54=3,1,0),IF($X54&lt;30,1,0))</formula>
    </cfRule>
    <cfRule type="expression" priority="1395" dxfId="0">
      <formula>AND(IF($Q54=3,1,IF($Q54=4,1,0)),IF($F54&lt;=85,1,0))</formula>
    </cfRule>
  </conditionalFormatting>
  <conditionalFormatting sqref="AV55">
    <cfRule type="expression" priority="1390" dxfId="17">
      <formula>AV55="X"</formula>
    </cfRule>
    <cfRule type="expression" priority="1391" dxfId="16">
      <formula>AV55="후보"</formula>
    </cfRule>
  </conditionalFormatting>
  <conditionalFormatting sqref="AC55 N55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AV56">
    <cfRule type="expression" priority="1385" dxfId="17">
      <formula>AV56="X"</formula>
    </cfRule>
    <cfRule type="expression" priority="1386" dxfId="16">
      <formula>AV56="후보"</formula>
    </cfRule>
  </conditionalFormatting>
  <conditionalFormatting sqref="AC56">
    <cfRule type="cellIs" priority="1382" operator="greaterThan" dxfId="13">
      <formula>0.9</formula>
    </cfRule>
    <cfRule type="cellIs" priority="1383" operator="greaterThan" dxfId="12">
      <formula>0.85</formula>
    </cfRule>
  </conditionalFormatting>
  <conditionalFormatting sqref="N56">
    <cfRule type="cellIs" priority="1380" operator="greaterThan" dxfId="13">
      <formula>0.9</formula>
    </cfRule>
    <cfRule type="cellIs" priority="1381" operator="greaterThan" dxfId="12">
      <formula>0.85</formula>
    </cfRule>
  </conditionalFormatting>
  <conditionalFormatting sqref="E56">
    <cfRule type="expression" priority="1376" dxfId="3">
      <formula>AND(IF(OR($Q56=1,$Q56=2),1,0),IF($X56&lt;=20,1,0))</formula>
    </cfRule>
    <cfRule type="expression" priority="1377" dxfId="2">
      <formula>AND(IF($Q56=2,1,0),IF($X56&lt;30,1,0))</formula>
    </cfRule>
    <cfRule type="expression" priority="1378" dxfId="1">
      <formula>AND(IF($Q56=3,1,0),IF($X56&lt;30,1,0))</formula>
    </cfRule>
    <cfRule type="expression" priority="1379" dxfId="0">
      <formula>AND(IF($Q56=3,1,IF($Q56=4,1,0)),IF($F56&lt;=85,1,0))</formula>
    </cfRule>
  </conditionalFormatting>
  <conditionalFormatting sqref="X56">
    <cfRule type="expression" priority="1372" dxfId="3">
      <formula>AND(IF(OR($Q56=1,$Q56=2),1,0),IF($X56&lt;=20,1,0))</formula>
    </cfRule>
    <cfRule type="expression" priority="1373" dxfId="2">
      <formula>AND(IF($Q56=2,1,0),IF($X56&lt;30,1,0))</formula>
    </cfRule>
    <cfRule type="expression" priority="1374" dxfId="1">
      <formula>AND(IF($Q56=3,1,0),IF($X56&lt;30,1,0))</formula>
    </cfRule>
    <cfRule type="expression" priority="1375" dxfId="0">
      <formula>AND(IF($Q56=3,1,IF($Q56=4,1,0)),IF($F56&lt;=85,1,0))</formula>
    </cfRule>
  </conditionalFormatting>
  <conditionalFormatting sqref="AI56">
    <cfRule type="expression" priority="1368" dxfId="3">
      <formula>AND(IF(OR($Q56=1,$Q56=2),1,0),IF($X56&lt;=20,1,0))</formula>
    </cfRule>
    <cfRule type="expression" priority="1369" dxfId="2">
      <formula>AND(IF($Q56=2,1,0),IF($X56&lt;30,1,0))</formula>
    </cfRule>
    <cfRule type="expression" priority="1370" dxfId="1">
      <formula>AND(IF($Q56=3,1,0),IF($X56&lt;30,1,0))</formula>
    </cfRule>
    <cfRule type="expression" priority="1371" dxfId="0">
      <formula>AND(IF($Q56=3,1,IF($Q56=4,1,0)),IF($F56&lt;=85,1,0))</formula>
    </cfRule>
  </conditionalFormatting>
  <conditionalFormatting sqref="AV57">
    <cfRule type="expression" priority="1366" dxfId="17">
      <formula>AV57="X"</formula>
    </cfRule>
    <cfRule type="expression" priority="1367" dxfId="16">
      <formula>AV57="후보"</formula>
    </cfRule>
  </conditionalFormatting>
  <conditionalFormatting sqref="AC57 N57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AV58">
    <cfRule type="expression" priority="1361" dxfId="17">
      <formula>AV58="X"</formula>
    </cfRule>
    <cfRule type="expression" priority="1362" dxfId="16">
      <formula>AV58="후보"</formula>
    </cfRule>
  </conditionalFormatting>
  <conditionalFormatting sqref="AC58">
    <cfRule type="cellIs" priority="1358" operator="greaterThan" dxfId="13">
      <formula>0.9</formula>
    </cfRule>
    <cfRule type="cellIs" priority="1359" operator="greaterThan" dxfId="12">
      <formula>0.85</formula>
    </cfRule>
  </conditionalFormatting>
  <conditionalFormatting sqref="N58">
    <cfRule type="cellIs" priority="1356" operator="greaterThan" dxfId="13">
      <formula>0.9</formula>
    </cfRule>
    <cfRule type="cellIs" priority="1357" operator="greaterThan" dxfId="12">
      <formula>0.85</formula>
    </cfRule>
  </conditionalFormatting>
  <conditionalFormatting sqref="E58">
    <cfRule type="expression" priority="1352" dxfId="3">
      <formula>AND(IF(OR($Q58=1,$Q58=2),1,0),IF($X58&lt;=20,1,0))</formula>
    </cfRule>
    <cfRule type="expression" priority="1353" dxfId="2">
      <formula>AND(IF($Q58=2,1,0),IF($X58&lt;30,1,0))</formula>
    </cfRule>
    <cfRule type="expression" priority="1354" dxfId="1">
      <formula>AND(IF($Q58=3,1,0),IF($X58&lt;30,1,0))</formula>
    </cfRule>
    <cfRule type="expression" priority="1355" dxfId="0">
      <formula>AND(IF($Q58=3,1,IF($Q58=4,1,0)),IF($F58&lt;=85,1,0))</formula>
    </cfRule>
  </conditionalFormatting>
  <conditionalFormatting sqref="X58">
    <cfRule type="expression" priority="1348" dxfId="3">
      <formula>AND(IF(OR($Q58=1,$Q58=2),1,0),IF($X58&lt;=20,1,0))</formula>
    </cfRule>
    <cfRule type="expression" priority="1349" dxfId="2">
      <formula>AND(IF($Q58=2,1,0),IF($X58&lt;30,1,0))</formula>
    </cfRule>
    <cfRule type="expression" priority="1350" dxfId="1">
      <formula>AND(IF($Q58=3,1,0),IF($X58&lt;30,1,0))</formula>
    </cfRule>
    <cfRule type="expression" priority="1351" dxfId="0">
      <formula>AND(IF($Q58=3,1,IF($Q58=4,1,0)),IF($F58&lt;=85,1,0))</formula>
    </cfRule>
  </conditionalFormatting>
  <conditionalFormatting sqref="AI58">
    <cfRule type="expression" priority="1344" dxfId="3">
      <formula>AND(IF(OR($Q58=1,$Q58=2),1,0),IF($X58&lt;=20,1,0))</formula>
    </cfRule>
    <cfRule type="expression" priority="1345" dxfId="2">
      <formula>AND(IF($Q58=2,1,0),IF($X58&lt;30,1,0))</formula>
    </cfRule>
    <cfRule type="expression" priority="1346" dxfId="1">
      <formula>AND(IF($Q58=3,1,0),IF($X58&lt;30,1,0))</formula>
    </cfRule>
    <cfRule type="expression" priority="1347" dxfId="0">
      <formula>AND(IF($Q58=3,1,IF($Q58=4,1,0)),IF($F58&lt;=85,1,0))</formula>
    </cfRule>
  </conditionalFormatting>
  <conditionalFormatting sqref="AV59">
    <cfRule type="expression" priority="1342" dxfId="17">
      <formula>AV59="X"</formula>
    </cfRule>
    <cfRule type="expression" priority="1343" dxfId="16">
      <formula>AV59="후보"</formula>
    </cfRule>
  </conditionalFormatting>
  <conditionalFormatting sqref="AC59">
    <cfRule type="cellIs" priority="1339" operator="greaterThan" dxfId="13">
      <formula>0.9</formula>
    </cfRule>
    <cfRule type="cellIs" priority="1340" operator="greaterThan" dxfId="12">
      <formula>0.85</formula>
    </cfRule>
  </conditionalFormatting>
  <conditionalFormatting sqref="N59">
    <cfRule type="cellIs" priority="1337" operator="greaterThan" dxfId="13">
      <formula>0.9</formula>
    </cfRule>
    <cfRule type="cellIs" priority="1338" operator="greaterThan" dxfId="12">
      <formula>0.85</formula>
    </cfRule>
  </conditionalFormatting>
  <conditionalFormatting sqref="E59">
    <cfRule type="expression" priority="1333" dxfId="3">
      <formula>AND(IF(OR($Q59=1,$Q59=2),1,0),IF($X59&lt;=20,1,0))</formula>
    </cfRule>
    <cfRule type="expression" priority="1334" dxfId="2">
      <formula>AND(IF($Q59=2,1,0),IF($X59&lt;30,1,0))</formula>
    </cfRule>
    <cfRule type="expression" priority="1335" dxfId="1">
      <formula>AND(IF($Q59=3,1,0),IF($X59&lt;30,1,0))</formula>
    </cfRule>
    <cfRule type="expression" priority="1336" dxfId="0">
      <formula>AND(IF($Q59=3,1,IF($Q59=4,1,0)),IF($F59&lt;=85,1,0))</formula>
    </cfRule>
  </conditionalFormatting>
  <conditionalFormatting sqref="X59">
    <cfRule type="expression" priority="1329" dxfId="3">
      <formula>AND(IF(OR($Q59=1,$Q59=2),1,0),IF($X59&lt;=20,1,0))</formula>
    </cfRule>
    <cfRule type="expression" priority="1330" dxfId="2">
      <formula>AND(IF($Q59=2,1,0),IF($X59&lt;30,1,0))</formula>
    </cfRule>
    <cfRule type="expression" priority="1331" dxfId="1">
      <formula>AND(IF($Q59=3,1,0),IF($X59&lt;30,1,0))</formula>
    </cfRule>
    <cfRule type="expression" priority="1332" dxfId="0">
      <formula>AND(IF($Q59=3,1,IF($Q59=4,1,0)),IF($F59&lt;=85,1,0))</formula>
    </cfRule>
  </conditionalFormatting>
  <conditionalFormatting sqref="AI59">
    <cfRule type="expression" priority="1325" dxfId="3">
      <formula>AND(IF(OR($Q59=1,$Q59=2),1,0),IF($X59&lt;=20,1,0))</formula>
    </cfRule>
    <cfRule type="expression" priority="1326" dxfId="2">
      <formula>AND(IF($Q59=2,1,0),IF($X59&lt;30,1,0))</formula>
    </cfRule>
    <cfRule type="expression" priority="1327" dxfId="1">
      <formula>AND(IF($Q59=3,1,0),IF($X59&lt;30,1,0))</formula>
    </cfRule>
    <cfRule type="expression" priority="1328" dxfId="0">
      <formula>AND(IF($Q59=3,1,IF($Q59=4,1,0)),IF($F59&lt;=85,1,0))</formula>
    </cfRule>
  </conditionalFormatting>
  <conditionalFormatting sqref="AV60">
    <cfRule type="expression" priority="1323" dxfId="17">
      <formula>AV60="X"</formula>
    </cfRule>
    <cfRule type="expression" priority="1324" dxfId="16">
      <formula>AV60="후보"</formula>
    </cfRule>
  </conditionalFormatting>
  <conditionalFormatting sqref="AC60">
    <cfRule type="cellIs" priority="1320" operator="greaterThan" dxfId="13">
      <formula>0.9</formula>
    </cfRule>
    <cfRule type="cellIs" priority="1321" operator="greaterThan" dxfId="12">
      <formula>0.85</formula>
    </cfRule>
  </conditionalFormatting>
  <conditionalFormatting sqref="N60">
    <cfRule type="cellIs" priority="1318" operator="greaterThan" dxfId="13">
      <formula>0.9</formula>
    </cfRule>
    <cfRule type="cellIs" priority="1319" operator="greaterThan" dxfId="12">
      <formula>0.85</formula>
    </cfRule>
  </conditionalFormatting>
  <conditionalFormatting sqref="E60">
    <cfRule type="expression" priority="1314" dxfId="3">
      <formula>AND(IF(OR($Q60=1,$Q60=2),1,0),IF($X60&lt;=20,1,0))</formula>
    </cfRule>
    <cfRule type="expression" priority="1315" dxfId="2">
      <formula>AND(IF($Q60=2,1,0),IF($X60&lt;30,1,0))</formula>
    </cfRule>
    <cfRule type="expression" priority="1316" dxfId="1">
      <formula>AND(IF($Q60=3,1,0),IF($X60&lt;30,1,0))</formula>
    </cfRule>
    <cfRule type="expression" priority="1317" dxfId="0">
      <formula>AND(IF($Q60=3,1,IF($Q60=4,1,0)),IF($F60&lt;=85,1,0))</formula>
    </cfRule>
  </conditionalFormatting>
  <conditionalFormatting sqref="X60">
    <cfRule type="expression" priority="1310" dxfId="3">
      <formula>AND(IF(OR($Q60=1,$Q60=2),1,0),IF($X60&lt;=20,1,0))</formula>
    </cfRule>
    <cfRule type="expression" priority="1311" dxfId="2">
      <formula>AND(IF($Q60=2,1,0),IF($X60&lt;30,1,0))</formula>
    </cfRule>
    <cfRule type="expression" priority="1312" dxfId="1">
      <formula>AND(IF($Q60=3,1,0),IF($X60&lt;30,1,0))</formula>
    </cfRule>
    <cfRule type="expression" priority="1313" dxfId="0">
      <formula>AND(IF($Q60=3,1,IF($Q60=4,1,0)),IF($F60&lt;=85,1,0))</formula>
    </cfRule>
  </conditionalFormatting>
  <conditionalFormatting sqref="AI60">
    <cfRule type="expression" priority="1306" dxfId="3">
      <formula>AND(IF(OR($Q60=1,$Q60=2),1,0),IF($X60&lt;=20,1,0))</formula>
    </cfRule>
    <cfRule type="expression" priority="1307" dxfId="2">
      <formula>AND(IF($Q60=2,1,0),IF($X60&lt;30,1,0))</formula>
    </cfRule>
    <cfRule type="expression" priority="1308" dxfId="1">
      <formula>AND(IF($Q60=3,1,0),IF($X60&lt;30,1,0))</formula>
    </cfRule>
    <cfRule type="expression" priority="1309" dxfId="0">
      <formula>AND(IF($Q60=3,1,IF($Q60=4,1,0)),IF($F60&lt;=85,1,0))</formula>
    </cfRule>
  </conditionalFormatting>
  <conditionalFormatting sqref="AV61">
    <cfRule type="expression" priority="1304" dxfId="17">
      <formula>AV61="X"</formula>
    </cfRule>
    <cfRule type="expression" priority="1305" dxfId="16">
      <formula>AV61="후보"</formula>
    </cfRule>
  </conditionalFormatting>
  <conditionalFormatting sqref="AC61">
    <cfRule type="cellIs" priority="1301" operator="greaterThan" dxfId="13">
      <formula>0.9</formula>
    </cfRule>
    <cfRule type="cellIs" priority="1302" operator="greaterThan" dxfId="12">
      <formula>0.85</formula>
    </cfRule>
  </conditionalFormatting>
  <conditionalFormatting sqref="N61">
    <cfRule type="cellIs" priority="1299" operator="greaterThan" dxfId="13">
      <formula>0.9</formula>
    </cfRule>
    <cfRule type="cellIs" priority="1300" operator="greaterThan" dxfId="12">
      <formula>0.85</formula>
    </cfRule>
  </conditionalFormatting>
  <conditionalFormatting sqref="E61">
    <cfRule type="expression" priority="1295" dxfId="3">
      <formula>AND(IF(OR($Q61=1,$Q61=2),1,0),IF($X61&lt;=20,1,0))</formula>
    </cfRule>
    <cfRule type="expression" priority="1296" dxfId="2">
      <formula>AND(IF($Q61=2,1,0),IF($X61&lt;30,1,0))</formula>
    </cfRule>
    <cfRule type="expression" priority="1297" dxfId="1">
      <formula>AND(IF($Q61=3,1,0),IF($X61&lt;30,1,0))</formula>
    </cfRule>
    <cfRule type="expression" priority="1298" dxfId="0">
      <formula>AND(IF($Q61=3,1,IF($Q61=4,1,0)),IF($F61&lt;=85,1,0))</formula>
    </cfRule>
  </conditionalFormatting>
  <conditionalFormatting sqref="X61">
    <cfRule type="expression" priority="1291" dxfId="3">
      <formula>AND(IF(OR($Q61=1,$Q61=2),1,0),IF($X61&lt;=20,1,0))</formula>
    </cfRule>
    <cfRule type="expression" priority="1292" dxfId="2">
      <formula>AND(IF($Q61=2,1,0),IF($X61&lt;30,1,0))</formula>
    </cfRule>
    <cfRule type="expression" priority="1293" dxfId="1">
      <formula>AND(IF($Q61=3,1,0),IF($X61&lt;30,1,0))</formula>
    </cfRule>
    <cfRule type="expression" priority="1294" dxfId="0">
      <formula>AND(IF($Q61=3,1,IF($Q61=4,1,0)),IF($F61&lt;=85,1,0))</formula>
    </cfRule>
  </conditionalFormatting>
  <conditionalFormatting sqref="AI61">
    <cfRule type="expression" priority="1287" dxfId="3">
      <formula>AND(IF(OR($Q61=1,$Q61=2),1,0),IF($X61&lt;=20,1,0))</formula>
    </cfRule>
    <cfRule type="expression" priority="1288" dxfId="2">
      <formula>AND(IF($Q61=2,1,0),IF($X61&lt;30,1,0))</formula>
    </cfRule>
    <cfRule type="expression" priority="1289" dxfId="1">
      <formula>AND(IF($Q61=3,1,0),IF($X61&lt;30,1,0))</formula>
    </cfRule>
    <cfRule type="expression" priority="1290" dxfId="0">
      <formula>AND(IF($Q61=3,1,IF($Q61=4,1,0)),IF($F61&lt;=85,1,0))</formula>
    </cfRule>
  </conditionalFormatting>
  <conditionalFormatting sqref="AV62">
    <cfRule type="expression" priority="1285" dxfId="17">
      <formula>AV62="X"</formula>
    </cfRule>
    <cfRule type="expression" priority="1286" dxfId="16">
      <formula>AV62="후보"</formula>
    </cfRule>
  </conditionalFormatting>
  <conditionalFormatting sqref="AC62">
    <cfRule type="cellIs" priority="1282" operator="greaterThan" dxfId="13">
      <formula>0.9</formula>
    </cfRule>
    <cfRule type="cellIs" priority="1283" operator="greaterThan" dxfId="12">
      <formula>0.85</formula>
    </cfRule>
  </conditionalFormatting>
  <conditionalFormatting sqref="N62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E62">
    <cfRule type="expression" priority="1276" dxfId="3">
      <formula>AND(IF(OR($Q62=1,$Q62=2),1,0),IF($X62&lt;=20,1,0))</formula>
    </cfRule>
    <cfRule type="expression" priority="1277" dxfId="2">
      <formula>AND(IF($Q62=2,1,0),IF($X62&lt;30,1,0))</formula>
    </cfRule>
    <cfRule type="expression" priority="1278" dxfId="1">
      <formula>AND(IF($Q62=3,1,0),IF($X62&lt;30,1,0))</formula>
    </cfRule>
    <cfRule type="expression" priority="1279" dxfId="0">
      <formula>AND(IF($Q62=3,1,IF($Q62=4,1,0)),IF($F62&lt;=85,1,0))</formula>
    </cfRule>
  </conditionalFormatting>
  <conditionalFormatting sqref="X62">
    <cfRule type="expression" priority="1272" dxfId="3">
      <formula>AND(IF(OR($Q62=1,$Q62=2),1,0),IF($X62&lt;=20,1,0))</formula>
    </cfRule>
    <cfRule type="expression" priority="1273" dxfId="2">
      <formula>AND(IF($Q62=2,1,0),IF($X62&lt;30,1,0))</formula>
    </cfRule>
    <cfRule type="expression" priority="1274" dxfId="1">
      <formula>AND(IF($Q62=3,1,0),IF($X62&lt;30,1,0))</formula>
    </cfRule>
    <cfRule type="expression" priority="1275" dxfId="0">
      <formula>AND(IF($Q62=3,1,IF($Q62=4,1,0)),IF($F62&lt;=85,1,0))</formula>
    </cfRule>
  </conditionalFormatting>
  <conditionalFormatting sqref="AI62">
    <cfRule type="expression" priority="1268" dxfId="3">
      <formula>AND(IF(OR($Q62=1,$Q62=2),1,0),IF($X62&lt;=20,1,0))</formula>
    </cfRule>
    <cfRule type="expression" priority="1269" dxfId="2">
      <formula>AND(IF($Q62=2,1,0),IF($X62&lt;30,1,0))</formula>
    </cfRule>
    <cfRule type="expression" priority="1270" dxfId="1">
      <formula>AND(IF($Q62=3,1,0),IF($X62&lt;30,1,0))</formula>
    </cfRule>
    <cfRule type="expression" priority="1271" dxfId="0">
      <formula>AND(IF($Q62=3,1,IF($Q62=4,1,0)),IF($F62&lt;=85,1,0))</formula>
    </cfRule>
  </conditionalFormatting>
  <conditionalFormatting sqref="AV63">
    <cfRule type="expression" priority="1266" dxfId="17">
      <formula>AV63="X"</formula>
    </cfRule>
    <cfRule type="expression" priority="1267" dxfId="16">
      <formula>AV63="후보"</formula>
    </cfRule>
  </conditionalFormatting>
  <conditionalFormatting sqref="AC63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63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E63">
    <cfRule type="expression" priority="1257" dxfId="3">
      <formula>AND(IF(OR($Q63=1,$Q63=2),1,0),IF($X63&lt;=20,1,0))</formula>
    </cfRule>
    <cfRule type="expression" priority="1258" dxfId="2">
      <formula>AND(IF($Q63=2,1,0),IF($X63&lt;30,1,0))</formula>
    </cfRule>
    <cfRule type="expression" priority="1259" dxfId="1">
      <formula>AND(IF($Q63=3,1,0),IF($X63&lt;30,1,0))</formula>
    </cfRule>
    <cfRule type="expression" priority="1260" dxfId="0">
      <formula>AND(IF($Q63=3,1,IF($Q63=4,1,0)),IF($F63&lt;=85,1,0))</formula>
    </cfRule>
  </conditionalFormatting>
  <conditionalFormatting sqref="X63">
    <cfRule type="expression" priority="1253" dxfId="3">
      <formula>AND(IF(OR($Q63=1,$Q63=2),1,0),IF($X63&lt;=20,1,0))</formula>
    </cfRule>
    <cfRule type="expression" priority="1254" dxfId="2">
      <formula>AND(IF($Q63=2,1,0),IF($X63&lt;30,1,0))</formula>
    </cfRule>
    <cfRule type="expression" priority="1255" dxfId="1">
      <formula>AND(IF($Q63=3,1,0),IF($X63&lt;30,1,0))</formula>
    </cfRule>
    <cfRule type="expression" priority="1256" dxfId="0">
      <formula>AND(IF($Q63=3,1,IF($Q63=4,1,0)),IF($F63&lt;=85,1,0))</formula>
    </cfRule>
  </conditionalFormatting>
  <conditionalFormatting sqref="AI63">
    <cfRule type="expression" priority="1249" dxfId="3">
      <formula>AND(IF(OR($Q63=1,$Q63=2),1,0),IF($X63&lt;=20,1,0))</formula>
    </cfRule>
    <cfRule type="expression" priority="1250" dxfId="2">
      <formula>AND(IF($Q63=2,1,0),IF($X63&lt;30,1,0))</formula>
    </cfRule>
    <cfRule type="expression" priority="1251" dxfId="1">
      <formula>AND(IF($Q63=3,1,0),IF($X63&lt;30,1,0))</formula>
    </cfRule>
    <cfRule type="expression" priority="1252" dxfId="0">
      <formula>AND(IF($Q63=3,1,IF($Q63=4,1,0)),IF($F63&lt;=85,1,0))</formula>
    </cfRule>
  </conditionalFormatting>
  <conditionalFormatting sqref="AV64">
    <cfRule type="expression" priority="1247" dxfId="17">
      <formula>AV64="X"</formula>
    </cfRule>
    <cfRule type="expression" priority="1248" dxfId="16">
      <formula>AV64="후보"</formula>
    </cfRule>
  </conditionalFormatting>
  <conditionalFormatting sqref="AC64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64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64">
    <cfRule type="expression" priority="1238" dxfId="3">
      <formula>AND(IF(OR($Q64=1,$Q64=2),1,0),IF($X64&lt;=20,1,0))</formula>
    </cfRule>
    <cfRule type="expression" priority="1239" dxfId="2">
      <formula>AND(IF($Q64=2,1,0),IF($X64&lt;30,1,0))</formula>
    </cfRule>
    <cfRule type="expression" priority="1240" dxfId="1">
      <formula>AND(IF($Q64=3,1,0),IF($X64&lt;30,1,0))</formula>
    </cfRule>
    <cfRule type="expression" priority="1241" dxfId="0">
      <formula>AND(IF($Q64=3,1,IF($Q64=4,1,0)),IF($F64&lt;=85,1,0))</formula>
    </cfRule>
  </conditionalFormatting>
  <conditionalFormatting sqref="X64">
    <cfRule type="expression" priority="1234" dxfId="3">
      <formula>AND(IF(OR($Q64=1,$Q64=2),1,0),IF($X64&lt;=20,1,0))</formula>
    </cfRule>
    <cfRule type="expression" priority="1235" dxfId="2">
      <formula>AND(IF($Q64=2,1,0),IF($X64&lt;30,1,0))</formula>
    </cfRule>
    <cfRule type="expression" priority="1236" dxfId="1">
      <formula>AND(IF($Q64=3,1,0),IF($X64&lt;30,1,0))</formula>
    </cfRule>
    <cfRule type="expression" priority="1237" dxfId="0">
      <formula>AND(IF($Q64=3,1,IF($Q64=4,1,0)),IF($F64&lt;=85,1,0))</formula>
    </cfRule>
  </conditionalFormatting>
  <conditionalFormatting sqref="AI64">
    <cfRule type="expression" priority="1230" dxfId="3">
      <formula>AND(IF(OR($Q64=1,$Q64=2),1,0),IF($X64&lt;=20,1,0))</formula>
    </cfRule>
    <cfRule type="expression" priority="1231" dxfId="2">
      <formula>AND(IF($Q64=2,1,0),IF($X64&lt;30,1,0))</formula>
    </cfRule>
    <cfRule type="expression" priority="1232" dxfId="1">
      <formula>AND(IF($Q64=3,1,0),IF($X64&lt;30,1,0))</formula>
    </cfRule>
    <cfRule type="expression" priority="1233" dxfId="0">
      <formula>AND(IF($Q64=3,1,IF($Q64=4,1,0)),IF($F64&lt;=85,1,0))</formula>
    </cfRule>
  </conditionalFormatting>
  <conditionalFormatting sqref="AV65">
    <cfRule type="expression" priority="1228" dxfId="17">
      <formula>AV65="X"</formula>
    </cfRule>
    <cfRule type="expression" priority="1229" dxfId="16">
      <formula>AV65="후보"</formula>
    </cfRule>
  </conditionalFormatting>
  <conditionalFormatting sqref="AC65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N65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E65">
    <cfRule type="expression" priority="1219" dxfId="3">
      <formula>AND(IF(OR($Q65=1,$Q65=2),1,0),IF($X65&lt;=20,1,0))</formula>
    </cfRule>
    <cfRule type="expression" priority="1220" dxfId="2">
      <formula>AND(IF($Q65=2,1,0),IF($X65&lt;30,1,0))</formula>
    </cfRule>
    <cfRule type="expression" priority="1221" dxfId="1">
      <formula>AND(IF($Q65=3,1,0),IF($X65&lt;30,1,0))</formula>
    </cfRule>
    <cfRule type="expression" priority="1222" dxfId="0">
      <formula>AND(IF($Q65=3,1,IF($Q65=4,1,0)),IF($F65&lt;=85,1,0))</formula>
    </cfRule>
  </conditionalFormatting>
  <conditionalFormatting sqref="X65">
    <cfRule type="expression" priority="1215" dxfId="3">
      <formula>AND(IF(OR($Q65=1,$Q65=2),1,0),IF($X65&lt;=20,1,0))</formula>
    </cfRule>
    <cfRule type="expression" priority="1216" dxfId="2">
      <formula>AND(IF($Q65=2,1,0),IF($X65&lt;30,1,0))</formula>
    </cfRule>
    <cfRule type="expression" priority="1217" dxfId="1">
      <formula>AND(IF($Q65=3,1,0),IF($X65&lt;30,1,0))</formula>
    </cfRule>
    <cfRule type="expression" priority="1218" dxfId="0">
      <formula>AND(IF($Q65=3,1,IF($Q65=4,1,0)),IF($F65&lt;=85,1,0))</formula>
    </cfRule>
  </conditionalFormatting>
  <conditionalFormatting sqref="AI65">
    <cfRule type="expression" priority="1211" dxfId="3">
      <formula>AND(IF(OR($Q65=1,$Q65=2),1,0),IF($X65&lt;=20,1,0))</formula>
    </cfRule>
    <cfRule type="expression" priority="1212" dxfId="2">
      <formula>AND(IF($Q65=2,1,0),IF($X65&lt;30,1,0))</formula>
    </cfRule>
    <cfRule type="expression" priority="1213" dxfId="1">
      <formula>AND(IF($Q65=3,1,0),IF($X65&lt;30,1,0))</formula>
    </cfRule>
    <cfRule type="expression" priority="1214" dxfId="0">
      <formula>AND(IF($Q65=3,1,IF($Q65=4,1,0)),IF($F65&lt;=85,1,0))</formula>
    </cfRule>
  </conditionalFormatting>
  <conditionalFormatting sqref="AV66">
    <cfRule type="expression" priority="1209" dxfId="17">
      <formula>AV66="X"</formula>
    </cfRule>
    <cfRule type="expression" priority="1210" dxfId="16">
      <formula>AV66="후보"</formula>
    </cfRule>
  </conditionalFormatting>
  <conditionalFormatting sqref="AC66 N66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AV67">
    <cfRule type="expression" priority="1204" dxfId="17">
      <formula>AV67="X"</formula>
    </cfRule>
    <cfRule type="expression" priority="1205" dxfId="16">
      <formula>AV67="후보"</formula>
    </cfRule>
  </conditionalFormatting>
  <conditionalFormatting sqref="AC67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67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E67">
    <cfRule type="expression" priority="1195" dxfId="3">
      <formula>AND(IF(OR($Q67=1,$Q67=2),1,0),IF($X67&lt;=20,1,0))</formula>
    </cfRule>
    <cfRule type="expression" priority="1196" dxfId="2">
      <formula>AND(IF($Q67=2,1,0),IF($X67&lt;30,1,0))</formula>
    </cfRule>
    <cfRule type="expression" priority="1197" dxfId="1">
      <formula>AND(IF($Q67=3,1,0),IF($X67&lt;30,1,0))</formula>
    </cfRule>
    <cfRule type="expression" priority="1198" dxfId="0">
      <formula>AND(IF($Q67=3,1,IF($Q67=4,1,0)),IF($F67&lt;=85,1,0))</formula>
    </cfRule>
  </conditionalFormatting>
  <conditionalFormatting sqref="X67">
    <cfRule type="expression" priority="1191" dxfId="3">
      <formula>AND(IF(OR($Q67=1,$Q67=2),1,0),IF($X67&lt;=20,1,0))</formula>
    </cfRule>
    <cfRule type="expression" priority="1192" dxfId="2">
      <formula>AND(IF($Q67=2,1,0),IF($X67&lt;30,1,0))</formula>
    </cfRule>
    <cfRule type="expression" priority="1193" dxfId="1">
      <formula>AND(IF($Q67=3,1,0),IF($X67&lt;30,1,0))</formula>
    </cfRule>
    <cfRule type="expression" priority="1194" dxfId="0">
      <formula>AND(IF($Q67=3,1,IF($Q67=4,1,0)),IF($F67&lt;=85,1,0))</formula>
    </cfRule>
  </conditionalFormatting>
  <conditionalFormatting sqref="AI67">
    <cfRule type="expression" priority="1187" dxfId="3">
      <formula>AND(IF(OR($Q67=1,$Q67=2),1,0),IF($X67&lt;=20,1,0))</formula>
    </cfRule>
    <cfRule type="expression" priority="1188" dxfId="2">
      <formula>AND(IF($Q67=2,1,0),IF($X67&lt;30,1,0))</formula>
    </cfRule>
    <cfRule type="expression" priority="1189" dxfId="1">
      <formula>AND(IF($Q67=3,1,0),IF($X67&lt;30,1,0))</formula>
    </cfRule>
    <cfRule type="expression" priority="1190" dxfId="0">
      <formula>AND(IF($Q67=3,1,IF($Q67=4,1,0)),IF($F67&lt;=85,1,0))</formula>
    </cfRule>
  </conditionalFormatting>
  <conditionalFormatting sqref="AV68">
    <cfRule type="expression" priority="1185" dxfId="17">
      <formula>AV68="X"</formula>
    </cfRule>
    <cfRule type="expression" priority="1186" dxfId="16">
      <formula>AV68="후보"</formula>
    </cfRule>
  </conditionalFormatting>
  <conditionalFormatting sqref="AC68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N68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E68">
    <cfRule type="expression" priority="1176" dxfId="3">
      <formula>AND(IF(OR($Q68=1,$Q68=2),1,0),IF($X68&lt;=20,1,0))</formula>
    </cfRule>
    <cfRule type="expression" priority="1177" dxfId="2">
      <formula>AND(IF($Q68=2,1,0),IF($X68&lt;30,1,0))</formula>
    </cfRule>
    <cfRule type="expression" priority="1178" dxfId="1">
      <formula>AND(IF($Q68=3,1,0),IF($X68&lt;30,1,0))</formula>
    </cfRule>
    <cfRule type="expression" priority="1179" dxfId="0">
      <formula>AND(IF($Q68=3,1,IF($Q68=4,1,0)),IF($F68&lt;=85,1,0))</formula>
    </cfRule>
  </conditionalFormatting>
  <conditionalFormatting sqref="X68">
    <cfRule type="expression" priority="1172" dxfId="3">
      <formula>AND(IF(OR($Q68=1,$Q68=2),1,0),IF($X68&lt;=20,1,0))</formula>
    </cfRule>
    <cfRule type="expression" priority="1173" dxfId="2">
      <formula>AND(IF($Q68=2,1,0),IF($X68&lt;30,1,0))</formula>
    </cfRule>
    <cfRule type="expression" priority="1174" dxfId="1">
      <formula>AND(IF($Q68=3,1,0),IF($X68&lt;30,1,0))</formula>
    </cfRule>
    <cfRule type="expression" priority="1175" dxfId="0">
      <formula>AND(IF($Q68=3,1,IF($Q68=4,1,0)),IF($F68&lt;=85,1,0))</formula>
    </cfRule>
  </conditionalFormatting>
  <conditionalFormatting sqref="AI68">
    <cfRule type="expression" priority="1168" dxfId="3">
      <formula>AND(IF(OR($Q68=1,$Q68=2),1,0),IF($X68&lt;=20,1,0))</formula>
    </cfRule>
    <cfRule type="expression" priority="1169" dxfId="2">
      <formula>AND(IF($Q68=2,1,0),IF($X68&lt;30,1,0))</formula>
    </cfRule>
    <cfRule type="expression" priority="1170" dxfId="1">
      <formula>AND(IF($Q68=3,1,0),IF($X68&lt;30,1,0))</formula>
    </cfRule>
    <cfRule type="expression" priority="1171" dxfId="0">
      <formula>AND(IF($Q68=3,1,IF($Q68=4,1,0)),IF($F68&lt;=85,1,0))</formula>
    </cfRule>
  </conditionalFormatting>
  <conditionalFormatting sqref="AV69">
    <cfRule type="expression" priority="1166" dxfId="17">
      <formula>AV69="X"</formula>
    </cfRule>
    <cfRule type="expression" priority="1167" dxfId="16">
      <formula>AV69="후보"</formula>
    </cfRule>
  </conditionalFormatting>
  <conditionalFormatting sqref="AC69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N69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E69">
    <cfRule type="expression" priority="1157" dxfId="3">
      <formula>AND(IF(OR($Q69=1,$Q69=2),1,0),IF($X69&lt;=20,1,0))</formula>
    </cfRule>
    <cfRule type="expression" priority="1158" dxfId="2">
      <formula>AND(IF($Q69=2,1,0),IF($X69&lt;30,1,0))</formula>
    </cfRule>
    <cfRule type="expression" priority="1159" dxfId="1">
      <formula>AND(IF($Q69=3,1,0),IF($X69&lt;30,1,0))</formula>
    </cfRule>
    <cfRule type="expression" priority="1160" dxfId="0">
      <formula>AND(IF($Q69=3,1,IF($Q69=4,1,0)),IF($F69&lt;=85,1,0))</formula>
    </cfRule>
  </conditionalFormatting>
  <conditionalFormatting sqref="X69">
    <cfRule type="expression" priority="1153" dxfId="3">
      <formula>AND(IF(OR($Q69=1,$Q69=2),1,0),IF($X69&lt;=20,1,0))</formula>
    </cfRule>
    <cfRule type="expression" priority="1154" dxfId="2">
      <formula>AND(IF($Q69=2,1,0),IF($X69&lt;30,1,0))</formula>
    </cfRule>
    <cfRule type="expression" priority="1155" dxfId="1">
      <formula>AND(IF($Q69=3,1,0),IF($X69&lt;30,1,0))</formula>
    </cfRule>
    <cfRule type="expression" priority="1156" dxfId="0">
      <formula>AND(IF($Q69=3,1,IF($Q69=4,1,0)),IF($F69&lt;=85,1,0))</formula>
    </cfRule>
  </conditionalFormatting>
  <conditionalFormatting sqref="AI69">
    <cfRule type="expression" priority="1149" dxfId="3">
      <formula>AND(IF(OR($Q69=1,$Q69=2),1,0),IF($X69&lt;=20,1,0))</formula>
    </cfRule>
    <cfRule type="expression" priority="1150" dxfId="2">
      <formula>AND(IF($Q69=2,1,0),IF($X69&lt;30,1,0))</formula>
    </cfRule>
    <cfRule type="expression" priority="1151" dxfId="1">
      <formula>AND(IF($Q69=3,1,0),IF($X69&lt;30,1,0))</formula>
    </cfRule>
    <cfRule type="expression" priority="1152" dxfId="0">
      <formula>AND(IF($Q69=3,1,IF($Q69=4,1,0)),IF($F69&lt;=85,1,0))</formula>
    </cfRule>
  </conditionalFormatting>
  <conditionalFormatting sqref="AV70">
    <cfRule type="expression" priority="1147" dxfId="17">
      <formula>AV70="X"</formula>
    </cfRule>
    <cfRule type="expression" priority="1148" dxfId="16">
      <formula>AV70="후보"</formula>
    </cfRule>
  </conditionalFormatting>
  <conditionalFormatting sqref="AC70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N70">
    <cfRule type="cellIs" priority="1142" operator="greaterThan" dxfId="13">
      <formula>0.9</formula>
    </cfRule>
    <cfRule type="cellIs" priority="1143" operator="greaterThan" dxfId="12">
      <formula>0.85</formula>
    </cfRule>
  </conditionalFormatting>
  <conditionalFormatting sqref="E70">
    <cfRule type="expression" priority="1138" dxfId="3">
      <formula>AND(IF(OR($Q70=1,$Q70=2),1,0),IF($X70&lt;=20,1,0))</formula>
    </cfRule>
    <cfRule type="expression" priority="1139" dxfId="2">
      <formula>AND(IF($Q70=2,1,0),IF($X70&lt;30,1,0))</formula>
    </cfRule>
    <cfRule type="expression" priority="1140" dxfId="1">
      <formula>AND(IF($Q70=3,1,0),IF($X70&lt;30,1,0))</formula>
    </cfRule>
    <cfRule type="expression" priority="1141" dxfId="0">
      <formula>AND(IF($Q70=3,1,IF($Q70=4,1,0)),IF($F70&lt;=85,1,0))</formula>
    </cfRule>
  </conditionalFormatting>
  <conditionalFormatting sqref="X70">
    <cfRule type="expression" priority="1134" dxfId="3">
      <formula>AND(IF(OR($Q70=1,$Q70=2),1,0),IF($X70&lt;=20,1,0))</formula>
    </cfRule>
    <cfRule type="expression" priority="1135" dxfId="2">
      <formula>AND(IF($Q70=2,1,0),IF($X70&lt;30,1,0))</formula>
    </cfRule>
    <cfRule type="expression" priority="1136" dxfId="1">
      <formula>AND(IF($Q70=3,1,0),IF($X70&lt;30,1,0))</formula>
    </cfRule>
    <cfRule type="expression" priority="1137" dxfId="0">
      <formula>AND(IF($Q70=3,1,IF($Q70=4,1,0)),IF($F70&lt;=85,1,0))</formula>
    </cfRule>
  </conditionalFormatting>
  <conditionalFormatting sqref="AI70">
    <cfRule type="expression" priority="1130" dxfId="3">
      <formula>AND(IF(OR($Q70=1,$Q70=2),1,0),IF($X70&lt;=20,1,0))</formula>
    </cfRule>
    <cfRule type="expression" priority="1131" dxfId="2">
      <formula>AND(IF($Q70=2,1,0),IF($X70&lt;30,1,0))</formula>
    </cfRule>
    <cfRule type="expression" priority="1132" dxfId="1">
      <formula>AND(IF($Q70=3,1,0),IF($X70&lt;30,1,0))</formula>
    </cfRule>
    <cfRule type="expression" priority="1133" dxfId="0">
      <formula>AND(IF($Q70=3,1,IF($Q70=4,1,0)),IF($F70&lt;=85,1,0))</formula>
    </cfRule>
  </conditionalFormatting>
  <conditionalFormatting sqref="AV71">
    <cfRule type="expression" priority="1128" dxfId="17">
      <formula>AV71="X"</formula>
    </cfRule>
    <cfRule type="expression" priority="1129" dxfId="16">
      <formula>AV71="후보"</formula>
    </cfRule>
  </conditionalFormatting>
  <conditionalFormatting sqref="AC71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N71">
    <cfRule type="cellIs" priority="1123" operator="greaterThan" dxfId="13">
      <formula>0.9</formula>
    </cfRule>
    <cfRule type="cellIs" priority="1124" operator="greaterThan" dxfId="12">
      <formula>0.85</formula>
    </cfRule>
  </conditionalFormatting>
  <conditionalFormatting sqref="E71">
    <cfRule type="expression" priority="1119" dxfId="3">
      <formula>AND(IF(OR($Q71=1,$Q71=2),1,0),IF($X71&lt;=20,1,0))</formula>
    </cfRule>
    <cfRule type="expression" priority="1120" dxfId="2">
      <formula>AND(IF($Q71=2,1,0),IF($X71&lt;30,1,0))</formula>
    </cfRule>
    <cfRule type="expression" priority="1121" dxfId="1">
      <formula>AND(IF($Q71=3,1,0),IF($X71&lt;30,1,0))</formula>
    </cfRule>
    <cfRule type="expression" priority="1122" dxfId="0">
      <formula>AND(IF($Q71=3,1,IF($Q71=4,1,0)),IF($F71&lt;=85,1,0))</formula>
    </cfRule>
  </conditionalFormatting>
  <conditionalFormatting sqref="X71">
    <cfRule type="expression" priority="1115" dxfId="3">
      <formula>AND(IF(OR($Q71=1,$Q71=2),1,0),IF($X71&lt;=20,1,0))</formula>
    </cfRule>
    <cfRule type="expression" priority="1116" dxfId="2">
      <formula>AND(IF($Q71=2,1,0),IF($X71&lt;30,1,0))</formula>
    </cfRule>
    <cfRule type="expression" priority="1117" dxfId="1">
      <formula>AND(IF($Q71=3,1,0),IF($X71&lt;30,1,0))</formula>
    </cfRule>
    <cfRule type="expression" priority="1118" dxfId="0">
      <formula>AND(IF($Q71=3,1,IF($Q71=4,1,0)),IF($F71&lt;=85,1,0))</formula>
    </cfRule>
  </conditionalFormatting>
  <conditionalFormatting sqref="AI71">
    <cfRule type="expression" priority="1111" dxfId="3">
      <formula>AND(IF(OR($Q71=1,$Q71=2),1,0),IF($X71&lt;=20,1,0))</formula>
    </cfRule>
    <cfRule type="expression" priority="1112" dxfId="2">
      <formula>AND(IF($Q71=2,1,0),IF($X71&lt;30,1,0))</formula>
    </cfRule>
    <cfRule type="expression" priority="1113" dxfId="1">
      <formula>AND(IF($Q71=3,1,0),IF($X71&lt;30,1,0))</formula>
    </cfRule>
    <cfRule type="expression" priority="1114" dxfId="0">
      <formula>AND(IF($Q71=3,1,IF($Q71=4,1,0)),IF($F71&lt;=85,1,0))</formula>
    </cfRule>
  </conditionalFormatting>
  <conditionalFormatting sqref="AV72">
    <cfRule type="expression" priority="1109" dxfId="17">
      <formula>AV72="X"</formula>
    </cfRule>
    <cfRule type="expression" priority="1110" dxfId="16">
      <formula>AV72="후보"</formula>
    </cfRule>
  </conditionalFormatting>
  <conditionalFormatting sqref="AC72 N72">
    <cfRule type="cellIs" priority="1106" operator="greaterThan" dxfId="13">
      <formula>0.9</formula>
    </cfRule>
    <cfRule type="cellIs" priority="1107" operator="greaterThan" dxfId="12">
      <formula>0.85</formula>
    </cfRule>
  </conditionalFormatting>
  <conditionalFormatting sqref="AV73">
    <cfRule type="expression" priority="1104" dxfId="17">
      <formula>AV73="X"</formula>
    </cfRule>
    <cfRule type="expression" priority="1105" dxfId="16">
      <formula>AV73="후보"</formula>
    </cfRule>
  </conditionalFormatting>
  <conditionalFormatting sqref="AC73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73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73">
    <cfRule type="expression" priority="1095" dxfId="3">
      <formula>AND(IF(OR($Q73=1,$Q73=2),1,0),IF($X73&lt;=20,1,0))</formula>
    </cfRule>
    <cfRule type="expression" priority="1096" dxfId="2">
      <formula>AND(IF($Q73=2,1,0),IF($X73&lt;30,1,0))</formula>
    </cfRule>
    <cfRule type="expression" priority="1097" dxfId="1">
      <formula>AND(IF($Q73=3,1,0),IF($X73&lt;30,1,0))</formula>
    </cfRule>
    <cfRule type="expression" priority="1098" dxfId="0">
      <formula>AND(IF($Q73=3,1,IF($Q73=4,1,0)),IF($F73&lt;=85,1,0))</formula>
    </cfRule>
  </conditionalFormatting>
  <conditionalFormatting sqref="X73">
    <cfRule type="expression" priority="1091" dxfId="3">
      <formula>AND(IF(OR($Q73=1,$Q73=2),1,0),IF($X73&lt;=20,1,0))</formula>
    </cfRule>
    <cfRule type="expression" priority="1092" dxfId="2">
      <formula>AND(IF($Q73=2,1,0),IF($X73&lt;30,1,0))</formula>
    </cfRule>
    <cfRule type="expression" priority="1093" dxfId="1">
      <formula>AND(IF($Q73=3,1,0),IF($X73&lt;30,1,0))</formula>
    </cfRule>
    <cfRule type="expression" priority="1094" dxfId="0">
      <formula>AND(IF($Q73=3,1,IF($Q73=4,1,0)),IF($F73&lt;=85,1,0))</formula>
    </cfRule>
  </conditionalFormatting>
  <conditionalFormatting sqref="AI73">
    <cfRule type="expression" priority="1087" dxfId="3">
      <formula>AND(IF(OR($Q73=1,$Q73=2),1,0),IF($X73&lt;=20,1,0))</formula>
    </cfRule>
    <cfRule type="expression" priority="1088" dxfId="2">
      <formula>AND(IF($Q73=2,1,0),IF($X73&lt;30,1,0))</formula>
    </cfRule>
    <cfRule type="expression" priority="1089" dxfId="1">
      <formula>AND(IF($Q73=3,1,0),IF($X73&lt;30,1,0))</formula>
    </cfRule>
    <cfRule type="expression" priority="1090" dxfId="0">
      <formula>AND(IF($Q73=3,1,IF($Q73=4,1,0)),IF($F73&lt;=85,1,0))</formula>
    </cfRule>
  </conditionalFormatting>
  <conditionalFormatting sqref="AV74">
    <cfRule type="expression" priority="1085" dxfId="17">
      <formula>AV74="X"</formula>
    </cfRule>
    <cfRule type="expression" priority="1086" dxfId="16">
      <formula>AV74="후보"</formula>
    </cfRule>
  </conditionalFormatting>
  <conditionalFormatting sqref="AC74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74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74">
    <cfRule type="expression" priority="1076" dxfId="3">
      <formula>AND(IF(OR($Q74=1,$Q74=2),1,0),IF($X74&lt;=20,1,0))</formula>
    </cfRule>
    <cfRule type="expression" priority="1077" dxfId="2">
      <formula>AND(IF($Q74=2,1,0),IF($X74&lt;30,1,0))</formula>
    </cfRule>
    <cfRule type="expression" priority="1078" dxfId="1">
      <formula>AND(IF($Q74=3,1,0),IF($X74&lt;30,1,0))</formula>
    </cfRule>
    <cfRule type="expression" priority="1079" dxfId="0">
      <formula>AND(IF($Q74=3,1,IF($Q74=4,1,0)),IF($F74&lt;=85,1,0))</formula>
    </cfRule>
  </conditionalFormatting>
  <conditionalFormatting sqref="X74">
    <cfRule type="expression" priority="1072" dxfId="3">
      <formula>AND(IF(OR($Q74=1,$Q74=2),1,0),IF($X74&lt;=20,1,0))</formula>
    </cfRule>
    <cfRule type="expression" priority="1073" dxfId="2">
      <formula>AND(IF($Q74=2,1,0),IF($X74&lt;30,1,0))</formula>
    </cfRule>
    <cfRule type="expression" priority="1074" dxfId="1">
      <formula>AND(IF($Q74=3,1,0),IF($X74&lt;30,1,0))</formula>
    </cfRule>
    <cfRule type="expression" priority="1075" dxfId="0">
      <formula>AND(IF($Q74=3,1,IF($Q74=4,1,0)),IF($F74&lt;=85,1,0))</formula>
    </cfRule>
  </conditionalFormatting>
  <conditionalFormatting sqref="AI74">
    <cfRule type="expression" priority="1068" dxfId="3">
      <formula>AND(IF(OR($Q74=1,$Q74=2),1,0),IF($X74&lt;=20,1,0))</formula>
    </cfRule>
    <cfRule type="expression" priority="1069" dxfId="2">
      <formula>AND(IF($Q74=2,1,0),IF($X74&lt;30,1,0))</formula>
    </cfRule>
    <cfRule type="expression" priority="1070" dxfId="1">
      <formula>AND(IF($Q74=3,1,0),IF($X74&lt;30,1,0))</formula>
    </cfRule>
    <cfRule type="expression" priority="1071" dxfId="0">
      <formula>AND(IF($Q74=3,1,IF($Q74=4,1,0)),IF($F74&lt;=85,1,0))</formula>
    </cfRule>
  </conditionalFormatting>
  <conditionalFormatting sqref="AV75">
    <cfRule type="expression" priority="1066" dxfId="17">
      <formula>AV75="X"</formula>
    </cfRule>
    <cfRule type="expression" priority="1067" dxfId="16">
      <formula>AV75="후보"</formula>
    </cfRule>
  </conditionalFormatting>
  <conditionalFormatting sqref="AC75 N75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AV76">
    <cfRule type="expression" priority="1061" dxfId="17">
      <formula>AV76="X"</formula>
    </cfRule>
    <cfRule type="expression" priority="1062" dxfId="16">
      <formula>AV76="후보"</formula>
    </cfRule>
  </conditionalFormatting>
  <conditionalFormatting sqref="AC76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76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76">
    <cfRule type="expression" priority="1052" dxfId="3">
      <formula>AND(IF(OR($Q76=1,$Q76=2),1,0),IF($X76&lt;=20,1,0))</formula>
    </cfRule>
    <cfRule type="expression" priority="1053" dxfId="2">
      <formula>AND(IF($Q76=2,1,0),IF($X76&lt;30,1,0))</formula>
    </cfRule>
    <cfRule type="expression" priority="1054" dxfId="1">
      <formula>AND(IF($Q76=3,1,0),IF($X76&lt;30,1,0))</formula>
    </cfRule>
    <cfRule type="expression" priority="1055" dxfId="0">
      <formula>AND(IF($Q76=3,1,IF($Q76=4,1,0)),IF($F76&lt;=85,1,0))</formula>
    </cfRule>
  </conditionalFormatting>
  <conditionalFormatting sqref="X76">
    <cfRule type="expression" priority="1048" dxfId="3">
      <formula>AND(IF(OR($Q76=1,$Q76=2),1,0),IF($X76&lt;=20,1,0))</formula>
    </cfRule>
    <cfRule type="expression" priority="1049" dxfId="2">
      <formula>AND(IF($Q76=2,1,0),IF($X76&lt;30,1,0))</formula>
    </cfRule>
    <cfRule type="expression" priority="1050" dxfId="1">
      <formula>AND(IF($Q76=3,1,0),IF($X76&lt;30,1,0))</formula>
    </cfRule>
    <cfRule type="expression" priority="1051" dxfId="0">
      <formula>AND(IF($Q76=3,1,IF($Q76=4,1,0)),IF($F76&lt;=85,1,0))</formula>
    </cfRule>
  </conditionalFormatting>
  <conditionalFormatting sqref="AI76">
    <cfRule type="expression" priority="1044" dxfId="3">
      <formula>AND(IF(OR($Q76=1,$Q76=2),1,0),IF($X76&lt;=20,1,0))</formula>
    </cfRule>
    <cfRule type="expression" priority="1045" dxfId="2">
      <formula>AND(IF($Q76=2,1,0),IF($X76&lt;30,1,0))</formula>
    </cfRule>
    <cfRule type="expression" priority="1046" dxfId="1">
      <formula>AND(IF($Q76=3,1,0),IF($X76&lt;30,1,0))</formula>
    </cfRule>
    <cfRule type="expression" priority="1047" dxfId="0">
      <formula>AND(IF($Q76=3,1,IF($Q76=4,1,0)),IF($F76&lt;=85,1,0))</formula>
    </cfRule>
  </conditionalFormatting>
  <conditionalFormatting sqref="AV77">
    <cfRule type="expression" priority="1042" dxfId="17">
      <formula>AV77="X"</formula>
    </cfRule>
    <cfRule type="expression" priority="1043" dxfId="16">
      <formula>AV77="후보"</formula>
    </cfRule>
  </conditionalFormatting>
  <conditionalFormatting sqref="AC77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77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77">
    <cfRule type="expression" priority="1033" dxfId="3">
      <formula>AND(IF(OR($Q77=1,$Q77=2),1,0),IF($X77&lt;=20,1,0))</formula>
    </cfRule>
    <cfRule type="expression" priority="1034" dxfId="2">
      <formula>AND(IF($Q77=2,1,0),IF($X77&lt;30,1,0))</formula>
    </cfRule>
    <cfRule type="expression" priority="1035" dxfId="1">
      <formula>AND(IF($Q77=3,1,0),IF($X77&lt;30,1,0))</formula>
    </cfRule>
    <cfRule type="expression" priority="1036" dxfId="0">
      <formula>AND(IF($Q77=3,1,IF($Q77=4,1,0)),IF($F77&lt;=85,1,0))</formula>
    </cfRule>
  </conditionalFormatting>
  <conditionalFormatting sqref="X77">
    <cfRule type="expression" priority="1029" dxfId="3">
      <formula>AND(IF(OR($Q77=1,$Q77=2),1,0),IF($X77&lt;=20,1,0))</formula>
    </cfRule>
    <cfRule type="expression" priority="1030" dxfId="2">
      <formula>AND(IF($Q77=2,1,0),IF($X77&lt;30,1,0))</formula>
    </cfRule>
    <cfRule type="expression" priority="1031" dxfId="1">
      <formula>AND(IF($Q77=3,1,0),IF($X77&lt;30,1,0))</formula>
    </cfRule>
    <cfRule type="expression" priority="1032" dxfId="0">
      <formula>AND(IF($Q77=3,1,IF($Q77=4,1,0)),IF($F77&lt;=85,1,0))</formula>
    </cfRule>
  </conditionalFormatting>
  <conditionalFormatting sqref="AI77">
    <cfRule type="expression" priority="1025" dxfId="3">
      <formula>AND(IF(OR($Q77=1,$Q77=2),1,0),IF($X77&lt;=20,1,0))</formula>
    </cfRule>
    <cfRule type="expression" priority="1026" dxfId="2">
      <formula>AND(IF($Q77=2,1,0),IF($X77&lt;30,1,0))</formula>
    </cfRule>
    <cfRule type="expression" priority="1027" dxfId="1">
      <formula>AND(IF($Q77=3,1,0),IF($X77&lt;30,1,0))</formula>
    </cfRule>
    <cfRule type="expression" priority="1028" dxfId="0">
      <formula>AND(IF($Q77=3,1,IF($Q77=4,1,0)),IF($F77&lt;=85,1,0))</formula>
    </cfRule>
  </conditionalFormatting>
  <conditionalFormatting sqref="AV78">
    <cfRule type="expression" priority="1023" dxfId="17">
      <formula>AV78="X"</formula>
    </cfRule>
    <cfRule type="expression" priority="1024" dxfId="16">
      <formula>AV78="후보"</formula>
    </cfRule>
  </conditionalFormatting>
  <conditionalFormatting sqref="AC78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78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78">
    <cfRule type="expression" priority="1014" dxfId="3">
      <formula>AND(IF(OR($Q78=1,$Q78=2),1,0),IF($X78&lt;=20,1,0))</formula>
    </cfRule>
    <cfRule type="expression" priority="1015" dxfId="2">
      <formula>AND(IF($Q78=2,1,0),IF($X78&lt;30,1,0))</formula>
    </cfRule>
    <cfRule type="expression" priority="1016" dxfId="1">
      <formula>AND(IF($Q78=3,1,0),IF($X78&lt;30,1,0))</formula>
    </cfRule>
    <cfRule type="expression" priority="1017" dxfId="0">
      <formula>AND(IF($Q78=3,1,IF($Q78=4,1,0)),IF($F78&lt;=85,1,0))</formula>
    </cfRule>
  </conditionalFormatting>
  <conditionalFormatting sqref="X78">
    <cfRule type="expression" priority="1010" dxfId="3">
      <formula>AND(IF(OR($Q78=1,$Q78=2),1,0),IF($X78&lt;=20,1,0))</formula>
    </cfRule>
    <cfRule type="expression" priority="1011" dxfId="2">
      <formula>AND(IF($Q78=2,1,0),IF($X78&lt;30,1,0))</formula>
    </cfRule>
    <cfRule type="expression" priority="1012" dxfId="1">
      <formula>AND(IF($Q78=3,1,0),IF($X78&lt;30,1,0))</formula>
    </cfRule>
    <cfRule type="expression" priority="1013" dxfId="0">
      <formula>AND(IF($Q78=3,1,IF($Q78=4,1,0)),IF($F78&lt;=85,1,0))</formula>
    </cfRule>
  </conditionalFormatting>
  <conditionalFormatting sqref="AI78">
    <cfRule type="expression" priority="1006" dxfId="3">
      <formula>AND(IF(OR($Q78=1,$Q78=2),1,0),IF($X78&lt;=20,1,0))</formula>
    </cfRule>
    <cfRule type="expression" priority="1007" dxfId="2">
      <formula>AND(IF($Q78=2,1,0),IF($X78&lt;30,1,0))</formula>
    </cfRule>
    <cfRule type="expression" priority="1008" dxfId="1">
      <formula>AND(IF($Q78=3,1,0),IF($X78&lt;30,1,0))</formula>
    </cfRule>
    <cfRule type="expression" priority="1009" dxfId="0">
      <formula>AND(IF($Q78=3,1,IF($Q78=4,1,0)),IF($F78&lt;=85,1,0))</formula>
    </cfRule>
  </conditionalFormatting>
  <conditionalFormatting sqref="AV79">
    <cfRule type="expression" priority="1004" dxfId="17">
      <formula>AV79="X"</formula>
    </cfRule>
    <cfRule type="expression" priority="1005" dxfId="16">
      <formula>AV79="후보"</formula>
    </cfRule>
  </conditionalFormatting>
  <conditionalFormatting sqref="AC79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79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79">
    <cfRule type="expression" priority="995" dxfId="3">
      <formula>AND(IF(OR($Q79=1,$Q79=2),1,0),IF($X79&lt;=20,1,0))</formula>
    </cfRule>
    <cfRule type="expression" priority="996" dxfId="2">
      <formula>AND(IF($Q79=2,1,0),IF($X79&lt;30,1,0))</formula>
    </cfRule>
    <cfRule type="expression" priority="997" dxfId="1">
      <formula>AND(IF($Q79=3,1,0),IF($X79&lt;30,1,0))</formula>
    </cfRule>
    <cfRule type="expression" priority="998" dxfId="0">
      <formula>AND(IF($Q79=3,1,IF($Q79=4,1,0)),IF($F79&lt;=85,1,0))</formula>
    </cfRule>
  </conditionalFormatting>
  <conditionalFormatting sqref="X79">
    <cfRule type="expression" priority="991" dxfId="3">
      <formula>AND(IF(OR($Q79=1,$Q79=2),1,0),IF($X79&lt;=20,1,0))</formula>
    </cfRule>
    <cfRule type="expression" priority="992" dxfId="2">
      <formula>AND(IF($Q79=2,1,0),IF($X79&lt;30,1,0))</formula>
    </cfRule>
    <cfRule type="expression" priority="993" dxfId="1">
      <formula>AND(IF($Q79=3,1,0),IF($X79&lt;30,1,0))</formula>
    </cfRule>
    <cfRule type="expression" priority="994" dxfId="0">
      <formula>AND(IF($Q79=3,1,IF($Q79=4,1,0)),IF($F79&lt;=85,1,0))</formula>
    </cfRule>
  </conditionalFormatting>
  <conditionalFormatting sqref="AI79">
    <cfRule type="expression" priority="987" dxfId="3">
      <formula>AND(IF(OR($Q79=1,$Q79=2),1,0),IF($X79&lt;=20,1,0))</formula>
    </cfRule>
    <cfRule type="expression" priority="988" dxfId="2">
      <formula>AND(IF($Q79=2,1,0),IF($X79&lt;30,1,0))</formula>
    </cfRule>
    <cfRule type="expression" priority="989" dxfId="1">
      <formula>AND(IF($Q79=3,1,0),IF($X79&lt;30,1,0))</formula>
    </cfRule>
    <cfRule type="expression" priority="990" dxfId="0">
      <formula>AND(IF($Q79=3,1,IF($Q79=4,1,0)),IF($F79&lt;=85,1,0))</formula>
    </cfRule>
  </conditionalFormatting>
  <conditionalFormatting sqref="AV80">
    <cfRule type="expression" priority="985" dxfId="17">
      <formula>AV80="X"</formula>
    </cfRule>
    <cfRule type="expression" priority="986" dxfId="16">
      <formula>AV80="후보"</formula>
    </cfRule>
  </conditionalFormatting>
  <conditionalFormatting sqref="AC80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80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80">
    <cfRule type="expression" priority="976" dxfId="3">
      <formula>AND(IF(OR($Q80=1,$Q80=2),1,0),IF($X80&lt;=20,1,0))</formula>
    </cfRule>
    <cfRule type="expression" priority="977" dxfId="2">
      <formula>AND(IF($Q80=2,1,0),IF($X80&lt;30,1,0))</formula>
    </cfRule>
    <cfRule type="expression" priority="978" dxfId="1">
      <formula>AND(IF($Q80=3,1,0),IF($X80&lt;30,1,0))</formula>
    </cfRule>
    <cfRule type="expression" priority="979" dxfId="0">
      <formula>AND(IF($Q80=3,1,IF($Q80=4,1,0)),IF($F80&lt;=85,1,0))</formula>
    </cfRule>
  </conditionalFormatting>
  <conditionalFormatting sqref="X80">
    <cfRule type="expression" priority="972" dxfId="3">
      <formula>AND(IF(OR($Q80=1,$Q80=2),1,0),IF($X80&lt;=20,1,0))</formula>
    </cfRule>
    <cfRule type="expression" priority="973" dxfId="2">
      <formula>AND(IF($Q80=2,1,0),IF($X80&lt;30,1,0))</formula>
    </cfRule>
    <cfRule type="expression" priority="974" dxfId="1">
      <formula>AND(IF($Q80=3,1,0),IF($X80&lt;30,1,0))</formula>
    </cfRule>
    <cfRule type="expression" priority="975" dxfId="0">
      <formula>AND(IF($Q80=3,1,IF($Q80=4,1,0)),IF($F80&lt;=85,1,0))</formula>
    </cfRule>
  </conditionalFormatting>
  <conditionalFormatting sqref="AI80">
    <cfRule type="expression" priority="968" dxfId="3">
      <formula>AND(IF(OR($Q80=1,$Q80=2),1,0),IF($X80&lt;=20,1,0))</formula>
    </cfRule>
    <cfRule type="expression" priority="969" dxfId="2">
      <formula>AND(IF($Q80=2,1,0),IF($X80&lt;30,1,0))</formula>
    </cfRule>
    <cfRule type="expression" priority="970" dxfId="1">
      <formula>AND(IF($Q80=3,1,0),IF($X80&lt;30,1,0))</formula>
    </cfRule>
    <cfRule type="expression" priority="971" dxfId="0">
      <formula>AND(IF($Q80=3,1,IF($Q80=4,1,0)),IF($F80&lt;=85,1,0))</formula>
    </cfRule>
  </conditionalFormatting>
  <conditionalFormatting sqref="AV81">
    <cfRule type="expression" priority="966" dxfId="17">
      <formula>AV81="X"</formula>
    </cfRule>
    <cfRule type="expression" priority="967" dxfId="16">
      <formula>AV81="후보"</formula>
    </cfRule>
  </conditionalFormatting>
  <conditionalFormatting sqref="AC81 N81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AV82">
    <cfRule type="expression" priority="961" dxfId="17">
      <formula>AV82="X"</formula>
    </cfRule>
    <cfRule type="expression" priority="962" dxfId="16">
      <formula>AV82="후보"</formula>
    </cfRule>
  </conditionalFormatting>
  <conditionalFormatting sqref="AC82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82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82">
    <cfRule type="expression" priority="952" dxfId="3">
      <formula>AND(IF(OR($Q82=1,$Q82=2),1,0),IF($X82&lt;=20,1,0))</formula>
    </cfRule>
    <cfRule type="expression" priority="953" dxfId="2">
      <formula>AND(IF($Q82=2,1,0),IF($X82&lt;30,1,0))</formula>
    </cfRule>
    <cfRule type="expression" priority="954" dxfId="1">
      <formula>AND(IF($Q82=3,1,0),IF($X82&lt;30,1,0))</formula>
    </cfRule>
    <cfRule type="expression" priority="955" dxfId="0">
      <formula>AND(IF($Q82=3,1,IF($Q82=4,1,0)),IF($F82&lt;=85,1,0))</formula>
    </cfRule>
  </conditionalFormatting>
  <conditionalFormatting sqref="X82">
    <cfRule type="expression" priority="948" dxfId="3">
      <formula>AND(IF(OR($Q82=1,$Q82=2),1,0),IF($X82&lt;=20,1,0))</formula>
    </cfRule>
    <cfRule type="expression" priority="949" dxfId="2">
      <formula>AND(IF($Q82=2,1,0),IF($X82&lt;30,1,0))</formula>
    </cfRule>
    <cfRule type="expression" priority="950" dxfId="1">
      <formula>AND(IF($Q82=3,1,0),IF($X82&lt;30,1,0))</formula>
    </cfRule>
    <cfRule type="expression" priority="951" dxfId="0">
      <formula>AND(IF($Q82=3,1,IF($Q82=4,1,0)),IF($F82&lt;=85,1,0))</formula>
    </cfRule>
  </conditionalFormatting>
  <conditionalFormatting sqref="AI82">
    <cfRule type="expression" priority="944" dxfId="3">
      <formula>AND(IF(OR($Q82=1,$Q82=2),1,0),IF($X82&lt;=20,1,0))</formula>
    </cfRule>
    <cfRule type="expression" priority="945" dxfId="2">
      <formula>AND(IF($Q82=2,1,0),IF($X82&lt;30,1,0))</formula>
    </cfRule>
    <cfRule type="expression" priority="946" dxfId="1">
      <formula>AND(IF($Q82=3,1,0),IF($X82&lt;30,1,0))</formula>
    </cfRule>
    <cfRule type="expression" priority="947" dxfId="0">
      <formula>AND(IF($Q82=3,1,IF($Q82=4,1,0)),IF($F82&lt;=85,1,0))</formula>
    </cfRule>
  </conditionalFormatting>
  <conditionalFormatting sqref="AV83">
    <cfRule type="expression" priority="942" dxfId="17">
      <formula>AV83="X"</formula>
    </cfRule>
    <cfRule type="expression" priority="943" dxfId="16">
      <formula>AV83="후보"</formula>
    </cfRule>
  </conditionalFormatting>
  <conditionalFormatting sqref="AC83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83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83">
    <cfRule type="expression" priority="933" dxfId="3">
      <formula>AND(IF(OR($Q83=1,$Q83=2),1,0),IF($X83&lt;=20,1,0))</formula>
    </cfRule>
    <cfRule type="expression" priority="934" dxfId="2">
      <formula>AND(IF($Q83=2,1,0),IF($X83&lt;30,1,0))</formula>
    </cfRule>
    <cfRule type="expression" priority="935" dxfId="1">
      <formula>AND(IF($Q83=3,1,0),IF($X83&lt;30,1,0))</formula>
    </cfRule>
    <cfRule type="expression" priority="936" dxfId="0">
      <formula>AND(IF($Q83=3,1,IF($Q83=4,1,0)),IF($F83&lt;=85,1,0))</formula>
    </cfRule>
  </conditionalFormatting>
  <conditionalFormatting sqref="X83">
    <cfRule type="expression" priority="929" dxfId="3">
      <formula>AND(IF(OR($Q83=1,$Q83=2),1,0),IF($X83&lt;=20,1,0))</formula>
    </cfRule>
    <cfRule type="expression" priority="930" dxfId="2">
      <formula>AND(IF($Q83=2,1,0),IF($X83&lt;30,1,0))</formula>
    </cfRule>
    <cfRule type="expression" priority="931" dxfId="1">
      <formula>AND(IF($Q83=3,1,0),IF($X83&lt;30,1,0))</formula>
    </cfRule>
    <cfRule type="expression" priority="932" dxfId="0">
      <formula>AND(IF($Q83=3,1,IF($Q83=4,1,0)),IF($F83&lt;=85,1,0))</formula>
    </cfRule>
  </conditionalFormatting>
  <conditionalFormatting sqref="AI83">
    <cfRule type="expression" priority="925" dxfId="3">
      <formula>AND(IF(OR($Q83=1,$Q83=2),1,0),IF($X83&lt;=20,1,0))</formula>
    </cfRule>
    <cfRule type="expression" priority="926" dxfId="2">
      <formula>AND(IF($Q83=2,1,0),IF($X83&lt;30,1,0))</formula>
    </cfRule>
    <cfRule type="expression" priority="927" dxfId="1">
      <formula>AND(IF($Q83=3,1,0),IF($X83&lt;30,1,0))</formula>
    </cfRule>
    <cfRule type="expression" priority="928" dxfId="0">
      <formula>AND(IF($Q83=3,1,IF($Q83=4,1,0)),IF($F83&lt;=85,1,0))</formula>
    </cfRule>
  </conditionalFormatting>
  <conditionalFormatting sqref="AV84">
    <cfRule type="expression" priority="923" dxfId="17">
      <formula>AV84="X"</formula>
    </cfRule>
    <cfRule type="expression" priority="924" dxfId="16">
      <formula>AV84="후보"</formula>
    </cfRule>
  </conditionalFormatting>
  <conditionalFormatting sqref="AC84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N84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E84">
    <cfRule type="expression" priority="914" dxfId="3">
      <formula>AND(IF(OR($Q84=1,$Q84=2),1,0),IF($X84&lt;=20,1,0))</formula>
    </cfRule>
    <cfRule type="expression" priority="915" dxfId="2">
      <formula>AND(IF($Q84=2,1,0),IF($X84&lt;30,1,0))</formula>
    </cfRule>
    <cfRule type="expression" priority="916" dxfId="1">
      <formula>AND(IF($Q84=3,1,0),IF($X84&lt;30,1,0))</formula>
    </cfRule>
    <cfRule type="expression" priority="917" dxfId="0">
      <formula>AND(IF($Q84=3,1,IF($Q84=4,1,0)),IF($F84&lt;=85,1,0))</formula>
    </cfRule>
  </conditionalFormatting>
  <conditionalFormatting sqref="X84">
    <cfRule type="expression" priority="910" dxfId="3">
      <formula>AND(IF(OR($Q84=1,$Q84=2),1,0),IF($X84&lt;=20,1,0))</formula>
    </cfRule>
    <cfRule type="expression" priority="911" dxfId="2">
      <formula>AND(IF($Q84=2,1,0),IF($X84&lt;30,1,0))</formula>
    </cfRule>
    <cfRule type="expression" priority="912" dxfId="1">
      <formula>AND(IF($Q84=3,1,0),IF($X84&lt;30,1,0))</formula>
    </cfRule>
    <cfRule type="expression" priority="913" dxfId="0">
      <formula>AND(IF($Q84=3,1,IF($Q84=4,1,0)),IF($F84&lt;=85,1,0))</formula>
    </cfRule>
  </conditionalFormatting>
  <conditionalFormatting sqref="AI84">
    <cfRule type="expression" priority="906" dxfId="3">
      <formula>AND(IF(OR($Q84=1,$Q84=2),1,0),IF($X84&lt;=20,1,0))</formula>
    </cfRule>
    <cfRule type="expression" priority="907" dxfId="2">
      <formula>AND(IF($Q84=2,1,0),IF($X84&lt;30,1,0))</formula>
    </cfRule>
    <cfRule type="expression" priority="908" dxfId="1">
      <formula>AND(IF($Q84=3,1,0),IF($X84&lt;30,1,0))</formula>
    </cfRule>
    <cfRule type="expression" priority="909" dxfId="0">
      <formula>AND(IF($Q84=3,1,IF($Q84=4,1,0)),IF($F84&lt;=85,1,0))</formula>
    </cfRule>
  </conditionalFormatting>
  <conditionalFormatting sqref="AV85">
    <cfRule type="expression" priority="904" dxfId="17">
      <formula>AV85="X"</formula>
    </cfRule>
    <cfRule type="expression" priority="905" dxfId="16">
      <formula>AV85="후보"</formula>
    </cfRule>
  </conditionalFormatting>
  <conditionalFormatting sqref="AC85 N85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AV86">
    <cfRule type="expression" priority="899" dxfId="17">
      <formula>AV86="X"</formula>
    </cfRule>
    <cfRule type="expression" priority="900" dxfId="16">
      <formula>AV86="후보"</formula>
    </cfRule>
  </conditionalFormatting>
  <conditionalFormatting sqref="AC86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86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86">
    <cfRule type="expression" priority="890" dxfId="3">
      <formula>AND(IF(OR($Q86=1,$Q86=2),1,0),IF($X86&lt;=20,1,0))</formula>
    </cfRule>
    <cfRule type="expression" priority="891" dxfId="2">
      <formula>AND(IF($Q86=2,1,0),IF($X86&lt;30,1,0))</formula>
    </cfRule>
    <cfRule type="expression" priority="892" dxfId="1">
      <formula>AND(IF($Q86=3,1,0),IF($X86&lt;30,1,0))</formula>
    </cfRule>
    <cfRule type="expression" priority="893" dxfId="0">
      <formula>AND(IF($Q86=3,1,IF($Q86=4,1,0)),IF($F86&lt;=85,1,0))</formula>
    </cfRule>
  </conditionalFormatting>
  <conditionalFormatting sqref="X86">
    <cfRule type="expression" priority="886" dxfId="3">
      <formula>AND(IF(OR($Q86=1,$Q86=2),1,0),IF($X86&lt;=20,1,0))</formula>
    </cfRule>
    <cfRule type="expression" priority="887" dxfId="2">
      <formula>AND(IF($Q86=2,1,0),IF($X86&lt;30,1,0))</formula>
    </cfRule>
    <cfRule type="expression" priority="888" dxfId="1">
      <formula>AND(IF($Q86=3,1,0),IF($X86&lt;30,1,0))</formula>
    </cfRule>
    <cfRule type="expression" priority="889" dxfId="0">
      <formula>AND(IF($Q86=3,1,IF($Q86=4,1,0)),IF($F86&lt;=85,1,0))</formula>
    </cfRule>
  </conditionalFormatting>
  <conditionalFormatting sqref="AI86">
    <cfRule type="expression" priority="882" dxfId="3">
      <formula>AND(IF(OR($Q86=1,$Q86=2),1,0),IF($X86&lt;=20,1,0))</formula>
    </cfRule>
    <cfRule type="expression" priority="883" dxfId="2">
      <formula>AND(IF($Q86=2,1,0),IF($X86&lt;30,1,0))</formula>
    </cfRule>
    <cfRule type="expression" priority="884" dxfId="1">
      <formula>AND(IF($Q86=3,1,0),IF($X86&lt;30,1,0))</formula>
    </cfRule>
    <cfRule type="expression" priority="885" dxfId="0">
      <formula>AND(IF($Q86=3,1,IF($Q86=4,1,0)),IF($F86&lt;=85,1,0))</formula>
    </cfRule>
  </conditionalFormatting>
  <conditionalFormatting sqref="AV87">
    <cfRule type="expression" priority="880" dxfId="17">
      <formula>AV87="X"</formula>
    </cfRule>
    <cfRule type="expression" priority="881" dxfId="16">
      <formula>AV87="후보"</formula>
    </cfRule>
  </conditionalFormatting>
  <conditionalFormatting sqref="AC87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87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87">
    <cfRule type="expression" priority="871" dxfId="3">
      <formula>AND(IF(OR($Q87=1,$Q87=2),1,0),IF($X87&lt;=20,1,0))</formula>
    </cfRule>
    <cfRule type="expression" priority="872" dxfId="2">
      <formula>AND(IF($Q87=2,1,0),IF($X87&lt;30,1,0))</formula>
    </cfRule>
    <cfRule type="expression" priority="873" dxfId="1">
      <formula>AND(IF($Q87=3,1,0),IF($X87&lt;30,1,0))</formula>
    </cfRule>
    <cfRule type="expression" priority="874" dxfId="0">
      <formula>AND(IF($Q87=3,1,IF($Q87=4,1,0)),IF($F87&lt;=85,1,0))</formula>
    </cfRule>
  </conditionalFormatting>
  <conditionalFormatting sqref="X87">
    <cfRule type="expression" priority="867" dxfId="3">
      <formula>AND(IF(OR($Q87=1,$Q87=2),1,0),IF($X87&lt;=20,1,0))</formula>
    </cfRule>
    <cfRule type="expression" priority="868" dxfId="2">
      <formula>AND(IF($Q87=2,1,0),IF($X87&lt;30,1,0))</formula>
    </cfRule>
    <cfRule type="expression" priority="869" dxfId="1">
      <formula>AND(IF($Q87=3,1,0),IF($X87&lt;30,1,0))</formula>
    </cfRule>
    <cfRule type="expression" priority="870" dxfId="0">
      <formula>AND(IF($Q87=3,1,IF($Q87=4,1,0)),IF($F87&lt;=85,1,0))</formula>
    </cfRule>
  </conditionalFormatting>
  <conditionalFormatting sqref="AI87">
    <cfRule type="expression" priority="863" dxfId="3">
      <formula>AND(IF(OR($Q87=1,$Q87=2),1,0),IF($X87&lt;=20,1,0))</formula>
    </cfRule>
    <cfRule type="expression" priority="864" dxfId="2">
      <formula>AND(IF($Q87=2,1,0),IF($X87&lt;30,1,0))</formula>
    </cfRule>
    <cfRule type="expression" priority="865" dxfId="1">
      <formula>AND(IF($Q87=3,1,0),IF($X87&lt;30,1,0))</formula>
    </cfRule>
    <cfRule type="expression" priority="866" dxfId="0">
      <formula>AND(IF($Q87=3,1,IF($Q87=4,1,0)),IF($F87&lt;=85,1,0))</formula>
    </cfRule>
  </conditionalFormatting>
  <conditionalFormatting sqref="AV88">
    <cfRule type="expression" priority="861" dxfId="17">
      <formula>AV88="X"</formula>
    </cfRule>
    <cfRule type="expression" priority="862" dxfId="16">
      <formula>AV88="후보"</formula>
    </cfRule>
  </conditionalFormatting>
  <conditionalFormatting sqref="AC88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88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88">
    <cfRule type="expression" priority="852" dxfId="3">
      <formula>AND(IF(OR($Q88=1,$Q88=2),1,0),IF($X88&lt;=20,1,0))</formula>
    </cfRule>
    <cfRule type="expression" priority="853" dxfId="2">
      <formula>AND(IF($Q88=2,1,0),IF($X88&lt;30,1,0))</formula>
    </cfRule>
    <cfRule type="expression" priority="854" dxfId="1">
      <formula>AND(IF($Q88=3,1,0),IF($X88&lt;30,1,0))</formula>
    </cfRule>
    <cfRule type="expression" priority="855" dxfId="0">
      <formula>AND(IF($Q88=3,1,IF($Q88=4,1,0)),IF($F88&lt;=85,1,0))</formula>
    </cfRule>
  </conditionalFormatting>
  <conditionalFormatting sqref="X88">
    <cfRule type="expression" priority="848" dxfId="3">
      <formula>AND(IF(OR($Q88=1,$Q88=2),1,0),IF($X88&lt;=20,1,0))</formula>
    </cfRule>
    <cfRule type="expression" priority="849" dxfId="2">
      <formula>AND(IF($Q88=2,1,0),IF($X88&lt;30,1,0))</formula>
    </cfRule>
    <cfRule type="expression" priority="850" dxfId="1">
      <formula>AND(IF($Q88=3,1,0),IF($X88&lt;30,1,0))</formula>
    </cfRule>
    <cfRule type="expression" priority="851" dxfId="0">
      <formula>AND(IF($Q88=3,1,IF($Q88=4,1,0)),IF($F88&lt;=85,1,0))</formula>
    </cfRule>
  </conditionalFormatting>
  <conditionalFormatting sqref="AI88">
    <cfRule type="expression" priority="844" dxfId="3">
      <formula>AND(IF(OR($Q88=1,$Q88=2),1,0),IF($X88&lt;=20,1,0))</formula>
    </cfRule>
    <cfRule type="expression" priority="845" dxfId="2">
      <formula>AND(IF($Q88=2,1,0),IF($X88&lt;30,1,0))</formula>
    </cfRule>
    <cfRule type="expression" priority="846" dxfId="1">
      <formula>AND(IF($Q88=3,1,0),IF($X88&lt;30,1,0))</formula>
    </cfRule>
    <cfRule type="expression" priority="847" dxfId="0">
      <formula>AND(IF($Q88=3,1,IF($Q88=4,1,0)),IF($F88&lt;=85,1,0))</formula>
    </cfRule>
  </conditionalFormatting>
  <conditionalFormatting sqref="AV89">
    <cfRule type="expression" priority="842" dxfId="17">
      <formula>AV89="X"</formula>
    </cfRule>
    <cfRule type="expression" priority="843" dxfId="16">
      <formula>AV89="후보"</formula>
    </cfRule>
  </conditionalFormatting>
  <conditionalFormatting sqref="AC89 N89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AV90">
    <cfRule type="expression" priority="837" dxfId="17">
      <formula>AV90="X"</formula>
    </cfRule>
    <cfRule type="expression" priority="838" dxfId="16">
      <formula>AV90="후보"</formula>
    </cfRule>
  </conditionalFormatting>
  <conditionalFormatting sqref="AC90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90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90">
    <cfRule type="expression" priority="828" dxfId="3">
      <formula>AND(IF(OR($Q90=1,$Q90=2),1,0),IF($X90&lt;=20,1,0))</formula>
    </cfRule>
    <cfRule type="expression" priority="829" dxfId="2">
      <formula>AND(IF($Q90=2,1,0),IF($X90&lt;30,1,0))</formula>
    </cfRule>
    <cfRule type="expression" priority="830" dxfId="1">
      <formula>AND(IF($Q90=3,1,0),IF($X90&lt;30,1,0))</formula>
    </cfRule>
    <cfRule type="expression" priority="831" dxfId="0">
      <formula>AND(IF($Q90=3,1,IF($Q90=4,1,0)),IF($F90&lt;=85,1,0))</formula>
    </cfRule>
  </conditionalFormatting>
  <conditionalFormatting sqref="X90">
    <cfRule type="expression" priority="824" dxfId="3">
      <formula>AND(IF(OR($Q90=1,$Q90=2),1,0),IF($X90&lt;=20,1,0))</formula>
    </cfRule>
    <cfRule type="expression" priority="825" dxfId="2">
      <formula>AND(IF($Q90=2,1,0),IF($X90&lt;30,1,0))</formula>
    </cfRule>
    <cfRule type="expression" priority="826" dxfId="1">
      <formula>AND(IF($Q90=3,1,0),IF($X90&lt;30,1,0))</formula>
    </cfRule>
    <cfRule type="expression" priority="827" dxfId="0">
      <formula>AND(IF($Q90=3,1,IF($Q90=4,1,0)),IF($F90&lt;=85,1,0))</formula>
    </cfRule>
  </conditionalFormatting>
  <conditionalFormatting sqref="AI90">
    <cfRule type="expression" priority="820" dxfId="3">
      <formula>AND(IF(OR($Q90=1,$Q90=2),1,0),IF($X90&lt;=20,1,0))</formula>
    </cfRule>
    <cfRule type="expression" priority="821" dxfId="2">
      <formula>AND(IF($Q90=2,1,0),IF($X90&lt;30,1,0))</formula>
    </cfRule>
    <cfRule type="expression" priority="822" dxfId="1">
      <formula>AND(IF($Q90=3,1,0),IF($X90&lt;30,1,0))</formula>
    </cfRule>
    <cfRule type="expression" priority="823" dxfId="0">
      <formula>AND(IF($Q90=3,1,IF($Q90=4,1,0)),IF($F90&lt;=85,1,0))</formula>
    </cfRule>
  </conditionalFormatting>
  <conditionalFormatting sqref="AV91">
    <cfRule type="expression" priority="818" dxfId="17">
      <formula>AV91="X"</formula>
    </cfRule>
    <cfRule type="expression" priority="819" dxfId="16">
      <formula>AV91="후보"</formula>
    </cfRule>
  </conditionalFormatting>
  <conditionalFormatting sqref="AC91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91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91">
    <cfRule type="expression" priority="809" dxfId="3">
      <formula>AND(IF(OR($Q91=1,$Q91=2),1,0),IF($X91&lt;=20,1,0))</formula>
    </cfRule>
    <cfRule type="expression" priority="810" dxfId="2">
      <formula>AND(IF($Q91=2,1,0),IF($X91&lt;30,1,0))</formula>
    </cfRule>
    <cfRule type="expression" priority="811" dxfId="1">
      <formula>AND(IF($Q91=3,1,0),IF($X91&lt;30,1,0))</formula>
    </cfRule>
    <cfRule type="expression" priority="812" dxfId="0">
      <formula>AND(IF($Q91=3,1,IF($Q91=4,1,0)),IF($F91&lt;=85,1,0))</formula>
    </cfRule>
  </conditionalFormatting>
  <conditionalFormatting sqref="X91">
    <cfRule type="expression" priority="805" dxfId="3">
      <formula>AND(IF(OR($Q91=1,$Q91=2),1,0),IF($X91&lt;=20,1,0))</formula>
    </cfRule>
    <cfRule type="expression" priority="806" dxfId="2">
      <formula>AND(IF($Q91=2,1,0),IF($X91&lt;30,1,0))</formula>
    </cfRule>
    <cfRule type="expression" priority="807" dxfId="1">
      <formula>AND(IF($Q91=3,1,0),IF($X91&lt;30,1,0))</formula>
    </cfRule>
    <cfRule type="expression" priority="808" dxfId="0">
      <formula>AND(IF($Q91=3,1,IF($Q91=4,1,0)),IF($F91&lt;=85,1,0))</formula>
    </cfRule>
  </conditionalFormatting>
  <conditionalFormatting sqref="AI91">
    <cfRule type="expression" priority="801" dxfId="3">
      <formula>AND(IF(OR($Q91=1,$Q91=2),1,0),IF($X91&lt;=20,1,0))</formula>
    </cfRule>
    <cfRule type="expression" priority="802" dxfId="2">
      <formula>AND(IF($Q91=2,1,0),IF($X91&lt;30,1,0))</formula>
    </cfRule>
    <cfRule type="expression" priority="803" dxfId="1">
      <formula>AND(IF($Q91=3,1,0),IF($X91&lt;30,1,0))</formula>
    </cfRule>
    <cfRule type="expression" priority="804" dxfId="0">
      <formula>AND(IF($Q91=3,1,IF($Q91=4,1,0)),IF($F91&lt;=85,1,0))</formula>
    </cfRule>
  </conditionalFormatting>
  <conditionalFormatting sqref="AV92">
    <cfRule type="expression" priority="799" dxfId="17">
      <formula>AV92="X"</formula>
    </cfRule>
    <cfRule type="expression" priority="800" dxfId="16">
      <formula>AV92="후보"</formula>
    </cfRule>
  </conditionalFormatting>
  <conditionalFormatting sqref="AC92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92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92">
    <cfRule type="expression" priority="790" dxfId="3">
      <formula>AND(IF(OR($Q92=1,$Q92=2),1,0),IF($X92&lt;=20,1,0))</formula>
    </cfRule>
    <cfRule type="expression" priority="791" dxfId="2">
      <formula>AND(IF($Q92=2,1,0),IF($X92&lt;30,1,0))</formula>
    </cfRule>
    <cfRule type="expression" priority="792" dxfId="1">
      <formula>AND(IF($Q92=3,1,0),IF($X92&lt;30,1,0))</formula>
    </cfRule>
    <cfRule type="expression" priority="793" dxfId="0">
      <formula>AND(IF($Q92=3,1,IF($Q92=4,1,0)),IF($F92&lt;=85,1,0))</formula>
    </cfRule>
  </conditionalFormatting>
  <conditionalFormatting sqref="X92">
    <cfRule type="expression" priority="786" dxfId="3">
      <formula>AND(IF(OR($Q92=1,$Q92=2),1,0),IF($X92&lt;=20,1,0))</formula>
    </cfRule>
    <cfRule type="expression" priority="787" dxfId="2">
      <formula>AND(IF($Q92=2,1,0),IF($X92&lt;30,1,0))</formula>
    </cfRule>
    <cfRule type="expression" priority="788" dxfId="1">
      <formula>AND(IF($Q92=3,1,0),IF($X92&lt;30,1,0))</formula>
    </cfRule>
    <cfRule type="expression" priority="789" dxfId="0">
      <formula>AND(IF($Q92=3,1,IF($Q92=4,1,0)),IF($F92&lt;=85,1,0))</formula>
    </cfRule>
  </conditionalFormatting>
  <conditionalFormatting sqref="AI92">
    <cfRule type="expression" priority="782" dxfId="3">
      <formula>AND(IF(OR($Q92=1,$Q92=2),1,0),IF($X92&lt;=20,1,0))</formula>
    </cfRule>
    <cfRule type="expression" priority="783" dxfId="2">
      <formula>AND(IF($Q92=2,1,0),IF($X92&lt;30,1,0))</formula>
    </cfRule>
    <cfRule type="expression" priority="784" dxfId="1">
      <formula>AND(IF($Q92=3,1,0),IF($X92&lt;30,1,0))</formula>
    </cfRule>
    <cfRule type="expression" priority="785" dxfId="0">
      <formula>AND(IF($Q92=3,1,IF($Q92=4,1,0)),IF($F92&lt;=85,1,0))</formula>
    </cfRule>
  </conditionalFormatting>
  <conditionalFormatting sqref="AV93">
    <cfRule type="expression" priority="780" dxfId="17">
      <formula>AV93="X"</formula>
    </cfRule>
    <cfRule type="expression" priority="781" dxfId="16">
      <formula>AV93="후보"</formula>
    </cfRule>
  </conditionalFormatting>
  <conditionalFormatting sqref="AC9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93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93">
    <cfRule type="expression" priority="771" dxfId="3">
      <formula>AND(IF(OR($Q93=1,$Q93=2),1,0),IF($X93&lt;=20,1,0))</formula>
    </cfRule>
    <cfRule type="expression" priority="772" dxfId="2">
      <formula>AND(IF($Q93=2,1,0),IF($X93&lt;30,1,0))</formula>
    </cfRule>
    <cfRule type="expression" priority="773" dxfId="1">
      <formula>AND(IF($Q93=3,1,0),IF($X93&lt;30,1,0))</formula>
    </cfRule>
    <cfRule type="expression" priority="774" dxfId="0">
      <formula>AND(IF($Q93=3,1,IF($Q93=4,1,0)),IF($F93&lt;=85,1,0))</formula>
    </cfRule>
  </conditionalFormatting>
  <conditionalFormatting sqref="X93">
    <cfRule type="expression" priority="767" dxfId="3">
      <formula>AND(IF(OR($Q93=1,$Q93=2),1,0),IF($X93&lt;=20,1,0))</formula>
    </cfRule>
    <cfRule type="expression" priority="768" dxfId="2">
      <formula>AND(IF($Q93=2,1,0),IF($X93&lt;30,1,0))</formula>
    </cfRule>
    <cfRule type="expression" priority="769" dxfId="1">
      <formula>AND(IF($Q93=3,1,0),IF($X93&lt;30,1,0))</formula>
    </cfRule>
    <cfRule type="expression" priority="770" dxfId="0">
      <formula>AND(IF($Q93=3,1,IF($Q93=4,1,0)),IF($F93&lt;=85,1,0))</formula>
    </cfRule>
  </conditionalFormatting>
  <conditionalFormatting sqref="AI93">
    <cfRule type="expression" priority="763" dxfId="3">
      <formula>AND(IF(OR($Q93=1,$Q93=2),1,0),IF($X93&lt;=20,1,0))</formula>
    </cfRule>
    <cfRule type="expression" priority="764" dxfId="2">
      <formula>AND(IF($Q93=2,1,0),IF($X93&lt;30,1,0))</formula>
    </cfRule>
    <cfRule type="expression" priority="765" dxfId="1">
      <formula>AND(IF($Q93=3,1,0),IF($X93&lt;30,1,0))</formula>
    </cfRule>
    <cfRule type="expression" priority="766" dxfId="0">
      <formula>AND(IF($Q93=3,1,IF($Q93=4,1,0)),IF($F93&lt;=85,1,0))</formula>
    </cfRule>
  </conditionalFormatting>
  <conditionalFormatting sqref="AV94">
    <cfRule type="expression" priority="761" dxfId="17">
      <formula>AV94="X"</formula>
    </cfRule>
    <cfRule type="expression" priority="762" dxfId="16">
      <formula>AV94="후보"</formula>
    </cfRule>
  </conditionalFormatting>
  <conditionalFormatting sqref="AC94 N94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AV95">
    <cfRule type="expression" priority="756" dxfId="17">
      <formula>AV95="X"</formula>
    </cfRule>
    <cfRule type="expression" priority="757" dxfId="16">
      <formula>AV95="후보"</formula>
    </cfRule>
  </conditionalFormatting>
  <conditionalFormatting sqref="AC95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95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95">
    <cfRule type="expression" priority="747" dxfId="3">
      <formula>AND(IF(OR($Q95=1,$Q95=2),1,0),IF($X95&lt;=20,1,0))</formula>
    </cfRule>
    <cfRule type="expression" priority="748" dxfId="2">
      <formula>AND(IF($Q95=2,1,0),IF($X95&lt;30,1,0))</formula>
    </cfRule>
    <cfRule type="expression" priority="749" dxfId="1">
      <formula>AND(IF($Q95=3,1,0),IF($X95&lt;30,1,0))</formula>
    </cfRule>
    <cfRule type="expression" priority="750" dxfId="0">
      <formula>AND(IF($Q95=3,1,IF($Q95=4,1,0)),IF($F95&lt;=85,1,0))</formula>
    </cfRule>
  </conditionalFormatting>
  <conditionalFormatting sqref="X95">
    <cfRule type="expression" priority="743" dxfId="3">
      <formula>AND(IF(OR($Q95=1,$Q95=2),1,0),IF($X95&lt;=20,1,0))</formula>
    </cfRule>
    <cfRule type="expression" priority="744" dxfId="2">
      <formula>AND(IF($Q95=2,1,0),IF($X95&lt;30,1,0))</formula>
    </cfRule>
    <cfRule type="expression" priority="745" dxfId="1">
      <formula>AND(IF($Q95=3,1,0),IF($X95&lt;30,1,0))</formula>
    </cfRule>
    <cfRule type="expression" priority="746" dxfId="0">
      <formula>AND(IF($Q95=3,1,IF($Q95=4,1,0)),IF($F95&lt;=85,1,0))</formula>
    </cfRule>
  </conditionalFormatting>
  <conditionalFormatting sqref="AI95">
    <cfRule type="expression" priority="739" dxfId="3">
      <formula>AND(IF(OR($Q95=1,$Q95=2),1,0),IF($X95&lt;=20,1,0))</formula>
    </cfRule>
    <cfRule type="expression" priority="740" dxfId="2">
      <formula>AND(IF($Q95=2,1,0),IF($X95&lt;30,1,0))</formula>
    </cfRule>
    <cfRule type="expression" priority="741" dxfId="1">
      <formula>AND(IF($Q95=3,1,0),IF($X95&lt;30,1,0))</formula>
    </cfRule>
    <cfRule type="expression" priority="742" dxfId="0">
      <formula>AND(IF($Q95=3,1,IF($Q95=4,1,0)),IF($F95&lt;=85,1,0))</formula>
    </cfRule>
  </conditionalFormatting>
  <conditionalFormatting sqref="AV96">
    <cfRule type="expression" priority="737" dxfId="17">
      <formula>AV96="X"</formula>
    </cfRule>
    <cfRule type="expression" priority="738" dxfId="16">
      <formula>AV96="후보"</formula>
    </cfRule>
  </conditionalFormatting>
  <conditionalFormatting sqref="AC96 N96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AV97">
    <cfRule type="expression" priority="732" dxfId="17">
      <formula>AV97="X"</formula>
    </cfRule>
    <cfRule type="expression" priority="733" dxfId="16">
      <formula>AV97="후보"</formula>
    </cfRule>
  </conditionalFormatting>
  <conditionalFormatting sqref="AC97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97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97">
    <cfRule type="expression" priority="723" dxfId="3">
      <formula>AND(IF(OR($Q97=1,$Q97=2),1,0),IF($X97&lt;=20,1,0))</formula>
    </cfRule>
    <cfRule type="expression" priority="724" dxfId="2">
      <formula>AND(IF($Q97=2,1,0),IF($X97&lt;30,1,0))</formula>
    </cfRule>
    <cfRule type="expression" priority="725" dxfId="1">
      <formula>AND(IF($Q97=3,1,0),IF($X97&lt;30,1,0))</formula>
    </cfRule>
    <cfRule type="expression" priority="726" dxfId="0">
      <formula>AND(IF($Q97=3,1,IF($Q97=4,1,0)),IF($F97&lt;=85,1,0))</formula>
    </cfRule>
  </conditionalFormatting>
  <conditionalFormatting sqref="X97">
    <cfRule type="expression" priority="719" dxfId="3">
      <formula>AND(IF(OR($Q97=1,$Q97=2),1,0),IF($X97&lt;=20,1,0))</formula>
    </cfRule>
    <cfRule type="expression" priority="720" dxfId="2">
      <formula>AND(IF($Q97=2,1,0),IF($X97&lt;30,1,0))</formula>
    </cfRule>
    <cfRule type="expression" priority="721" dxfId="1">
      <formula>AND(IF($Q97=3,1,0),IF($X97&lt;30,1,0))</formula>
    </cfRule>
    <cfRule type="expression" priority="722" dxfId="0">
      <formula>AND(IF($Q97=3,1,IF($Q97=4,1,0)),IF($F97&lt;=85,1,0))</formula>
    </cfRule>
  </conditionalFormatting>
  <conditionalFormatting sqref="AI97">
    <cfRule type="expression" priority="715" dxfId="3">
      <formula>AND(IF(OR($Q97=1,$Q97=2),1,0),IF($X97&lt;=20,1,0))</formula>
    </cfRule>
    <cfRule type="expression" priority="716" dxfId="2">
      <formula>AND(IF($Q97=2,1,0),IF($X97&lt;30,1,0))</formula>
    </cfRule>
    <cfRule type="expression" priority="717" dxfId="1">
      <formula>AND(IF($Q97=3,1,0),IF($X97&lt;30,1,0))</formula>
    </cfRule>
    <cfRule type="expression" priority="718" dxfId="0">
      <formula>AND(IF($Q97=3,1,IF($Q97=4,1,0)),IF($F97&lt;=85,1,0))</formula>
    </cfRule>
  </conditionalFormatting>
  <conditionalFormatting sqref="AV98">
    <cfRule type="expression" priority="713" dxfId="17">
      <formula>AV98="X"</formula>
    </cfRule>
    <cfRule type="expression" priority="714" dxfId="16">
      <formula>AV98="후보"</formula>
    </cfRule>
  </conditionalFormatting>
  <conditionalFormatting sqref="AC98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98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98">
    <cfRule type="expression" priority="704" dxfId="3">
      <formula>AND(IF(OR($Q98=1,$Q98=2),1,0),IF($X98&lt;=20,1,0))</formula>
    </cfRule>
    <cfRule type="expression" priority="705" dxfId="2">
      <formula>AND(IF($Q98=2,1,0),IF($X98&lt;30,1,0))</formula>
    </cfRule>
    <cfRule type="expression" priority="706" dxfId="1">
      <formula>AND(IF($Q98=3,1,0),IF($X98&lt;30,1,0))</formula>
    </cfRule>
    <cfRule type="expression" priority="707" dxfId="0">
      <formula>AND(IF($Q98=3,1,IF($Q98=4,1,0)),IF($F98&lt;=85,1,0))</formula>
    </cfRule>
  </conditionalFormatting>
  <conditionalFormatting sqref="X98">
    <cfRule type="expression" priority="700" dxfId="3">
      <formula>AND(IF(OR($Q98=1,$Q98=2),1,0),IF($X98&lt;=20,1,0))</formula>
    </cfRule>
    <cfRule type="expression" priority="701" dxfId="2">
      <formula>AND(IF($Q98=2,1,0),IF($X98&lt;30,1,0))</formula>
    </cfRule>
    <cfRule type="expression" priority="702" dxfId="1">
      <formula>AND(IF($Q98=3,1,0),IF($X98&lt;30,1,0))</formula>
    </cfRule>
    <cfRule type="expression" priority="703" dxfId="0">
      <formula>AND(IF($Q98=3,1,IF($Q98=4,1,0)),IF($F98&lt;=85,1,0))</formula>
    </cfRule>
  </conditionalFormatting>
  <conditionalFormatting sqref="AI98">
    <cfRule type="expression" priority="696" dxfId="3">
      <formula>AND(IF(OR($Q98=1,$Q98=2),1,0),IF($X98&lt;=20,1,0))</formula>
    </cfRule>
    <cfRule type="expression" priority="697" dxfId="2">
      <formula>AND(IF($Q98=2,1,0),IF($X98&lt;30,1,0))</formula>
    </cfRule>
    <cfRule type="expression" priority="698" dxfId="1">
      <formula>AND(IF($Q98=3,1,0),IF($X98&lt;30,1,0))</formula>
    </cfRule>
    <cfRule type="expression" priority="699" dxfId="0">
      <formula>AND(IF($Q98=3,1,IF($Q98=4,1,0)),IF($F98&lt;=85,1,0))</formula>
    </cfRule>
  </conditionalFormatting>
  <conditionalFormatting sqref="AV99">
    <cfRule type="expression" priority="694" dxfId="17">
      <formula>AV99="X"</formula>
    </cfRule>
    <cfRule type="expression" priority="695" dxfId="16">
      <formula>AV99="후보"</formula>
    </cfRule>
  </conditionalFormatting>
  <conditionalFormatting sqref="AC99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99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99">
    <cfRule type="expression" priority="685" dxfId="3">
      <formula>AND(IF(OR($Q99=1,$Q99=2),1,0),IF($X99&lt;=20,1,0))</formula>
    </cfRule>
    <cfRule type="expression" priority="686" dxfId="2">
      <formula>AND(IF($Q99=2,1,0),IF($X99&lt;30,1,0))</formula>
    </cfRule>
    <cfRule type="expression" priority="687" dxfId="1">
      <formula>AND(IF($Q99=3,1,0),IF($X99&lt;30,1,0))</formula>
    </cfRule>
    <cfRule type="expression" priority="688" dxfId="0">
      <formula>AND(IF($Q99=3,1,IF($Q99=4,1,0)),IF($F99&lt;=85,1,0))</formula>
    </cfRule>
  </conditionalFormatting>
  <conditionalFormatting sqref="X99">
    <cfRule type="expression" priority="681" dxfId="3">
      <formula>AND(IF(OR($Q99=1,$Q99=2),1,0),IF($X99&lt;=20,1,0))</formula>
    </cfRule>
    <cfRule type="expression" priority="682" dxfId="2">
      <formula>AND(IF($Q99=2,1,0),IF($X99&lt;30,1,0))</formula>
    </cfRule>
    <cfRule type="expression" priority="683" dxfId="1">
      <formula>AND(IF($Q99=3,1,0),IF($X99&lt;30,1,0))</formula>
    </cfRule>
    <cfRule type="expression" priority="684" dxfId="0">
      <formula>AND(IF($Q99=3,1,IF($Q99=4,1,0)),IF($F99&lt;=85,1,0))</formula>
    </cfRule>
  </conditionalFormatting>
  <conditionalFormatting sqref="AI99">
    <cfRule type="expression" priority="677" dxfId="3">
      <formula>AND(IF(OR($Q99=1,$Q99=2),1,0),IF($X99&lt;=20,1,0))</formula>
    </cfRule>
    <cfRule type="expression" priority="678" dxfId="2">
      <formula>AND(IF($Q99=2,1,0),IF($X99&lt;30,1,0))</formula>
    </cfRule>
    <cfRule type="expression" priority="679" dxfId="1">
      <formula>AND(IF($Q99=3,1,0),IF($X99&lt;30,1,0))</formula>
    </cfRule>
    <cfRule type="expression" priority="680" dxfId="0">
      <formula>AND(IF($Q99=3,1,IF($Q99=4,1,0)),IF($F99&lt;=85,1,0))</formula>
    </cfRule>
  </conditionalFormatting>
  <conditionalFormatting sqref="AV100">
    <cfRule type="expression" priority="675" dxfId="17">
      <formula>AV100="X"</formula>
    </cfRule>
    <cfRule type="expression" priority="676" dxfId="16">
      <formula>AV100="후보"</formula>
    </cfRule>
  </conditionalFormatting>
  <conditionalFormatting sqref="AC100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100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100">
    <cfRule type="expression" priority="666" dxfId="3">
      <formula>AND(IF(OR($Q100=1,$Q100=2),1,0),IF($X100&lt;=20,1,0))</formula>
    </cfRule>
    <cfRule type="expression" priority="667" dxfId="2">
      <formula>AND(IF($Q100=2,1,0),IF($X100&lt;30,1,0))</formula>
    </cfRule>
    <cfRule type="expression" priority="668" dxfId="1">
      <formula>AND(IF($Q100=3,1,0),IF($X100&lt;30,1,0))</formula>
    </cfRule>
    <cfRule type="expression" priority="669" dxfId="0">
      <formula>AND(IF($Q100=3,1,IF($Q100=4,1,0)),IF($F100&lt;=85,1,0))</formula>
    </cfRule>
  </conditionalFormatting>
  <conditionalFormatting sqref="X100">
    <cfRule type="expression" priority="662" dxfId="3">
      <formula>AND(IF(OR($Q100=1,$Q100=2),1,0),IF($X100&lt;=20,1,0))</formula>
    </cfRule>
    <cfRule type="expression" priority="663" dxfId="2">
      <formula>AND(IF($Q100=2,1,0),IF($X100&lt;30,1,0))</formula>
    </cfRule>
    <cfRule type="expression" priority="664" dxfId="1">
      <formula>AND(IF($Q100=3,1,0),IF($X100&lt;30,1,0))</formula>
    </cfRule>
    <cfRule type="expression" priority="665" dxfId="0">
      <formula>AND(IF($Q100=3,1,IF($Q100=4,1,0)),IF($F100&lt;=85,1,0))</formula>
    </cfRule>
  </conditionalFormatting>
  <conditionalFormatting sqref="AI100">
    <cfRule type="expression" priority="658" dxfId="3">
      <formula>AND(IF(OR($Q100=1,$Q100=2),1,0),IF($X100&lt;=20,1,0))</formula>
    </cfRule>
    <cfRule type="expression" priority="659" dxfId="2">
      <formula>AND(IF($Q100=2,1,0),IF($X100&lt;30,1,0))</formula>
    </cfRule>
    <cfRule type="expression" priority="660" dxfId="1">
      <formula>AND(IF($Q100=3,1,0),IF($X100&lt;30,1,0))</formula>
    </cfRule>
    <cfRule type="expression" priority="661" dxfId="0">
      <formula>AND(IF($Q100=3,1,IF($Q100=4,1,0)),IF($F100&lt;=85,1,0))</formula>
    </cfRule>
  </conditionalFormatting>
  <conditionalFormatting sqref="AV101">
    <cfRule type="expression" priority="656" dxfId="17">
      <formula>AV101="X"</formula>
    </cfRule>
    <cfRule type="expression" priority="657" dxfId="16">
      <formula>AV101="후보"</formula>
    </cfRule>
  </conditionalFormatting>
  <conditionalFormatting sqref="AC101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01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01">
    <cfRule type="expression" priority="647" dxfId="3">
      <formula>AND(IF(OR($Q101=1,$Q101=2),1,0),IF($X101&lt;=20,1,0))</formula>
    </cfRule>
    <cfRule type="expression" priority="648" dxfId="2">
      <formula>AND(IF($Q101=2,1,0),IF($X101&lt;30,1,0))</formula>
    </cfRule>
    <cfRule type="expression" priority="649" dxfId="1">
      <formula>AND(IF($Q101=3,1,0),IF($X101&lt;30,1,0))</formula>
    </cfRule>
    <cfRule type="expression" priority="650" dxfId="0">
      <formula>AND(IF($Q101=3,1,IF($Q101=4,1,0)),IF($F101&lt;=85,1,0))</formula>
    </cfRule>
  </conditionalFormatting>
  <conditionalFormatting sqref="X101">
    <cfRule type="expression" priority="643" dxfId="3">
      <formula>AND(IF(OR($Q101=1,$Q101=2),1,0),IF($X101&lt;=20,1,0))</formula>
    </cfRule>
    <cfRule type="expression" priority="644" dxfId="2">
      <formula>AND(IF($Q101=2,1,0),IF($X101&lt;30,1,0))</formula>
    </cfRule>
    <cfRule type="expression" priority="645" dxfId="1">
      <formula>AND(IF($Q101=3,1,0),IF($X101&lt;30,1,0))</formula>
    </cfRule>
    <cfRule type="expression" priority="646" dxfId="0">
      <formula>AND(IF($Q101=3,1,IF($Q101=4,1,0)),IF($F101&lt;=85,1,0))</formula>
    </cfRule>
  </conditionalFormatting>
  <conditionalFormatting sqref="AI101">
    <cfRule type="expression" priority="639" dxfId="3">
      <formula>AND(IF(OR($Q101=1,$Q101=2),1,0),IF($X101&lt;=20,1,0))</formula>
    </cfRule>
    <cfRule type="expression" priority="640" dxfId="2">
      <formula>AND(IF($Q101=2,1,0),IF($X101&lt;30,1,0))</formula>
    </cfRule>
    <cfRule type="expression" priority="641" dxfId="1">
      <formula>AND(IF($Q101=3,1,0),IF($X101&lt;30,1,0))</formula>
    </cfRule>
    <cfRule type="expression" priority="642" dxfId="0">
      <formula>AND(IF($Q101=3,1,IF($Q101=4,1,0)),IF($F101&lt;=85,1,0))</formula>
    </cfRule>
  </conditionalFormatting>
  <conditionalFormatting sqref="AV102">
    <cfRule type="expression" priority="637" dxfId="17">
      <formula>AV102="X"</formula>
    </cfRule>
    <cfRule type="expression" priority="638" dxfId="16">
      <formula>AV102="후보"</formula>
    </cfRule>
  </conditionalFormatting>
  <conditionalFormatting sqref="AC102 N102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AV103">
    <cfRule type="expression" priority="632" dxfId="17">
      <formula>AV103="X"</formula>
    </cfRule>
    <cfRule type="expression" priority="633" dxfId="16">
      <formula>AV103="후보"</formula>
    </cfRule>
  </conditionalFormatting>
  <conditionalFormatting sqref="AC103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03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03">
    <cfRule type="expression" priority="623" dxfId="3">
      <formula>AND(IF(OR($Q103=1,$Q103=2),1,0),IF($X103&lt;=20,1,0))</formula>
    </cfRule>
    <cfRule type="expression" priority="624" dxfId="2">
      <formula>AND(IF($Q103=2,1,0),IF($X103&lt;30,1,0))</formula>
    </cfRule>
    <cfRule type="expression" priority="625" dxfId="1">
      <formula>AND(IF($Q103=3,1,0),IF($X103&lt;30,1,0))</formula>
    </cfRule>
    <cfRule type="expression" priority="626" dxfId="0">
      <formula>AND(IF($Q103=3,1,IF($Q103=4,1,0)),IF($F103&lt;=85,1,0))</formula>
    </cfRule>
  </conditionalFormatting>
  <conditionalFormatting sqref="X103">
    <cfRule type="expression" priority="619" dxfId="3">
      <formula>AND(IF(OR($Q103=1,$Q103=2),1,0),IF($X103&lt;=20,1,0))</formula>
    </cfRule>
    <cfRule type="expression" priority="620" dxfId="2">
      <formula>AND(IF($Q103=2,1,0),IF($X103&lt;30,1,0))</formula>
    </cfRule>
    <cfRule type="expression" priority="621" dxfId="1">
      <formula>AND(IF($Q103=3,1,0),IF($X103&lt;30,1,0))</formula>
    </cfRule>
    <cfRule type="expression" priority="622" dxfId="0">
      <formula>AND(IF($Q103=3,1,IF($Q103=4,1,0)),IF($F103&lt;=85,1,0))</formula>
    </cfRule>
  </conditionalFormatting>
  <conditionalFormatting sqref="AI103">
    <cfRule type="expression" priority="615" dxfId="3">
      <formula>AND(IF(OR($Q103=1,$Q103=2),1,0),IF($X103&lt;=20,1,0))</formula>
    </cfRule>
    <cfRule type="expression" priority="616" dxfId="2">
      <formula>AND(IF($Q103=2,1,0),IF($X103&lt;30,1,0))</formula>
    </cfRule>
    <cfRule type="expression" priority="617" dxfId="1">
      <formula>AND(IF($Q103=3,1,0),IF($X103&lt;30,1,0))</formula>
    </cfRule>
    <cfRule type="expression" priority="618" dxfId="0">
      <formula>AND(IF($Q103=3,1,IF($Q103=4,1,0)),IF($F103&lt;=85,1,0))</formula>
    </cfRule>
  </conditionalFormatting>
  <conditionalFormatting sqref="AV104">
    <cfRule type="expression" priority="613" dxfId="17">
      <formula>AV104="X"</formula>
    </cfRule>
    <cfRule type="expression" priority="614" dxfId="16">
      <formula>AV104="후보"</formula>
    </cfRule>
  </conditionalFormatting>
  <conditionalFormatting sqref="AC104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104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104">
    <cfRule type="expression" priority="604" dxfId="3">
      <formula>AND(IF(OR($Q104=1,$Q104=2),1,0),IF($X104&lt;=20,1,0))</formula>
    </cfRule>
    <cfRule type="expression" priority="605" dxfId="2">
      <formula>AND(IF($Q104=2,1,0),IF($X104&lt;30,1,0))</formula>
    </cfRule>
    <cfRule type="expression" priority="606" dxfId="1">
      <formula>AND(IF($Q104=3,1,0),IF($X104&lt;30,1,0))</formula>
    </cfRule>
    <cfRule type="expression" priority="607" dxfId="0">
      <formula>AND(IF($Q104=3,1,IF($Q104=4,1,0)),IF($F104&lt;=85,1,0))</formula>
    </cfRule>
  </conditionalFormatting>
  <conditionalFormatting sqref="X104">
    <cfRule type="expression" priority="600" dxfId="3">
      <formula>AND(IF(OR($Q104=1,$Q104=2),1,0),IF($X104&lt;=20,1,0))</formula>
    </cfRule>
    <cfRule type="expression" priority="601" dxfId="2">
      <formula>AND(IF($Q104=2,1,0),IF($X104&lt;30,1,0))</formula>
    </cfRule>
    <cfRule type="expression" priority="602" dxfId="1">
      <formula>AND(IF($Q104=3,1,0),IF($X104&lt;30,1,0))</formula>
    </cfRule>
    <cfRule type="expression" priority="603" dxfId="0">
      <formula>AND(IF($Q104=3,1,IF($Q104=4,1,0)),IF($F104&lt;=85,1,0))</formula>
    </cfRule>
  </conditionalFormatting>
  <conditionalFormatting sqref="AI104">
    <cfRule type="expression" priority="596" dxfId="3">
      <formula>AND(IF(OR($Q104=1,$Q104=2),1,0),IF($X104&lt;=20,1,0))</formula>
    </cfRule>
    <cfRule type="expression" priority="597" dxfId="2">
      <formula>AND(IF($Q104=2,1,0),IF($X104&lt;30,1,0))</formula>
    </cfRule>
    <cfRule type="expression" priority="598" dxfId="1">
      <formula>AND(IF($Q104=3,1,0),IF($X104&lt;30,1,0))</formula>
    </cfRule>
    <cfRule type="expression" priority="599" dxfId="0">
      <formula>AND(IF($Q104=3,1,IF($Q104=4,1,0)),IF($F104&lt;=85,1,0))</formula>
    </cfRule>
  </conditionalFormatting>
  <conditionalFormatting sqref="AV105">
    <cfRule type="expression" priority="594" dxfId="17">
      <formula>AV105="X"</formula>
    </cfRule>
    <cfRule type="expression" priority="595" dxfId="16">
      <formula>AV105="후보"</formula>
    </cfRule>
  </conditionalFormatting>
  <conditionalFormatting sqref="AC105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105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105">
    <cfRule type="expression" priority="585" dxfId="3">
      <formula>AND(IF(OR($Q105=1,$Q105=2),1,0),IF($X105&lt;=20,1,0))</formula>
    </cfRule>
    <cfRule type="expression" priority="586" dxfId="2">
      <formula>AND(IF($Q105=2,1,0),IF($X105&lt;30,1,0))</formula>
    </cfRule>
    <cfRule type="expression" priority="587" dxfId="1">
      <formula>AND(IF($Q105=3,1,0),IF($X105&lt;30,1,0))</formula>
    </cfRule>
    <cfRule type="expression" priority="588" dxfId="0">
      <formula>AND(IF($Q105=3,1,IF($Q105=4,1,0)),IF($F105&lt;=85,1,0))</formula>
    </cfRule>
  </conditionalFormatting>
  <conditionalFormatting sqref="X105">
    <cfRule type="expression" priority="581" dxfId="3">
      <formula>AND(IF(OR($Q105=1,$Q105=2),1,0),IF($X105&lt;=20,1,0))</formula>
    </cfRule>
    <cfRule type="expression" priority="582" dxfId="2">
      <formula>AND(IF($Q105=2,1,0),IF($X105&lt;30,1,0))</formula>
    </cfRule>
    <cfRule type="expression" priority="583" dxfId="1">
      <formula>AND(IF($Q105=3,1,0),IF($X105&lt;30,1,0))</formula>
    </cfRule>
    <cfRule type="expression" priority="584" dxfId="0">
      <formula>AND(IF($Q105=3,1,IF($Q105=4,1,0)),IF($F105&lt;=85,1,0))</formula>
    </cfRule>
  </conditionalFormatting>
  <conditionalFormatting sqref="AI105">
    <cfRule type="expression" priority="577" dxfId="3">
      <formula>AND(IF(OR($Q105=1,$Q105=2),1,0),IF($X105&lt;=20,1,0))</formula>
    </cfRule>
    <cfRule type="expression" priority="578" dxfId="2">
      <formula>AND(IF($Q105=2,1,0),IF($X105&lt;30,1,0))</formula>
    </cfRule>
    <cfRule type="expression" priority="579" dxfId="1">
      <formula>AND(IF($Q105=3,1,0),IF($X105&lt;30,1,0))</formula>
    </cfRule>
    <cfRule type="expression" priority="580" dxfId="0">
      <formula>AND(IF($Q105=3,1,IF($Q105=4,1,0)),IF($F105&lt;=85,1,0))</formula>
    </cfRule>
  </conditionalFormatting>
  <conditionalFormatting sqref="AV106">
    <cfRule type="expression" priority="575" dxfId="17">
      <formula>AV106="X"</formula>
    </cfRule>
    <cfRule type="expression" priority="576" dxfId="16">
      <formula>AV106="후보"</formula>
    </cfRule>
  </conditionalFormatting>
  <conditionalFormatting sqref="AC106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106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106">
    <cfRule type="expression" priority="566" dxfId="3">
      <formula>AND(IF(OR($Q106=1,$Q106=2),1,0),IF($X106&lt;=20,1,0))</formula>
    </cfRule>
    <cfRule type="expression" priority="567" dxfId="2">
      <formula>AND(IF($Q106=2,1,0),IF($X106&lt;30,1,0))</formula>
    </cfRule>
    <cfRule type="expression" priority="568" dxfId="1">
      <formula>AND(IF($Q106=3,1,0),IF($X106&lt;30,1,0))</formula>
    </cfRule>
    <cfRule type="expression" priority="569" dxfId="0">
      <formula>AND(IF($Q106=3,1,IF($Q106=4,1,0)),IF($F106&lt;=85,1,0))</formula>
    </cfRule>
  </conditionalFormatting>
  <conditionalFormatting sqref="X106">
    <cfRule type="expression" priority="562" dxfId="3">
      <formula>AND(IF(OR($Q106=1,$Q106=2),1,0),IF($X106&lt;=20,1,0))</formula>
    </cfRule>
    <cfRule type="expression" priority="563" dxfId="2">
      <formula>AND(IF($Q106=2,1,0),IF($X106&lt;30,1,0))</formula>
    </cfRule>
    <cfRule type="expression" priority="564" dxfId="1">
      <formula>AND(IF($Q106=3,1,0),IF($X106&lt;30,1,0))</formula>
    </cfRule>
    <cfRule type="expression" priority="565" dxfId="0">
      <formula>AND(IF($Q106=3,1,IF($Q106=4,1,0)),IF($F106&lt;=85,1,0))</formula>
    </cfRule>
  </conditionalFormatting>
  <conditionalFormatting sqref="AI106">
    <cfRule type="expression" priority="558" dxfId="3">
      <formula>AND(IF(OR($Q106=1,$Q106=2),1,0),IF($X106&lt;=20,1,0))</formula>
    </cfRule>
    <cfRule type="expression" priority="559" dxfId="2">
      <formula>AND(IF($Q106=2,1,0),IF($X106&lt;30,1,0))</formula>
    </cfRule>
    <cfRule type="expression" priority="560" dxfId="1">
      <formula>AND(IF($Q106=3,1,0),IF($X106&lt;30,1,0))</formula>
    </cfRule>
    <cfRule type="expression" priority="561" dxfId="0">
      <formula>AND(IF($Q106=3,1,IF($Q106=4,1,0)),IF($F106&lt;=85,1,0))</formula>
    </cfRule>
  </conditionalFormatting>
  <conditionalFormatting sqref="AV107">
    <cfRule type="expression" priority="556" dxfId="17">
      <formula>AV107="X"</formula>
    </cfRule>
    <cfRule type="expression" priority="557" dxfId="16">
      <formula>AV107="후보"</formula>
    </cfRule>
  </conditionalFormatting>
  <conditionalFormatting sqref="AC107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07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107">
    <cfRule type="expression" priority="547" dxfId="3">
      <formula>AND(IF(OR($Q107=1,$Q107=2),1,0),IF($X107&lt;=20,1,0))</formula>
    </cfRule>
    <cfRule type="expression" priority="548" dxfId="2">
      <formula>AND(IF($Q107=2,1,0),IF($X107&lt;30,1,0))</formula>
    </cfRule>
    <cfRule type="expression" priority="549" dxfId="1">
      <formula>AND(IF($Q107=3,1,0),IF($X107&lt;30,1,0))</formula>
    </cfRule>
    <cfRule type="expression" priority="550" dxfId="0">
      <formula>AND(IF($Q107=3,1,IF($Q107=4,1,0)),IF($F107&lt;=85,1,0))</formula>
    </cfRule>
  </conditionalFormatting>
  <conditionalFormatting sqref="X107">
    <cfRule type="expression" priority="543" dxfId="3">
      <formula>AND(IF(OR($Q107=1,$Q107=2),1,0),IF($X107&lt;=20,1,0))</formula>
    </cfRule>
    <cfRule type="expression" priority="544" dxfId="2">
      <formula>AND(IF($Q107=2,1,0),IF($X107&lt;30,1,0))</formula>
    </cfRule>
    <cfRule type="expression" priority="545" dxfId="1">
      <formula>AND(IF($Q107=3,1,0),IF($X107&lt;30,1,0))</formula>
    </cfRule>
    <cfRule type="expression" priority="546" dxfId="0">
      <formula>AND(IF($Q107=3,1,IF($Q107=4,1,0)),IF($F107&lt;=85,1,0))</formula>
    </cfRule>
  </conditionalFormatting>
  <conditionalFormatting sqref="AI107">
    <cfRule type="expression" priority="539" dxfId="3">
      <formula>AND(IF(OR($Q107=1,$Q107=2),1,0),IF($X107&lt;=20,1,0))</formula>
    </cfRule>
    <cfRule type="expression" priority="540" dxfId="2">
      <formula>AND(IF($Q107=2,1,0),IF($X107&lt;30,1,0))</formula>
    </cfRule>
    <cfRule type="expression" priority="541" dxfId="1">
      <formula>AND(IF($Q107=3,1,0),IF($X107&lt;30,1,0))</formula>
    </cfRule>
    <cfRule type="expression" priority="542" dxfId="0">
      <formula>AND(IF($Q107=3,1,IF($Q107=4,1,0)),IF($F107&lt;=85,1,0))</formula>
    </cfRule>
  </conditionalFormatting>
  <conditionalFormatting sqref="AV108">
    <cfRule type="expression" priority="537" dxfId="17">
      <formula>AV108="X"</formula>
    </cfRule>
    <cfRule type="expression" priority="538" dxfId="16">
      <formula>AV108="후보"</formula>
    </cfRule>
  </conditionalFormatting>
  <conditionalFormatting sqref="AC108 N108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AV109">
    <cfRule type="expression" priority="532" dxfId="17">
      <formula>AV109="X"</formula>
    </cfRule>
    <cfRule type="expression" priority="533" dxfId="16">
      <formula>AV109="후보"</formula>
    </cfRule>
  </conditionalFormatting>
  <conditionalFormatting sqref="AC109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109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109">
    <cfRule type="expression" priority="523" dxfId="3">
      <formula>AND(IF(OR($Q109=1,$Q109=2),1,0),IF($X109&lt;=20,1,0))</formula>
    </cfRule>
    <cfRule type="expression" priority="524" dxfId="2">
      <formula>AND(IF($Q109=2,1,0),IF($X109&lt;30,1,0))</formula>
    </cfRule>
    <cfRule type="expression" priority="525" dxfId="1">
      <formula>AND(IF($Q109=3,1,0),IF($X109&lt;30,1,0))</formula>
    </cfRule>
    <cfRule type="expression" priority="526" dxfId="0">
      <formula>AND(IF($Q109=3,1,IF($Q109=4,1,0)),IF($F109&lt;=85,1,0))</formula>
    </cfRule>
  </conditionalFormatting>
  <conditionalFormatting sqref="X109">
    <cfRule type="expression" priority="519" dxfId="3">
      <formula>AND(IF(OR($Q109=1,$Q109=2),1,0),IF($X109&lt;=20,1,0))</formula>
    </cfRule>
    <cfRule type="expression" priority="520" dxfId="2">
      <formula>AND(IF($Q109=2,1,0),IF($X109&lt;30,1,0))</formula>
    </cfRule>
    <cfRule type="expression" priority="521" dxfId="1">
      <formula>AND(IF($Q109=3,1,0),IF($X109&lt;30,1,0))</formula>
    </cfRule>
    <cfRule type="expression" priority="522" dxfId="0">
      <formula>AND(IF($Q109=3,1,IF($Q109=4,1,0)),IF($F109&lt;=85,1,0))</formula>
    </cfRule>
  </conditionalFormatting>
  <conditionalFormatting sqref="AI109">
    <cfRule type="expression" priority="515" dxfId="3">
      <formula>AND(IF(OR($Q109=1,$Q109=2),1,0),IF($X109&lt;=20,1,0))</formula>
    </cfRule>
    <cfRule type="expression" priority="516" dxfId="2">
      <formula>AND(IF($Q109=2,1,0),IF($X109&lt;30,1,0))</formula>
    </cfRule>
    <cfRule type="expression" priority="517" dxfId="1">
      <formula>AND(IF($Q109=3,1,0),IF($X109&lt;30,1,0))</formula>
    </cfRule>
    <cfRule type="expression" priority="518" dxfId="0">
      <formula>AND(IF($Q109=3,1,IF($Q109=4,1,0)),IF($F109&lt;=85,1,0))</formula>
    </cfRule>
  </conditionalFormatting>
  <conditionalFormatting sqref="AV110">
    <cfRule type="expression" priority="513" dxfId="17">
      <formula>AV110="X"</formula>
    </cfRule>
    <cfRule type="expression" priority="514" dxfId="16">
      <formula>AV110="후보"</formula>
    </cfRule>
  </conditionalFormatting>
  <conditionalFormatting sqref="AC110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110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110">
    <cfRule type="expression" priority="504" dxfId="3">
      <formula>AND(IF(OR($Q110=1,$Q110=2),1,0),IF($X110&lt;=20,1,0))</formula>
    </cfRule>
    <cfRule type="expression" priority="505" dxfId="2">
      <formula>AND(IF($Q110=2,1,0),IF($X110&lt;30,1,0))</formula>
    </cfRule>
    <cfRule type="expression" priority="506" dxfId="1">
      <formula>AND(IF($Q110=3,1,0),IF($X110&lt;30,1,0))</formula>
    </cfRule>
    <cfRule type="expression" priority="507" dxfId="0">
      <formula>AND(IF($Q110=3,1,IF($Q110=4,1,0)),IF($F110&lt;=85,1,0))</formula>
    </cfRule>
  </conditionalFormatting>
  <conditionalFormatting sqref="X110">
    <cfRule type="expression" priority="500" dxfId="3">
      <formula>AND(IF(OR($Q110=1,$Q110=2),1,0),IF($X110&lt;=20,1,0))</formula>
    </cfRule>
    <cfRule type="expression" priority="501" dxfId="2">
      <formula>AND(IF($Q110=2,1,0),IF($X110&lt;30,1,0))</formula>
    </cfRule>
    <cfRule type="expression" priority="502" dxfId="1">
      <formula>AND(IF($Q110=3,1,0),IF($X110&lt;30,1,0))</formula>
    </cfRule>
    <cfRule type="expression" priority="503" dxfId="0">
      <formula>AND(IF($Q110=3,1,IF($Q110=4,1,0)),IF($F110&lt;=85,1,0))</formula>
    </cfRule>
  </conditionalFormatting>
  <conditionalFormatting sqref="AI110">
    <cfRule type="expression" priority="496" dxfId="3">
      <formula>AND(IF(OR($Q110=1,$Q110=2),1,0),IF($X110&lt;=20,1,0))</formula>
    </cfRule>
    <cfRule type="expression" priority="497" dxfId="2">
      <formula>AND(IF($Q110=2,1,0),IF($X110&lt;30,1,0))</formula>
    </cfRule>
    <cfRule type="expression" priority="498" dxfId="1">
      <formula>AND(IF($Q110=3,1,0),IF($X110&lt;30,1,0))</formula>
    </cfRule>
    <cfRule type="expression" priority="499" dxfId="0">
      <formula>AND(IF($Q110=3,1,IF($Q110=4,1,0)),IF($F110&lt;=85,1,0))</formula>
    </cfRule>
  </conditionalFormatting>
  <conditionalFormatting sqref="AV111">
    <cfRule type="expression" priority="494" dxfId="17">
      <formula>AV111="X"</formula>
    </cfRule>
    <cfRule type="expression" priority="495" dxfId="16">
      <formula>AV111="후보"</formula>
    </cfRule>
  </conditionalFormatting>
  <conditionalFormatting sqref="AC111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111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111">
    <cfRule type="expression" priority="485" dxfId="3">
      <formula>AND(IF(OR($Q111=1,$Q111=2),1,0),IF($X111&lt;=20,1,0))</formula>
    </cfRule>
    <cfRule type="expression" priority="486" dxfId="2">
      <formula>AND(IF($Q111=2,1,0),IF($X111&lt;30,1,0))</formula>
    </cfRule>
    <cfRule type="expression" priority="487" dxfId="1">
      <formula>AND(IF($Q111=3,1,0),IF($X111&lt;30,1,0))</formula>
    </cfRule>
    <cfRule type="expression" priority="488" dxfId="0">
      <formula>AND(IF($Q111=3,1,IF($Q111=4,1,0)),IF($F111&lt;=85,1,0))</formula>
    </cfRule>
  </conditionalFormatting>
  <conditionalFormatting sqref="X111">
    <cfRule type="expression" priority="481" dxfId="3">
      <formula>AND(IF(OR($Q111=1,$Q111=2),1,0),IF($X111&lt;=20,1,0))</formula>
    </cfRule>
    <cfRule type="expression" priority="482" dxfId="2">
      <formula>AND(IF($Q111=2,1,0),IF($X111&lt;30,1,0))</formula>
    </cfRule>
    <cfRule type="expression" priority="483" dxfId="1">
      <formula>AND(IF($Q111=3,1,0),IF($X111&lt;30,1,0))</formula>
    </cfRule>
    <cfRule type="expression" priority="484" dxfId="0">
      <formula>AND(IF($Q111=3,1,IF($Q111=4,1,0)),IF($F111&lt;=85,1,0))</formula>
    </cfRule>
  </conditionalFormatting>
  <conditionalFormatting sqref="AI111">
    <cfRule type="expression" priority="477" dxfId="3">
      <formula>AND(IF(OR($Q111=1,$Q111=2),1,0),IF($X111&lt;=20,1,0))</formula>
    </cfRule>
    <cfRule type="expression" priority="478" dxfId="2">
      <formula>AND(IF($Q111=2,1,0),IF($X111&lt;30,1,0))</formula>
    </cfRule>
    <cfRule type="expression" priority="479" dxfId="1">
      <formula>AND(IF($Q111=3,1,0),IF($X111&lt;30,1,0))</formula>
    </cfRule>
    <cfRule type="expression" priority="480" dxfId="0">
      <formula>AND(IF($Q111=3,1,IF($Q111=4,1,0)),IF($F111&lt;=85,1,0))</formula>
    </cfRule>
  </conditionalFormatting>
  <conditionalFormatting sqref="AV112">
    <cfRule type="expression" priority="475" dxfId="17">
      <formula>AV112="X"</formula>
    </cfRule>
    <cfRule type="expression" priority="476" dxfId="16">
      <formula>AV112="후보"</formula>
    </cfRule>
  </conditionalFormatting>
  <conditionalFormatting sqref="AC112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112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112">
    <cfRule type="expression" priority="466" dxfId="3">
      <formula>AND(IF(OR($Q112=1,$Q112=2),1,0),IF($X112&lt;=20,1,0))</formula>
    </cfRule>
    <cfRule type="expression" priority="467" dxfId="2">
      <formula>AND(IF($Q112=2,1,0),IF($X112&lt;30,1,0))</formula>
    </cfRule>
    <cfRule type="expression" priority="468" dxfId="1">
      <formula>AND(IF($Q112=3,1,0),IF($X112&lt;30,1,0))</formula>
    </cfRule>
    <cfRule type="expression" priority="469" dxfId="0">
      <formula>AND(IF($Q112=3,1,IF($Q112=4,1,0)),IF($F112&lt;=85,1,0))</formula>
    </cfRule>
  </conditionalFormatting>
  <conditionalFormatting sqref="X112">
    <cfRule type="expression" priority="462" dxfId="3">
      <formula>AND(IF(OR($Q112=1,$Q112=2),1,0),IF($X112&lt;=20,1,0))</formula>
    </cfRule>
    <cfRule type="expression" priority="463" dxfId="2">
      <formula>AND(IF($Q112=2,1,0),IF($X112&lt;30,1,0))</formula>
    </cfRule>
    <cfRule type="expression" priority="464" dxfId="1">
      <formula>AND(IF($Q112=3,1,0),IF($X112&lt;30,1,0))</formula>
    </cfRule>
    <cfRule type="expression" priority="465" dxfId="0">
      <formula>AND(IF($Q112=3,1,IF($Q112=4,1,0)),IF($F112&lt;=85,1,0))</formula>
    </cfRule>
  </conditionalFormatting>
  <conditionalFormatting sqref="AI112">
    <cfRule type="expression" priority="458" dxfId="3">
      <formula>AND(IF(OR($Q112=1,$Q112=2),1,0),IF($X112&lt;=20,1,0))</formula>
    </cfRule>
    <cfRule type="expression" priority="459" dxfId="2">
      <formula>AND(IF($Q112=2,1,0),IF($X112&lt;30,1,0))</formula>
    </cfRule>
    <cfRule type="expression" priority="460" dxfId="1">
      <formula>AND(IF($Q112=3,1,0),IF($X112&lt;30,1,0))</formula>
    </cfRule>
    <cfRule type="expression" priority="461" dxfId="0">
      <formula>AND(IF($Q112=3,1,IF($Q112=4,1,0)),IF($F112&lt;=85,1,0))</formula>
    </cfRule>
  </conditionalFormatting>
  <conditionalFormatting sqref="AV113">
    <cfRule type="expression" priority="456" dxfId="17">
      <formula>AV113="X"</formula>
    </cfRule>
    <cfRule type="expression" priority="457" dxfId="16">
      <formula>AV113="후보"</formula>
    </cfRule>
  </conditionalFormatting>
  <conditionalFormatting sqref="AC113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113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113">
    <cfRule type="expression" priority="447" dxfId="3">
      <formula>AND(IF(OR($Q113=1,$Q113=2),1,0),IF($X113&lt;=20,1,0))</formula>
    </cfRule>
    <cfRule type="expression" priority="448" dxfId="2">
      <formula>AND(IF($Q113=2,1,0),IF($X113&lt;30,1,0))</formula>
    </cfRule>
    <cfRule type="expression" priority="449" dxfId="1">
      <formula>AND(IF($Q113=3,1,0),IF($X113&lt;30,1,0))</formula>
    </cfRule>
    <cfRule type="expression" priority="450" dxfId="0">
      <formula>AND(IF($Q113=3,1,IF($Q113=4,1,0)),IF($F113&lt;=85,1,0))</formula>
    </cfRule>
  </conditionalFormatting>
  <conditionalFormatting sqref="X113">
    <cfRule type="expression" priority="443" dxfId="3">
      <formula>AND(IF(OR($Q113=1,$Q113=2),1,0),IF($X113&lt;=20,1,0))</formula>
    </cfRule>
    <cfRule type="expression" priority="444" dxfId="2">
      <formula>AND(IF($Q113=2,1,0),IF($X113&lt;30,1,0))</formula>
    </cfRule>
    <cfRule type="expression" priority="445" dxfId="1">
      <formula>AND(IF($Q113=3,1,0),IF($X113&lt;30,1,0))</formula>
    </cfRule>
    <cfRule type="expression" priority="446" dxfId="0">
      <formula>AND(IF($Q113=3,1,IF($Q113=4,1,0)),IF($F113&lt;=85,1,0))</formula>
    </cfRule>
  </conditionalFormatting>
  <conditionalFormatting sqref="AI113">
    <cfRule type="expression" priority="439" dxfId="3">
      <formula>AND(IF(OR($Q113=1,$Q113=2),1,0),IF($X113&lt;=20,1,0))</formula>
    </cfRule>
    <cfRule type="expression" priority="440" dxfId="2">
      <formula>AND(IF($Q113=2,1,0),IF($X113&lt;30,1,0))</formula>
    </cfRule>
    <cfRule type="expression" priority="441" dxfId="1">
      <formula>AND(IF($Q113=3,1,0),IF($X113&lt;30,1,0))</formula>
    </cfRule>
    <cfRule type="expression" priority="442" dxfId="0">
      <formula>AND(IF($Q113=3,1,IF($Q113=4,1,0)),IF($F113&lt;=85,1,0))</formula>
    </cfRule>
  </conditionalFormatting>
  <conditionalFormatting sqref="AV114">
    <cfRule type="expression" priority="437" dxfId="17">
      <formula>AV114="X"</formula>
    </cfRule>
    <cfRule type="expression" priority="438" dxfId="16">
      <formula>AV114="후보"</formula>
    </cfRule>
  </conditionalFormatting>
  <conditionalFormatting sqref="AC114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114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114">
    <cfRule type="expression" priority="428" dxfId="3">
      <formula>AND(IF(OR($Q114=1,$Q114=2),1,0),IF($X114&lt;=20,1,0))</formula>
    </cfRule>
    <cfRule type="expression" priority="429" dxfId="2">
      <formula>AND(IF($Q114=2,1,0),IF($X114&lt;30,1,0))</formula>
    </cfRule>
    <cfRule type="expression" priority="430" dxfId="1">
      <formula>AND(IF($Q114=3,1,0),IF($X114&lt;30,1,0))</formula>
    </cfRule>
    <cfRule type="expression" priority="431" dxfId="0">
      <formula>AND(IF($Q114=3,1,IF($Q114=4,1,0)),IF($F114&lt;=85,1,0))</formula>
    </cfRule>
  </conditionalFormatting>
  <conditionalFormatting sqref="X114">
    <cfRule type="expression" priority="424" dxfId="3">
      <formula>AND(IF(OR($Q114=1,$Q114=2),1,0),IF($X114&lt;=20,1,0))</formula>
    </cfRule>
    <cfRule type="expression" priority="425" dxfId="2">
      <formula>AND(IF($Q114=2,1,0),IF($X114&lt;30,1,0))</formula>
    </cfRule>
    <cfRule type="expression" priority="426" dxfId="1">
      <formula>AND(IF($Q114=3,1,0),IF($X114&lt;30,1,0))</formula>
    </cfRule>
    <cfRule type="expression" priority="427" dxfId="0">
      <formula>AND(IF($Q114=3,1,IF($Q114=4,1,0)),IF($F114&lt;=85,1,0))</formula>
    </cfRule>
  </conditionalFormatting>
  <conditionalFormatting sqref="AI114">
    <cfRule type="expression" priority="420" dxfId="3">
      <formula>AND(IF(OR($Q114=1,$Q114=2),1,0),IF($X114&lt;=20,1,0))</formula>
    </cfRule>
    <cfRule type="expression" priority="421" dxfId="2">
      <formula>AND(IF($Q114=2,1,0),IF($X114&lt;30,1,0))</formula>
    </cfRule>
    <cfRule type="expression" priority="422" dxfId="1">
      <formula>AND(IF($Q114=3,1,0),IF($X114&lt;30,1,0))</formula>
    </cfRule>
    <cfRule type="expression" priority="423" dxfId="0">
      <formula>AND(IF($Q114=3,1,IF($Q114=4,1,0)),IF($F114&lt;=85,1,0))</formula>
    </cfRule>
  </conditionalFormatting>
  <conditionalFormatting sqref="AV115">
    <cfRule type="expression" priority="418" dxfId="17">
      <formula>AV115="X"</formula>
    </cfRule>
    <cfRule type="expression" priority="419" dxfId="16">
      <formula>AV115="후보"</formula>
    </cfRule>
  </conditionalFormatting>
  <conditionalFormatting sqref="AC115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15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15">
    <cfRule type="expression" priority="409" dxfId="3">
      <formula>AND(IF(OR($Q115=1,$Q115=2),1,0),IF($X115&lt;=20,1,0))</formula>
    </cfRule>
    <cfRule type="expression" priority="410" dxfId="2">
      <formula>AND(IF($Q115=2,1,0),IF($X115&lt;30,1,0))</formula>
    </cfRule>
    <cfRule type="expression" priority="411" dxfId="1">
      <formula>AND(IF($Q115=3,1,0),IF($X115&lt;30,1,0))</formula>
    </cfRule>
    <cfRule type="expression" priority="412" dxfId="0">
      <formula>AND(IF($Q115=3,1,IF($Q115=4,1,0)),IF($F115&lt;=85,1,0))</formula>
    </cfRule>
  </conditionalFormatting>
  <conditionalFormatting sqref="X115">
    <cfRule type="expression" priority="405" dxfId="3">
      <formula>AND(IF(OR($Q115=1,$Q115=2),1,0),IF($X115&lt;=20,1,0))</formula>
    </cfRule>
    <cfRule type="expression" priority="406" dxfId="2">
      <formula>AND(IF($Q115=2,1,0),IF($X115&lt;30,1,0))</formula>
    </cfRule>
    <cfRule type="expression" priority="407" dxfId="1">
      <formula>AND(IF($Q115=3,1,0),IF($X115&lt;30,1,0))</formula>
    </cfRule>
    <cfRule type="expression" priority="408" dxfId="0">
      <formula>AND(IF($Q115=3,1,IF($Q115=4,1,0)),IF($F115&lt;=85,1,0))</formula>
    </cfRule>
  </conditionalFormatting>
  <conditionalFormatting sqref="AI115">
    <cfRule type="expression" priority="401" dxfId="3">
      <formula>AND(IF(OR($Q115=1,$Q115=2),1,0),IF($X115&lt;=20,1,0))</formula>
    </cfRule>
    <cfRule type="expression" priority="402" dxfId="2">
      <formula>AND(IF($Q115=2,1,0),IF($X115&lt;30,1,0))</formula>
    </cfRule>
    <cfRule type="expression" priority="403" dxfId="1">
      <formula>AND(IF($Q115=3,1,0),IF($X115&lt;30,1,0))</formula>
    </cfRule>
    <cfRule type="expression" priority="404" dxfId="0">
      <formula>AND(IF($Q115=3,1,IF($Q115=4,1,0)),IF($F115&lt;=85,1,0))</formula>
    </cfRule>
  </conditionalFormatting>
  <conditionalFormatting sqref="AV116">
    <cfRule type="expression" priority="399" dxfId="17">
      <formula>AV116="X"</formula>
    </cfRule>
    <cfRule type="expression" priority="400" dxfId="16">
      <formula>AV116="후보"</formula>
    </cfRule>
  </conditionalFormatting>
  <conditionalFormatting sqref="AC116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16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16">
    <cfRule type="expression" priority="390" dxfId="3">
      <formula>AND(IF(OR($Q116=1,$Q116=2),1,0),IF($X116&lt;=20,1,0))</formula>
    </cfRule>
    <cfRule type="expression" priority="391" dxfId="2">
      <formula>AND(IF($Q116=2,1,0),IF($X116&lt;30,1,0))</formula>
    </cfRule>
    <cfRule type="expression" priority="392" dxfId="1">
      <formula>AND(IF($Q116=3,1,0),IF($X116&lt;30,1,0))</formula>
    </cfRule>
    <cfRule type="expression" priority="393" dxfId="0">
      <formula>AND(IF($Q116=3,1,IF($Q116=4,1,0)),IF($F116&lt;=85,1,0))</formula>
    </cfRule>
  </conditionalFormatting>
  <conditionalFormatting sqref="X116">
    <cfRule type="expression" priority="386" dxfId="3">
      <formula>AND(IF(OR($Q116=1,$Q116=2),1,0),IF($X116&lt;=20,1,0))</formula>
    </cfRule>
    <cfRule type="expression" priority="387" dxfId="2">
      <formula>AND(IF($Q116=2,1,0),IF($X116&lt;30,1,0))</formula>
    </cfRule>
    <cfRule type="expression" priority="388" dxfId="1">
      <formula>AND(IF($Q116=3,1,0),IF($X116&lt;30,1,0))</formula>
    </cfRule>
    <cfRule type="expression" priority="389" dxfId="0">
      <formula>AND(IF($Q116=3,1,IF($Q116=4,1,0)),IF($F116&lt;=85,1,0))</formula>
    </cfRule>
  </conditionalFormatting>
  <conditionalFormatting sqref="AI116">
    <cfRule type="expression" priority="382" dxfId="3">
      <formula>AND(IF(OR($Q116=1,$Q116=2),1,0),IF($X116&lt;=20,1,0))</formula>
    </cfRule>
    <cfRule type="expression" priority="383" dxfId="2">
      <formula>AND(IF($Q116=2,1,0),IF($X116&lt;30,1,0))</formula>
    </cfRule>
    <cfRule type="expression" priority="384" dxfId="1">
      <formula>AND(IF($Q116=3,1,0),IF($X116&lt;30,1,0))</formula>
    </cfRule>
    <cfRule type="expression" priority="385" dxfId="0">
      <formula>AND(IF($Q116=3,1,IF($Q116=4,1,0)),IF($F116&lt;=85,1,0))</formula>
    </cfRule>
  </conditionalFormatting>
  <conditionalFormatting sqref="AV117">
    <cfRule type="expression" priority="380" dxfId="17">
      <formula>AV117="X"</formula>
    </cfRule>
    <cfRule type="expression" priority="381" dxfId="16">
      <formula>AV117="후보"</formula>
    </cfRule>
  </conditionalFormatting>
  <conditionalFormatting sqref="AC117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17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17">
    <cfRule type="expression" priority="371" dxfId="3">
      <formula>AND(IF(OR($Q117=1,$Q117=2),1,0),IF($X117&lt;=20,1,0))</formula>
    </cfRule>
    <cfRule type="expression" priority="372" dxfId="2">
      <formula>AND(IF($Q117=2,1,0),IF($X117&lt;30,1,0))</formula>
    </cfRule>
    <cfRule type="expression" priority="373" dxfId="1">
      <formula>AND(IF($Q117=3,1,0),IF($X117&lt;30,1,0))</formula>
    </cfRule>
    <cfRule type="expression" priority="374" dxfId="0">
      <formula>AND(IF($Q117=3,1,IF($Q117=4,1,0)),IF($F117&lt;=85,1,0))</formula>
    </cfRule>
  </conditionalFormatting>
  <conditionalFormatting sqref="X117">
    <cfRule type="expression" priority="367" dxfId="3">
      <formula>AND(IF(OR($Q117=1,$Q117=2),1,0),IF($X117&lt;=20,1,0))</formula>
    </cfRule>
    <cfRule type="expression" priority="368" dxfId="2">
      <formula>AND(IF($Q117=2,1,0),IF($X117&lt;30,1,0))</formula>
    </cfRule>
    <cfRule type="expression" priority="369" dxfId="1">
      <formula>AND(IF($Q117=3,1,0),IF($X117&lt;30,1,0))</formula>
    </cfRule>
    <cfRule type="expression" priority="370" dxfId="0">
      <formula>AND(IF($Q117=3,1,IF($Q117=4,1,0)),IF($F117&lt;=85,1,0))</formula>
    </cfRule>
  </conditionalFormatting>
  <conditionalFormatting sqref="AI117">
    <cfRule type="expression" priority="363" dxfId="3">
      <formula>AND(IF(OR($Q117=1,$Q117=2),1,0),IF($X117&lt;=20,1,0))</formula>
    </cfRule>
    <cfRule type="expression" priority="364" dxfId="2">
      <formula>AND(IF($Q117=2,1,0),IF($X117&lt;30,1,0))</formula>
    </cfRule>
    <cfRule type="expression" priority="365" dxfId="1">
      <formula>AND(IF($Q117=3,1,0),IF($X117&lt;30,1,0))</formula>
    </cfRule>
    <cfRule type="expression" priority="366" dxfId="0">
      <formula>AND(IF($Q117=3,1,IF($Q117=4,1,0)),IF($F117&lt;=85,1,0))</formula>
    </cfRule>
  </conditionalFormatting>
  <conditionalFormatting sqref="AV118">
    <cfRule type="expression" priority="361" dxfId="17">
      <formula>AV118="X"</formula>
    </cfRule>
    <cfRule type="expression" priority="362" dxfId="16">
      <formula>AV118="후보"</formula>
    </cfRule>
  </conditionalFormatting>
  <conditionalFormatting sqref="AC118 N118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119">
    <cfRule type="expression" priority="356" dxfId="17">
      <formula>AV119="X"</formula>
    </cfRule>
    <cfRule type="expression" priority="357" dxfId="16">
      <formula>AV119="후보"</formula>
    </cfRule>
  </conditionalFormatting>
  <conditionalFormatting sqref="AC119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119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119">
    <cfRule type="expression" priority="347" dxfId="3">
      <formula>AND(IF(OR($Q119=1,$Q119=2),1,0),IF($X119&lt;=20,1,0))</formula>
    </cfRule>
    <cfRule type="expression" priority="348" dxfId="2">
      <formula>AND(IF($Q119=2,1,0),IF($X119&lt;30,1,0))</formula>
    </cfRule>
    <cfRule type="expression" priority="349" dxfId="1">
      <formula>AND(IF($Q119=3,1,0),IF($X119&lt;30,1,0))</formula>
    </cfRule>
    <cfRule type="expression" priority="350" dxfId="0">
      <formula>AND(IF($Q119=3,1,IF($Q119=4,1,0)),IF($F119&lt;=85,1,0))</formula>
    </cfRule>
  </conditionalFormatting>
  <conditionalFormatting sqref="X119">
    <cfRule type="expression" priority="343" dxfId="3">
      <formula>AND(IF(OR($Q119=1,$Q119=2),1,0),IF($X119&lt;=20,1,0))</formula>
    </cfRule>
    <cfRule type="expression" priority="344" dxfId="2">
      <formula>AND(IF($Q119=2,1,0),IF($X119&lt;30,1,0))</formula>
    </cfRule>
    <cfRule type="expression" priority="345" dxfId="1">
      <formula>AND(IF($Q119=3,1,0),IF($X119&lt;30,1,0))</formula>
    </cfRule>
    <cfRule type="expression" priority="346" dxfId="0">
      <formula>AND(IF($Q119=3,1,IF($Q119=4,1,0)),IF($F119&lt;=85,1,0))</formula>
    </cfRule>
  </conditionalFormatting>
  <conditionalFormatting sqref="AI119">
    <cfRule type="expression" priority="339" dxfId="3">
      <formula>AND(IF(OR($Q119=1,$Q119=2),1,0),IF($X119&lt;=20,1,0))</formula>
    </cfRule>
    <cfRule type="expression" priority="340" dxfId="2">
      <formula>AND(IF($Q119=2,1,0),IF($X119&lt;30,1,0))</formula>
    </cfRule>
    <cfRule type="expression" priority="341" dxfId="1">
      <formula>AND(IF($Q119=3,1,0),IF($X119&lt;30,1,0))</formula>
    </cfRule>
    <cfRule type="expression" priority="342" dxfId="0">
      <formula>AND(IF($Q119=3,1,IF($Q119=4,1,0)),IF($F119&lt;=85,1,0))</formula>
    </cfRule>
  </conditionalFormatting>
  <conditionalFormatting sqref="AV120">
    <cfRule type="expression" priority="337" dxfId="17">
      <formula>AV120="X"</formula>
    </cfRule>
    <cfRule type="expression" priority="338" dxfId="16">
      <formula>AV120="후보"</formula>
    </cfRule>
  </conditionalFormatting>
  <conditionalFormatting sqref="AC120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120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120">
    <cfRule type="expression" priority="328" dxfId="3">
      <formula>AND(IF(OR($Q120=1,$Q120=2),1,0),IF($X120&lt;=20,1,0))</formula>
    </cfRule>
    <cfRule type="expression" priority="329" dxfId="2">
      <formula>AND(IF($Q120=2,1,0),IF($X120&lt;30,1,0))</formula>
    </cfRule>
    <cfRule type="expression" priority="330" dxfId="1">
      <formula>AND(IF($Q120=3,1,0),IF($X120&lt;30,1,0))</formula>
    </cfRule>
    <cfRule type="expression" priority="331" dxfId="0">
      <formula>AND(IF($Q120=3,1,IF($Q120=4,1,0)),IF($F120&lt;=85,1,0))</formula>
    </cfRule>
  </conditionalFormatting>
  <conditionalFormatting sqref="X120">
    <cfRule type="expression" priority="324" dxfId="3">
      <formula>AND(IF(OR($Q120=1,$Q120=2),1,0),IF($X120&lt;=20,1,0))</formula>
    </cfRule>
    <cfRule type="expression" priority="325" dxfId="2">
      <formula>AND(IF($Q120=2,1,0),IF($X120&lt;30,1,0))</formula>
    </cfRule>
    <cfRule type="expression" priority="326" dxfId="1">
      <formula>AND(IF($Q120=3,1,0),IF($X120&lt;30,1,0))</formula>
    </cfRule>
    <cfRule type="expression" priority="327" dxfId="0">
      <formula>AND(IF($Q120=3,1,IF($Q120=4,1,0)),IF($F120&lt;=85,1,0))</formula>
    </cfRule>
  </conditionalFormatting>
  <conditionalFormatting sqref="AI120">
    <cfRule type="expression" priority="320" dxfId="3">
      <formula>AND(IF(OR($Q120=1,$Q120=2),1,0),IF($X120&lt;=20,1,0))</formula>
    </cfRule>
    <cfRule type="expression" priority="321" dxfId="2">
      <formula>AND(IF($Q120=2,1,0),IF($X120&lt;30,1,0))</formula>
    </cfRule>
    <cfRule type="expression" priority="322" dxfId="1">
      <formula>AND(IF($Q120=3,1,0),IF($X120&lt;30,1,0))</formula>
    </cfRule>
    <cfRule type="expression" priority="323" dxfId="0">
      <formula>AND(IF($Q120=3,1,IF($Q120=4,1,0)),IF($F120&lt;=85,1,0))</formula>
    </cfRule>
  </conditionalFormatting>
  <conditionalFormatting sqref="AV121">
    <cfRule type="expression" priority="318" dxfId="17">
      <formula>AV121="X"</formula>
    </cfRule>
    <cfRule type="expression" priority="319" dxfId="16">
      <formula>AV121="후보"</formula>
    </cfRule>
  </conditionalFormatting>
  <conditionalFormatting sqref="AC121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121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121">
    <cfRule type="expression" priority="309" dxfId="3">
      <formula>AND(IF(OR($Q121=1,$Q121=2),1,0),IF($X121&lt;=20,1,0))</formula>
    </cfRule>
    <cfRule type="expression" priority="310" dxfId="2">
      <formula>AND(IF($Q121=2,1,0),IF($X121&lt;30,1,0))</formula>
    </cfRule>
    <cfRule type="expression" priority="311" dxfId="1">
      <formula>AND(IF($Q121=3,1,0),IF($X121&lt;30,1,0))</formula>
    </cfRule>
    <cfRule type="expression" priority="312" dxfId="0">
      <formula>AND(IF($Q121=3,1,IF($Q121=4,1,0)),IF($F121&lt;=85,1,0))</formula>
    </cfRule>
  </conditionalFormatting>
  <conditionalFormatting sqref="X121">
    <cfRule type="expression" priority="305" dxfId="3">
      <formula>AND(IF(OR($Q121=1,$Q121=2),1,0),IF($X121&lt;=20,1,0))</formula>
    </cfRule>
    <cfRule type="expression" priority="306" dxfId="2">
      <formula>AND(IF($Q121=2,1,0),IF($X121&lt;30,1,0))</formula>
    </cfRule>
    <cfRule type="expression" priority="307" dxfId="1">
      <formula>AND(IF($Q121=3,1,0),IF($X121&lt;30,1,0))</formula>
    </cfRule>
    <cfRule type="expression" priority="308" dxfId="0">
      <formula>AND(IF($Q121=3,1,IF($Q121=4,1,0)),IF($F121&lt;=85,1,0))</formula>
    </cfRule>
  </conditionalFormatting>
  <conditionalFormatting sqref="AI121">
    <cfRule type="expression" priority="301" dxfId="3">
      <formula>AND(IF(OR($Q121=1,$Q121=2),1,0),IF($X121&lt;=20,1,0))</formula>
    </cfRule>
    <cfRule type="expression" priority="302" dxfId="2">
      <formula>AND(IF($Q121=2,1,0),IF($X121&lt;30,1,0))</formula>
    </cfRule>
    <cfRule type="expression" priority="303" dxfId="1">
      <formula>AND(IF($Q121=3,1,0),IF($X121&lt;30,1,0))</formula>
    </cfRule>
    <cfRule type="expression" priority="304" dxfId="0">
      <formula>AND(IF($Q121=3,1,IF($Q121=4,1,0)),IF($F121&lt;=85,1,0))</formula>
    </cfRule>
  </conditionalFormatting>
  <conditionalFormatting sqref="AV122">
    <cfRule type="expression" priority="299" dxfId="17">
      <formula>AV122="X"</formula>
    </cfRule>
    <cfRule type="expression" priority="300" dxfId="16">
      <formula>AV122="후보"</formula>
    </cfRule>
  </conditionalFormatting>
  <conditionalFormatting sqref="AC122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22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22">
    <cfRule type="expression" priority="290" dxfId="3">
      <formula>AND(IF(OR($Q122=1,$Q122=2),1,0),IF($X122&lt;=20,1,0))</formula>
    </cfRule>
    <cfRule type="expression" priority="291" dxfId="2">
      <formula>AND(IF($Q122=2,1,0),IF($X122&lt;30,1,0))</formula>
    </cfRule>
    <cfRule type="expression" priority="292" dxfId="1">
      <formula>AND(IF($Q122=3,1,0),IF($X122&lt;30,1,0))</formula>
    </cfRule>
    <cfRule type="expression" priority="293" dxfId="0">
      <formula>AND(IF($Q122=3,1,IF($Q122=4,1,0)),IF($F122&lt;=85,1,0))</formula>
    </cfRule>
  </conditionalFormatting>
  <conditionalFormatting sqref="X122">
    <cfRule type="expression" priority="286" dxfId="3">
      <formula>AND(IF(OR($Q122=1,$Q122=2),1,0),IF($X122&lt;=20,1,0))</formula>
    </cfRule>
    <cfRule type="expression" priority="287" dxfId="2">
      <formula>AND(IF($Q122=2,1,0),IF($X122&lt;30,1,0))</formula>
    </cfRule>
    <cfRule type="expression" priority="288" dxfId="1">
      <formula>AND(IF($Q122=3,1,0),IF($X122&lt;30,1,0))</formula>
    </cfRule>
    <cfRule type="expression" priority="289" dxfId="0">
      <formula>AND(IF($Q122=3,1,IF($Q122=4,1,0)),IF($F122&lt;=85,1,0))</formula>
    </cfRule>
  </conditionalFormatting>
  <conditionalFormatting sqref="AI122">
    <cfRule type="expression" priority="282" dxfId="3">
      <formula>AND(IF(OR($Q122=1,$Q122=2),1,0),IF($X122&lt;=20,1,0))</formula>
    </cfRule>
    <cfRule type="expression" priority="283" dxfId="2">
      <formula>AND(IF($Q122=2,1,0),IF($X122&lt;30,1,0))</formula>
    </cfRule>
    <cfRule type="expression" priority="284" dxfId="1">
      <formula>AND(IF($Q122=3,1,0),IF($X122&lt;30,1,0))</formula>
    </cfRule>
    <cfRule type="expression" priority="285" dxfId="0">
      <formula>AND(IF($Q122=3,1,IF($Q122=4,1,0)),IF($F122&lt;=85,1,0))</formula>
    </cfRule>
  </conditionalFormatting>
  <conditionalFormatting sqref="AV123">
    <cfRule type="expression" priority="280" dxfId="17">
      <formula>AV123="X"</formula>
    </cfRule>
    <cfRule type="expression" priority="281" dxfId="16">
      <formula>AV123="후보"</formula>
    </cfRule>
  </conditionalFormatting>
  <conditionalFormatting sqref="AC123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23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23">
    <cfRule type="expression" priority="271" dxfId="3">
      <formula>AND(IF(OR($Q123=1,$Q123=2),1,0),IF($X123&lt;=20,1,0))</formula>
    </cfRule>
    <cfRule type="expression" priority="272" dxfId="2">
      <formula>AND(IF($Q123=2,1,0),IF($X123&lt;30,1,0))</formula>
    </cfRule>
    <cfRule type="expression" priority="273" dxfId="1">
      <formula>AND(IF($Q123=3,1,0),IF($X123&lt;30,1,0))</formula>
    </cfRule>
    <cfRule type="expression" priority="274" dxfId="0">
      <formula>AND(IF($Q123=3,1,IF($Q123=4,1,0)),IF($F123&lt;=85,1,0))</formula>
    </cfRule>
  </conditionalFormatting>
  <conditionalFormatting sqref="X123">
    <cfRule type="expression" priority="267" dxfId="3">
      <formula>AND(IF(OR($Q123=1,$Q123=2),1,0),IF($X123&lt;=20,1,0))</formula>
    </cfRule>
    <cfRule type="expression" priority="268" dxfId="2">
      <formula>AND(IF($Q123=2,1,0),IF($X123&lt;30,1,0))</formula>
    </cfRule>
    <cfRule type="expression" priority="269" dxfId="1">
      <formula>AND(IF($Q123=3,1,0),IF($X123&lt;30,1,0))</formula>
    </cfRule>
    <cfRule type="expression" priority="270" dxfId="0">
      <formula>AND(IF($Q123=3,1,IF($Q123=4,1,0)),IF($F123&lt;=85,1,0))</formula>
    </cfRule>
  </conditionalFormatting>
  <conditionalFormatting sqref="AI123">
    <cfRule type="expression" priority="263" dxfId="3">
      <formula>AND(IF(OR($Q123=1,$Q123=2),1,0),IF($X123&lt;=20,1,0))</formula>
    </cfRule>
    <cfRule type="expression" priority="264" dxfId="2">
      <formula>AND(IF($Q123=2,1,0),IF($X123&lt;30,1,0))</formula>
    </cfRule>
    <cfRule type="expression" priority="265" dxfId="1">
      <formula>AND(IF($Q123=3,1,0),IF($X123&lt;30,1,0))</formula>
    </cfRule>
    <cfRule type="expression" priority="266" dxfId="0">
      <formula>AND(IF($Q123=3,1,IF($Q123=4,1,0)),IF($F123&lt;=85,1,0))</formula>
    </cfRule>
  </conditionalFormatting>
  <conditionalFormatting sqref="AV124">
    <cfRule type="expression" priority="261" dxfId="17">
      <formula>AV124="X"</formula>
    </cfRule>
    <cfRule type="expression" priority="262" dxfId="16">
      <formula>AV124="후보"</formula>
    </cfRule>
  </conditionalFormatting>
  <conditionalFormatting sqref="AC124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24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24">
    <cfRule type="expression" priority="252" dxfId="3">
      <formula>AND(IF(OR($Q124=1,$Q124=2),1,0),IF($X124&lt;=20,1,0))</formula>
    </cfRule>
    <cfRule type="expression" priority="253" dxfId="2">
      <formula>AND(IF($Q124=2,1,0),IF($X124&lt;30,1,0))</formula>
    </cfRule>
    <cfRule type="expression" priority="254" dxfId="1">
      <formula>AND(IF($Q124=3,1,0),IF($X124&lt;30,1,0))</formula>
    </cfRule>
    <cfRule type="expression" priority="255" dxfId="0">
      <formula>AND(IF($Q124=3,1,IF($Q124=4,1,0)),IF($F124&lt;=85,1,0))</formula>
    </cfRule>
  </conditionalFormatting>
  <conditionalFormatting sqref="X124">
    <cfRule type="expression" priority="248" dxfId="3">
      <formula>AND(IF(OR($Q124=1,$Q124=2),1,0),IF($X124&lt;=20,1,0))</formula>
    </cfRule>
    <cfRule type="expression" priority="249" dxfId="2">
      <formula>AND(IF($Q124=2,1,0),IF($X124&lt;30,1,0))</formula>
    </cfRule>
    <cfRule type="expression" priority="250" dxfId="1">
      <formula>AND(IF($Q124=3,1,0),IF($X124&lt;30,1,0))</formula>
    </cfRule>
    <cfRule type="expression" priority="251" dxfId="0">
      <formula>AND(IF($Q124=3,1,IF($Q124=4,1,0)),IF($F124&lt;=85,1,0))</formula>
    </cfRule>
  </conditionalFormatting>
  <conditionalFormatting sqref="AI124">
    <cfRule type="expression" priority="244" dxfId="3">
      <formula>AND(IF(OR($Q124=1,$Q124=2),1,0),IF($X124&lt;=20,1,0))</formula>
    </cfRule>
    <cfRule type="expression" priority="245" dxfId="2">
      <formula>AND(IF($Q124=2,1,0),IF($X124&lt;30,1,0))</formula>
    </cfRule>
    <cfRule type="expression" priority="246" dxfId="1">
      <formula>AND(IF($Q124=3,1,0),IF($X124&lt;30,1,0))</formula>
    </cfRule>
    <cfRule type="expression" priority="247" dxfId="0">
      <formula>AND(IF($Q124=3,1,IF($Q124=4,1,0)),IF($F124&lt;=85,1,0))</formula>
    </cfRule>
  </conditionalFormatting>
  <conditionalFormatting sqref="AV125">
    <cfRule type="expression" priority="242" dxfId="17">
      <formula>AV125="X"</formula>
    </cfRule>
    <cfRule type="expression" priority="243" dxfId="16">
      <formula>AV125="후보"</formula>
    </cfRule>
  </conditionalFormatting>
  <conditionalFormatting sqref="AC125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25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25">
    <cfRule type="expression" priority="233" dxfId="3">
      <formula>AND(IF(OR($Q125=1,$Q125=2),1,0),IF($X125&lt;=20,1,0))</formula>
    </cfRule>
    <cfRule type="expression" priority="234" dxfId="2">
      <formula>AND(IF($Q125=2,1,0),IF($X125&lt;30,1,0))</formula>
    </cfRule>
    <cfRule type="expression" priority="235" dxfId="1">
      <formula>AND(IF($Q125=3,1,0),IF($X125&lt;30,1,0))</formula>
    </cfRule>
    <cfRule type="expression" priority="236" dxfId="0">
      <formula>AND(IF($Q125=3,1,IF($Q125=4,1,0)),IF($F125&lt;=85,1,0))</formula>
    </cfRule>
  </conditionalFormatting>
  <conditionalFormatting sqref="X125">
    <cfRule type="expression" priority="229" dxfId="3">
      <formula>AND(IF(OR($Q125=1,$Q125=2),1,0),IF($X125&lt;=20,1,0))</formula>
    </cfRule>
    <cfRule type="expression" priority="230" dxfId="2">
      <formula>AND(IF($Q125=2,1,0),IF($X125&lt;30,1,0))</formula>
    </cfRule>
    <cfRule type="expression" priority="231" dxfId="1">
      <formula>AND(IF($Q125=3,1,0),IF($X125&lt;30,1,0))</formula>
    </cfRule>
    <cfRule type="expression" priority="232" dxfId="0">
      <formula>AND(IF($Q125=3,1,IF($Q125=4,1,0)),IF($F125&lt;=85,1,0))</formula>
    </cfRule>
  </conditionalFormatting>
  <conditionalFormatting sqref="AI125">
    <cfRule type="expression" priority="225" dxfId="3">
      <formula>AND(IF(OR($Q125=1,$Q125=2),1,0),IF($X125&lt;=20,1,0))</formula>
    </cfRule>
    <cfRule type="expression" priority="226" dxfId="2">
      <formula>AND(IF($Q125=2,1,0),IF($X125&lt;30,1,0))</formula>
    </cfRule>
    <cfRule type="expression" priority="227" dxfId="1">
      <formula>AND(IF($Q125=3,1,0),IF($X125&lt;30,1,0))</formula>
    </cfRule>
    <cfRule type="expression" priority="228" dxfId="0">
      <formula>AND(IF($Q125=3,1,IF($Q125=4,1,0)),IF($F125&lt;=85,1,0))</formula>
    </cfRule>
  </conditionalFormatting>
  <conditionalFormatting sqref="AV126">
    <cfRule type="expression" priority="223" dxfId="17">
      <formula>AV126="X"</formula>
    </cfRule>
    <cfRule type="expression" priority="224" dxfId="16">
      <formula>AV126="후보"</formula>
    </cfRule>
  </conditionalFormatting>
  <conditionalFormatting sqref="AC126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26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26">
    <cfRule type="expression" priority="214" dxfId="3">
      <formula>AND(IF(OR($Q126=1,$Q126=2),1,0),IF($X126&lt;=20,1,0))</formula>
    </cfRule>
    <cfRule type="expression" priority="215" dxfId="2">
      <formula>AND(IF($Q126=2,1,0),IF($X126&lt;30,1,0))</formula>
    </cfRule>
    <cfRule type="expression" priority="216" dxfId="1">
      <formula>AND(IF($Q126=3,1,0),IF($X126&lt;30,1,0))</formula>
    </cfRule>
    <cfRule type="expression" priority="217" dxfId="0">
      <formula>AND(IF($Q126=3,1,IF($Q126=4,1,0)),IF($F126&lt;=85,1,0))</formula>
    </cfRule>
  </conditionalFormatting>
  <conditionalFormatting sqref="X126">
    <cfRule type="expression" priority="210" dxfId="3">
      <formula>AND(IF(OR($Q126=1,$Q126=2),1,0),IF($X126&lt;=20,1,0))</formula>
    </cfRule>
    <cfRule type="expression" priority="211" dxfId="2">
      <formula>AND(IF($Q126=2,1,0),IF($X126&lt;30,1,0))</formula>
    </cfRule>
    <cfRule type="expression" priority="212" dxfId="1">
      <formula>AND(IF($Q126=3,1,0),IF($X126&lt;30,1,0))</formula>
    </cfRule>
    <cfRule type="expression" priority="213" dxfId="0">
      <formula>AND(IF($Q126=3,1,IF($Q126=4,1,0)),IF($F126&lt;=85,1,0))</formula>
    </cfRule>
  </conditionalFormatting>
  <conditionalFormatting sqref="AI126">
    <cfRule type="expression" priority="206" dxfId="3">
      <formula>AND(IF(OR($Q126=1,$Q126=2),1,0),IF($X126&lt;=20,1,0))</formula>
    </cfRule>
    <cfRule type="expression" priority="207" dxfId="2">
      <formula>AND(IF($Q126=2,1,0),IF($X126&lt;30,1,0))</formula>
    </cfRule>
    <cfRule type="expression" priority="208" dxfId="1">
      <formula>AND(IF($Q126=3,1,0),IF($X126&lt;30,1,0))</formula>
    </cfRule>
    <cfRule type="expression" priority="209" dxfId="0">
      <formula>AND(IF($Q126=3,1,IF($Q126=4,1,0)),IF($F126&lt;=85,1,0))</formula>
    </cfRule>
  </conditionalFormatting>
  <conditionalFormatting sqref="AV127">
    <cfRule type="expression" priority="204" dxfId="17">
      <formula>AV127="X"</formula>
    </cfRule>
    <cfRule type="expression" priority="205" dxfId="16">
      <formula>AV127="후보"</formula>
    </cfRule>
  </conditionalFormatting>
  <conditionalFormatting sqref="AC127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27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27">
    <cfRule type="expression" priority="195" dxfId="3">
      <formula>AND(IF(OR($Q127=1,$Q127=2),1,0),IF($X127&lt;=20,1,0))</formula>
    </cfRule>
    <cfRule type="expression" priority="196" dxfId="2">
      <formula>AND(IF($Q127=2,1,0),IF($X127&lt;30,1,0))</formula>
    </cfRule>
    <cfRule type="expression" priority="197" dxfId="1">
      <formula>AND(IF($Q127=3,1,0),IF($X127&lt;30,1,0))</formula>
    </cfRule>
    <cfRule type="expression" priority="198" dxfId="0">
      <formula>AND(IF($Q127=3,1,IF($Q127=4,1,0)),IF($F127&lt;=85,1,0))</formula>
    </cfRule>
  </conditionalFormatting>
  <conditionalFormatting sqref="X127">
    <cfRule type="expression" priority="191" dxfId="3">
      <formula>AND(IF(OR($Q127=1,$Q127=2),1,0),IF($X127&lt;=20,1,0))</formula>
    </cfRule>
    <cfRule type="expression" priority="192" dxfId="2">
      <formula>AND(IF($Q127=2,1,0),IF($X127&lt;30,1,0))</formula>
    </cfRule>
    <cfRule type="expression" priority="193" dxfId="1">
      <formula>AND(IF($Q127=3,1,0),IF($X127&lt;30,1,0))</formula>
    </cfRule>
    <cfRule type="expression" priority="194" dxfId="0">
      <formula>AND(IF($Q127=3,1,IF($Q127=4,1,0)),IF($F127&lt;=85,1,0))</formula>
    </cfRule>
  </conditionalFormatting>
  <conditionalFormatting sqref="AI127">
    <cfRule type="expression" priority="187" dxfId="3">
      <formula>AND(IF(OR($Q127=1,$Q127=2),1,0),IF($X127&lt;=20,1,0))</formula>
    </cfRule>
    <cfRule type="expression" priority="188" dxfId="2">
      <formula>AND(IF($Q127=2,1,0),IF($X127&lt;30,1,0))</formula>
    </cfRule>
    <cfRule type="expression" priority="189" dxfId="1">
      <formula>AND(IF($Q127=3,1,0),IF($X127&lt;30,1,0))</formula>
    </cfRule>
    <cfRule type="expression" priority="190" dxfId="0">
      <formula>AND(IF($Q127=3,1,IF($Q127=4,1,0)),IF($F127&lt;=85,1,0))</formula>
    </cfRule>
  </conditionalFormatting>
  <conditionalFormatting sqref="AV128">
    <cfRule type="expression" priority="185" dxfId="17">
      <formula>AV128="X"</formula>
    </cfRule>
    <cfRule type="expression" priority="186" dxfId="16">
      <formula>AV128="후보"</formula>
    </cfRule>
  </conditionalFormatting>
  <conditionalFormatting sqref="AC128 N128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129">
    <cfRule type="expression" priority="180" dxfId="17">
      <formula>AV129="X"</formula>
    </cfRule>
    <cfRule type="expression" priority="181" dxfId="16">
      <formula>AV129="후보"</formula>
    </cfRule>
  </conditionalFormatting>
  <conditionalFormatting sqref="AC12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2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29">
    <cfRule type="expression" priority="171" dxfId="3">
      <formula>AND(IF(OR($Q129=1,$Q129=2),1,0),IF($X129&lt;=20,1,0))</formula>
    </cfRule>
    <cfRule type="expression" priority="172" dxfId="2">
      <formula>AND(IF($Q129=2,1,0),IF($X129&lt;30,1,0))</formula>
    </cfRule>
    <cfRule type="expression" priority="173" dxfId="1">
      <formula>AND(IF($Q129=3,1,0),IF($X129&lt;30,1,0))</formula>
    </cfRule>
    <cfRule type="expression" priority="174" dxfId="0">
      <formula>AND(IF($Q129=3,1,IF($Q129=4,1,0)),IF($F129&lt;=85,1,0))</formula>
    </cfRule>
  </conditionalFormatting>
  <conditionalFormatting sqref="X129">
    <cfRule type="expression" priority="167" dxfId="3">
      <formula>AND(IF(OR($Q129=1,$Q129=2),1,0),IF($X129&lt;=20,1,0))</formula>
    </cfRule>
    <cfRule type="expression" priority="168" dxfId="2">
      <formula>AND(IF($Q129=2,1,0),IF($X129&lt;30,1,0))</formula>
    </cfRule>
    <cfRule type="expression" priority="169" dxfId="1">
      <formula>AND(IF($Q129=3,1,0),IF($X129&lt;30,1,0))</formula>
    </cfRule>
    <cfRule type="expression" priority="170" dxfId="0">
      <formula>AND(IF($Q129=3,1,IF($Q129=4,1,0)),IF($F129&lt;=85,1,0))</formula>
    </cfRule>
  </conditionalFormatting>
  <conditionalFormatting sqref="AI129">
    <cfRule type="expression" priority="163" dxfId="3">
      <formula>AND(IF(OR($Q129=1,$Q129=2),1,0),IF($X129&lt;=20,1,0))</formula>
    </cfRule>
    <cfRule type="expression" priority="164" dxfId="2">
      <formula>AND(IF($Q129=2,1,0),IF($X129&lt;30,1,0))</formula>
    </cfRule>
    <cfRule type="expression" priority="165" dxfId="1">
      <formula>AND(IF($Q129=3,1,0),IF($X129&lt;30,1,0))</formula>
    </cfRule>
    <cfRule type="expression" priority="166" dxfId="0">
      <formula>AND(IF($Q129=3,1,IF($Q129=4,1,0)),IF($F129&lt;=85,1,0))</formula>
    </cfRule>
  </conditionalFormatting>
  <conditionalFormatting sqref="AV130">
    <cfRule type="expression" priority="161" dxfId="17">
      <formula>AV130="X"</formula>
    </cfRule>
    <cfRule type="expression" priority="162" dxfId="16">
      <formula>AV130="후보"</formula>
    </cfRule>
  </conditionalFormatting>
  <conditionalFormatting sqref="AC13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30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30">
    <cfRule type="expression" priority="152" dxfId="3">
      <formula>AND(IF(OR($Q130=1,$Q130=2),1,0),IF($X130&lt;=20,1,0))</formula>
    </cfRule>
    <cfRule type="expression" priority="153" dxfId="2">
      <formula>AND(IF($Q130=2,1,0),IF($X130&lt;30,1,0))</formula>
    </cfRule>
    <cfRule type="expression" priority="154" dxfId="1">
      <formula>AND(IF($Q130=3,1,0),IF($X130&lt;30,1,0))</formula>
    </cfRule>
    <cfRule type="expression" priority="155" dxfId="0">
      <formula>AND(IF($Q130=3,1,IF($Q130=4,1,0)),IF($F130&lt;=85,1,0))</formula>
    </cfRule>
  </conditionalFormatting>
  <conditionalFormatting sqref="X130">
    <cfRule type="expression" priority="148" dxfId="3">
      <formula>AND(IF(OR($Q130=1,$Q130=2),1,0),IF($X130&lt;=20,1,0))</formula>
    </cfRule>
    <cfRule type="expression" priority="149" dxfId="2">
      <formula>AND(IF($Q130=2,1,0),IF($X130&lt;30,1,0))</formula>
    </cfRule>
    <cfRule type="expression" priority="150" dxfId="1">
      <formula>AND(IF($Q130=3,1,0),IF($X130&lt;30,1,0))</formula>
    </cfRule>
    <cfRule type="expression" priority="151" dxfId="0">
      <formula>AND(IF($Q130=3,1,IF($Q130=4,1,0)),IF($F130&lt;=85,1,0))</formula>
    </cfRule>
  </conditionalFormatting>
  <conditionalFormatting sqref="AI130">
    <cfRule type="expression" priority="144" dxfId="3">
      <formula>AND(IF(OR($Q130=1,$Q130=2),1,0),IF($X130&lt;=20,1,0))</formula>
    </cfRule>
    <cfRule type="expression" priority="145" dxfId="2">
      <formula>AND(IF($Q130=2,1,0),IF($X130&lt;30,1,0))</formula>
    </cfRule>
    <cfRule type="expression" priority="146" dxfId="1">
      <formula>AND(IF($Q130=3,1,0),IF($X130&lt;30,1,0))</formula>
    </cfRule>
    <cfRule type="expression" priority="147" dxfId="0">
      <formula>AND(IF($Q130=3,1,IF($Q130=4,1,0)),IF($F130&lt;=85,1,0))</formula>
    </cfRule>
  </conditionalFormatting>
  <conditionalFormatting sqref="AV131">
    <cfRule type="expression" priority="142" dxfId="17">
      <formula>AV131="X"</formula>
    </cfRule>
    <cfRule type="expression" priority="143" dxfId="16">
      <formula>AV131="후보"</formula>
    </cfRule>
  </conditionalFormatting>
  <conditionalFormatting sqref="AC13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31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31">
    <cfRule type="expression" priority="133" dxfId="3">
      <formula>AND(IF(OR($Q131=1,$Q131=2),1,0),IF($X131&lt;=20,1,0))</formula>
    </cfRule>
    <cfRule type="expression" priority="134" dxfId="2">
      <formula>AND(IF($Q131=2,1,0),IF($X131&lt;30,1,0))</formula>
    </cfRule>
    <cfRule type="expression" priority="135" dxfId="1">
      <formula>AND(IF($Q131=3,1,0),IF($X131&lt;30,1,0))</formula>
    </cfRule>
    <cfRule type="expression" priority="136" dxfId="0">
      <formula>AND(IF($Q131=3,1,IF($Q131=4,1,0)),IF($F131&lt;=85,1,0))</formula>
    </cfRule>
  </conditionalFormatting>
  <conditionalFormatting sqref="X131">
    <cfRule type="expression" priority="129" dxfId="3">
      <formula>AND(IF(OR($Q131=1,$Q131=2),1,0),IF($X131&lt;=20,1,0))</formula>
    </cfRule>
    <cfRule type="expression" priority="130" dxfId="2">
      <formula>AND(IF($Q131=2,1,0),IF($X131&lt;30,1,0))</formula>
    </cfRule>
    <cfRule type="expression" priority="131" dxfId="1">
      <formula>AND(IF($Q131=3,1,0),IF($X131&lt;30,1,0))</formula>
    </cfRule>
    <cfRule type="expression" priority="132" dxfId="0">
      <formula>AND(IF($Q131=3,1,IF($Q131=4,1,0)),IF($F131&lt;=85,1,0))</formula>
    </cfRule>
  </conditionalFormatting>
  <conditionalFormatting sqref="AI131">
    <cfRule type="expression" priority="125" dxfId="3">
      <formula>AND(IF(OR($Q131=1,$Q131=2),1,0),IF($X131&lt;=20,1,0))</formula>
    </cfRule>
    <cfRule type="expression" priority="126" dxfId="2">
      <formula>AND(IF($Q131=2,1,0),IF($X131&lt;30,1,0))</formula>
    </cfRule>
    <cfRule type="expression" priority="127" dxfId="1">
      <formula>AND(IF($Q131=3,1,0),IF($X131&lt;30,1,0))</formula>
    </cfRule>
    <cfRule type="expression" priority="128" dxfId="0">
      <formula>AND(IF($Q131=3,1,IF($Q131=4,1,0)),IF($F131&lt;=85,1,0))</formula>
    </cfRule>
  </conditionalFormatting>
  <conditionalFormatting sqref="AV132">
    <cfRule type="expression" priority="123" dxfId="17">
      <formula>AV132="X"</formula>
    </cfRule>
    <cfRule type="expression" priority="124" dxfId="16">
      <formula>AV132="후보"</formula>
    </cfRule>
  </conditionalFormatting>
  <conditionalFormatting sqref="AC132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32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32">
    <cfRule type="expression" priority="114" dxfId="3">
      <formula>AND(IF(OR($Q132=1,$Q132=2),1,0),IF($X132&lt;=20,1,0))</formula>
    </cfRule>
    <cfRule type="expression" priority="115" dxfId="2">
      <formula>AND(IF($Q132=2,1,0),IF($X132&lt;30,1,0))</formula>
    </cfRule>
    <cfRule type="expression" priority="116" dxfId="1">
      <formula>AND(IF($Q132=3,1,0),IF($X132&lt;30,1,0))</formula>
    </cfRule>
    <cfRule type="expression" priority="117" dxfId="0">
      <formula>AND(IF($Q132=3,1,IF($Q132=4,1,0)),IF($F132&lt;=85,1,0))</formula>
    </cfRule>
  </conditionalFormatting>
  <conditionalFormatting sqref="X132">
    <cfRule type="expression" priority="110" dxfId="3">
      <formula>AND(IF(OR($Q132=1,$Q132=2),1,0),IF($X132&lt;=20,1,0))</formula>
    </cfRule>
    <cfRule type="expression" priority="111" dxfId="2">
      <formula>AND(IF($Q132=2,1,0),IF($X132&lt;30,1,0))</formula>
    </cfRule>
    <cfRule type="expression" priority="112" dxfId="1">
      <formula>AND(IF($Q132=3,1,0),IF($X132&lt;30,1,0))</formula>
    </cfRule>
    <cfRule type="expression" priority="113" dxfId="0">
      <formula>AND(IF($Q132=3,1,IF($Q132=4,1,0)),IF($F132&lt;=85,1,0))</formula>
    </cfRule>
  </conditionalFormatting>
  <conditionalFormatting sqref="AI132">
    <cfRule type="expression" priority="106" dxfId="3">
      <formula>AND(IF(OR($Q132=1,$Q132=2),1,0),IF($X132&lt;=20,1,0))</formula>
    </cfRule>
    <cfRule type="expression" priority="107" dxfId="2">
      <formula>AND(IF($Q132=2,1,0),IF($X132&lt;30,1,0))</formula>
    </cfRule>
    <cfRule type="expression" priority="108" dxfId="1">
      <formula>AND(IF($Q132=3,1,0),IF($X132&lt;30,1,0))</formula>
    </cfRule>
    <cfRule type="expression" priority="109" dxfId="0">
      <formula>AND(IF($Q132=3,1,IF($Q132=4,1,0)),IF($F132&lt;=85,1,0))</formula>
    </cfRule>
  </conditionalFormatting>
  <conditionalFormatting sqref="AV133">
    <cfRule type="expression" priority="104" dxfId="17">
      <formula>AV133="X"</formula>
    </cfRule>
    <cfRule type="expression" priority="105" dxfId="16">
      <formula>AV133="후보"</formula>
    </cfRule>
  </conditionalFormatting>
  <conditionalFormatting sqref="AC133 N133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134">
    <cfRule type="expression" priority="99" dxfId="17">
      <formula>AV134="X"</formula>
    </cfRule>
    <cfRule type="expression" priority="100" dxfId="16">
      <formula>AV134="후보"</formula>
    </cfRule>
  </conditionalFormatting>
  <conditionalFormatting sqref="AC13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3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34">
    <cfRule type="expression" priority="90" dxfId="3">
      <formula>AND(IF(OR($Q134=1,$Q134=2),1,0),IF($X134&lt;=20,1,0))</formula>
    </cfRule>
    <cfRule type="expression" priority="91" dxfId="2">
      <formula>AND(IF($Q134=2,1,0),IF($X134&lt;30,1,0))</formula>
    </cfRule>
    <cfRule type="expression" priority="92" dxfId="1">
      <formula>AND(IF($Q134=3,1,0),IF($X134&lt;30,1,0))</formula>
    </cfRule>
    <cfRule type="expression" priority="93" dxfId="0">
      <formula>AND(IF($Q134=3,1,IF($Q134=4,1,0)),IF($F134&lt;=85,1,0))</formula>
    </cfRule>
  </conditionalFormatting>
  <conditionalFormatting sqref="X134">
    <cfRule type="expression" priority="86" dxfId="3">
      <formula>AND(IF(OR($Q134=1,$Q134=2),1,0),IF($X134&lt;=20,1,0))</formula>
    </cfRule>
    <cfRule type="expression" priority="87" dxfId="2">
      <formula>AND(IF($Q134=2,1,0),IF($X134&lt;30,1,0))</formula>
    </cfRule>
    <cfRule type="expression" priority="88" dxfId="1">
      <formula>AND(IF($Q134=3,1,0),IF($X134&lt;30,1,0))</formula>
    </cfRule>
    <cfRule type="expression" priority="89" dxfId="0">
      <formula>AND(IF($Q134=3,1,IF($Q134=4,1,0)),IF($F134&lt;=85,1,0))</formula>
    </cfRule>
  </conditionalFormatting>
  <conditionalFormatting sqref="AI134">
    <cfRule type="expression" priority="82" dxfId="3">
      <formula>AND(IF(OR($Q134=1,$Q134=2),1,0),IF($X134&lt;=20,1,0))</formula>
    </cfRule>
    <cfRule type="expression" priority="83" dxfId="2">
      <formula>AND(IF($Q134=2,1,0),IF($X134&lt;30,1,0))</formula>
    </cfRule>
    <cfRule type="expression" priority="84" dxfId="1">
      <formula>AND(IF($Q134=3,1,0),IF($X134&lt;30,1,0))</formula>
    </cfRule>
    <cfRule type="expression" priority="85" dxfId="0">
      <formula>AND(IF($Q134=3,1,IF($Q134=4,1,0)),IF($F134&lt;=85,1,0))</formula>
    </cfRule>
  </conditionalFormatting>
  <conditionalFormatting sqref="AV135">
    <cfRule type="expression" priority="80" dxfId="17">
      <formula>AV135="X"</formula>
    </cfRule>
    <cfRule type="expression" priority="81" dxfId="16">
      <formula>AV135="후보"</formula>
    </cfRule>
  </conditionalFormatting>
  <conditionalFormatting sqref="AC13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3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35">
    <cfRule type="expression" priority="71" dxfId="3">
      <formula>AND(IF(OR($Q135=1,$Q135=2),1,0),IF($X135&lt;=20,1,0))</formula>
    </cfRule>
    <cfRule type="expression" priority="72" dxfId="2">
      <formula>AND(IF($Q135=2,1,0),IF($X135&lt;30,1,0))</formula>
    </cfRule>
    <cfRule type="expression" priority="73" dxfId="1">
      <formula>AND(IF($Q135=3,1,0),IF($X135&lt;30,1,0))</formula>
    </cfRule>
    <cfRule type="expression" priority="74" dxfId="0">
      <formula>AND(IF($Q135=3,1,IF($Q135=4,1,0)),IF($F135&lt;=85,1,0))</formula>
    </cfRule>
  </conditionalFormatting>
  <conditionalFormatting sqref="X135">
    <cfRule type="expression" priority="67" dxfId="3">
      <formula>AND(IF(OR($Q135=1,$Q135=2),1,0),IF($X135&lt;=20,1,0))</formula>
    </cfRule>
    <cfRule type="expression" priority="68" dxfId="2">
      <formula>AND(IF($Q135=2,1,0),IF($X135&lt;30,1,0))</formula>
    </cfRule>
    <cfRule type="expression" priority="69" dxfId="1">
      <formula>AND(IF($Q135=3,1,0),IF($X135&lt;30,1,0))</formula>
    </cfRule>
    <cfRule type="expression" priority="70" dxfId="0">
      <formula>AND(IF($Q135=3,1,IF($Q135=4,1,0)),IF($F135&lt;=85,1,0))</formula>
    </cfRule>
  </conditionalFormatting>
  <conditionalFormatting sqref="AI135">
    <cfRule type="expression" priority="63" dxfId="3">
      <formula>AND(IF(OR($Q135=1,$Q135=2),1,0),IF($X135&lt;=20,1,0))</formula>
    </cfRule>
    <cfRule type="expression" priority="64" dxfId="2">
      <formula>AND(IF($Q135=2,1,0),IF($X135&lt;30,1,0))</formula>
    </cfRule>
    <cfRule type="expression" priority="65" dxfId="1">
      <formula>AND(IF($Q135=3,1,0),IF($X135&lt;30,1,0))</formula>
    </cfRule>
    <cfRule type="expression" priority="66" dxfId="0">
      <formula>AND(IF($Q135=3,1,IF($Q135=4,1,0)),IF($F135&lt;=85,1,0))</formula>
    </cfRule>
  </conditionalFormatting>
  <conditionalFormatting sqref="AV136">
    <cfRule type="expression" priority="61" dxfId="17">
      <formula>AV136="X"</formula>
    </cfRule>
    <cfRule type="expression" priority="62" dxfId="16">
      <formula>AV136="후보"</formula>
    </cfRule>
  </conditionalFormatting>
  <conditionalFormatting sqref="AC136 N13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37">
    <cfRule type="expression" priority="56" dxfId="17">
      <formula>AV137="X"</formula>
    </cfRule>
    <cfRule type="expression" priority="57" dxfId="16">
      <formula>AV137="후보"</formula>
    </cfRule>
  </conditionalFormatting>
  <conditionalFormatting sqref="AC13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3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37">
    <cfRule type="expression" priority="47" dxfId="3">
      <formula>AND(IF(OR($Q137=1,$Q137=2),1,0),IF($X137&lt;=20,1,0))</formula>
    </cfRule>
    <cfRule type="expression" priority="48" dxfId="2">
      <formula>AND(IF($Q137=2,1,0),IF($X137&lt;30,1,0))</formula>
    </cfRule>
    <cfRule type="expression" priority="49" dxfId="1">
      <formula>AND(IF($Q137=3,1,0),IF($X137&lt;30,1,0))</formula>
    </cfRule>
    <cfRule type="expression" priority="50" dxfId="0">
      <formula>AND(IF($Q137=3,1,IF($Q137=4,1,0)),IF($F137&lt;=85,1,0))</formula>
    </cfRule>
  </conditionalFormatting>
  <conditionalFormatting sqref="X137">
    <cfRule type="expression" priority="43" dxfId="3">
      <formula>AND(IF(OR($Q137=1,$Q137=2),1,0),IF($X137&lt;=20,1,0))</formula>
    </cfRule>
    <cfRule type="expression" priority="44" dxfId="2">
      <formula>AND(IF($Q137=2,1,0),IF($X137&lt;30,1,0))</formula>
    </cfRule>
    <cfRule type="expression" priority="45" dxfId="1">
      <formula>AND(IF($Q137=3,1,0),IF($X137&lt;30,1,0))</formula>
    </cfRule>
    <cfRule type="expression" priority="46" dxfId="0">
      <formula>AND(IF($Q137=3,1,IF($Q137=4,1,0)),IF($F137&lt;=85,1,0))</formula>
    </cfRule>
  </conditionalFormatting>
  <conditionalFormatting sqref="AI137">
    <cfRule type="expression" priority="39" dxfId="3">
      <formula>AND(IF(OR($Q137=1,$Q137=2),1,0),IF($X137&lt;=20,1,0))</formula>
    </cfRule>
    <cfRule type="expression" priority="40" dxfId="2">
      <formula>AND(IF($Q137=2,1,0),IF($X137&lt;30,1,0))</formula>
    </cfRule>
    <cfRule type="expression" priority="41" dxfId="1">
      <formula>AND(IF($Q137=3,1,0),IF($X137&lt;30,1,0))</formula>
    </cfRule>
    <cfRule type="expression" priority="42" dxfId="0">
      <formula>AND(IF($Q137=3,1,IF($Q137=4,1,0)),IF($F137&lt;=85,1,0))</formula>
    </cfRule>
  </conditionalFormatting>
  <conditionalFormatting sqref="AV138">
    <cfRule type="expression" priority="37" dxfId="17">
      <formula>AV138="X"</formula>
    </cfRule>
    <cfRule type="expression" priority="38" dxfId="16">
      <formula>AV138="후보"</formula>
    </cfRule>
  </conditionalFormatting>
  <conditionalFormatting sqref="AC13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3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38">
    <cfRule type="expression" priority="28" dxfId="3">
      <formula>AND(IF(OR($Q138=1,$Q138=2),1,0),IF($X138&lt;=20,1,0))</formula>
    </cfRule>
    <cfRule type="expression" priority="29" dxfId="2">
      <formula>AND(IF($Q138=2,1,0),IF($X138&lt;30,1,0))</formula>
    </cfRule>
    <cfRule type="expression" priority="30" dxfId="1">
      <formula>AND(IF($Q138=3,1,0),IF($X138&lt;30,1,0))</formula>
    </cfRule>
    <cfRule type="expression" priority="31" dxfId="0">
      <formula>AND(IF($Q138=3,1,IF($Q138=4,1,0)),IF($F138&lt;=85,1,0))</formula>
    </cfRule>
  </conditionalFormatting>
  <conditionalFormatting sqref="X138">
    <cfRule type="expression" priority="24" dxfId="3">
      <formula>AND(IF(OR($Q138=1,$Q138=2),1,0),IF($X138&lt;=20,1,0))</formula>
    </cfRule>
    <cfRule type="expression" priority="25" dxfId="2">
      <formula>AND(IF($Q138=2,1,0),IF($X138&lt;30,1,0))</formula>
    </cfRule>
    <cfRule type="expression" priority="26" dxfId="1">
      <formula>AND(IF($Q138=3,1,0),IF($X138&lt;30,1,0))</formula>
    </cfRule>
    <cfRule type="expression" priority="27" dxfId="0">
      <formula>AND(IF($Q138=3,1,IF($Q138=4,1,0)),IF($F138&lt;=85,1,0))</formula>
    </cfRule>
  </conditionalFormatting>
  <conditionalFormatting sqref="AI138">
    <cfRule type="expression" priority="20" dxfId="3">
      <formula>AND(IF(OR($Q138=1,$Q138=2),1,0),IF($X138&lt;=20,1,0))</formula>
    </cfRule>
    <cfRule type="expression" priority="21" dxfId="2">
      <formula>AND(IF($Q138=2,1,0),IF($X138&lt;30,1,0))</formula>
    </cfRule>
    <cfRule type="expression" priority="22" dxfId="1">
      <formula>AND(IF($Q138=3,1,0),IF($X138&lt;30,1,0))</formula>
    </cfRule>
    <cfRule type="expression" priority="23" dxfId="0">
      <formula>AND(IF($Q138=3,1,IF($Q138=4,1,0)),IF($F138&lt;=85,1,0))</formula>
    </cfRule>
  </conditionalFormatting>
  <conditionalFormatting sqref="AV139">
    <cfRule type="expression" priority="18" dxfId="17">
      <formula>AV139="X"</formula>
    </cfRule>
    <cfRule type="expression" priority="19" dxfId="16">
      <formula>AV139="후보"</formula>
    </cfRule>
  </conditionalFormatting>
  <conditionalFormatting sqref="AC13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9">
    <cfRule type="expression" priority="9" dxfId="3">
      <formula>AND(IF(OR($Q139=1,$Q139=2),1,0),IF($X139&lt;=20,1,0))</formula>
    </cfRule>
    <cfRule type="expression" priority="10" dxfId="2">
      <formula>AND(IF($Q139=2,1,0),IF($X139&lt;30,1,0))</formula>
    </cfRule>
    <cfRule type="expression" priority="11" dxfId="1">
      <formula>AND(IF($Q139=3,1,0),IF($X139&lt;30,1,0))</formula>
    </cfRule>
    <cfRule type="expression" priority="12" dxfId="0">
      <formula>AND(IF($Q139=3,1,IF($Q139=4,1,0)),IF($F139&lt;=85,1,0))</formula>
    </cfRule>
  </conditionalFormatting>
  <conditionalFormatting sqref="X139">
    <cfRule type="expression" priority="5" dxfId="3">
      <formula>AND(IF(OR($Q139=1,$Q139=2),1,0),IF($X139&lt;=20,1,0))</formula>
    </cfRule>
    <cfRule type="expression" priority="6" dxfId="2">
      <formula>AND(IF($Q139=2,1,0),IF($X139&lt;30,1,0))</formula>
    </cfRule>
    <cfRule type="expression" priority="7" dxfId="1">
      <formula>AND(IF($Q139=3,1,0),IF($X139&lt;30,1,0))</formula>
    </cfRule>
    <cfRule type="expression" priority="8" dxfId="0">
      <formula>AND(IF($Q139=3,1,IF($Q139=4,1,0)),IF($F139&lt;=85,1,0))</formula>
    </cfRule>
  </conditionalFormatting>
  <conditionalFormatting sqref="AI139">
    <cfRule type="expression" priority="1" dxfId="3">
      <formula>AND(IF(OR($Q139=1,$Q139=2),1,0),IF($X139&lt;=20,1,0))</formula>
    </cfRule>
    <cfRule type="expression" priority="2" dxfId="2">
      <formula>AND(IF($Q139=2,1,0),IF($X139&lt;30,1,0))</formula>
    </cfRule>
    <cfRule type="expression" priority="3" dxfId="1">
      <formula>AND(IF($Q139=3,1,0),IF($X139&lt;30,1,0))</formula>
    </cfRule>
    <cfRule type="expression" priority="4" dxfId="0">
      <formula>AND(IF($Q139=3,1,IF($Q139=4,1,0)),IF($F139&lt;=85,1,0))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백석동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검암역로열파크씨티푸르지오2단지</t>
        </is>
      </c>
      <c r="B6" s="16" t="inlineStr">
        <is>
          <t>'23.06.</t>
        </is>
      </c>
      <c r="C6" s="164" t="n">
        <v>2426</v>
      </c>
      <c r="D6" s="161" t="n">
        <v>83.59999999999999</v>
      </c>
      <c r="E6" s="163" t="n">
        <v>25</v>
      </c>
      <c r="F6" s="161" t="n">
        <v>60</v>
      </c>
      <c r="G6" s="27" t="n">
        <v>18</v>
      </c>
      <c r="H6" s="164" t="n">
        <v>263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83B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검암역로열파크씨티푸르지오2단지</t>
        </is>
      </c>
      <c r="B7" s="16" t="inlineStr">
        <is>
          <t>'23.06.</t>
        </is>
      </c>
      <c r="C7" s="164" t="n">
        <v>2426</v>
      </c>
      <c r="D7" s="161" t="n">
        <v>85.3</v>
      </c>
      <c r="E7" s="163" t="n">
        <v>26</v>
      </c>
      <c r="F7" s="161" t="n">
        <v>59.9</v>
      </c>
      <c r="G7" s="27" t="n">
        <v>18</v>
      </c>
      <c r="H7" s="164" t="n">
        <v>251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85A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검암역로열파크씨티푸르지오2단지</t>
        </is>
      </c>
      <c r="B8" s="16" t="inlineStr">
        <is>
          <t>'23.06.</t>
        </is>
      </c>
      <c r="C8" s="164" t="n">
        <v>2426</v>
      </c>
      <c r="D8" s="161" t="n">
        <v>99.2</v>
      </c>
      <c r="E8" s="163" t="n">
        <v>30</v>
      </c>
      <c r="F8" s="161" t="n">
        <v>74</v>
      </c>
      <c r="G8" s="27" t="n">
        <v>22</v>
      </c>
      <c r="H8" s="164" t="n">
        <v>435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99A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검암역로열파크씨티푸르지오2단지</t>
        </is>
      </c>
      <c r="B9" s="16" t="inlineStr">
        <is>
          <t>'23.06.</t>
        </is>
      </c>
      <c r="C9" s="164" t="n">
        <v>2426</v>
      </c>
      <c r="D9" s="161" t="n">
        <v>99</v>
      </c>
      <c r="E9" s="163" t="n">
        <v>30</v>
      </c>
      <c r="F9" s="161" t="n">
        <v>74</v>
      </c>
      <c r="G9" s="27" t="n">
        <v>22</v>
      </c>
      <c r="H9" s="164" t="n">
        <v>399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99B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검암역로열파크씨티푸르지오2단지</t>
        </is>
      </c>
      <c r="B10" s="16" t="inlineStr">
        <is>
          <t>'23.06.</t>
        </is>
      </c>
      <c r="C10" s="164" t="n">
        <v>2426</v>
      </c>
      <c r="D10" s="161" t="n">
        <v>110.9</v>
      </c>
      <c r="E10" s="163" t="n">
        <v>34</v>
      </c>
      <c r="F10" s="161" t="n">
        <v>84.90000000000001</v>
      </c>
      <c r="G10" s="27" t="n">
        <v>26</v>
      </c>
      <c r="H10" s="164" t="n">
        <v>113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110C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검암역로열파크씨티푸르지오2단지</t>
        </is>
      </c>
      <c r="B11" s="16" t="inlineStr">
        <is>
          <t>'23.06.</t>
        </is>
      </c>
      <c r="C11" s="164" t="n">
        <v>2426</v>
      </c>
      <c r="D11" s="161" t="n">
        <v>111.8</v>
      </c>
      <c r="E11" s="163" t="n">
        <v>34</v>
      </c>
      <c r="F11" s="161" t="n">
        <v>84.90000000000001</v>
      </c>
      <c r="G11" s="27" t="n">
        <v>26</v>
      </c>
      <c r="H11" s="164" t="n">
        <v>168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111B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검암역로열파크씨티푸르지오2단지</t>
        </is>
      </c>
      <c r="B12" s="16" t="inlineStr">
        <is>
          <t>'23.06.</t>
        </is>
      </c>
      <c r="C12" s="164" t="n">
        <v>2426</v>
      </c>
      <c r="D12" s="161" t="n">
        <v>112.1</v>
      </c>
      <c r="E12" s="163" t="n">
        <v>34</v>
      </c>
      <c r="F12" s="161" t="n">
        <v>85</v>
      </c>
      <c r="G12" s="27" t="n">
        <v>26</v>
      </c>
      <c r="H12" s="164" t="n">
        <v>553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112A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검암역로열파크씨티푸르지오2단지</t>
        </is>
      </c>
      <c r="B13" s="16" t="inlineStr">
        <is>
          <t>'23.06.</t>
        </is>
      </c>
      <c r="C13" s="164" t="n">
        <v>2426</v>
      </c>
      <c r="D13" s="161" t="n">
        <v>130.7</v>
      </c>
      <c r="E13" s="163" t="n">
        <v>40</v>
      </c>
      <c r="F13" s="161" t="n">
        <v>102</v>
      </c>
      <c r="G13" s="27" t="n">
        <v>31</v>
      </c>
      <c r="H13" s="164" t="n">
        <v>233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130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검암역로열파크씨티푸르지오2단지</t>
        </is>
      </c>
      <c r="B14" s="16" t="inlineStr">
        <is>
          <t>'23.06.</t>
        </is>
      </c>
      <c r="C14" s="164" t="n">
        <v>2426</v>
      </c>
      <c r="D14" s="161" t="n">
        <v>203.2</v>
      </c>
      <c r="E14" s="163" t="n">
        <v>61</v>
      </c>
      <c r="F14" s="161" t="n">
        <v>152.7</v>
      </c>
      <c r="G14" s="27" t="n">
        <v>46</v>
      </c>
      <c r="H14" s="164" t="n">
        <v>10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3</v>
      </c>
      <c r="S14" s="113" t="inlineStr">
        <is>
          <t>계</t>
        </is>
      </c>
      <c r="T14" s="8" t="n">
        <v>203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검암역로열파크씨티푸르지오2단지</t>
        </is>
      </c>
      <c r="B15" s="16" t="inlineStr">
        <is>
          <t>'23.06.</t>
        </is>
      </c>
      <c r="C15" s="164" t="n">
        <v>2426</v>
      </c>
      <c r="D15" s="161" t="n">
        <v>316.7</v>
      </c>
      <c r="E15" s="163" t="n">
        <v>96</v>
      </c>
      <c r="F15" s="161" t="n">
        <v>241.8</v>
      </c>
      <c r="G15" s="27" t="n">
        <v>73</v>
      </c>
      <c r="H15" s="164" t="n">
        <v>1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4</v>
      </c>
      <c r="S15" s="113" t="inlineStr">
        <is>
          <t>계</t>
        </is>
      </c>
      <c r="T15" s="8" t="n">
        <v>316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검암역로열파크씨티푸르지오1단지</t>
        </is>
      </c>
      <c r="B17" s="16" t="inlineStr">
        <is>
          <t>'23.06.</t>
        </is>
      </c>
      <c r="C17" s="164" t="n">
        <v>2379</v>
      </c>
      <c r="D17" s="161" t="n">
        <v>83.90000000000001</v>
      </c>
      <c r="E17" s="163" t="n">
        <v>25</v>
      </c>
      <c r="F17" s="161" t="n">
        <v>59.9</v>
      </c>
      <c r="G17" s="27" t="n">
        <v>18</v>
      </c>
      <c r="H17" s="164" t="n">
        <v>535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83A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검암역로열파크씨티푸르지오1단지</t>
        </is>
      </c>
      <c r="B18" s="16" t="inlineStr">
        <is>
          <t>'23.06.</t>
        </is>
      </c>
      <c r="C18" s="164" t="n">
        <v>2379</v>
      </c>
      <c r="D18" s="161" t="n">
        <v>84.2</v>
      </c>
      <c r="E18" s="163" t="n">
        <v>25</v>
      </c>
      <c r="F18" s="161" t="n">
        <v>60</v>
      </c>
      <c r="G18" s="27" t="n">
        <v>18</v>
      </c>
      <c r="H18" s="164" t="n">
        <v>149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84B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검암역로열파크씨티푸르지오1단지</t>
        </is>
      </c>
      <c r="B19" s="16" t="inlineStr">
        <is>
          <t>'23.06.</t>
        </is>
      </c>
      <c r="C19" s="164" t="n">
        <v>2379</v>
      </c>
      <c r="D19" s="161" t="n">
        <v>98.09999999999999</v>
      </c>
      <c r="E19" s="163" t="n">
        <v>30</v>
      </c>
      <c r="F19" s="161" t="n">
        <v>74</v>
      </c>
      <c r="G19" s="27" t="n">
        <v>22</v>
      </c>
      <c r="H19" s="164" t="n">
        <v>324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98A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검암역로열파크씨티푸르지오1단지</t>
        </is>
      </c>
      <c r="B20" s="16" t="inlineStr">
        <is>
          <t>'23.06.</t>
        </is>
      </c>
      <c r="C20" s="164" t="n">
        <v>2379</v>
      </c>
      <c r="D20" s="161" t="n">
        <v>99.09999999999999</v>
      </c>
      <c r="E20" s="163" t="n">
        <v>30</v>
      </c>
      <c r="F20" s="161" t="n">
        <v>74</v>
      </c>
      <c r="G20" s="27" t="n">
        <v>22</v>
      </c>
      <c r="H20" s="164" t="n">
        <v>404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99B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검암역로열파크씨티푸르지오1단지</t>
        </is>
      </c>
      <c r="B21" s="16" t="inlineStr">
        <is>
          <t>'23.06.</t>
        </is>
      </c>
      <c r="C21" s="164" t="n">
        <v>2379</v>
      </c>
      <c r="D21" s="161" t="n">
        <v>112</v>
      </c>
      <c r="E21" s="163" t="n">
        <v>34</v>
      </c>
      <c r="F21" s="161" t="n">
        <v>85</v>
      </c>
      <c r="G21" s="27" t="n">
        <v>26</v>
      </c>
      <c r="H21" s="164" t="n">
        <v>478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111A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검암역로열파크씨티푸르지오1단지</t>
        </is>
      </c>
      <c r="B22" s="16" t="inlineStr">
        <is>
          <t>'23.06.</t>
        </is>
      </c>
      <c r="C22" s="164" t="n">
        <v>2379</v>
      </c>
      <c r="D22" s="161" t="n">
        <v>111.9</v>
      </c>
      <c r="E22" s="163" t="n">
        <v>34</v>
      </c>
      <c r="F22" s="161" t="n">
        <v>84.90000000000001</v>
      </c>
      <c r="G22" s="27" t="n">
        <v>26</v>
      </c>
      <c r="H22" s="164" t="n">
        <v>171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111B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검암역로열파크씨티푸르지오1단지</t>
        </is>
      </c>
      <c r="B23" s="16" t="inlineStr">
        <is>
          <t>'23.06.</t>
        </is>
      </c>
      <c r="C23" s="164" t="n">
        <v>2379</v>
      </c>
      <c r="D23" s="161" t="n">
        <v>112.1</v>
      </c>
      <c r="E23" s="163" t="n">
        <v>34</v>
      </c>
      <c r="F23" s="161" t="n">
        <v>84.90000000000001</v>
      </c>
      <c r="G23" s="27" t="n">
        <v>26</v>
      </c>
      <c r="H23" s="164" t="n">
        <v>116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112C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검암역로열파크씨티푸르지오1단지</t>
        </is>
      </c>
      <c r="B24" s="16" t="inlineStr">
        <is>
          <t>'23.06.</t>
        </is>
      </c>
      <c r="C24" s="164" t="n">
        <v>2379</v>
      </c>
      <c r="D24" s="161" t="n">
        <v>131</v>
      </c>
      <c r="E24" s="163" t="n">
        <v>40</v>
      </c>
      <c r="F24" s="161" t="n">
        <v>102</v>
      </c>
      <c r="G24" s="27" t="n">
        <v>31</v>
      </c>
      <c r="H24" s="164" t="n">
        <v>191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131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검암역로열파크씨티푸르지오1단지</t>
        </is>
      </c>
      <c r="B25" s="16" t="inlineStr">
        <is>
          <t>'23.06.</t>
        </is>
      </c>
      <c r="C25" s="164" t="n">
        <v>2379</v>
      </c>
      <c r="D25" s="161" t="n">
        <v>203.2</v>
      </c>
      <c r="E25" s="163" t="n">
        <v>61</v>
      </c>
      <c r="F25" s="161" t="n">
        <v>152.7</v>
      </c>
      <c r="G25" s="27" t="n">
        <v>46</v>
      </c>
      <c r="H25" s="164" t="n">
        <v>10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3</v>
      </c>
      <c r="S25" s="113" t="inlineStr">
        <is>
          <t>계</t>
        </is>
      </c>
      <c r="T25" s="8" t="n">
        <v>203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검암역로열파크씨티푸르지오1단지</t>
        </is>
      </c>
      <c r="B26" s="16" t="inlineStr">
        <is>
          <t>'23.06.</t>
        </is>
      </c>
      <c r="C26" s="164" t="n">
        <v>2379</v>
      </c>
      <c r="D26" s="161" t="n">
        <v>315.9</v>
      </c>
      <c r="E26" s="163" t="n">
        <v>96</v>
      </c>
      <c r="F26" s="161" t="n">
        <v>241.8</v>
      </c>
      <c r="G26" s="27" t="n">
        <v>73</v>
      </c>
      <c r="H26" s="164" t="n">
        <v>1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4</v>
      </c>
      <c r="S26" s="113" t="inlineStr">
        <is>
          <t>계</t>
        </is>
      </c>
      <c r="T26" s="8" t="n">
        <v>315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86" dxfId="17">
      <formula>AV4="X"</formula>
    </cfRule>
    <cfRule type="expression" priority="387" dxfId="16">
      <formula>AV4="후보"</formula>
    </cfRule>
  </conditionalFormatting>
  <conditionalFormatting sqref="AC1:AC2 AC4:AC6 N4:N5">
    <cfRule type="cellIs" priority="383" operator="greaterThan" dxfId="13">
      <formula>0.9</formula>
    </cfRule>
    <cfRule type="cellIs" priority="384" operator="greaterThan" dxfId="12">
      <formula>0.85</formula>
    </cfRule>
  </conditionalFormatting>
  <conditionalFormatting sqref="N1:N2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6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6">
    <cfRule type="expression" priority="375" dxfId="3">
      <formula>AND(IF(OR($Q6=1,$Q6=2),1,0),IF($X6&lt;=20,1,0))</formula>
    </cfRule>
    <cfRule type="expression" priority="376" dxfId="2">
      <formula>AND(IF($Q6=2,1,0),IF($X6&lt;30,1,0))</formula>
    </cfRule>
    <cfRule type="expression" priority="377" dxfId="1">
      <formula>AND(IF($Q6=3,1,0),IF($X6&lt;30,1,0))</formula>
    </cfRule>
    <cfRule type="expression" priority="378" dxfId="0">
      <formula>AND(IF($Q6=3,1,IF($Q6=4,1,0)),IF($F6&lt;=85,1,0))</formula>
    </cfRule>
  </conditionalFormatting>
  <conditionalFormatting sqref="X6">
    <cfRule type="expression" priority="371" dxfId="3">
      <formula>AND(IF(OR($Q6=1,$Q6=2),1,0),IF($X6&lt;=20,1,0))</formula>
    </cfRule>
    <cfRule type="expression" priority="372" dxfId="2">
      <formula>AND(IF($Q6=2,1,0),IF($X6&lt;30,1,0))</formula>
    </cfRule>
    <cfRule type="expression" priority="373" dxfId="1">
      <formula>AND(IF($Q6=3,1,0),IF($X6&lt;30,1,0))</formula>
    </cfRule>
    <cfRule type="expression" priority="374" dxfId="0">
      <formula>AND(IF($Q6=3,1,IF($Q6=4,1,0)),IF($F6&lt;=85,1,0))</formula>
    </cfRule>
  </conditionalFormatting>
  <conditionalFormatting sqref="AI6">
    <cfRule type="expression" priority="367" dxfId="3">
      <formula>AND(IF(OR($Q6=1,$Q6=2),1,0),IF($X6&lt;=20,1,0))</formula>
    </cfRule>
    <cfRule type="expression" priority="368" dxfId="2">
      <formula>AND(IF($Q6=2,1,0),IF($X6&lt;30,1,0))</formula>
    </cfRule>
    <cfRule type="expression" priority="369" dxfId="1">
      <formula>AND(IF($Q6=3,1,0),IF($X6&lt;30,1,0))</formula>
    </cfRule>
    <cfRule type="expression" priority="370" dxfId="0">
      <formula>AND(IF($Q6=3,1,IF($Q6=4,1,0)),IF($F6&lt;=85,1,0))</formula>
    </cfRule>
  </conditionalFormatting>
  <conditionalFormatting sqref="AV7">
    <cfRule type="expression" priority="365" dxfId="17">
      <formula>AV7="X"</formula>
    </cfRule>
    <cfRule type="expression" priority="366" dxfId="16">
      <formula>AV7="후보"</formula>
    </cfRule>
  </conditionalFormatting>
  <conditionalFormatting sqref="AC7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7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7">
    <cfRule type="expression" priority="356" dxfId="3">
      <formula>AND(IF(OR($Q7=1,$Q7=2),1,0),IF($X7&lt;=20,1,0))</formula>
    </cfRule>
    <cfRule type="expression" priority="357" dxfId="2">
      <formula>AND(IF($Q7=2,1,0),IF($X7&lt;30,1,0))</formula>
    </cfRule>
    <cfRule type="expression" priority="358" dxfId="1">
      <formula>AND(IF($Q7=3,1,0),IF($X7&lt;30,1,0))</formula>
    </cfRule>
    <cfRule type="expression" priority="359" dxfId="0">
      <formula>AND(IF($Q7=3,1,IF($Q7=4,1,0)),IF($F7&lt;=85,1,0))</formula>
    </cfRule>
  </conditionalFormatting>
  <conditionalFormatting sqref="X7">
    <cfRule type="expression" priority="352" dxfId="3">
      <formula>AND(IF(OR($Q7=1,$Q7=2),1,0),IF($X7&lt;=20,1,0))</formula>
    </cfRule>
    <cfRule type="expression" priority="353" dxfId="2">
      <formula>AND(IF($Q7=2,1,0),IF($X7&lt;30,1,0))</formula>
    </cfRule>
    <cfRule type="expression" priority="354" dxfId="1">
      <formula>AND(IF($Q7=3,1,0),IF($X7&lt;30,1,0))</formula>
    </cfRule>
    <cfRule type="expression" priority="355" dxfId="0">
      <formula>AND(IF($Q7=3,1,IF($Q7=4,1,0)),IF($F7&lt;=85,1,0))</formula>
    </cfRule>
  </conditionalFormatting>
  <conditionalFormatting sqref="AI7">
    <cfRule type="expression" priority="348" dxfId="3">
      <formula>AND(IF(OR($Q7=1,$Q7=2),1,0),IF($X7&lt;=20,1,0))</formula>
    </cfRule>
    <cfRule type="expression" priority="349" dxfId="2">
      <formula>AND(IF($Q7=2,1,0),IF($X7&lt;30,1,0))</formula>
    </cfRule>
    <cfRule type="expression" priority="350" dxfId="1">
      <formula>AND(IF($Q7=3,1,0),IF($X7&lt;30,1,0))</formula>
    </cfRule>
    <cfRule type="expression" priority="351" dxfId="0">
      <formula>AND(IF($Q7=3,1,IF($Q7=4,1,0)),IF($F7&lt;=85,1,0))</formula>
    </cfRule>
  </conditionalFormatting>
  <conditionalFormatting sqref="AV8">
    <cfRule type="expression" priority="346" dxfId="17">
      <formula>AV8="X"</formula>
    </cfRule>
    <cfRule type="expression" priority="347" dxfId="16">
      <formula>AV8="후보"</formula>
    </cfRule>
  </conditionalFormatting>
  <conditionalFormatting sqref="AC8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8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8">
    <cfRule type="expression" priority="337" dxfId="3">
      <formula>AND(IF(OR($Q8=1,$Q8=2),1,0),IF($X8&lt;=20,1,0))</formula>
    </cfRule>
    <cfRule type="expression" priority="338" dxfId="2">
      <formula>AND(IF($Q8=2,1,0),IF($X8&lt;30,1,0))</formula>
    </cfRule>
    <cfRule type="expression" priority="339" dxfId="1">
      <formula>AND(IF($Q8=3,1,0),IF($X8&lt;30,1,0))</formula>
    </cfRule>
    <cfRule type="expression" priority="340" dxfId="0">
      <formula>AND(IF($Q8=3,1,IF($Q8=4,1,0)),IF($F8&lt;=85,1,0))</formula>
    </cfRule>
  </conditionalFormatting>
  <conditionalFormatting sqref="X8">
    <cfRule type="expression" priority="333" dxfId="3">
      <formula>AND(IF(OR($Q8=1,$Q8=2),1,0),IF($X8&lt;=20,1,0))</formula>
    </cfRule>
    <cfRule type="expression" priority="334" dxfId="2">
      <formula>AND(IF($Q8=2,1,0),IF($X8&lt;30,1,0))</formula>
    </cfRule>
    <cfRule type="expression" priority="335" dxfId="1">
      <formula>AND(IF($Q8=3,1,0),IF($X8&lt;30,1,0))</formula>
    </cfRule>
    <cfRule type="expression" priority="336" dxfId="0">
      <formula>AND(IF($Q8=3,1,IF($Q8=4,1,0)),IF($F8&lt;=85,1,0))</formula>
    </cfRule>
  </conditionalFormatting>
  <conditionalFormatting sqref="AI8">
    <cfRule type="expression" priority="329" dxfId="3">
      <formula>AND(IF(OR($Q8=1,$Q8=2),1,0),IF($X8&lt;=20,1,0))</formula>
    </cfRule>
    <cfRule type="expression" priority="330" dxfId="2">
      <formula>AND(IF($Q8=2,1,0),IF($X8&lt;30,1,0))</formula>
    </cfRule>
    <cfRule type="expression" priority="331" dxfId="1">
      <formula>AND(IF($Q8=3,1,0),IF($X8&lt;30,1,0))</formula>
    </cfRule>
    <cfRule type="expression" priority="332" dxfId="0">
      <formula>AND(IF($Q8=3,1,IF($Q8=4,1,0)),IF($F8&lt;=85,1,0))</formula>
    </cfRule>
  </conditionalFormatting>
  <conditionalFormatting sqref="AV9">
    <cfRule type="expression" priority="327" dxfId="17">
      <formula>AV9="X"</formula>
    </cfRule>
    <cfRule type="expression" priority="328" dxfId="16">
      <formula>AV9="후보"</formula>
    </cfRule>
  </conditionalFormatting>
  <conditionalFormatting sqref="AC9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9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9">
    <cfRule type="expression" priority="318" dxfId="3">
      <formula>AND(IF(OR($Q9=1,$Q9=2),1,0),IF($X9&lt;=20,1,0))</formula>
    </cfRule>
    <cfRule type="expression" priority="319" dxfId="2">
      <formula>AND(IF($Q9=2,1,0),IF($X9&lt;30,1,0))</formula>
    </cfRule>
    <cfRule type="expression" priority="320" dxfId="1">
      <formula>AND(IF($Q9=3,1,0),IF($X9&lt;30,1,0))</formula>
    </cfRule>
    <cfRule type="expression" priority="321" dxfId="0">
      <formula>AND(IF($Q9=3,1,IF($Q9=4,1,0)),IF($F9&lt;=85,1,0))</formula>
    </cfRule>
  </conditionalFormatting>
  <conditionalFormatting sqref="X9">
    <cfRule type="expression" priority="314" dxfId="3">
      <formula>AND(IF(OR($Q9=1,$Q9=2),1,0),IF($X9&lt;=20,1,0))</formula>
    </cfRule>
    <cfRule type="expression" priority="315" dxfId="2">
      <formula>AND(IF($Q9=2,1,0),IF($X9&lt;30,1,0))</formula>
    </cfRule>
    <cfRule type="expression" priority="316" dxfId="1">
      <formula>AND(IF($Q9=3,1,0),IF($X9&lt;30,1,0))</formula>
    </cfRule>
    <cfRule type="expression" priority="317" dxfId="0">
      <formula>AND(IF($Q9=3,1,IF($Q9=4,1,0)),IF($F9&lt;=85,1,0))</formula>
    </cfRule>
  </conditionalFormatting>
  <conditionalFormatting sqref="AI9">
    <cfRule type="expression" priority="310" dxfId="3">
      <formula>AND(IF(OR($Q9=1,$Q9=2),1,0),IF($X9&lt;=20,1,0))</formula>
    </cfRule>
    <cfRule type="expression" priority="311" dxfId="2">
      <formula>AND(IF($Q9=2,1,0),IF($X9&lt;30,1,0))</formula>
    </cfRule>
    <cfRule type="expression" priority="312" dxfId="1">
      <formula>AND(IF($Q9=3,1,0),IF($X9&lt;30,1,0))</formula>
    </cfRule>
    <cfRule type="expression" priority="313" dxfId="0">
      <formula>AND(IF($Q9=3,1,IF($Q9=4,1,0)),IF($F9&lt;=85,1,0))</formula>
    </cfRule>
  </conditionalFormatting>
  <conditionalFormatting sqref="AV10">
    <cfRule type="expression" priority="308" dxfId="17">
      <formula>AV10="X"</formula>
    </cfRule>
    <cfRule type="expression" priority="309" dxfId="16">
      <formula>AV10="후보"</formula>
    </cfRule>
  </conditionalFormatting>
  <conditionalFormatting sqref="AC10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10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10">
    <cfRule type="expression" priority="299" dxfId="3">
      <formula>AND(IF(OR($Q10=1,$Q10=2),1,0),IF($X10&lt;=20,1,0))</formula>
    </cfRule>
    <cfRule type="expression" priority="300" dxfId="2">
      <formula>AND(IF($Q10=2,1,0),IF($X10&lt;30,1,0))</formula>
    </cfRule>
    <cfRule type="expression" priority="301" dxfId="1">
      <formula>AND(IF($Q10=3,1,0),IF($X10&lt;30,1,0))</formula>
    </cfRule>
    <cfRule type="expression" priority="302" dxfId="0">
      <formula>AND(IF($Q10=3,1,IF($Q10=4,1,0)),IF($F10&lt;=85,1,0))</formula>
    </cfRule>
  </conditionalFormatting>
  <conditionalFormatting sqref="X10">
    <cfRule type="expression" priority="295" dxfId="3">
      <formula>AND(IF(OR($Q10=1,$Q10=2),1,0),IF($X10&lt;=20,1,0))</formula>
    </cfRule>
    <cfRule type="expression" priority="296" dxfId="2">
      <formula>AND(IF($Q10=2,1,0),IF($X10&lt;30,1,0))</formula>
    </cfRule>
    <cfRule type="expression" priority="297" dxfId="1">
      <formula>AND(IF($Q10=3,1,0),IF($X10&lt;30,1,0))</formula>
    </cfRule>
    <cfRule type="expression" priority="298" dxfId="0">
      <formula>AND(IF($Q10=3,1,IF($Q10=4,1,0)),IF($F10&lt;=85,1,0))</formula>
    </cfRule>
  </conditionalFormatting>
  <conditionalFormatting sqref="AI10">
    <cfRule type="expression" priority="291" dxfId="3">
      <formula>AND(IF(OR($Q10=1,$Q10=2),1,0),IF($X10&lt;=20,1,0))</formula>
    </cfRule>
    <cfRule type="expression" priority="292" dxfId="2">
      <formula>AND(IF($Q10=2,1,0),IF($X10&lt;30,1,0))</formula>
    </cfRule>
    <cfRule type="expression" priority="293" dxfId="1">
      <formula>AND(IF($Q10=3,1,0),IF($X10&lt;30,1,0))</formula>
    </cfRule>
    <cfRule type="expression" priority="294" dxfId="0">
      <formula>AND(IF($Q10=3,1,IF($Q10=4,1,0)),IF($F10&lt;=85,1,0))</formula>
    </cfRule>
  </conditionalFormatting>
  <conditionalFormatting sqref="AV11">
    <cfRule type="expression" priority="289" dxfId="17">
      <formula>AV11="X"</formula>
    </cfRule>
    <cfRule type="expression" priority="290" dxfId="16">
      <formula>AV11="후보"</formula>
    </cfRule>
  </conditionalFormatting>
  <conditionalFormatting sqref="AC11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11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11">
    <cfRule type="expression" priority="280" dxfId="3">
      <formula>AND(IF(OR($Q11=1,$Q11=2),1,0),IF($X11&lt;=20,1,0))</formula>
    </cfRule>
    <cfRule type="expression" priority="281" dxfId="2">
      <formula>AND(IF($Q11=2,1,0),IF($X11&lt;30,1,0))</formula>
    </cfRule>
    <cfRule type="expression" priority="282" dxfId="1">
      <formula>AND(IF($Q11=3,1,0),IF($X11&lt;30,1,0))</formula>
    </cfRule>
    <cfRule type="expression" priority="283" dxfId="0">
      <formula>AND(IF($Q11=3,1,IF($Q11=4,1,0)),IF($F11&lt;=85,1,0))</formula>
    </cfRule>
  </conditionalFormatting>
  <conditionalFormatting sqref="X11">
    <cfRule type="expression" priority="276" dxfId="3">
      <formula>AND(IF(OR($Q11=1,$Q11=2),1,0),IF($X11&lt;=20,1,0))</formula>
    </cfRule>
    <cfRule type="expression" priority="277" dxfId="2">
      <formula>AND(IF($Q11=2,1,0),IF($X11&lt;30,1,0))</formula>
    </cfRule>
    <cfRule type="expression" priority="278" dxfId="1">
      <formula>AND(IF($Q11=3,1,0),IF($X11&lt;30,1,0))</formula>
    </cfRule>
    <cfRule type="expression" priority="279" dxfId="0">
      <formula>AND(IF($Q11=3,1,IF($Q11=4,1,0)),IF($F11&lt;=85,1,0))</formula>
    </cfRule>
  </conditionalFormatting>
  <conditionalFormatting sqref="AI11">
    <cfRule type="expression" priority="272" dxfId="3">
      <formula>AND(IF(OR($Q11=1,$Q11=2),1,0),IF($X11&lt;=20,1,0))</formula>
    </cfRule>
    <cfRule type="expression" priority="273" dxfId="2">
      <formula>AND(IF($Q11=2,1,0),IF($X11&lt;30,1,0))</formula>
    </cfRule>
    <cfRule type="expression" priority="274" dxfId="1">
      <formula>AND(IF($Q11=3,1,0),IF($X11&lt;30,1,0))</formula>
    </cfRule>
    <cfRule type="expression" priority="275" dxfId="0">
      <formula>AND(IF($Q11=3,1,IF($Q11=4,1,0)),IF($F11&lt;=85,1,0))</formula>
    </cfRule>
  </conditionalFormatting>
  <conditionalFormatting sqref="AV12">
    <cfRule type="expression" priority="270" dxfId="17">
      <formula>AV12="X"</formula>
    </cfRule>
    <cfRule type="expression" priority="271" dxfId="16">
      <formula>AV12="후보"</formula>
    </cfRule>
  </conditionalFormatting>
  <conditionalFormatting sqref="AC12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2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2">
    <cfRule type="expression" priority="261" dxfId="3">
      <formula>AND(IF(OR($Q12=1,$Q12=2),1,0),IF($X12&lt;=20,1,0))</formula>
    </cfRule>
    <cfRule type="expression" priority="262" dxfId="2">
      <formula>AND(IF($Q12=2,1,0),IF($X12&lt;30,1,0))</formula>
    </cfRule>
    <cfRule type="expression" priority="263" dxfId="1">
      <formula>AND(IF($Q12=3,1,0),IF($X12&lt;30,1,0))</formula>
    </cfRule>
    <cfRule type="expression" priority="264" dxfId="0">
      <formula>AND(IF($Q12=3,1,IF($Q12=4,1,0)),IF($F12&lt;=85,1,0))</formula>
    </cfRule>
  </conditionalFormatting>
  <conditionalFormatting sqref="X12">
    <cfRule type="expression" priority="257" dxfId="3">
      <formula>AND(IF(OR($Q12=1,$Q12=2),1,0),IF($X12&lt;=20,1,0))</formula>
    </cfRule>
    <cfRule type="expression" priority="258" dxfId="2">
      <formula>AND(IF($Q12=2,1,0),IF($X12&lt;30,1,0))</formula>
    </cfRule>
    <cfRule type="expression" priority="259" dxfId="1">
      <formula>AND(IF($Q12=3,1,0),IF($X12&lt;30,1,0))</formula>
    </cfRule>
    <cfRule type="expression" priority="260" dxfId="0">
      <formula>AND(IF($Q12=3,1,IF($Q12=4,1,0)),IF($F12&lt;=85,1,0))</formula>
    </cfRule>
  </conditionalFormatting>
  <conditionalFormatting sqref="AI12">
    <cfRule type="expression" priority="253" dxfId="3">
      <formula>AND(IF(OR($Q12=1,$Q12=2),1,0),IF($X12&lt;=20,1,0))</formula>
    </cfRule>
    <cfRule type="expression" priority="254" dxfId="2">
      <formula>AND(IF($Q12=2,1,0),IF($X12&lt;30,1,0))</formula>
    </cfRule>
    <cfRule type="expression" priority="255" dxfId="1">
      <formula>AND(IF($Q12=3,1,0),IF($X12&lt;30,1,0))</formula>
    </cfRule>
    <cfRule type="expression" priority="256" dxfId="0">
      <formula>AND(IF($Q12=3,1,IF($Q12=4,1,0)),IF($F12&lt;=85,1,0))</formula>
    </cfRule>
  </conditionalFormatting>
  <conditionalFormatting sqref="AV13">
    <cfRule type="expression" priority="251" dxfId="17">
      <formula>AV13="X"</formula>
    </cfRule>
    <cfRule type="expression" priority="252" dxfId="16">
      <formula>AV13="후보"</formula>
    </cfRule>
  </conditionalFormatting>
  <conditionalFormatting sqref="AC13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3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3">
    <cfRule type="expression" priority="242" dxfId="3">
      <formula>AND(IF(OR($Q13=1,$Q13=2),1,0),IF($X13&lt;=20,1,0))</formula>
    </cfRule>
    <cfRule type="expression" priority="243" dxfId="2">
      <formula>AND(IF($Q13=2,1,0),IF($X13&lt;30,1,0))</formula>
    </cfRule>
    <cfRule type="expression" priority="244" dxfId="1">
      <formula>AND(IF($Q13=3,1,0),IF($X13&lt;30,1,0))</formula>
    </cfRule>
    <cfRule type="expression" priority="245" dxfId="0">
      <formula>AND(IF($Q13=3,1,IF($Q13=4,1,0)),IF($F13&lt;=85,1,0))</formula>
    </cfRule>
  </conditionalFormatting>
  <conditionalFormatting sqref="X13">
    <cfRule type="expression" priority="238" dxfId="3">
      <formula>AND(IF(OR($Q13=1,$Q13=2),1,0),IF($X13&lt;=20,1,0))</formula>
    </cfRule>
    <cfRule type="expression" priority="239" dxfId="2">
      <formula>AND(IF($Q13=2,1,0),IF($X13&lt;30,1,0))</formula>
    </cfRule>
    <cfRule type="expression" priority="240" dxfId="1">
      <formula>AND(IF($Q13=3,1,0),IF($X13&lt;30,1,0))</formula>
    </cfRule>
    <cfRule type="expression" priority="241" dxfId="0">
      <formula>AND(IF($Q13=3,1,IF($Q13=4,1,0)),IF($F13&lt;=85,1,0))</formula>
    </cfRule>
  </conditionalFormatting>
  <conditionalFormatting sqref="AI13">
    <cfRule type="expression" priority="234" dxfId="3">
      <formula>AND(IF(OR($Q13=1,$Q13=2),1,0),IF($X13&lt;=20,1,0))</formula>
    </cfRule>
    <cfRule type="expression" priority="235" dxfId="2">
      <formula>AND(IF($Q13=2,1,0),IF($X13&lt;30,1,0))</formula>
    </cfRule>
    <cfRule type="expression" priority="236" dxfId="1">
      <formula>AND(IF($Q13=3,1,0),IF($X13&lt;30,1,0))</formula>
    </cfRule>
    <cfRule type="expression" priority="237" dxfId="0">
      <formula>AND(IF($Q13=3,1,IF($Q13=4,1,0)),IF($F13&lt;=85,1,0))</formula>
    </cfRule>
  </conditionalFormatting>
  <conditionalFormatting sqref="AV14">
    <cfRule type="expression" priority="232" dxfId="17">
      <formula>AV14="X"</formula>
    </cfRule>
    <cfRule type="expression" priority="233" dxfId="16">
      <formula>AV14="후보"</formula>
    </cfRule>
  </conditionalFormatting>
  <conditionalFormatting sqref="AC14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4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4">
    <cfRule type="expression" priority="223" dxfId="3">
      <formula>AND(IF(OR($Q14=1,$Q14=2),1,0),IF($X14&lt;=20,1,0))</formula>
    </cfRule>
    <cfRule type="expression" priority="224" dxfId="2">
      <formula>AND(IF($Q14=2,1,0),IF($X14&lt;30,1,0))</formula>
    </cfRule>
    <cfRule type="expression" priority="225" dxfId="1">
      <formula>AND(IF($Q14=3,1,0),IF($X14&lt;30,1,0))</formula>
    </cfRule>
    <cfRule type="expression" priority="226" dxfId="0">
      <formula>AND(IF($Q14=3,1,IF($Q14=4,1,0)),IF($F14&lt;=85,1,0))</formula>
    </cfRule>
  </conditionalFormatting>
  <conditionalFormatting sqref="X14">
    <cfRule type="expression" priority="219" dxfId="3">
      <formula>AND(IF(OR($Q14=1,$Q14=2),1,0),IF($X14&lt;=20,1,0))</formula>
    </cfRule>
    <cfRule type="expression" priority="220" dxfId="2">
      <formula>AND(IF($Q14=2,1,0),IF($X14&lt;30,1,0))</formula>
    </cfRule>
    <cfRule type="expression" priority="221" dxfId="1">
      <formula>AND(IF($Q14=3,1,0),IF($X14&lt;30,1,0))</formula>
    </cfRule>
    <cfRule type="expression" priority="222" dxfId="0">
      <formula>AND(IF($Q14=3,1,IF($Q14=4,1,0)),IF($F14&lt;=85,1,0))</formula>
    </cfRule>
  </conditionalFormatting>
  <conditionalFormatting sqref="AI14">
    <cfRule type="expression" priority="215" dxfId="3">
      <formula>AND(IF(OR($Q14=1,$Q14=2),1,0),IF($X14&lt;=20,1,0))</formula>
    </cfRule>
    <cfRule type="expression" priority="216" dxfId="2">
      <formula>AND(IF($Q14=2,1,0),IF($X14&lt;30,1,0))</formula>
    </cfRule>
    <cfRule type="expression" priority="217" dxfId="1">
      <formula>AND(IF($Q14=3,1,0),IF($X14&lt;30,1,0))</formula>
    </cfRule>
    <cfRule type="expression" priority="218" dxfId="0">
      <formula>AND(IF($Q14=3,1,IF($Q14=4,1,0)),IF($F14&lt;=85,1,0))</formula>
    </cfRule>
  </conditionalFormatting>
  <conditionalFormatting sqref="AV15">
    <cfRule type="expression" priority="213" dxfId="17">
      <formula>AV15="X"</formula>
    </cfRule>
    <cfRule type="expression" priority="214" dxfId="16">
      <formula>AV15="후보"</formula>
    </cfRule>
  </conditionalFormatting>
  <conditionalFormatting sqref="AC15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5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5">
    <cfRule type="expression" priority="204" dxfId="3">
      <formula>AND(IF(OR($Q15=1,$Q15=2),1,0),IF($X15&lt;=20,1,0))</formula>
    </cfRule>
    <cfRule type="expression" priority="205" dxfId="2">
      <formula>AND(IF($Q15=2,1,0),IF($X15&lt;30,1,0))</formula>
    </cfRule>
    <cfRule type="expression" priority="206" dxfId="1">
      <formula>AND(IF($Q15=3,1,0),IF($X15&lt;30,1,0))</formula>
    </cfRule>
    <cfRule type="expression" priority="207" dxfId="0">
      <formula>AND(IF($Q15=3,1,IF($Q15=4,1,0)),IF($F15&lt;=85,1,0))</formula>
    </cfRule>
  </conditionalFormatting>
  <conditionalFormatting sqref="X15">
    <cfRule type="expression" priority="200" dxfId="3">
      <formula>AND(IF(OR($Q15=1,$Q15=2),1,0),IF($X15&lt;=20,1,0))</formula>
    </cfRule>
    <cfRule type="expression" priority="201" dxfId="2">
      <formula>AND(IF($Q15=2,1,0),IF($X15&lt;30,1,0))</formula>
    </cfRule>
    <cfRule type="expression" priority="202" dxfId="1">
      <formula>AND(IF($Q15=3,1,0),IF($X15&lt;30,1,0))</formula>
    </cfRule>
    <cfRule type="expression" priority="203" dxfId="0">
      <formula>AND(IF($Q15=3,1,IF($Q15=4,1,0)),IF($F15&lt;=85,1,0))</formula>
    </cfRule>
  </conditionalFormatting>
  <conditionalFormatting sqref="AI15">
    <cfRule type="expression" priority="196" dxfId="3">
      <formula>AND(IF(OR($Q15=1,$Q15=2),1,0),IF($X15&lt;=20,1,0))</formula>
    </cfRule>
    <cfRule type="expression" priority="197" dxfId="2">
      <formula>AND(IF($Q15=2,1,0),IF($X15&lt;30,1,0))</formula>
    </cfRule>
    <cfRule type="expression" priority="198" dxfId="1">
      <formula>AND(IF($Q15=3,1,0),IF($X15&lt;30,1,0))</formula>
    </cfRule>
    <cfRule type="expression" priority="199" dxfId="0">
      <formula>AND(IF($Q15=3,1,IF($Q15=4,1,0)),IF($F15&lt;=85,1,0))</formula>
    </cfRule>
  </conditionalFormatting>
  <conditionalFormatting sqref="AV16">
    <cfRule type="expression" priority="194" dxfId="17">
      <formula>AV16="X"</formula>
    </cfRule>
    <cfRule type="expression" priority="195" dxfId="16">
      <formula>AV16="후보"</formula>
    </cfRule>
  </conditionalFormatting>
  <conditionalFormatting sqref="AC16 N16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AV17">
    <cfRule type="expression" priority="189" dxfId="17">
      <formula>AV17="X"</formula>
    </cfRule>
    <cfRule type="expression" priority="190" dxfId="16">
      <formula>AV17="후보"</formula>
    </cfRule>
  </conditionalFormatting>
  <conditionalFormatting sqref="AC17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7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7">
    <cfRule type="expression" priority="180" dxfId="3">
      <formula>AND(IF(OR($Q17=1,$Q17=2),1,0),IF($X17&lt;=20,1,0))</formula>
    </cfRule>
    <cfRule type="expression" priority="181" dxfId="2">
      <formula>AND(IF($Q17=2,1,0),IF($X17&lt;30,1,0))</formula>
    </cfRule>
    <cfRule type="expression" priority="182" dxfId="1">
      <formula>AND(IF($Q17=3,1,0),IF($X17&lt;30,1,0))</formula>
    </cfRule>
    <cfRule type="expression" priority="183" dxfId="0">
      <formula>AND(IF($Q17=3,1,IF($Q17=4,1,0)),IF($F17&lt;=85,1,0))</formula>
    </cfRule>
  </conditionalFormatting>
  <conditionalFormatting sqref="X17">
    <cfRule type="expression" priority="176" dxfId="3">
      <formula>AND(IF(OR($Q17=1,$Q17=2),1,0),IF($X17&lt;=20,1,0))</formula>
    </cfRule>
    <cfRule type="expression" priority="177" dxfId="2">
      <formula>AND(IF($Q17=2,1,0),IF($X17&lt;30,1,0))</formula>
    </cfRule>
    <cfRule type="expression" priority="178" dxfId="1">
      <formula>AND(IF($Q17=3,1,0),IF($X17&lt;30,1,0))</formula>
    </cfRule>
    <cfRule type="expression" priority="179" dxfId="0">
      <formula>AND(IF($Q17=3,1,IF($Q17=4,1,0)),IF($F17&lt;=85,1,0))</formula>
    </cfRule>
  </conditionalFormatting>
  <conditionalFormatting sqref="AI17">
    <cfRule type="expression" priority="172" dxfId="3">
      <formula>AND(IF(OR($Q17=1,$Q17=2),1,0),IF($X17&lt;=20,1,0))</formula>
    </cfRule>
    <cfRule type="expression" priority="173" dxfId="2">
      <formula>AND(IF($Q17=2,1,0),IF($X17&lt;30,1,0))</formula>
    </cfRule>
    <cfRule type="expression" priority="174" dxfId="1">
      <formula>AND(IF($Q17=3,1,0),IF($X17&lt;30,1,0))</formula>
    </cfRule>
    <cfRule type="expression" priority="175" dxfId="0">
      <formula>AND(IF($Q17=3,1,IF($Q17=4,1,0)),IF($F17&lt;=85,1,0))</formula>
    </cfRule>
  </conditionalFormatting>
  <conditionalFormatting sqref="AV18">
    <cfRule type="expression" priority="170" dxfId="17">
      <formula>AV18="X"</formula>
    </cfRule>
    <cfRule type="expression" priority="171" dxfId="16">
      <formula>AV18="후보"</formula>
    </cfRule>
  </conditionalFormatting>
  <conditionalFormatting sqref="AC18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8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8">
    <cfRule type="expression" priority="161" dxfId="3">
      <formula>AND(IF(OR($Q18=1,$Q18=2),1,0),IF($X18&lt;=20,1,0))</formula>
    </cfRule>
    <cfRule type="expression" priority="162" dxfId="2">
      <formula>AND(IF($Q18=2,1,0),IF($X18&lt;30,1,0))</formula>
    </cfRule>
    <cfRule type="expression" priority="163" dxfId="1">
      <formula>AND(IF($Q18=3,1,0),IF($X18&lt;30,1,0))</formula>
    </cfRule>
    <cfRule type="expression" priority="164" dxfId="0">
      <formula>AND(IF($Q18=3,1,IF($Q18=4,1,0)),IF($F18&lt;=85,1,0))</formula>
    </cfRule>
  </conditionalFormatting>
  <conditionalFormatting sqref="X18">
    <cfRule type="expression" priority="157" dxfId="3">
      <formula>AND(IF(OR($Q18=1,$Q18=2),1,0),IF($X18&lt;=20,1,0))</formula>
    </cfRule>
    <cfRule type="expression" priority="158" dxfId="2">
      <formula>AND(IF($Q18=2,1,0),IF($X18&lt;30,1,0))</formula>
    </cfRule>
    <cfRule type="expression" priority="159" dxfId="1">
      <formula>AND(IF($Q18=3,1,0),IF($X18&lt;30,1,0))</formula>
    </cfRule>
    <cfRule type="expression" priority="160" dxfId="0">
      <formula>AND(IF($Q18=3,1,IF($Q18=4,1,0)),IF($F18&lt;=85,1,0))</formula>
    </cfRule>
  </conditionalFormatting>
  <conditionalFormatting sqref="AI18">
    <cfRule type="expression" priority="153" dxfId="3">
      <formula>AND(IF(OR($Q18=1,$Q18=2),1,0),IF($X18&lt;=20,1,0))</formula>
    </cfRule>
    <cfRule type="expression" priority="154" dxfId="2">
      <formula>AND(IF($Q18=2,1,0),IF($X18&lt;30,1,0))</formula>
    </cfRule>
    <cfRule type="expression" priority="155" dxfId="1">
      <formula>AND(IF($Q18=3,1,0),IF($X18&lt;30,1,0))</formula>
    </cfRule>
    <cfRule type="expression" priority="156" dxfId="0">
      <formula>AND(IF($Q18=3,1,IF($Q18=4,1,0)),IF($F18&lt;=85,1,0))</formula>
    </cfRule>
  </conditionalFormatting>
  <conditionalFormatting sqref="AV19">
    <cfRule type="expression" priority="151" dxfId="17">
      <formula>AV19="X"</formula>
    </cfRule>
    <cfRule type="expression" priority="152" dxfId="16">
      <formula>AV19="후보"</formula>
    </cfRule>
  </conditionalFormatting>
  <conditionalFormatting sqref="AC19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9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9">
    <cfRule type="expression" priority="142" dxfId="3">
      <formula>AND(IF(OR($Q19=1,$Q19=2),1,0),IF($X19&lt;=20,1,0))</formula>
    </cfRule>
    <cfRule type="expression" priority="143" dxfId="2">
      <formula>AND(IF($Q19=2,1,0),IF($X19&lt;30,1,0))</formula>
    </cfRule>
    <cfRule type="expression" priority="144" dxfId="1">
      <formula>AND(IF($Q19=3,1,0),IF($X19&lt;30,1,0))</formula>
    </cfRule>
    <cfRule type="expression" priority="145" dxfId="0">
      <formula>AND(IF($Q19=3,1,IF($Q19=4,1,0)),IF($F19&lt;=85,1,0))</formula>
    </cfRule>
  </conditionalFormatting>
  <conditionalFormatting sqref="X19">
    <cfRule type="expression" priority="138" dxfId="3">
      <formula>AND(IF(OR($Q19=1,$Q19=2),1,0),IF($X19&lt;=20,1,0))</formula>
    </cfRule>
    <cfRule type="expression" priority="139" dxfId="2">
      <formula>AND(IF($Q19=2,1,0),IF($X19&lt;30,1,0))</formula>
    </cfRule>
    <cfRule type="expression" priority="140" dxfId="1">
      <formula>AND(IF($Q19=3,1,0),IF($X19&lt;30,1,0))</formula>
    </cfRule>
    <cfRule type="expression" priority="141" dxfId="0">
      <formula>AND(IF($Q19=3,1,IF($Q19=4,1,0)),IF($F19&lt;=85,1,0))</formula>
    </cfRule>
  </conditionalFormatting>
  <conditionalFormatting sqref="AI19">
    <cfRule type="expression" priority="134" dxfId="3">
      <formula>AND(IF(OR($Q19=1,$Q19=2),1,0),IF($X19&lt;=20,1,0))</formula>
    </cfRule>
    <cfRule type="expression" priority="135" dxfId="2">
      <formula>AND(IF($Q19=2,1,0),IF($X19&lt;30,1,0))</formula>
    </cfRule>
    <cfRule type="expression" priority="136" dxfId="1">
      <formula>AND(IF($Q19=3,1,0),IF($X19&lt;30,1,0))</formula>
    </cfRule>
    <cfRule type="expression" priority="137" dxfId="0">
      <formula>AND(IF($Q19=3,1,IF($Q19=4,1,0)),IF($F19&lt;=85,1,0))</formula>
    </cfRule>
  </conditionalFormatting>
  <conditionalFormatting sqref="AV20">
    <cfRule type="expression" priority="132" dxfId="17">
      <formula>AV20="X"</formula>
    </cfRule>
    <cfRule type="expression" priority="133" dxfId="16">
      <formula>AV20="후보"</formula>
    </cfRule>
  </conditionalFormatting>
  <conditionalFormatting sqref="AC20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0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0">
    <cfRule type="expression" priority="123" dxfId="3">
      <formula>AND(IF(OR($Q20=1,$Q20=2),1,0),IF($X20&lt;=20,1,0))</formula>
    </cfRule>
    <cfRule type="expression" priority="124" dxfId="2">
      <formula>AND(IF($Q20=2,1,0),IF($X20&lt;30,1,0))</formula>
    </cfRule>
    <cfRule type="expression" priority="125" dxfId="1">
      <formula>AND(IF($Q20=3,1,0),IF($X20&lt;30,1,0))</formula>
    </cfRule>
    <cfRule type="expression" priority="126" dxfId="0">
      <formula>AND(IF($Q20=3,1,IF($Q20=4,1,0)),IF($F20&lt;=85,1,0))</formula>
    </cfRule>
  </conditionalFormatting>
  <conditionalFormatting sqref="X20">
    <cfRule type="expression" priority="119" dxfId="3">
      <formula>AND(IF(OR($Q20=1,$Q20=2),1,0),IF($X20&lt;=20,1,0))</formula>
    </cfRule>
    <cfRule type="expression" priority="120" dxfId="2">
      <formula>AND(IF($Q20=2,1,0),IF($X20&lt;30,1,0))</formula>
    </cfRule>
    <cfRule type="expression" priority="121" dxfId="1">
      <formula>AND(IF($Q20=3,1,0),IF($X20&lt;30,1,0))</formula>
    </cfRule>
    <cfRule type="expression" priority="122" dxfId="0">
      <formula>AND(IF($Q20=3,1,IF($Q20=4,1,0)),IF($F20&lt;=85,1,0))</formula>
    </cfRule>
  </conditionalFormatting>
  <conditionalFormatting sqref="AI20">
    <cfRule type="expression" priority="115" dxfId="3">
      <formula>AND(IF(OR($Q20=1,$Q20=2),1,0),IF($X20&lt;=20,1,0))</formula>
    </cfRule>
    <cfRule type="expression" priority="116" dxfId="2">
      <formula>AND(IF($Q20=2,1,0),IF($X20&lt;30,1,0))</formula>
    </cfRule>
    <cfRule type="expression" priority="117" dxfId="1">
      <formula>AND(IF($Q20=3,1,0),IF($X20&lt;30,1,0))</formula>
    </cfRule>
    <cfRule type="expression" priority="118" dxfId="0">
      <formula>AND(IF($Q20=3,1,IF($Q20=4,1,0)),IF($F20&lt;=85,1,0))</formula>
    </cfRule>
  </conditionalFormatting>
  <conditionalFormatting sqref="AV21">
    <cfRule type="expression" priority="113" dxfId="17">
      <formula>AV21="X"</formula>
    </cfRule>
    <cfRule type="expression" priority="114" dxfId="16">
      <formula>AV21="후보"</formula>
    </cfRule>
  </conditionalFormatting>
  <conditionalFormatting sqref="AC21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1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1">
    <cfRule type="expression" priority="104" dxfId="3">
      <formula>AND(IF(OR($Q21=1,$Q21=2),1,0),IF($X21&lt;=20,1,0))</formula>
    </cfRule>
    <cfRule type="expression" priority="105" dxfId="2">
      <formula>AND(IF($Q21=2,1,0),IF($X21&lt;30,1,0))</formula>
    </cfRule>
    <cfRule type="expression" priority="106" dxfId="1">
      <formula>AND(IF($Q21=3,1,0),IF($X21&lt;30,1,0))</formula>
    </cfRule>
    <cfRule type="expression" priority="107" dxfId="0">
      <formula>AND(IF($Q21=3,1,IF($Q21=4,1,0)),IF($F21&lt;=85,1,0))</formula>
    </cfRule>
  </conditionalFormatting>
  <conditionalFormatting sqref="X21">
    <cfRule type="expression" priority="100" dxfId="3">
      <formula>AND(IF(OR($Q21=1,$Q21=2),1,0),IF($X21&lt;=20,1,0))</formula>
    </cfRule>
    <cfRule type="expression" priority="101" dxfId="2">
      <formula>AND(IF($Q21=2,1,0),IF($X21&lt;30,1,0))</formula>
    </cfRule>
    <cfRule type="expression" priority="102" dxfId="1">
      <formula>AND(IF($Q21=3,1,0),IF($X21&lt;30,1,0))</formula>
    </cfRule>
    <cfRule type="expression" priority="103" dxfId="0">
      <formula>AND(IF($Q21=3,1,IF($Q21=4,1,0)),IF($F21&lt;=85,1,0))</formula>
    </cfRule>
  </conditionalFormatting>
  <conditionalFormatting sqref="AI21">
    <cfRule type="expression" priority="96" dxfId="3">
      <formula>AND(IF(OR($Q21=1,$Q21=2),1,0),IF($X21&lt;=20,1,0))</formula>
    </cfRule>
    <cfRule type="expression" priority="97" dxfId="2">
      <formula>AND(IF($Q21=2,1,0),IF($X21&lt;30,1,0))</formula>
    </cfRule>
    <cfRule type="expression" priority="98" dxfId="1">
      <formula>AND(IF($Q21=3,1,0),IF($X21&lt;30,1,0))</formula>
    </cfRule>
    <cfRule type="expression" priority="99" dxfId="0">
      <formula>AND(IF($Q21=3,1,IF($Q21=4,1,0)),IF($F21&lt;=85,1,0))</formula>
    </cfRule>
  </conditionalFormatting>
  <conditionalFormatting sqref="AV22">
    <cfRule type="expression" priority="94" dxfId="17">
      <formula>AV22="X"</formula>
    </cfRule>
    <cfRule type="expression" priority="95" dxfId="16">
      <formula>AV22="후보"</formula>
    </cfRule>
  </conditionalFormatting>
  <conditionalFormatting sqref="AC2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2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2">
    <cfRule type="expression" priority="85" dxfId="3">
      <formula>AND(IF(OR($Q22=1,$Q22=2),1,0),IF($X22&lt;=20,1,0))</formula>
    </cfRule>
    <cfRule type="expression" priority="86" dxfId="2">
      <formula>AND(IF($Q22=2,1,0),IF($X22&lt;30,1,0))</formula>
    </cfRule>
    <cfRule type="expression" priority="87" dxfId="1">
      <formula>AND(IF($Q22=3,1,0),IF($X22&lt;30,1,0))</formula>
    </cfRule>
    <cfRule type="expression" priority="88" dxfId="0">
      <formula>AND(IF($Q22=3,1,IF($Q22=4,1,0)),IF($F22&lt;=85,1,0))</formula>
    </cfRule>
  </conditionalFormatting>
  <conditionalFormatting sqref="X22">
    <cfRule type="expression" priority="81" dxfId="3">
      <formula>AND(IF(OR($Q22=1,$Q22=2),1,0),IF($X22&lt;=20,1,0))</formula>
    </cfRule>
    <cfRule type="expression" priority="82" dxfId="2">
      <formula>AND(IF($Q22=2,1,0),IF($X22&lt;30,1,0))</formula>
    </cfRule>
    <cfRule type="expression" priority="83" dxfId="1">
      <formula>AND(IF($Q22=3,1,0),IF($X22&lt;30,1,0))</formula>
    </cfRule>
    <cfRule type="expression" priority="84" dxfId="0">
      <formula>AND(IF($Q22=3,1,IF($Q22=4,1,0)),IF($F22&lt;=85,1,0))</formula>
    </cfRule>
  </conditionalFormatting>
  <conditionalFormatting sqref="AI22">
    <cfRule type="expression" priority="77" dxfId="3">
      <formula>AND(IF(OR($Q22=1,$Q22=2),1,0),IF($X22&lt;=20,1,0))</formula>
    </cfRule>
    <cfRule type="expression" priority="78" dxfId="2">
      <formula>AND(IF($Q22=2,1,0),IF($X22&lt;30,1,0))</formula>
    </cfRule>
    <cfRule type="expression" priority="79" dxfId="1">
      <formula>AND(IF($Q22=3,1,0),IF($X22&lt;30,1,0))</formula>
    </cfRule>
    <cfRule type="expression" priority="80" dxfId="0">
      <formula>AND(IF($Q22=3,1,IF($Q22=4,1,0)),IF($F22&lt;=85,1,0))</formula>
    </cfRule>
  </conditionalFormatting>
  <conditionalFormatting sqref="AV23">
    <cfRule type="expression" priority="75" dxfId="17">
      <formula>AV23="X"</formula>
    </cfRule>
    <cfRule type="expression" priority="76" dxfId="16">
      <formula>AV23="후보"</formula>
    </cfRule>
  </conditionalFormatting>
  <conditionalFormatting sqref="AC2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3">
    <cfRule type="expression" priority="66" dxfId="3">
      <formula>AND(IF(OR($Q23=1,$Q23=2),1,0),IF($X23&lt;=20,1,0))</formula>
    </cfRule>
    <cfRule type="expression" priority="67" dxfId="2">
      <formula>AND(IF($Q23=2,1,0),IF($X23&lt;30,1,0))</formula>
    </cfRule>
    <cfRule type="expression" priority="68" dxfId="1">
      <formula>AND(IF($Q23=3,1,0),IF($X23&lt;30,1,0))</formula>
    </cfRule>
    <cfRule type="expression" priority="69" dxfId="0">
      <formula>AND(IF($Q23=3,1,IF($Q23=4,1,0)),IF($F23&lt;=85,1,0))</formula>
    </cfRule>
  </conditionalFormatting>
  <conditionalFormatting sqref="X23">
    <cfRule type="expression" priority="62" dxfId="3">
      <formula>AND(IF(OR($Q23=1,$Q23=2),1,0),IF($X23&lt;=20,1,0))</formula>
    </cfRule>
    <cfRule type="expression" priority="63" dxfId="2">
      <formula>AND(IF($Q23=2,1,0),IF($X23&lt;30,1,0))</formula>
    </cfRule>
    <cfRule type="expression" priority="64" dxfId="1">
      <formula>AND(IF($Q23=3,1,0),IF($X23&lt;30,1,0))</formula>
    </cfRule>
    <cfRule type="expression" priority="65" dxfId="0">
      <formula>AND(IF($Q23=3,1,IF($Q23=4,1,0)),IF($F23&lt;=85,1,0))</formula>
    </cfRule>
  </conditionalFormatting>
  <conditionalFormatting sqref="AI23">
    <cfRule type="expression" priority="58" dxfId="3">
      <formula>AND(IF(OR($Q23=1,$Q23=2),1,0),IF($X23&lt;=20,1,0))</formula>
    </cfRule>
    <cfRule type="expression" priority="59" dxfId="2">
      <formula>AND(IF($Q23=2,1,0),IF($X23&lt;30,1,0))</formula>
    </cfRule>
    <cfRule type="expression" priority="60" dxfId="1">
      <formula>AND(IF($Q23=3,1,0),IF($X23&lt;30,1,0))</formula>
    </cfRule>
    <cfRule type="expression" priority="61" dxfId="0">
      <formula>AND(IF($Q23=3,1,IF($Q23=4,1,0)),IF($F23&lt;=85,1,0))</formula>
    </cfRule>
  </conditionalFormatting>
  <conditionalFormatting sqref="AV24">
    <cfRule type="expression" priority="56" dxfId="17">
      <formula>AV24="X"</formula>
    </cfRule>
    <cfRule type="expression" priority="57" dxfId="16">
      <formula>AV24="후보"</formula>
    </cfRule>
  </conditionalFormatting>
  <conditionalFormatting sqref="AC2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17">
      <formula>AV25="X"</formula>
    </cfRule>
    <cfRule type="expression" priority="38" dxfId="16">
      <formula>AV25="후보"</formula>
    </cfRule>
  </conditionalFormatting>
  <conditionalFormatting sqref="AC2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17">
      <formula>AV26="X"</formula>
    </cfRule>
    <cfRule type="expression" priority="19" dxfId="16">
      <formula>AV26="후보"</formula>
    </cfRule>
  </conditionalFormatting>
  <conditionalFormatting sqref="AC2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4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6" sqref="A46:XFD4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불로동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퀸스타운신명</t>
        </is>
      </c>
      <c r="B6" s="16" t="inlineStr">
        <is>
          <t>'98.11.</t>
        </is>
      </c>
      <c r="C6" s="164" t="n">
        <v>614</v>
      </c>
      <c r="D6" s="161" t="n">
        <v>79.7</v>
      </c>
      <c r="E6" s="163" t="n">
        <v>24</v>
      </c>
      <c r="F6" s="161" t="n">
        <v>59.7</v>
      </c>
      <c r="G6" s="27" t="n">
        <v>18</v>
      </c>
      <c r="H6" s="164" t="n">
        <v>234</v>
      </c>
      <c r="I6" s="165" t="n">
        <v>25000</v>
      </c>
      <c r="J6" s="165" t="inlineStr">
        <is>
          <t>17</t>
        </is>
      </c>
      <c r="K6" s="165" t="n">
        <v>21000</v>
      </c>
      <c r="L6" s="165" t="inlineStr">
        <is>
          <t>13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inlineStr">
        <is>
          <t>79A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퀸스타운신명</t>
        </is>
      </c>
      <c r="B7" s="16" t="inlineStr">
        <is>
          <t>'98.11.</t>
        </is>
      </c>
      <c r="C7" s="164" t="n">
        <v>614</v>
      </c>
      <c r="D7" s="161" t="n">
        <v>80.5</v>
      </c>
      <c r="E7" s="163" t="n">
        <v>24</v>
      </c>
      <c r="F7" s="161" t="n">
        <v>60</v>
      </c>
      <c r="G7" s="27" t="n">
        <v>18</v>
      </c>
      <c r="H7" s="164" t="n">
        <v>76</v>
      </c>
      <c r="I7" s="165" t="n">
        <v>26500</v>
      </c>
      <c r="J7" s="165" t="inlineStr">
        <is>
          <t>15</t>
        </is>
      </c>
      <c r="K7" s="165" t="n">
        <v>19000</v>
      </c>
      <c r="L7" s="165" t="inlineStr">
        <is>
          <t>14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inlineStr">
        <is>
          <t>80B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퀸스타운신명</t>
        </is>
      </c>
      <c r="B8" s="16" t="inlineStr">
        <is>
          <t>'98.11.</t>
        </is>
      </c>
      <c r="C8" s="164" t="n">
        <v>614</v>
      </c>
      <c r="D8" s="161" t="n">
        <v>108</v>
      </c>
      <c r="E8" s="163" t="n">
        <v>33</v>
      </c>
      <c r="F8" s="161" t="n">
        <v>85</v>
      </c>
      <c r="G8" s="27" t="n">
        <v>26</v>
      </c>
      <c r="H8" s="164" t="n">
        <v>224</v>
      </c>
      <c r="I8" s="165" t="n">
        <v>30999</v>
      </c>
      <c r="J8" s="165" t="inlineStr">
        <is>
          <t>중</t>
        </is>
      </c>
      <c r="K8" s="165" t="n">
        <v>23000</v>
      </c>
      <c r="L8" s="165" t="inlineStr">
        <is>
          <t>16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108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퀸스타운신명</t>
        </is>
      </c>
      <c r="B9" s="16" t="inlineStr">
        <is>
          <t>'98.11.</t>
        </is>
      </c>
      <c r="C9" s="164" t="n">
        <v>614</v>
      </c>
      <c r="D9" s="161" t="n">
        <v>165.5</v>
      </c>
      <c r="E9" s="163" t="n">
        <v>50</v>
      </c>
      <c r="F9" s="161" t="n">
        <v>135</v>
      </c>
      <c r="G9" s="27" t="n">
        <v>41</v>
      </c>
      <c r="H9" s="164" t="n">
        <v>80</v>
      </c>
      <c r="I9" s="165" t="n">
        <v>46000</v>
      </c>
      <c r="J9" s="165" t="inlineStr">
        <is>
          <t>6</t>
        </is>
      </c>
      <c r="K9" s="165" t="n">
        <v>32000</v>
      </c>
      <c r="L9" s="165" t="inlineStr">
        <is>
          <t>15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n">
        <v>165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삼보해피하임2차</t>
        </is>
      </c>
      <c r="B11" s="16" t="inlineStr">
        <is>
          <t>'07.11.</t>
        </is>
      </c>
      <c r="C11" s="164" t="n">
        <v>482</v>
      </c>
      <c r="D11" s="161" t="n">
        <v>115.8</v>
      </c>
      <c r="E11" s="163" t="n">
        <v>35</v>
      </c>
      <c r="F11" s="161" t="n">
        <v>85</v>
      </c>
      <c r="G11" s="27" t="n">
        <v>26</v>
      </c>
      <c r="H11" s="164" t="n">
        <v>406</v>
      </c>
      <c r="I11" s="165" t="n">
        <v>41000</v>
      </c>
      <c r="J11" s="165" t="inlineStr">
        <is>
          <t>11</t>
        </is>
      </c>
      <c r="K11" s="165" t="n">
        <v>23000</v>
      </c>
      <c r="L11" s="165" t="inlineStr">
        <is>
          <t>10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115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삼보해피하임2차</t>
        </is>
      </c>
      <c r="B12" s="16" t="inlineStr">
        <is>
          <t>'07.11.</t>
        </is>
      </c>
      <c r="C12" s="164" t="n">
        <v>482</v>
      </c>
      <c r="D12" s="161" t="n">
        <v>146</v>
      </c>
      <c r="E12" s="163" t="n">
        <v>44</v>
      </c>
      <c r="F12" s="161" t="n">
        <v>114.1</v>
      </c>
      <c r="G12" s="27" t="n">
        <v>35</v>
      </c>
      <c r="H12" s="164" t="n">
        <v>76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145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불로e-편한세상</t>
        </is>
      </c>
      <c r="B14" s="16" t="inlineStr">
        <is>
          <t>'05.06.</t>
        </is>
      </c>
      <c r="C14" s="164" t="n">
        <v>545</v>
      </c>
      <c r="D14" s="161" t="n">
        <v>79.7</v>
      </c>
      <c r="E14" s="163" t="n">
        <v>24</v>
      </c>
      <c r="F14" s="161" t="n">
        <v>59.8</v>
      </c>
      <c r="G14" s="27" t="n">
        <v>18</v>
      </c>
      <c r="H14" s="164" t="n">
        <v>250</v>
      </c>
      <c r="I14" s="165" t="n">
        <v>29000</v>
      </c>
      <c r="J14" s="165" t="inlineStr">
        <is>
          <t>고</t>
        </is>
      </c>
      <c r="K14" s="165" t="n">
        <v>21000</v>
      </c>
      <c r="L14" s="165" t="inlineStr">
        <is>
          <t>14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79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불로e-편한세상</t>
        </is>
      </c>
      <c r="B15" s="16" t="inlineStr">
        <is>
          <t>'05.06.</t>
        </is>
      </c>
      <c r="C15" s="164" t="n">
        <v>545</v>
      </c>
      <c r="D15" s="161" t="n">
        <v>97.7</v>
      </c>
      <c r="E15" s="163" t="n">
        <v>30</v>
      </c>
      <c r="F15" s="161" t="n">
        <v>73.3</v>
      </c>
      <c r="G15" s="27" t="n">
        <v>22</v>
      </c>
      <c r="H15" s="164" t="n">
        <v>103</v>
      </c>
      <c r="I15" s="165" t="n">
        <v>34000</v>
      </c>
      <c r="J15" s="165" t="inlineStr">
        <is>
          <t>10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97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불로e-편한세상</t>
        </is>
      </c>
      <c r="B16" s="16" t="inlineStr">
        <is>
          <t>'05.06.</t>
        </is>
      </c>
      <c r="C16" s="164" t="n">
        <v>545</v>
      </c>
      <c r="D16" s="161" t="n">
        <v>113.1</v>
      </c>
      <c r="E16" s="163" t="n">
        <v>34</v>
      </c>
      <c r="F16" s="161" t="n">
        <v>84.90000000000001</v>
      </c>
      <c r="G16" s="27" t="n">
        <v>26</v>
      </c>
      <c r="H16" s="164" t="n">
        <v>192</v>
      </c>
      <c r="I16" s="165" t="n">
        <v>40000</v>
      </c>
      <c r="J16" s="165" t="inlineStr">
        <is>
          <t>9</t>
        </is>
      </c>
      <c r="K16" s="165" t="n">
        <v>26000</v>
      </c>
      <c r="L16" s="165" t="inlineStr">
        <is>
          <t>9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113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퀸스타운길훈</t>
        </is>
      </c>
      <c r="B18" s="16" t="inlineStr">
        <is>
          <t>'99.06.</t>
        </is>
      </c>
      <c r="C18" s="164" t="n">
        <v>628</v>
      </c>
      <c r="D18" s="161" t="n">
        <v>79.7</v>
      </c>
      <c r="E18" s="163" t="n">
        <v>24</v>
      </c>
      <c r="F18" s="161" t="n">
        <v>59.7</v>
      </c>
      <c r="G18" s="27" t="n">
        <v>18</v>
      </c>
      <c r="H18" s="164" t="n">
        <v>228</v>
      </c>
      <c r="I18" s="165" t="n">
        <v>26000</v>
      </c>
      <c r="J18" s="165" t="inlineStr">
        <is>
          <t>5</t>
        </is>
      </c>
      <c r="K18" s="165" t="n">
        <v>20000</v>
      </c>
      <c r="L18" s="165" t="inlineStr">
        <is>
          <t>19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1</v>
      </c>
      <c r="S18" s="113" t="inlineStr">
        <is>
          <t>계</t>
        </is>
      </c>
      <c r="T18" s="8" t="n">
        <v>79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퀸스타운길훈</t>
        </is>
      </c>
      <c r="B19" s="16" t="inlineStr">
        <is>
          <t>'99.06.</t>
        </is>
      </c>
      <c r="C19" s="164" t="n">
        <v>628</v>
      </c>
      <c r="D19" s="161" t="n">
        <v>108</v>
      </c>
      <c r="E19" s="163" t="n">
        <v>33</v>
      </c>
      <c r="F19" s="161" t="n">
        <v>85</v>
      </c>
      <c r="G19" s="27" t="n">
        <v>26</v>
      </c>
      <c r="H19" s="164" t="n">
        <v>400</v>
      </c>
      <c r="I19" s="165" t="n">
        <v>31000</v>
      </c>
      <c r="J19" s="165" t="inlineStr">
        <is>
          <t>15</t>
        </is>
      </c>
      <c r="K19" s="165" t="n">
        <v>25000</v>
      </c>
      <c r="L19" s="165" t="inlineStr">
        <is>
          <t>10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108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월드</t>
        </is>
      </c>
      <c r="B21" s="16" t="inlineStr">
        <is>
          <t>'98.05.</t>
        </is>
      </c>
      <c r="C21" s="164" t="n">
        <v>1699</v>
      </c>
      <c r="D21" s="161" t="n">
        <v>81.2</v>
      </c>
      <c r="E21" s="163" t="n">
        <v>25</v>
      </c>
      <c r="F21" s="161" t="n">
        <v>59.8</v>
      </c>
      <c r="G21" s="27" t="n">
        <v>18</v>
      </c>
      <c r="H21" s="164" t="n">
        <v>240</v>
      </c>
      <c r="I21" s="165" t="n">
        <v>26000</v>
      </c>
      <c r="J21" s="165" t="inlineStr">
        <is>
          <t>12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inlineStr">
        <is>
          <t>81B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월드</t>
        </is>
      </c>
      <c r="B22" s="16" t="inlineStr">
        <is>
          <t>'98.05.</t>
        </is>
      </c>
      <c r="C22" s="164" t="n">
        <v>1699</v>
      </c>
      <c r="D22" s="161" t="n">
        <v>81.90000000000001</v>
      </c>
      <c r="E22" s="163" t="n">
        <v>25</v>
      </c>
      <c r="F22" s="161" t="n">
        <v>59.8</v>
      </c>
      <c r="G22" s="27" t="n">
        <v>18</v>
      </c>
      <c r="H22" s="164" t="n">
        <v>177</v>
      </c>
      <c r="I22" s="165" t="n">
        <v>26000</v>
      </c>
      <c r="J22" s="165" t="inlineStr">
        <is>
          <t>15</t>
        </is>
      </c>
      <c r="K22" s="165" t="n">
        <v>21000</v>
      </c>
      <c r="L22" s="165" t="inlineStr">
        <is>
          <t>8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계</t>
        </is>
      </c>
      <c r="T22" s="8" t="inlineStr">
        <is>
          <t>81A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월드</t>
        </is>
      </c>
      <c r="B23" s="16" t="inlineStr">
        <is>
          <t>'98.05.</t>
        </is>
      </c>
      <c r="C23" s="164" t="n">
        <v>1699</v>
      </c>
      <c r="D23" s="161" t="n">
        <v>82.59999999999999</v>
      </c>
      <c r="E23" s="163" t="n">
        <v>25</v>
      </c>
      <c r="F23" s="161" t="n">
        <v>59.7</v>
      </c>
      <c r="G23" s="27" t="n">
        <v>18</v>
      </c>
      <c r="H23" s="164" t="n">
        <v>240</v>
      </c>
      <c r="I23" s="165" t="n">
        <v>25000</v>
      </c>
      <c r="J23" s="165" t="inlineStr">
        <is>
          <t>15</t>
        </is>
      </c>
      <c r="K23" s="165" t="n">
        <v>19000</v>
      </c>
      <c r="L23" s="165" t="inlineStr">
        <is>
          <t>18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2</v>
      </c>
      <c r="R23" s="113" t="n">
        <v>1</v>
      </c>
      <c r="S23" s="113" t="inlineStr">
        <is>
          <t>계</t>
        </is>
      </c>
      <c r="T23" s="8" t="inlineStr">
        <is>
          <t>82C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월드</t>
        </is>
      </c>
      <c r="B24" s="16" t="inlineStr">
        <is>
          <t>'98.05.</t>
        </is>
      </c>
      <c r="C24" s="164" t="n">
        <v>1699</v>
      </c>
      <c r="D24" s="161" t="n">
        <v>84</v>
      </c>
      <c r="E24" s="163" t="n">
        <v>25</v>
      </c>
      <c r="F24" s="161" t="n">
        <v>59.9</v>
      </c>
      <c r="G24" s="27" t="n">
        <v>18</v>
      </c>
      <c r="H24" s="164" t="n">
        <v>150</v>
      </c>
      <c r="I24" s="165" t="n">
        <v>24000</v>
      </c>
      <c r="J24" s="165" t="inlineStr">
        <is>
          <t>7</t>
        </is>
      </c>
      <c r="K24" s="165" t="n">
        <v>20000</v>
      </c>
      <c r="L24" s="165" t="inlineStr">
        <is>
          <t>16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1</v>
      </c>
      <c r="S24" s="113" t="inlineStr">
        <is>
          <t>계</t>
        </is>
      </c>
      <c r="T24" s="8" t="inlineStr">
        <is>
          <t>83D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월드</t>
        </is>
      </c>
      <c r="B25" s="16" t="inlineStr">
        <is>
          <t>'98.05.</t>
        </is>
      </c>
      <c r="C25" s="164" t="n">
        <v>1699</v>
      </c>
      <c r="D25" s="161" t="n">
        <v>109.1</v>
      </c>
      <c r="E25" s="163" t="n">
        <v>33</v>
      </c>
      <c r="F25" s="161" t="n">
        <v>84.90000000000001</v>
      </c>
      <c r="G25" s="27" t="n">
        <v>26</v>
      </c>
      <c r="H25" s="164" t="n">
        <v>736</v>
      </c>
      <c r="I25" s="165" t="n">
        <v>28000</v>
      </c>
      <c r="J25" s="165" t="inlineStr">
        <is>
          <t>20</t>
        </is>
      </c>
      <c r="K25" s="165" t="n">
        <v>20000</v>
      </c>
      <c r="L25" s="165" t="inlineStr">
        <is>
          <t>14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109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월드</t>
        </is>
      </c>
      <c r="B26" s="16" t="inlineStr">
        <is>
          <t>'98.05.</t>
        </is>
      </c>
      <c r="C26" s="164" t="n">
        <v>1699</v>
      </c>
      <c r="D26" s="161" t="n">
        <v>145</v>
      </c>
      <c r="E26" s="163" t="n">
        <v>44</v>
      </c>
      <c r="F26" s="161" t="n">
        <v>117.4</v>
      </c>
      <c r="G26" s="27" t="n">
        <v>35</v>
      </c>
      <c r="H26" s="164" t="n">
        <v>156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n">
        <v>145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검단대광로제비앙센트럴포레</t>
        </is>
      </c>
      <c r="B28" s="16" t="inlineStr">
        <is>
          <t>'22.02.</t>
        </is>
      </c>
      <c r="C28" s="164" t="n">
        <v>556</v>
      </c>
      <c r="D28" s="161" t="n">
        <v>85.3</v>
      </c>
      <c r="E28" s="163" t="n">
        <v>26</v>
      </c>
      <c r="F28" s="161" t="n">
        <v>61.8</v>
      </c>
      <c r="G28" s="27" t="n">
        <v>19</v>
      </c>
      <c r="H28" s="164" t="n">
        <v>175</v>
      </c>
      <c r="I28" s="165" t="n">
        <v>40500</v>
      </c>
      <c r="J28" s="165" t="inlineStr">
        <is>
          <t>12</t>
        </is>
      </c>
      <c r="K28" s="165" t="n">
        <v>26000</v>
      </c>
      <c r="L28" s="165" t="inlineStr">
        <is>
          <t>27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85A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검단대광로제비앙센트럴포레</t>
        </is>
      </c>
      <c r="B29" s="16" t="inlineStr">
        <is>
          <t>'22.02.</t>
        </is>
      </c>
      <c r="C29" s="164" t="n">
        <v>556</v>
      </c>
      <c r="D29" s="161" t="n">
        <v>86.59999999999999</v>
      </c>
      <c r="E29" s="163" t="n">
        <v>26</v>
      </c>
      <c r="F29" s="161" t="n">
        <v>61.9</v>
      </c>
      <c r="G29" s="27" t="n">
        <v>19</v>
      </c>
      <c r="H29" s="164" t="n">
        <v>78</v>
      </c>
      <c r="I29" s="165" t="n">
        <v>36600</v>
      </c>
      <c r="J29" s="165" t="inlineStr">
        <is>
          <t>22</t>
        </is>
      </c>
      <c r="K29" s="165" t="n">
        <v>27000</v>
      </c>
      <c r="L29" s="165" t="inlineStr">
        <is>
          <t>15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86B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검단대광로제비앙센트럴포레</t>
        </is>
      </c>
      <c r="B30" s="16" t="inlineStr">
        <is>
          <t>'22.02.</t>
        </is>
      </c>
      <c r="C30" s="164" t="n">
        <v>556</v>
      </c>
      <c r="D30" s="161" t="n">
        <v>101</v>
      </c>
      <c r="E30" s="163" t="n">
        <v>31</v>
      </c>
      <c r="F30" s="161" t="n">
        <v>74.90000000000001</v>
      </c>
      <c r="G30" s="27" t="n">
        <v>23</v>
      </c>
      <c r="H30" s="164" t="n">
        <v>140</v>
      </c>
      <c r="I30" s="165" t="n">
        <v>41922</v>
      </c>
      <c r="J30" s="165" t="inlineStr">
        <is>
          <t>8</t>
        </is>
      </c>
      <c r="K30" s="165" t="n">
        <v>23000</v>
      </c>
      <c r="L30" s="165" t="inlineStr">
        <is>
          <t>고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inlineStr">
        <is>
          <t>101A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검단대광로제비앙센트럴포레</t>
        </is>
      </c>
      <c r="B31" s="16" t="inlineStr">
        <is>
          <t>'22.02.</t>
        </is>
      </c>
      <c r="C31" s="164" t="n">
        <v>556</v>
      </c>
      <c r="D31" s="161" t="n">
        <v>102.4</v>
      </c>
      <c r="E31" s="163" t="n">
        <v>31</v>
      </c>
      <c r="F31" s="161" t="n">
        <v>74.90000000000001</v>
      </c>
      <c r="G31" s="27" t="n">
        <v>23</v>
      </c>
      <c r="H31" s="164" t="n">
        <v>44</v>
      </c>
      <c r="I31" s="165" t="n">
        <v>42599</v>
      </c>
      <c r="J31" s="165" t="inlineStr">
        <is>
          <t>16</t>
        </is>
      </c>
      <c r="K31" s="165" t="n">
        <v>27000</v>
      </c>
      <c r="L31" s="165" t="inlineStr">
        <is>
          <t>15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102B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검단대광로제비앙센트럴포레</t>
        </is>
      </c>
      <c r="B32" s="16" t="inlineStr">
        <is>
          <t>'22.02.</t>
        </is>
      </c>
      <c r="C32" s="164" t="n">
        <v>556</v>
      </c>
      <c r="D32" s="161" t="n">
        <v>111.3</v>
      </c>
      <c r="E32" s="163" t="n">
        <v>34</v>
      </c>
      <c r="F32" s="161" t="n">
        <v>84.7</v>
      </c>
      <c r="G32" s="27" t="n">
        <v>26</v>
      </c>
      <c r="H32" s="164" t="n">
        <v>98</v>
      </c>
      <c r="I32" s="165" t="n">
        <v>43715</v>
      </c>
      <c r="J32" s="165" t="inlineStr">
        <is>
          <t>14</t>
        </is>
      </c>
      <c r="K32" s="165" t="n">
        <v>25000</v>
      </c>
      <c r="L32" s="165" t="inlineStr">
        <is>
          <t>14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111A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검단대광로제비앙센트럴포레</t>
        </is>
      </c>
      <c r="B33" s="16" t="inlineStr">
        <is>
          <t>'22.02.</t>
        </is>
      </c>
      <c r="C33" s="164" t="n">
        <v>556</v>
      </c>
      <c r="D33" s="161" t="n">
        <v>112.6</v>
      </c>
      <c r="E33" s="163" t="n">
        <v>34</v>
      </c>
      <c r="F33" s="161" t="n">
        <v>84.59999999999999</v>
      </c>
      <c r="G33" s="27" t="n">
        <v>26</v>
      </c>
      <c r="H33" s="164" t="n">
        <v>21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inlineStr">
        <is>
          <t>112B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1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2" t="n"/>
      <c r="P34" s="162" t="n"/>
      <c r="Q34" s="163" t="n"/>
      <c r="R34" s="163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0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삼보해피하임1차</t>
        </is>
      </c>
      <c r="B35" s="16" t="inlineStr">
        <is>
          <t>'07.11.</t>
        </is>
      </c>
      <c r="C35" s="164" t="n">
        <v>384</v>
      </c>
      <c r="D35" s="161" t="n">
        <v>116.1</v>
      </c>
      <c r="E35" s="163" t="n">
        <v>35</v>
      </c>
      <c r="F35" s="161" t="n">
        <v>85</v>
      </c>
      <c r="G35" s="27" t="n">
        <v>26</v>
      </c>
      <c r="H35" s="164" t="n">
        <v>310</v>
      </c>
      <c r="I35" s="165" t="n">
        <v>37000</v>
      </c>
      <c r="J35" s="165" t="inlineStr">
        <is>
          <t>18</t>
        </is>
      </c>
      <c r="K35" s="165" t="n">
        <v>23500</v>
      </c>
      <c r="L35" s="165" t="inlineStr">
        <is>
          <t>11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116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삼보해피하임1차</t>
        </is>
      </c>
      <c r="B36" s="16" t="inlineStr">
        <is>
          <t>'07.11.</t>
        </is>
      </c>
      <c r="C36" s="164" t="n">
        <v>384</v>
      </c>
      <c r="D36" s="161" t="n">
        <v>146.8</v>
      </c>
      <c r="E36" s="163" t="n">
        <v>44</v>
      </c>
      <c r="F36" s="161" t="n">
        <v>114.1</v>
      </c>
      <c r="G36" s="27" t="n">
        <v>35</v>
      </c>
      <c r="H36" s="164" t="n">
        <v>74</v>
      </c>
      <c r="I36" s="165" t="n">
        <v>52000</v>
      </c>
      <c r="J36" s="165" t="inlineStr">
        <is>
          <t>15</t>
        </is>
      </c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n">
        <v>146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금호어울림</t>
        </is>
      </c>
      <c r="B38" s="16" t="inlineStr">
        <is>
          <t>'07.02.</t>
        </is>
      </c>
      <c r="C38" s="164" t="n">
        <v>412</v>
      </c>
      <c r="D38" s="161" t="n">
        <v>106.9</v>
      </c>
      <c r="E38" s="163" t="n">
        <v>32</v>
      </c>
      <c r="F38" s="161" t="n">
        <v>85</v>
      </c>
      <c r="G38" s="27" t="n">
        <v>26</v>
      </c>
      <c r="H38" s="164" t="n">
        <v>412</v>
      </c>
      <c r="I38" s="165" t="n">
        <v>36000</v>
      </c>
      <c r="J38" s="165" t="inlineStr">
        <is>
          <t>8</t>
        </is>
      </c>
      <c r="K38" s="165" t="n">
        <v>26000</v>
      </c>
      <c r="L38" s="165" t="inlineStr">
        <is>
          <t>13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106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1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2" t="n"/>
      <c r="P39" s="162" t="n"/>
      <c r="Q39" s="163" t="n"/>
      <c r="R39" s="163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0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퀸스타운동성</t>
        </is>
      </c>
      <c r="B40" s="16" t="inlineStr">
        <is>
          <t>'99.07.</t>
        </is>
      </c>
      <c r="C40" s="164" t="n">
        <v>635</v>
      </c>
      <c r="D40" s="161" t="n">
        <v>80.5</v>
      </c>
      <c r="E40" s="163" t="n">
        <v>24</v>
      </c>
      <c r="F40" s="161" t="n">
        <v>60</v>
      </c>
      <c r="G40" s="27" t="n">
        <v>18</v>
      </c>
      <c r="H40" s="164" t="n">
        <v>240</v>
      </c>
      <c r="I40" s="165" t="n">
        <v>24000</v>
      </c>
      <c r="J40" s="165" t="inlineStr">
        <is>
          <t>20</t>
        </is>
      </c>
      <c r="K40" s="165" t="n">
        <v>20000</v>
      </c>
      <c r="L40" s="165" t="inlineStr">
        <is>
          <t>20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2</v>
      </c>
      <c r="R40" s="113" t="n">
        <v>1</v>
      </c>
      <c r="S40" s="113" t="inlineStr">
        <is>
          <t>계</t>
        </is>
      </c>
      <c r="T40" s="8" t="n">
        <v>80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퀸스타운동성</t>
        </is>
      </c>
      <c r="B41" s="16" t="inlineStr">
        <is>
          <t>'99.07.</t>
        </is>
      </c>
      <c r="C41" s="164" t="n">
        <v>635</v>
      </c>
      <c r="D41" s="161" t="n">
        <v>108.3</v>
      </c>
      <c r="E41" s="163" t="n">
        <v>33</v>
      </c>
      <c r="F41" s="161" t="n">
        <v>85</v>
      </c>
      <c r="G41" s="27" t="n">
        <v>26</v>
      </c>
      <c r="H41" s="164" t="n">
        <v>315</v>
      </c>
      <c r="I41" s="165" t="n">
        <v>30000</v>
      </c>
      <c r="J41" s="165" t="inlineStr">
        <is>
          <t>13</t>
        </is>
      </c>
      <c r="K41" s="165" t="n">
        <v>22000</v>
      </c>
      <c r="L41" s="165" t="inlineStr">
        <is>
          <t>7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108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퀸스타운동성</t>
        </is>
      </c>
      <c r="B42" s="16" t="inlineStr">
        <is>
          <t>'99.07.</t>
        </is>
      </c>
      <c r="C42" s="164" t="n">
        <v>635</v>
      </c>
      <c r="D42" s="161" t="n">
        <v>165.5</v>
      </c>
      <c r="E42" s="163" t="n">
        <v>50</v>
      </c>
      <c r="F42" s="161" t="n">
        <v>135</v>
      </c>
      <c r="G42" s="27" t="n">
        <v>41</v>
      </c>
      <c r="H42" s="164" t="n">
        <v>80</v>
      </c>
      <c r="I42" s="165" t="n">
        <v>43000</v>
      </c>
      <c r="J42" s="165" t="inlineStr">
        <is>
          <t>중</t>
        </is>
      </c>
      <c r="K42" s="165" t="n">
        <v>32000</v>
      </c>
      <c r="L42" s="165" t="inlineStr">
        <is>
          <t>19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n">
        <v>165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1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2" t="n"/>
      <c r="P43" s="162" t="n"/>
      <c r="Q43" s="163" t="n"/>
      <c r="R43" s="163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0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동부</t>
        </is>
      </c>
      <c r="B44" s="16" t="inlineStr">
        <is>
          <t>'99.11.</t>
        </is>
      </c>
      <c r="C44" s="164" t="n">
        <v>534</v>
      </c>
      <c r="D44" s="161" t="n">
        <v>80.3</v>
      </c>
      <c r="E44" s="163" t="n">
        <v>24</v>
      </c>
      <c r="F44" s="161" t="n">
        <v>59.9</v>
      </c>
      <c r="G44" s="27" t="n">
        <v>18</v>
      </c>
      <c r="H44" s="164" t="n">
        <v>144</v>
      </c>
      <c r="I44" s="165" t="n">
        <v>27000</v>
      </c>
      <c r="J44" s="165" t="inlineStr">
        <is>
          <t>6</t>
        </is>
      </c>
      <c r="K44" s="165" t="n">
        <v>20000</v>
      </c>
      <c r="L44" s="165" t="inlineStr">
        <is>
          <t>12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2</v>
      </c>
      <c r="R44" s="113" t="n">
        <v>1</v>
      </c>
      <c r="S44" s="113" t="inlineStr">
        <is>
          <t>계</t>
        </is>
      </c>
      <c r="T44" s="8" t="n">
        <v>80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동부</t>
        </is>
      </c>
      <c r="B45" s="16" t="inlineStr">
        <is>
          <t>'99.11.</t>
        </is>
      </c>
      <c r="C45" s="164" t="n">
        <v>534</v>
      </c>
      <c r="D45" s="161" t="n">
        <v>109.3</v>
      </c>
      <c r="E45" s="163" t="n">
        <v>33</v>
      </c>
      <c r="F45" s="161" t="n">
        <v>85</v>
      </c>
      <c r="G45" s="27" t="n">
        <v>26</v>
      </c>
      <c r="H45" s="164" t="n">
        <v>246</v>
      </c>
      <c r="I45" s="165" t="n">
        <v>30000</v>
      </c>
      <c r="J45" s="165" t="inlineStr">
        <is>
          <t>13</t>
        </is>
      </c>
      <c r="K45" s="165" t="n">
        <v>25000</v>
      </c>
      <c r="L45" s="165" t="inlineStr">
        <is>
          <t>10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n">
        <v>109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동부</t>
        </is>
      </c>
      <c r="B46" s="16" t="inlineStr">
        <is>
          <t>'99.11.</t>
        </is>
      </c>
      <c r="C46" s="164" t="n">
        <v>534</v>
      </c>
      <c r="D46" s="161" t="n">
        <v>162.6</v>
      </c>
      <c r="E46" s="163" t="n">
        <v>49</v>
      </c>
      <c r="F46" s="161" t="n">
        <v>134.9</v>
      </c>
      <c r="G46" s="27" t="n">
        <v>41</v>
      </c>
      <c r="H46" s="164" t="n">
        <v>144</v>
      </c>
      <c r="I46" s="165" t="n">
        <v>39000</v>
      </c>
      <c r="J46" s="165" t="inlineStr">
        <is>
          <t>11</t>
        </is>
      </c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4</v>
      </c>
      <c r="R46" s="113" t="n">
        <v>2</v>
      </c>
      <c r="S46" s="113" t="inlineStr">
        <is>
          <t>계</t>
        </is>
      </c>
      <c r="T46" s="8" t="n">
        <v>162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</sheetData>
  <mergeCells count="1">
    <mergeCell ref="AJ1:AN1"/>
  </mergeCells>
  <conditionalFormatting sqref="AV4:AV6">
    <cfRule type="expression" priority="654" dxfId="17">
      <formula>AV4="X"</formula>
    </cfRule>
    <cfRule type="expression" priority="655" dxfId="16">
      <formula>AV4="후보"</formula>
    </cfRule>
  </conditionalFormatting>
  <conditionalFormatting sqref="AC1:AC2 AC4:AC6 N4:N5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N1:N2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6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6">
    <cfRule type="expression" priority="643" dxfId="3">
      <formula>AND(IF(OR($Q6=1,$Q6=2),1,0),IF($X6&lt;=20,1,0))</formula>
    </cfRule>
    <cfRule type="expression" priority="644" dxfId="2">
      <formula>AND(IF($Q6=2,1,0),IF($X6&lt;30,1,0))</formula>
    </cfRule>
    <cfRule type="expression" priority="645" dxfId="1">
      <formula>AND(IF($Q6=3,1,0),IF($X6&lt;30,1,0))</formula>
    </cfRule>
    <cfRule type="expression" priority="646" dxfId="0">
      <formula>AND(IF($Q6=3,1,IF($Q6=4,1,0)),IF($F6&lt;=85,1,0))</formula>
    </cfRule>
  </conditionalFormatting>
  <conditionalFormatting sqref="X6">
    <cfRule type="expression" priority="639" dxfId="3">
      <formula>AND(IF(OR($Q6=1,$Q6=2),1,0),IF($X6&lt;=20,1,0))</formula>
    </cfRule>
    <cfRule type="expression" priority="640" dxfId="2">
      <formula>AND(IF($Q6=2,1,0),IF($X6&lt;30,1,0))</formula>
    </cfRule>
    <cfRule type="expression" priority="641" dxfId="1">
      <formula>AND(IF($Q6=3,1,0),IF($X6&lt;30,1,0))</formula>
    </cfRule>
    <cfRule type="expression" priority="642" dxfId="0">
      <formula>AND(IF($Q6=3,1,IF($Q6=4,1,0)),IF($F6&lt;=85,1,0))</formula>
    </cfRule>
  </conditionalFormatting>
  <conditionalFormatting sqref="AI6">
    <cfRule type="expression" priority="635" dxfId="3">
      <formula>AND(IF(OR($Q6=1,$Q6=2),1,0),IF($X6&lt;=20,1,0))</formula>
    </cfRule>
    <cfRule type="expression" priority="636" dxfId="2">
      <formula>AND(IF($Q6=2,1,0),IF($X6&lt;30,1,0))</formula>
    </cfRule>
    <cfRule type="expression" priority="637" dxfId="1">
      <formula>AND(IF($Q6=3,1,0),IF($X6&lt;30,1,0))</formula>
    </cfRule>
    <cfRule type="expression" priority="638" dxfId="0">
      <formula>AND(IF($Q6=3,1,IF($Q6=4,1,0)),IF($F6&lt;=85,1,0))</formula>
    </cfRule>
  </conditionalFormatting>
  <conditionalFormatting sqref="AV7">
    <cfRule type="expression" priority="633" dxfId="17">
      <formula>AV7="X"</formula>
    </cfRule>
    <cfRule type="expression" priority="634" dxfId="16">
      <formula>AV7="후보"</formula>
    </cfRule>
  </conditionalFormatting>
  <conditionalFormatting sqref="AC7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7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7">
    <cfRule type="expression" priority="624" dxfId="3">
      <formula>AND(IF(OR($Q7=1,$Q7=2),1,0),IF($X7&lt;=20,1,0))</formula>
    </cfRule>
    <cfRule type="expression" priority="625" dxfId="2">
      <formula>AND(IF($Q7=2,1,0),IF($X7&lt;30,1,0))</formula>
    </cfRule>
    <cfRule type="expression" priority="626" dxfId="1">
      <formula>AND(IF($Q7=3,1,0),IF($X7&lt;30,1,0))</formula>
    </cfRule>
    <cfRule type="expression" priority="627" dxfId="0">
      <formula>AND(IF($Q7=3,1,IF($Q7=4,1,0)),IF($F7&lt;=85,1,0))</formula>
    </cfRule>
  </conditionalFormatting>
  <conditionalFormatting sqref="X7">
    <cfRule type="expression" priority="620" dxfId="3">
      <formula>AND(IF(OR($Q7=1,$Q7=2),1,0),IF($X7&lt;=20,1,0))</formula>
    </cfRule>
    <cfRule type="expression" priority="621" dxfId="2">
      <formula>AND(IF($Q7=2,1,0),IF($X7&lt;30,1,0))</formula>
    </cfRule>
    <cfRule type="expression" priority="622" dxfId="1">
      <formula>AND(IF($Q7=3,1,0),IF($X7&lt;30,1,0))</formula>
    </cfRule>
    <cfRule type="expression" priority="623" dxfId="0">
      <formula>AND(IF($Q7=3,1,IF($Q7=4,1,0)),IF($F7&lt;=85,1,0))</formula>
    </cfRule>
  </conditionalFormatting>
  <conditionalFormatting sqref="AI7">
    <cfRule type="expression" priority="616" dxfId="3">
      <formula>AND(IF(OR($Q7=1,$Q7=2),1,0),IF($X7&lt;=20,1,0))</formula>
    </cfRule>
    <cfRule type="expression" priority="617" dxfId="2">
      <formula>AND(IF($Q7=2,1,0),IF($X7&lt;30,1,0))</formula>
    </cfRule>
    <cfRule type="expression" priority="618" dxfId="1">
      <formula>AND(IF($Q7=3,1,0),IF($X7&lt;30,1,0))</formula>
    </cfRule>
    <cfRule type="expression" priority="619" dxfId="0">
      <formula>AND(IF($Q7=3,1,IF($Q7=4,1,0)),IF($F7&lt;=85,1,0))</formula>
    </cfRule>
  </conditionalFormatting>
  <conditionalFormatting sqref="AV8">
    <cfRule type="expression" priority="614" dxfId="17">
      <formula>AV8="X"</formula>
    </cfRule>
    <cfRule type="expression" priority="615" dxfId="16">
      <formula>AV8="후보"</formula>
    </cfRule>
  </conditionalFormatting>
  <conditionalFormatting sqref="AC8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8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8">
    <cfRule type="expression" priority="605" dxfId="3">
      <formula>AND(IF(OR($Q8=1,$Q8=2),1,0),IF($X8&lt;=20,1,0))</formula>
    </cfRule>
    <cfRule type="expression" priority="606" dxfId="2">
      <formula>AND(IF($Q8=2,1,0),IF($X8&lt;30,1,0))</formula>
    </cfRule>
    <cfRule type="expression" priority="607" dxfId="1">
      <formula>AND(IF($Q8=3,1,0),IF($X8&lt;30,1,0))</formula>
    </cfRule>
    <cfRule type="expression" priority="608" dxfId="0">
      <formula>AND(IF($Q8=3,1,IF($Q8=4,1,0)),IF($F8&lt;=85,1,0))</formula>
    </cfRule>
  </conditionalFormatting>
  <conditionalFormatting sqref="X8">
    <cfRule type="expression" priority="601" dxfId="3">
      <formula>AND(IF(OR($Q8=1,$Q8=2),1,0),IF($X8&lt;=20,1,0))</formula>
    </cfRule>
    <cfRule type="expression" priority="602" dxfId="2">
      <formula>AND(IF($Q8=2,1,0),IF($X8&lt;30,1,0))</formula>
    </cfRule>
    <cfRule type="expression" priority="603" dxfId="1">
      <formula>AND(IF($Q8=3,1,0),IF($X8&lt;30,1,0))</formula>
    </cfRule>
    <cfRule type="expression" priority="604" dxfId="0">
      <formula>AND(IF($Q8=3,1,IF($Q8=4,1,0)),IF($F8&lt;=85,1,0))</formula>
    </cfRule>
  </conditionalFormatting>
  <conditionalFormatting sqref="AI8">
    <cfRule type="expression" priority="597" dxfId="3">
      <formula>AND(IF(OR($Q8=1,$Q8=2),1,0),IF($X8&lt;=20,1,0))</formula>
    </cfRule>
    <cfRule type="expression" priority="598" dxfId="2">
      <formula>AND(IF($Q8=2,1,0),IF($X8&lt;30,1,0))</formula>
    </cfRule>
    <cfRule type="expression" priority="599" dxfId="1">
      <formula>AND(IF($Q8=3,1,0),IF($X8&lt;30,1,0))</formula>
    </cfRule>
    <cfRule type="expression" priority="600" dxfId="0">
      <formula>AND(IF($Q8=3,1,IF($Q8=4,1,0)),IF($F8&lt;=85,1,0))</formula>
    </cfRule>
  </conditionalFormatting>
  <conditionalFormatting sqref="AV9">
    <cfRule type="expression" priority="595" dxfId="17">
      <formula>AV9="X"</formula>
    </cfRule>
    <cfRule type="expression" priority="596" dxfId="16">
      <formula>AV9="후보"</formula>
    </cfRule>
  </conditionalFormatting>
  <conditionalFormatting sqref="AC9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N9">
    <cfRule type="cellIs" priority="590" operator="greaterThan" dxfId="13">
      <formula>0.9</formula>
    </cfRule>
    <cfRule type="cellIs" priority="591" operator="greaterThan" dxfId="12">
      <formula>0.85</formula>
    </cfRule>
  </conditionalFormatting>
  <conditionalFormatting sqref="E9">
    <cfRule type="expression" priority="586" dxfId="3">
      <formula>AND(IF(OR($Q9=1,$Q9=2),1,0),IF($X9&lt;=20,1,0))</formula>
    </cfRule>
    <cfRule type="expression" priority="587" dxfId="2">
      <formula>AND(IF($Q9=2,1,0),IF($X9&lt;30,1,0))</formula>
    </cfRule>
    <cfRule type="expression" priority="588" dxfId="1">
      <formula>AND(IF($Q9=3,1,0),IF($X9&lt;30,1,0))</formula>
    </cfRule>
    <cfRule type="expression" priority="589" dxfId="0">
      <formula>AND(IF($Q9=3,1,IF($Q9=4,1,0)),IF($F9&lt;=85,1,0))</formula>
    </cfRule>
  </conditionalFormatting>
  <conditionalFormatting sqref="X9">
    <cfRule type="expression" priority="582" dxfId="3">
      <formula>AND(IF(OR($Q9=1,$Q9=2),1,0),IF($X9&lt;=20,1,0))</formula>
    </cfRule>
    <cfRule type="expression" priority="583" dxfId="2">
      <formula>AND(IF($Q9=2,1,0),IF($X9&lt;30,1,0))</formula>
    </cfRule>
    <cfRule type="expression" priority="584" dxfId="1">
      <formula>AND(IF($Q9=3,1,0),IF($X9&lt;30,1,0))</formula>
    </cfRule>
    <cfRule type="expression" priority="585" dxfId="0">
      <formula>AND(IF($Q9=3,1,IF($Q9=4,1,0)),IF($F9&lt;=85,1,0))</formula>
    </cfRule>
  </conditionalFormatting>
  <conditionalFormatting sqref="AI9">
    <cfRule type="expression" priority="578" dxfId="3">
      <formula>AND(IF(OR($Q9=1,$Q9=2),1,0),IF($X9&lt;=20,1,0))</formula>
    </cfRule>
    <cfRule type="expression" priority="579" dxfId="2">
      <formula>AND(IF($Q9=2,1,0),IF($X9&lt;30,1,0))</formula>
    </cfRule>
    <cfRule type="expression" priority="580" dxfId="1">
      <formula>AND(IF($Q9=3,1,0),IF($X9&lt;30,1,0))</formula>
    </cfRule>
    <cfRule type="expression" priority="581" dxfId="0">
      <formula>AND(IF($Q9=3,1,IF($Q9=4,1,0)),IF($F9&lt;=85,1,0))</formula>
    </cfRule>
  </conditionalFormatting>
  <conditionalFormatting sqref="AV10">
    <cfRule type="expression" priority="576" dxfId="17">
      <formula>AV10="X"</formula>
    </cfRule>
    <cfRule type="expression" priority="577" dxfId="16">
      <formula>AV10="후보"</formula>
    </cfRule>
  </conditionalFormatting>
  <conditionalFormatting sqref="AC10 N10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AV11">
    <cfRule type="expression" priority="571" dxfId="17">
      <formula>AV11="X"</formula>
    </cfRule>
    <cfRule type="expression" priority="572" dxfId="16">
      <formula>AV11="후보"</formula>
    </cfRule>
  </conditionalFormatting>
  <conditionalFormatting sqref="AC11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11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11">
    <cfRule type="expression" priority="562" dxfId="3">
      <formula>AND(IF(OR($Q11=1,$Q11=2),1,0),IF($X11&lt;=20,1,0))</formula>
    </cfRule>
    <cfRule type="expression" priority="563" dxfId="2">
      <formula>AND(IF($Q11=2,1,0),IF($X11&lt;30,1,0))</formula>
    </cfRule>
    <cfRule type="expression" priority="564" dxfId="1">
      <formula>AND(IF($Q11=3,1,0),IF($X11&lt;30,1,0))</formula>
    </cfRule>
    <cfRule type="expression" priority="565" dxfId="0">
      <formula>AND(IF($Q11=3,1,IF($Q11=4,1,0)),IF($F11&lt;=85,1,0))</formula>
    </cfRule>
  </conditionalFormatting>
  <conditionalFormatting sqref="X11">
    <cfRule type="expression" priority="558" dxfId="3">
      <formula>AND(IF(OR($Q11=1,$Q11=2),1,0),IF($X11&lt;=20,1,0))</formula>
    </cfRule>
    <cfRule type="expression" priority="559" dxfId="2">
      <formula>AND(IF($Q11=2,1,0),IF($X11&lt;30,1,0))</formula>
    </cfRule>
    <cfRule type="expression" priority="560" dxfId="1">
      <formula>AND(IF($Q11=3,1,0),IF($X11&lt;30,1,0))</formula>
    </cfRule>
    <cfRule type="expression" priority="561" dxfId="0">
      <formula>AND(IF($Q11=3,1,IF($Q11=4,1,0)),IF($F11&lt;=85,1,0))</formula>
    </cfRule>
  </conditionalFormatting>
  <conditionalFormatting sqref="AI11">
    <cfRule type="expression" priority="554" dxfId="3">
      <formula>AND(IF(OR($Q11=1,$Q11=2),1,0),IF($X11&lt;=20,1,0))</formula>
    </cfRule>
    <cfRule type="expression" priority="555" dxfId="2">
      <formula>AND(IF($Q11=2,1,0),IF($X11&lt;30,1,0))</formula>
    </cfRule>
    <cfRule type="expression" priority="556" dxfId="1">
      <formula>AND(IF($Q11=3,1,0),IF($X11&lt;30,1,0))</formula>
    </cfRule>
    <cfRule type="expression" priority="557" dxfId="0">
      <formula>AND(IF($Q11=3,1,IF($Q11=4,1,0)),IF($F11&lt;=85,1,0))</formula>
    </cfRule>
  </conditionalFormatting>
  <conditionalFormatting sqref="AV12">
    <cfRule type="expression" priority="552" dxfId="17">
      <formula>AV12="X"</formula>
    </cfRule>
    <cfRule type="expression" priority="553" dxfId="16">
      <formula>AV12="후보"</formula>
    </cfRule>
  </conditionalFormatting>
  <conditionalFormatting sqref="AC12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12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12">
    <cfRule type="expression" priority="543" dxfId="3">
      <formula>AND(IF(OR($Q12=1,$Q12=2),1,0),IF($X12&lt;=20,1,0))</formula>
    </cfRule>
    <cfRule type="expression" priority="544" dxfId="2">
      <formula>AND(IF($Q12=2,1,0),IF($X12&lt;30,1,0))</formula>
    </cfRule>
    <cfRule type="expression" priority="545" dxfId="1">
      <formula>AND(IF($Q12=3,1,0),IF($X12&lt;30,1,0))</formula>
    </cfRule>
    <cfRule type="expression" priority="546" dxfId="0">
      <formula>AND(IF($Q12=3,1,IF($Q12=4,1,0)),IF($F12&lt;=85,1,0))</formula>
    </cfRule>
  </conditionalFormatting>
  <conditionalFormatting sqref="X12">
    <cfRule type="expression" priority="539" dxfId="3">
      <formula>AND(IF(OR($Q12=1,$Q12=2),1,0),IF($X12&lt;=20,1,0))</formula>
    </cfRule>
    <cfRule type="expression" priority="540" dxfId="2">
      <formula>AND(IF($Q12=2,1,0),IF($X12&lt;30,1,0))</formula>
    </cfRule>
    <cfRule type="expression" priority="541" dxfId="1">
      <formula>AND(IF($Q12=3,1,0),IF($X12&lt;30,1,0))</formula>
    </cfRule>
    <cfRule type="expression" priority="542" dxfId="0">
      <formula>AND(IF($Q12=3,1,IF($Q12=4,1,0)),IF($F12&lt;=85,1,0))</formula>
    </cfRule>
  </conditionalFormatting>
  <conditionalFormatting sqref="AI12">
    <cfRule type="expression" priority="535" dxfId="3">
      <formula>AND(IF(OR($Q12=1,$Q12=2),1,0),IF($X12&lt;=20,1,0))</formula>
    </cfRule>
    <cfRule type="expression" priority="536" dxfId="2">
      <formula>AND(IF($Q12=2,1,0),IF($X12&lt;30,1,0))</formula>
    </cfRule>
    <cfRule type="expression" priority="537" dxfId="1">
      <formula>AND(IF($Q12=3,1,0),IF($X12&lt;30,1,0))</formula>
    </cfRule>
    <cfRule type="expression" priority="538" dxfId="0">
      <formula>AND(IF($Q12=3,1,IF($Q12=4,1,0)),IF($F12&lt;=85,1,0))</formula>
    </cfRule>
  </conditionalFormatting>
  <conditionalFormatting sqref="AV13">
    <cfRule type="expression" priority="533" dxfId="17">
      <formula>AV13="X"</formula>
    </cfRule>
    <cfRule type="expression" priority="534" dxfId="16">
      <formula>AV13="후보"</formula>
    </cfRule>
  </conditionalFormatting>
  <conditionalFormatting sqref="AC13 N13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AV14">
    <cfRule type="expression" priority="528" dxfId="17">
      <formula>AV14="X"</formula>
    </cfRule>
    <cfRule type="expression" priority="529" dxfId="16">
      <formula>AV14="후보"</formula>
    </cfRule>
  </conditionalFormatting>
  <conditionalFormatting sqref="AC14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4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4">
    <cfRule type="expression" priority="519" dxfId="3">
      <formula>AND(IF(OR($Q14=1,$Q14=2),1,0),IF($X14&lt;=20,1,0))</formula>
    </cfRule>
    <cfRule type="expression" priority="520" dxfId="2">
      <formula>AND(IF($Q14=2,1,0),IF($X14&lt;30,1,0))</formula>
    </cfRule>
    <cfRule type="expression" priority="521" dxfId="1">
      <formula>AND(IF($Q14=3,1,0),IF($X14&lt;30,1,0))</formula>
    </cfRule>
    <cfRule type="expression" priority="522" dxfId="0">
      <formula>AND(IF($Q14=3,1,IF($Q14=4,1,0)),IF($F14&lt;=85,1,0))</formula>
    </cfRule>
  </conditionalFormatting>
  <conditionalFormatting sqref="X14">
    <cfRule type="expression" priority="515" dxfId="3">
      <formula>AND(IF(OR($Q14=1,$Q14=2),1,0),IF($X14&lt;=20,1,0))</formula>
    </cfRule>
    <cfRule type="expression" priority="516" dxfId="2">
      <formula>AND(IF($Q14=2,1,0),IF($X14&lt;30,1,0))</formula>
    </cfRule>
    <cfRule type="expression" priority="517" dxfId="1">
      <formula>AND(IF($Q14=3,1,0),IF($X14&lt;30,1,0))</formula>
    </cfRule>
    <cfRule type="expression" priority="518" dxfId="0">
      <formula>AND(IF($Q14=3,1,IF($Q14=4,1,0)),IF($F14&lt;=85,1,0))</formula>
    </cfRule>
  </conditionalFormatting>
  <conditionalFormatting sqref="AI14">
    <cfRule type="expression" priority="511" dxfId="3">
      <formula>AND(IF(OR($Q14=1,$Q14=2),1,0),IF($X14&lt;=20,1,0))</formula>
    </cfRule>
    <cfRule type="expression" priority="512" dxfId="2">
      <formula>AND(IF($Q14=2,1,0),IF($X14&lt;30,1,0))</formula>
    </cfRule>
    <cfRule type="expression" priority="513" dxfId="1">
      <formula>AND(IF($Q14=3,1,0),IF($X14&lt;30,1,0))</formula>
    </cfRule>
    <cfRule type="expression" priority="514" dxfId="0">
      <formula>AND(IF($Q14=3,1,IF($Q14=4,1,0)),IF($F14&lt;=85,1,0))</formula>
    </cfRule>
  </conditionalFormatting>
  <conditionalFormatting sqref="AV15">
    <cfRule type="expression" priority="509" dxfId="17">
      <formula>AV15="X"</formula>
    </cfRule>
    <cfRule type="expression" priority="510" dxfId="16">
      <formula>AV15="후보"</formula>
    </cfRule>
  </conditionalFormatting>
  <conditionalFormatting sqref="AC15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15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15">
    <cfRule type="expression" priority="500" dxfId="3">
      <formula>AND(IF(OR($Q15=1,$Q15=2),1,0),IF($X15&lt;=20,1,0))</formula>
    </cfRule>
    <cfRule type="expression" priority="501" dxfId="2">
      <formula>AND(IF($Q15=2,1,0),IF($X15&lt;30,1,0))</formula>
    </cfRule>
    <cfRule type="expression" priority="502" dxfId="1">
      <formula>AND(IF($Q15=3,1,0),IF($X15&lt;30,1,0))</formula>
    </cfRule>
    <cfRule type="expression" priority="503" dxfId="0">
      <formula>AND(IF($Q15=3,1,IF($Q15=4,1,0)),IF($F15&lt;=85,1,0))</formula>
    </cfRule>
  </conditionalFormatting>
  <conditionalFormatting sqref="X15">
    <cfRule type="expression" priority="496" dxfId="3">
      <formula>AND(IF(OR($Q15=1,$Q15=2),1,0),IF($X15&lt;=20,1,0))</formula>
    </cfRule>
    <cfRule type="expression" priority="497" dxfId="2">
      <formula>AND(IF($Q15=2,1,0),IF($X15&lt;30,1,0))</formula>
    </cfRule>
    <cfRule type="expression" priority="498" dxfId="1">
      <formula>AND(IF($Q15=3,1,0),IF($X15&lt;30,1,0))</formula>
    </cfRule>
    <cfRule type="expression" priority="499" dxfId="0">
      <formula>AND(IF($Q15=3,1,IF($Q15=4,1,0)),IF($F15&lt;=85,1,0))</formula>
    </cfRule>
  </conditionalFormatting>
  <conditionalFormatting sqref="AI15">
    <cfRule type="expression" priority="492" dxfId="3">
      <formula>AND(IF(OR($Q15=1,$Q15=2),1,0),IF($X15&lt;=20,1,0))</formula>
    </cfRule>
    <cfRule type="expression" priority="493" dxfId="2">
      <formula>AND(IF($Q15=2,1,0),IF($X15&lt;30,1,0))</formula>
    </cfRule>
    <cfRule type="expression" priority="494" dxfId="1">
      <formula>AND(IF($Q15=3,1,0),IF($X15&lt;30,1,0))</formula>
    </cfRule>
    <cfRule type="expression" priority="495" dxfId="0">
      <formula>AND(IF($Q15=3,1,IF($Q15=4,1,0)),IF($F15&lt;=85,1,0))</formula>
    </cfRule>
  </conditionalFormatting>
  <conditionalFormatting sqref="AV16">
    <cfRule type="expression" priority="490" dxfId="17">
      <formula>AV16="X"</formula>
    </cfRule>
    <cfRule type="expression" priority="491" dxfId="16">
      <formula>AV16="후보"</formula>
    </cfRule>
  </conditionalFormatting>
  <conditionalFormatting sqref="AC16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16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16">
    <cfRule type="expression" priority="481" dxfId="3">
      <formula>AND(IF(OR($Q16=1,$Q16=2),1,0),IF($X16&lt;=20,1,0))</formula>
    </cfRule>
    <cfRule type="expression" priority="482" dxfId="2">
      <formula>AND(IF($Q16=2,1,0),IF($X16&lt;30,1,0))</formula>
    </cfRule>
    <cfRule type="expression" priority="483" dxfId="1">
      <formula>AND(IF($Q16=3,1,0),IF($X16&lt;30,1,0))</formula>
    </cfRule>
    <cfRule type="expression" priority="484" dxfId="0">
      <formula>AND(IF($Q16=3,1,IF($Q16=4,1,0)),IF($F16&lt;=85,1,0))</formula>
    </cfRule>
  </conditionalFormatting>
  <conditionalFormatting sqref="X16">
    <cfRule type="expression" priority="477" dxfId="3">
      <formula>AND(IF(OR($Q16=1,$Q16=2),1,0),IF($X16&lt;=20,1,0))</formula>
    </cfRule>
    <cfRule type="expression" priority="478" dxfId="2">
      <formula>AND(IF($Q16=2,1,0),IF($X16&lt;30,1,0))</formula>
    </cfRule>
    <cfRule type="expression" priority="479" dxfId="1">
      <formula>AND(IF($Q16=3,1,0),IF($X16&lt;30,1,0))</formula>
    </cfRule>
    <cfRule type="expression" priority="480" dxfId="0">
      <formula>AND(IF($Q16=3,1,IF($Q16=4,1,0)),IF($F16&lt;=85,1,0))</formula>
    </cfRule>
  </conditionalFormatting>
  <conditionalFormatting sqref="AI16">
    <cfRule type="expression" priority="473" dxfId="3">
      <formula>AND(IF(OR($Q16=1,$Q16=2),1,0),IF($X16&lt;=20,1,0))</formula>
    </cfRule>
    <cfRule type="expression" priority="474" dxfId="2">
      <formula>AND(IF($Q16=2,1,0),IF($X16&lt;30,1,0))</formula>
    </cfRule>
    <cfRule type="expression" priority="475" dxfId="1">
      <formula>AND(IF($Q16=3,1,0),IF($X16&lt;30,1,0))</formula>
    </cfRule>
    <cfRule type="expression" priority="476" dxfId="0">
      <formula>AND(IF($Q16=3,1,IF($Q16=4,1,0)),IF($F16&lt;=85,1,0))</formula>
    </cfRule>
  </conditionalFormatting>
  <conditionalFormatting sqref="AV17">
    <cfRule type="expression" priority="471" dxfId="17">
      <formula>AV17="X"</formula>
    </cfRule>
    <cfRule type="expression" priority="472" dxfId="16">
      <formula>AV17="후보"</formula>
    </cfRule>
  </conditionalFormatting>
  <conditionalFormatting sqref="AC17 N17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AV18">
    <cfRule type="expression" priority="466" dxfId="17">
      <formula>AV18="X"</formula>
    </cfRule>
    <cfRule type="expression" priority="467" dxfId="16">
      <formula>AV18="후보"</formula>
    </cfRule>
  </conditionalFormatting>
  <conditionalFormatting sqref="AC18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18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18">
    <cfRule type="expression" priority="457" dxfId="3">
      <formula>AND(IF(OR($Q18=1,$Q18=2),1,0),IF($X18&lt;=20,1,0))</formula>
    </cfRule>
    <cfRule type="expression" priority="458" dxfId="2">
      <formula>AND(IF($Q18=2,1,0),IF($X18&lt;30,1,0))</formula>
    </cfRule>
    <cfRule type="expression" priority="459" dxfId="1">
      <formula>AND(IF($Q18=3,1,0),IF($X18&lt;30,1,0))</formula>
    </cfRule>
    <cfRule type="expression" priority="460" dxfId="0">
      <formula>AND(IF($Q18=3,1,IF($Q18=4,1,0)),IF($F18&lt;=85,1,0))</formula>
    </cfRule>
  </conditionalFormatting>
  <conditionalFormatting sqref="X18">
    <cfRule type="expression" priority="453" dxfId="3">
      <formula>AND(IF(OR($Q18=1,$Q18=2),1,0),IF($X18&lt;=20,1,0))</formula>
    </cfRule>
    <cfRule type="expression" priority="454" dxfId="2">
      <formula>AND(IF($Q18=2,1,0),IF($X18&lt;30,1,0))</formula>
    </cfRule>
    <cfRule type="expression" priority="455" dxfId="1">
      <formula>AND(IF($Q18=3,1,0),IF($X18&lt;30,1,0))</formula>
    </cfRule>
    <cfRule type="expression" priority="456" dxfId="0">
      <formula>AND(IF($Q18=3,1,IF($Q18=4,1,0)),IF($F18&lt;=85,1,0))</formula>
    </cfRule>
  </conditionalFormatting>
  <conditionalFormatting sqref="AI18">
    <cfRule type="expression" priority="449" dxfId="3">
      <formula>AND(IF(OR($Q18=1,$Q18=2),1,0),IF($X18&lt;=20,1,0))</formula>
    </cfRule>
    <cfRule type="expression" priority="450" dxfId="2">
      <formula>AND(IF($Q18=2,1,0),IF($X18&lt;30,1,0))</formula>
    </cfRule>
    <cfRule type="expression" priority="451" dxfId="1">
      <formula>AND(IF($Q18=3,1,0),IF($X18&lt;30,1,0))</formula>
    </cfRule>
    <cfRule type="expression" priority="452" dxfId="0">
      <formula>AND(IF($Q18=3,1,IF($Q18=4,1,0)),IF($F18&lt;=85,1,0))</formula>
    </cfRule>
  </conditionalFormatting>
  <conditionalFormatting sqref="AV19">
    <cfRule type="expression" priority="447" dxfId="17">
      <formula>AV19="X"</formula>
    </cfRule>
    <cfRule type="expression" priority="448" dxfId="16">
      <formula>AV19="후보"</formula>
    </cfRule>
  </conditionalFormatting>
  <conditionalFormatting sqref="AC19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19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19">
    <cfRule type="expression" priority="438" dxfId="3">
      <formula>AND(IF(OR($Q19=1,$Q19=2),1,0),IF($X19&lt;=20,1,0))</formula>
    </cfRule>
    <cfRule type="expression" priority="439" dxfId="2">
      <formula>AND(IF($Q19=2,1,0),IF($X19&lt;30,1,0))</formula>
    </cfRule>
    <cfRule type="expression" priority="440" dxfId="1">
      <formula>AND(IF($Q19=3,1,0),IF($X19&lt;30,1,0))</formula>
    </cfRule>
    <cfRule type="expression" priority="441" dxfId="0">
      <formula>AND(IF($Q19=3,1,IF($Q19=4,1,0)),IF($F19&lt;=85,1,0))</formula>
    </cfRule>
  </conditionalFormatting>
  <conditionalFormatting sqref="X19">
    <cfRule type="expression" priority="434" dxfId="3">
      <formula>AND(IF(OR($Q19=1,$Q19=2),1,0),IF($X19&lt;=20,1,0))</formula>
    </cfRule>
    <cfRule type="expression" priority="435" dxfId="2">
      <formula>AND(IF($Q19=2,1,0),IF($X19&lt;30,1,0))</formula>
    </cfRule>
    <cfRule type="expression" priority="436" dxfId="1">
      <formula>AND(IF($Q19=3,1,0),IF($X19&lt;30,1,0))</formula>
    </cfRule>
    <cfRule type="expression" priority="437" dxfId="0">
      <formula>AND(IF($Q19=3,1,IF($Q19=4,1,0)),IF($F19&lt;=85,1,0))</formula>
    </cfRule>
  </conditionalFormatting>
  <conditionalFormatting sqref="AI19">
    <cfRule type="expression" priority="430" dxfId="3">
      <formula>AND(IF(OR($Q19=1,$Q19=2),1,0),IF($X19&lt;=20,1,0))</formula>
    </cfRule>
    <cfRule type="expression" priority="431" dxfId="2">
      <formula>AND(IF($Q19=2,1,0),IF($X19&lt;30,1,0))</formula>
    </cfRule>
    <cfRule type="expression" priority="432" dxfId="1">
      <formula>AND(IF($Q19=3,1,0),IF($X19&lt;30,1,0))</formula>
    </cfRule>
    <cfRule type="expression" priority="433" dxfId="0">
      <formula>AND(IF($Q19=3,1,IF($Q19=4,1,0)),IF($F19&lt;=85,1,0))</formula>
    </cfRule>
  </conditionalFormatting>
  <conditionalFormatting sqref="AV20">
    <cfRule type="expression" priority="428" dxfId="17">
      <formula>AV20="X"</formula>
    </cfRule>
    <cfRule type="expression" priority="429" dxfId="16">
      <formula>AV20="후보"</formula>
    </cfRule>
  </conditionalFormatting>
  <conditionalFormatting sqref="AC20 N20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AV21">
    <cfRule type="expression" priority="423" dxfId="17">
      <formula>AV21="X"</formula>
    </cfRule>
    <cfRule type="expression" priority="424" dxfId="16">
      <formula>AV21="후보"</formula>
    </cfRule>
  </conditionalFormatting>
  <conditionalFormatting sqref="AC21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1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1">
    <cfRule type="expression" priority="414" dxfId="3">
      <formula>AND(IF(OR($Q21=1,$Q21=2),1,0),IF($X21&lt;=20,1,0))</formula>
    </cfRule>
    <cfRule type="expression" priority="415" dxfId="2">
      <formula>AND(IF($Q21=2,1,0),IF($X21&lt;30,1,0))</formula>
    </cfRule>
    <cfRule type="expression" priority="416" dxfId="1">
      <formula>AND(IF($Q21=3,1,0),IF($X21&lt;30,1,0))</formula>
    </cfRule>
    <cfRule type="expression" priority="417" dxfId="0">
      <formula>AND(IF($Q21=3,1,IF($Q21=4,1,0)),IF($F21&lt;=85,1,0))</formula>
    </cfRule>
  </conditionalFormatting>
  <conditionalFormatting sqref="X21">
    <cfRule type="expression" priority="410" dxfId="3">
      <formula>AND(IF(OR($Q21=1,$Q21=2),1,0),IF($X21&lt;=20,1,0))</formula>
    </cfRule>
    <cfRule type="expression" priority="411" dxfId="2">
      <formula>AND(IF($Q21=2,1,0),IF($X21&lt;30,1,0))</formula>
    </cfRule>
    <cfRule type="expression" priority="412" dxfId="1">
      <formula>AND(IF($Q21=3,1,0),IF($X21&lt;30,1,0))</formula>
    </cfRule>
    <cfRule type="expression" priority="413" dxfId="0">
      <formula>AND(IF($Q21=3,1,IF($Q21=4,1,0)),IF($F21&lt;=85,1,0))</formula>
    </cfRule>
  </conditionalFormatting>
  <conditionalFormatting sqref="AI21">
    <cfRule type="expression" priority="406" dxfId="3">
      <formula>AND(IF(OR($Q21=1,$Q21=2),1,0),IF($X21&lt;=20,1,0))</formula>
    </cfRule>
    <cfRule type="expression" priority="407" dxfId="2">
      <formula>AND(IF($Q21=2,1,0),IF($X21&lt;30,1,0))</formula>
    </cfRule>
    <cfRule type="expression" priority="408" dxfId="1">
      <formula>AND(IF($Q21=3,1,0),IF($X21&lt;30,1,0))</formula>
    </cfRule>
    <cfRule type="expression" priority="409" dxfId="0">
      <formula>AND(IF($Q21=3,1,IF($Q21=4,1,0)),IF($F21&lt;=85,1,0))</formula>
    </cfRule>
  </conditionalFormatting>
  <conditionalFormatting sqref="AV22">
    <cfRule type="expression" priority="404" dxfId="17">
      <formula>AV22="X"</formula>
    </cfRule>
    <cfRule type="expression" priority="405" dxfId="16">
      <formula>AV22="후보"</formula>
    </cfRule>
  </conditionalFormatting>
  <conditionalFormatting sqref="AC22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2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2">
    <cfRule type="expression" priority="395" dxfId="3">
      <formula>AND(IF(OR($Q22=1,$Q22=2),1,0),IF($X22&lt;=20,1,0))</formula>
    </cfRule>
    <cfRule type="expression" priority="396" dxfId="2">
      <formula>AND(IF($Q22=2,1,0),IF($X22&lt;30,1,0))</formula>
    </cfRule>
    <cfRule type="expression" priority="397" dxfId="1">
      <formula>AND(IF($Q22=3,1,0),IF($X22&lt;30,1,0))</formula>
    </cfRule>
    <cfRule type="expression" priority="398" dxfId="0">
      <formula>AND(IF($Q22=3,1,IF($Q22=4,1,0)),IF($F22&lt;=85,1,0))</formula>
    </cfRule>
  </conditionalFormatting>
  <conditionalFormatting sqref="X22">
    <cfRule type="expression" priority="391" dxfId="3">
      <formula>AND(IF(OR($Q22=1,$Q22=2),1,0),IF($X22&lt;=20,1,0))</formula>
    </cfRule>
    <cfRule type="expression" priority="392" dxfId="2">
      <formula>AND(IF($Q22=2,1,0),IF($X22&lt;30,1,0))</formula>
    </cfRule>
    <cfRule type="expression" priority="393" dxfId="1">
      <formula>AND(IF($Q22=3,1,0),IF($X22&lt;30,1,0))</formula>
    </cfRule>
    <cfRule type="expression" priority="394" dxfId="0">
      <formula>AND(IF($Q22=3,1,IF($Q22=4,1,0)),IF($F22&lt;=85,1,0))</formula>
    </cfRule>
  </conditionalFormatting>
  <conditionalFormatting sqref="AI22">
    <cfRule type="expression" priority="387" dxfId="3">
      <formula>AND(IF(OR($Q22=1,$Q22=2),1,0),IF($X22&lt;=20,1,0))</formula>
    </cfRule>
    <cfRule type="expression" priority="388" dxfId="2">
      <formula>AND(IF($Q22=2,1,0),IF($X22&lt;30,1,0))</formula>
    </cfRule>
    <cfRule type="expression" priority="389" dxfId="1">
      <formula>AND(IF($Q22=3,1,0),IF($X22&lt;30,1,0))</formula>
    </cfRule>
    <cfRule type="expression" priority="390" dxfId="0">
      <formula>AND(IF($Q22=3,1,IF($Q22=4,1,0)),IF($F22&lt;=85,1,0))</formula>
    </cfRule>
  </conditionalFormatting>
  <conditionalFormatting sqref="AV23">
    <cfRule type="expression" priority="385" dxfId="17">
      <formula>AV23="X"</formula>
    </cfRule>
    <cfRule type="expression" priority="386" dxfId="16">
      <formula>AV23="후보"</formula>
    </cfRule>
  </conditionalFormatting>
  <conditionalFormatting sqref="AC23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3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3">
    <cfRule type="expression" priority="376" dxfId="3">
      <formula>AND(IF(OR($Q23=1,$Q23=2),1,0),IF($X23&lt;=20,1,0))</formula>
    </cfRule>
    <cfRule type="expression" priority="377" dxfId="2">
      <formula>AND(IF($Q23=2,1,0),IF($X23&lt;30,1,0))</formula>
    </cfRule>
    <cfRule type="expression" priority="378" dxfId="1">
      <formula>AND(IF($Q23=3,1,0),IF($X23&lt;30,1,0))</formula>
    </cfRule>
    <cfRule type="expression" priority="379" dxfId="0">
      <formula>AND(IF($Q23=3,1,IF($Q23=4,1,0)),IF($F23&lt;=85,1,0))</formula>
    </cfRule>
  </conditionalFormatting>
  <conditionalFormatting sqref="X23">
    <cfRule type="expression" priority="372" dxfId="3">
      <formula>AND(IF(OR($Q23=1,$Q23=2),1,0),IF($X23&lt;=20,1,0))</formula>
    </cfRule>
    <cfRule type="expression" priority="373" dxfId="2">
      <formula>AND(IF($Q23=2,1,0),IF($X23&lt;30,1,0))</formula>
    </cfRule>
    <cfRule type="expression" priority="374" dxfId="1">
      <formula>AND(IF($Q23=3,1,0),IF($X23&lt;30,1,0))</formula>
    </cfRule>
    <cfRule type="expression" priority="375" dxfId="0">
      <formula>AND(IF($Q23=3,1,IF($Q23=4,1,0)),IF($F23&lt;=85,1,0))</formula>
    </cfRule>
  </conditionalFormatting>
  <conditionalFormatting sqref="AI23">
    <cfRule type="expression" priority="368" dxfId="3">
      <formula>AND(IF(OR($Q23=1,$Q23=2),1,0),IF($X23&lt;=20,1,0))</formula>
    </cfRule>
    <cfRule type="expression" priority="369" dxfId="2">
      <formula>AND(IF($Q23=2,1,0),IF($X23&lt;30,1,0))</formula>
    </cfRule>
    <cfRule type="expression" priority="370" dxfId="1">
      <formula>AND(IF($Q23=3,1,0),IF($X23&lt;30,1,0))</formula>
    </cfRule>
    <cfRule type="expression" priority="371" dxfId="0">
      <formula>AND(IF($Q23=3,1,IF($Q23=4,1,0)),IF($F23&lt;=85,1,0))</formula>
    </cfRule>
  </conditionalFormatting>
  <conditionalFormatting sqref="AV24">
    <cfRule type="expression" priority="366" dxfId="17">
      <formula>AV24="X"</formula>
    </cfRule>
    <cfRule type="expression" priority="367" dxfId="16">
      <formula>AV24="후보"</formula>
    </cfRule>
  </conditionalFormatting>
  <conditionalFormatting sqref="AC24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24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24">
    <cfRule type="expression" priority="357" dxfId="3">
      <formula>AND(IF(OR($Q24=1,$Q24=2),1,0),IF($X24&lt;=20,1,0))</formula>
    </cfRule>
    <cfRule type="expression" priority="358" dxfId="2">
      <formula>AND(IF($Q24=2,1,0),IF($X24&lt;30,1,0))</formula>
    </cfRule>
    <cfRule type="expression" priority="359" dxfId="1">
      <formula>AND(IF($Q24=3,1,0),IF($X24&lt;30,1,0))</formula>
    </cfRule>
    <cfRule type="expression" priority="360" dxfId="0">
      <formula>AND(IF($Q24=3,1,IF($Q24=4,1,0)),IF($F24&lt;=85,1,0))</formula>
    </cfRule>
  </conditionalFormatting>
  <conditionalFormatting sqref="X24">
    <cfRule type="expression" priority="353" dxfId="3">
      <formula>AND(IF(OR($Q24=1,$Q24=2),1,0),IF($X24&lt;=20,1,0))</formula>
    </cfRule>
    <cfRule type="expression" priority="354" dxfId="2">
      <formula>AND(IF($Q24=2,1,0),IF($X24&lt;30,1,0))</formula>
    </cfRule>
    <cfRule type="expression" priority="355" dxfId="1">
      <formula>AND(IF($Q24=3,1,0),IF($X24&lt;30,1,0))</formula>
    </cfRule>
    <cfRule type="expression" priority="356" dxfId="0">
      <formula>AND(IF($Q24=3,1,IF($Q24=4,1,0)),IF($F24&lt;=85,1,0))</formula>
    </cfRule>
  </conditionalFormatting>
  <conditionalFormatting sqref="AI24">
    <cfRule type="expression" priority="349" dxfId="3">
      <formula>AND(IF(OR($Q24=1,$Q24=2),1,0),IF($X24&lt;=20,1,0))</formula>
    </cfRule>
    <cfRule type="expression" priority="350" dxfId="2">
      <formula>AND(IF($Q24=2,1,0),IF($X24&lt;30,1,0))</formula>
    </cfRule>
    <cfRule type="expression" priority="351" dxfId="1">
      <formula>AND(IF($Q24=3,1,0),IF($X24&lt;30,1,0))</formula>
    </cfRule>
    <cfRule type="expression" priority="352" dxfId="0">
      <formula>AND(IF($Q24=3,1,IF($Q24=4,1,0)),IF($F24&lt;=85,1,0))</formula>
    </cfRule>
  </conditionalFormatting>
  <conditionalFormatting sqref="AV25">
    <cfRule type="expression" priority="347" dxfId="17">
      <formula>AV25="X"</formula>
    </cfRule>
    <cfRule type="expression" priority="348" dxfId="16">
      <formula>AV25="후보"</formula>
    </cfRule>
  </conditionalFormatting>
  <conditionalFormatting sqref="AC25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25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25">
    <cfRule type="expression" priority="338" dxfId="3">
      <formula>AND(IF(OR($Q25=1,$Q25=2),1,0),IF($X25&lt;=20,1,0))</formula>
    </cfRule>
    <cfRule type="expression" priority="339" dxfId="2">
      <formula>AND(IF($Q25=2,1,0),IF($X25&lt;30,1,0))</formula>
    </cfRule>
    <cfRule type="expression" priority="340" dxfId="1">
      <formula>AND(IF($Q25=3,1,0),IF($X25&lt;30,1,0))</formula>
    </cfRule>
    <cfRule type="expression" priority="341" dxfId="0">
      <formula>AND(IF($Q25=3,1,IF($Q25=4,1,0)),IF($F25&lt;=85,1,0))</formula>
    </cfRule>
  </conditionalFormatting>
  <conditionalFormatting sqref="X25">
    <cfRule type="expression" priority="334" dxfId="3">
      <formula>AND(IF(OR($Q25=1,$Q25=2),1,0),IF($X25&lt;=20,1,0))</formula>
    </cfRule>
    <cfRule type="expression" priority="335" dxfId="2">
      <formula>AND(IF($Q25=2,1,0),IF($X25&lt;30,1,0))</formula>
    </cfRule>
    <cfRule type="expression" priority="336" dxfId="1">
      <formula>AND(IF($Q25=3,1,0),IF($X25&lt;30,1,0))</formula>
    </cfRule>
    <cfRule type="expression" priority="337" dxfId="0">
      <formula>AND(IF($Q25=3,1,IF($Q25=4,1,0)),IF($F25&lt;=85,1,0))</formula>
    </cfRule>
  </conditionalFormatting>
  <conditionalFormatting sqref="AI25">
    <cfRule type="expression" priority="330" dxfId="3">
      <formula>AND(IF(OR($Q25=1,$Q25=2),1,0),IF($X25&lt;=20,1,0))</formula>
    </cfRule>
    <cfRule type="expression" priority="331" dxfId="2">
      <formula>AND(IF($Q25=2,1,0),IF($X25&lt;30,1,0))</formula>
    </cfRule>
    <cfRule type="expression" priority="332" dxfId="1">
      <formula>AND(IF($Q25=3,1,0),IF($X25&lt;30,1,0))</formula>
    </cfRule>
    <cfRule type="expression" priority="333" dxfId="0">
      <formula>AND(IF($Q25=3,1,IF($Q25=4,1,0)),IF($F25&lt;=85,1,0))</formula>
    </cfRule>
  </conditionalFormatting>
  <conditionalFormatting sqref="AV26">
    <cfRule type="expression" priority="328" dxfId="17">
      <formula>AV26="X"</formula>
    </cfRule>
    <cfRule type="expression" priority="329" dxfId="16">
      <formula>AV26="후보"</formula>
    </cfRule>
  </conditionalFormatting>
  <conditionalFormatting sqref="AC26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26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26">
    <cfRule type="expression" priority="319" dxfId="3">
      <formula>AND(IF(OR($Q26=1,$Q26=2),1,0),IF($X26&lt;=20,1,0))</formula>
    </cfRule>
    <cfRule type="expression" priority="320" dxfId="2">
      <formula>AND(IF($Q26=2,1,0),IF($X26&lt;30,1,0))</formula>
    </cfRule>
    <cfRule type="expression" priority="321" dxfId="1">
      <formula>AND(IF($Q26=3,1,0),IF($X26&lt;30,1,0))</formula>
    </cfRule>
    <cfRule type="expression" priority="322" dxfId="0">
      <formula>AND(IF($Q26=3,1,IF($Q26=4,1,0)),IF($F26&lt;=85,1,0))</formula>
    </cfRule>
  </conditionalFormatting>
  <conditionalFormatting sqref="X26">
    <cfRule type="expression" priority="315" dxfId="3">
      <formula>AND(IF(OR($Q26=1,$Q26=2),1,0),IF($X26&lt;=20,1,0))</formula>
    </cfRule>
    <cfRule type="expression" priority="316" dxfId="2">
      <formula>AND(IF($Q26=2,1,0),IF($X26&lt;30,1,0))</formula>
    </cfRule>
    <cfRule type="expression" priority="317" dxfId="1">
      <formula>AND(IF($Q26=3,1,0),IF($X26&lt;30,1,0))</formula>
    </cfRule>
    <cfRule type="expression" priority="318" dxfId="0">
      <formula>AND(IF($Q26=3,1,IF($Q26=4,1,0)),IF($F26&lt;=85,1,0))</formula>
    </cfRule>
  </conditionalFormatting>
  <conditionalFormatting sqref="AI26">
    <cfRule type="expression" priority="311" dxfId="3">
      <formula>AND(IF(OR($Q26=1,$Q26=2),1,0),IF($X26&lt;=20,1,0))</formula>
    </cfRule>
    <cfRule type="expression" priority="312" dxfId="2">
      <formula>AND(IF($Q26=2,1,0),IF($X26&lt;30,1,0))</formula>
    </cfRule>
    <cfRule type="expression" priority="313" dxfId="1">
      <formula>AND(IF($Q26=3,1,0),IF($X26&lt;30,1,0))</formula>
    </cfRule>
    <cfRule type="expression" priority="314" dxfId="0">
      <formula>AND(IF($Q26=3,1,IF($Q26=4,1,0)),IF($F26&lt;=85,1,0))</formula>
    </cfRule>
  </conditionalFormatting>
  <conditionalFormatting sqref="AV27">
    <cfRule type="expression" priority="309" dxfId="17">
      <formula>AV27="X"</formula>
    </cfRule>
    <cfRule type="expression" priority="310" dxfId="16">
      <formula>AV27="후보"</formula>
    </cfRule>
  </conditionalFormatting>
  <conditionalFormatting sqref="AC27 N27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28">
    <cfRule type="expression" priority="304" dxfId="17">
      <formula>AV28="X"</formula>
    </cfRule>
    <cfRule type="expression" priority="305" dxfId="16">
      <formula>AV28="후보"</formula>
    </cfRule>
  </conditionalFormatting>
  <conditionalFormatting sqref="AC2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8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28">
    <cfRule type="expression" priority="295" dxfId="3">
      <formula>AND(IF(OR($Q28=1,$Q28=2),1,0),IF($X28&lt;=20,1,0))</formula>
    </cfRule>
    <cfRule type="expression" priority="296" dxfId="2">
      <formula>AND(IF($Q28=2,1,0),IF($X28&lt;30,1,0))</formula>
    </cfRule>
    <cfRule type="expression" priority="297" dxfId="1">
      <formula>AND(IF($Q28=3,1,0),IF($X28&lt;30,1,0))</formula>
    </cfRule>
    <cfRule type="expression" priority="298" dxfId="0">
      <formula>AND(IF($Q28=3,1,IF($Q28=4,1,0)),IF($F28&lt;=85,1,0))</formula>
    </cfRule>
  </conditionalFormatting>
  <conditionalFormatting sqref="X28">
    <cfRule type="expression" priority="291" dxfId="3">
      <formula>AND(IF(OR($Q28=1,$Q28=2),1,0),IF($X28&lt;=20,1,0))</formula>
    </cfRule>
    <cfRule type="expression" priority="292" dxfId="2">
      <formula>AND(IF($Q28=2,1,0),IF($X28&lt;30,1,0))</formula>
    </cfRule>
    <cfRule type="expression" priority="293" dxfId="1">
      <formula>AND(IF($Q28=3,1,0),IF($X28&lt;30,1,0))</formula>
    </cfRule>
    <cfRule type="expression" priority="294" dxfId="0">
      <formula>AND(IF($Q28=3,1,IF($Q28=4,1,0)),IF($F28&lt;=85,1,0))</formula>
    </cfRule>
  </conditionalFormatting>
  <conditionalFormatting sqref="AI28">
    <cfRule type="expression" priority="287" dxfId="3">
      <formula>AND(IF(OR($Q28=1,$Q28=2),1,0),IF($X28&lt;=20,1,0))</formula>
    </cfRule>
    <cfRule type="expression" priority="288" dxfId="2">
      <formula>AND(IF($Q28=2,1,0),IF($X28&lt;30,1,0))</formula>
    </cfRule>
    <cfRule type="expression" priority="289" dxfId="1">
      <formula>AND(IF($Q28=3,1,0),IF($X28&lt;30,1,0))</formula>
    </cfRule>
    <cfRule type="expression" priority="290" dxfId="0">
      <formula>AND(IF($Q28=3,1,IF($Q28=4,1,0)),IF($F28&lt;=85,1,0))</formula>
    </cfRule>
  </conditionalFormatting>
  <conditionalFormatting sqref="AV29">
    <cfRule type="expression" priority="285" dxfId="17">
      <formula>AV29="X"</formula>
    </cfRule>
    <cfRule type="expression" priority="286" dxfId="16">
      <formula>AV29="후보"</formula>
    </cfRule>
  </conditionalFormatting>
  <conditionalFormatting sqref="AC29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29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29">
    <cfRule type="expression" priority="276" dxfId="3">
      <formula>AND(IF(OR($Q29=1,$Q29=2),1,0),IF($X29&lt;=20,1,0))</formula>
    </cfRule>
    <cfRule type="expression" priority="277" dxfId="2">
      <formula>AND(IF($Q29=2,1,0),IF($X29&lt;30,1,0))</formula>
    </cfRule>
    <cfRule type="expression" priority="278" dxfId="1">
      <formula>AND(IF($Q29=3,1,0),IF($X29&lt;30,1,0))</formula>
    </cfRule>
    <cfRule type="expression" priority="279" dxfId="0">
      <formula>AND(IF($Q29=3,1,IF($Q29=4,1,0)),IF($F29&lt;=85,1,0))</formula>
    </cfRule>
  </conditionalFormatting>
  <conditionalFormatting sqref="X29">
    <cfRule type="expression" priority="272" dxfId="3">
      <formula>AND(IF(OR($Q29=1,$Q29=2),1,0),IF($X29&lt;=20,1,0))</formula>
    </cfRule>
    <cfRule type="expression" priority="273" dxfId="2">
      <formula>AND(IF($Q29=2,1,0),IF($X29&lt;30,1,0))</formula>
    </cfRule>
    <cfRule type="expression" priority="274" dxfId="1">
      <formula>AND(IF($Q29=3,1,0),IF($X29&lt;30,1,0))</formula>
    </cfRule>
    <cfRule type="expression" priority="275" dxfId="0">
      <formula>AND(IF($Q29=3,1,IF($Q29=4,1,0)),IF($F29&lt;=85,1,0))</formula>
    </cfRule>
  </conditionalFormatting>
  <conditionalFormatting sqref="AI29">
    <cfRule type="expression" priority="268" dxfId="3">
      <formula>AND(IF(OR($Q29=1,$Q29=2),1,0),IF($X29&lt;=20,1,0))</formula>
    </cfRule>
    <cfRule type="expression" priority="269" dxfId="2">
      <formula>AND(IF($Q29=2,1,0),IF($X29&lt;30,1,0))</formula>
    </cfRule>
    <cfRule type="expression" priority="270" dxfId="1">
      <formula>AND(IF($Q29=3,1,0),IF($X29&lt;30,1,0))</formula>
    </cfRule>
    <cfRule type="expression" priority="271" dxfId="0">
      <formula>AND(IF($Q29=3,1,IF($Q29=4,1,0)),IF($F29&lt;=85,1,0))</formula>
    </cfRule>
  </conditionalFormatting>
  <conditionalFormatting sqref="AV30">
    <cfRule type="expression" priority="266" dxfId="17">
      <formula>AV30="X"</formula>
    </cfRule>
    <cfRule type="expression" priority="267" dxfId="16">
      <formula>AV30="후보"</formula>
    </cfRule>
  </conditionalFormatting>
  <conditionalFormatting sqref="AC30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30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30">
    <cfRule type="expression" priority="257" dxfId="3">
      <formula>AND(IF(OR($Q30=1,$Q30=2),1,0),IF($X30&lt;=20,1,0))</formula>
    </cfRule>
    <cfRule type="expression" priority="258" dxfId="2">
      <formula>AND(IF($Q30=2,1,0),IF($X30&lt;30,1,0))</formula>
    </cfRule>
    <cfRule type="expression" priority="259" dxfId="1">
      <formula>AND(IF($Q30=3,1,0),IF($X30&lt;30,1,0))</formula>
    </cfRule>
    <cfRule type="expression" priority="260" dxfId="0">
      <formula>AND(IF($Q30=3,1,IF($Q30=4,1,0)),IF($F30&lt;=85,1,0))</formula>
    </cfRule>
  </conditionalFormatting>
  <conditionalFormatting sqref="X30">
    <cfRule type="expression" priority="253" dxfId="3">
      <formula>AND(IF(OR($Q30=1,$Q30=2),1,0),IF($X30&lt;=20,1,0))</formula>
    </cfRule>
    <cfRule type="expression" priority="254" dxfId="2">
      <formula>AND(IF($Q30=2,1,0),IF($X30&lt;30,1,0))</formula>
    </cfRule>
    <cfRule type="expression" priority="255" dxfId="1">
      <formula>AND(IF($Q30=3,1,0),IF($X30&lt;30,1,0))</formula>
    </cfRule>
    <cfRule type="expression" priority="256" dxfId="0">
      <formula>AND(IF($Q30=3,1,IF($Q30=4,1,0)),IF($F30&lt;=85,1,0))</formula>
    </cfRule>
  </conditionalFormatting>
  <conditionalFormatting sqref="AI30">
    <cfRule type="expression" priority="249" dxfId="3">
      <formula>AND(IF(OR($Q30=1,$Q30=2),1,0),IF($X30&lt;=20,1,0))</formula>
    </cfRule>
    <cfRule type="expression" priority="250" dxfId="2">
      <formula>AND(IF($Q30=2,1,0),IF($X30&lt;30,1,0))</formula>
    </cfRule>
    <cfRule type="expression" priority="251" dxfId="1">
      <formula>AND(IF($Q30=3,1,0),IF($X30&lt;30,1,0))</formula>
    </cfRule>
    <cfRule type="expression" priority="252" dxfId="0">
      <formula>AND(IF($Q30=3,1,IF($Q30=4,1,0)),IF($F30&lt;=85,1,0))</formula>
    </cfRule>
  </conditionalFormatting>
  <conditionalFormatting sqref="AV31">
    <cfRule type="expression" priority="247" dxfId="17">
      <formula>AV31="X"</formula>
    </cfRule>
    <cfRule type="expression" priority="248" dxfId="16">
      <formula>AV31="후보"</formula>
    </cfRule>
  </conditionalFormatting>
  <conditionalFormatting sqref="AC31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31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31">
    <cfRule type="expression" priority="238" dxfId="3">
      <formula>AND(IF(OR($Q31=1,$Q31=2),1,0),IF($X31&lt;=20,1,0))</formula>
    </cfRule>
    <cfRule type="expression" priority="239" dxfId="2">
      <formula>AND(IF($Q31=2,1,0),IF($X31&lt;30,1,0))</formula>
    </cfRule>
    <cfRule type="expression" priority="240" dxfId="1">
      <formula>AND(IF($Q31=3,1,0),IF($X31&lt;30,1,0))</formula>
    </cfRule>
    <cfRule type="expression" priority="241" dxfId="0">
      <formula>AND(IF($Q31=3,1,IF($Q31=4,1,0)),IF($F31&lt;=85,1,0))</formula>
    </cfRule>
  </conditionalFormatting>
  <conditionalFormatting sqref="X31">
    <cfRule type="expression" priority="234" dxfId="3">
      <formula>AND(IF(OR($Q31=1,$Q31=2),1,0),IF($X31&lt;=20,1,0))</formula>
    </cfRule>
    <cfRule type="expression" priority="235" dxfId="2">
      <formula>AND(IF($Q31=2,1,0),IF($X31&lt;30,1,0))</formula>
    </cfRule>
    <cfRule type="expression" priority="236" dxfId="1">
      <formula>AND(IF($Q31=3,1,0),IF($X31&lt;30,1,0))</formula>
    </cfRule>
    <cfRule type="expression" priority="237" dxfId="0">
      <formula>AND(IF($Q31=3,1,IF($Q31=4,1,0)),IF($F31&lt;=85,1,0))</formula>
    </cfRule>
  </conditionalFormatting>
  <conditionalFormatting sqref="AI31">
    <cfRule type="expression" priority="230" dxfId="3">
      <formula>AND(IF(OR($Q31=1,$Q31=2),1,0),IF($X31&lt;=20,1,0))</formula>
    </cfRule>
    <cfRule type="expression" priority="231" dxfId="2">
      <formula>AND(IF($Q31=2,1,0),IF($X31&lt;30,1,0))</formula>
    </cfRule>
    <cfRule type="expression" priority="232" dxfId="1">
      <formula>AND(IF($Q31=3,1,0),IF($X31&lt;30,1,0))</formula>
    </cfRule>
    <cfRule type="expression" priority="233" dxfId="0">
      <formula>AND(IF($Q31=3,1,IF($Q31=4,1,0)),IF($F31&lt;=85,1,0))</formula>
    </cfRule>
  </conditionalFormatting>
  <conditionalFormatting sqref="AV32">
    <cfRule type="expression" priority="228" dxfId="17">
      <formula>AV32="X"</formula>
    </cfRule>
    <cfRule type="expression" priority="229" dxfId="16">
      <formula>AV32="후보"</formula>
    </cfRule>
  </conditionalFormatting>
  <conditionalFormatting sqref="AC32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32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32">
    <cfRule type="expression" priority="219" dxfId="3">
      <formula>AND(IF(OR($Q32=1,$Q32=2),1,0),IF($X32&lt;=20,1,0))</formula>
    </cfRule>
    <cfRule type="expression" priority="220" dxfId="2">
      <formula>AND(IF($Q32=2,1,0),IF($X32&lt;30,1,0))</formula>
    </cfRule>
    <cfRule type="expression" priority="221" dxfId="1">
      <formula>AND(IF($Q32=3,1,0),IF($X32&lt;30,1,0))</formula>
    </cfRule>
    <cfRule type="expression" priority="222" dxfId="0">
      <formula>AND(IF($Q32=3,1,IF($Q32=4,1,0)),IF($F32&lt;=85,1,0))</formula>
    </cfRule>
  </conditionalFormatting>
  <conditionalFormatting sqref="X32">
    <cfRule type="expression" priority="215" dxfId="3">
      <formula>AND(IF(OR($Q32=1,$Q32=2),1,0),IF($X32&lt;=20,1,0))</formula>
    </cfRule>
    <cfRule type="expression" priority="216" dxfId="2">
      <formula>AND(IF($Q32=2,1,0),IF($X32&lt;30,1,0))</formula>
    </cfRule>
    <cfRule type="expression" priority="217" dxfId="1">
      <formula>AND(IF($Q32=3,1,0),IF($X32&lt;30,1,0))</formula>
    </cfRule>
    <cfRule type="expression" priority="218" dxfId="0">
      <formula>AND(IF($Q32=3,1,IF($Q32=4,1,0)),IF($F32&lt;=85,1,0))</formula>
    </cfRule>
  </conditionalFormatting>
  <conditionalFormatting sqref="AI32">
    <cfRule type="expression" priority="211" dxfId="3">
      <formula>AND(IF(OR($Q32=1,$Q32=2),1,0),IF($X32&lt;=20,1,0))</formula>
    </cfRule>
    <cfRule type="expression" priority="212" dxfId="2">
      <formula>AND(IF($Q32=2,1,0),IF($X32&lt;30,1,0))</formula>
    </cfRule>
    <cfRule type="expression" priority="213" dxfId="1">
      <formula>AND(IF($Q32=3,1,0),IF($X32&lt;30,1,0))</formula>
    </cfRule>
    <cfRule type="expression" priority="214" dxfId="0">
      <formula>AND(IF($Q32=3,1,IF($Q32=4,1,0)),IF($F32&lt;=85,1,0))</formula>
    </cfRule>
  </conditionalFormatting>
  <conditionalFormatting sqref="AV33">
    <cfRule type="expression" priority="209" dxfId="17">
      <formula>AV33="X"</formula>
    </cfRule>
    <cfRule type="expression" priority="210" dxfId="16">
      <formula>AV33="후보"</formula>
    </cfRule>
  </conditionalFormatting>
  <conditionalFormatting sqref="AC33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33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33">
    <cfRule type="expression" priority="200" dxfId="3">
      <formula>AND(IF(OR($Q33=1,$Q33=2),1,0),IF($X33&lt;=20,1,0))</formula>
    </cfRule>
    <cfRule type="expression" priority="201" dxfId="2">
      <formula>AND(IF($Q33=2,1,0),IF($X33&lt;30,1,0))</formula>
    </cfRule>
    <cfRule type="expression" priority="202" dxfId="1">
      <formula>AND(IF($Q33=3,1,0),IF($X33&lt;30,1,0))</formula>
    </cfRule>
    <cfRule type="expression" priority="203" dxfId="0">
      <formula>AND(IF($Q33=3,1,IF($Q33=4,1,0)),IF($F33&lt;=85,1,0))</formula>
    </cfRule>
  </conditionalFormatting>
  <conditionalFormatting sqref="X33">
    <cfRule type="expression" priority="196" dxfId="3">
      <formula>AND(IF(OR($Q33=1,$Q33=2),1,0),IF($X33&lt;=20,1,0))</formula>
    </cfRule>
    <cfRule type="expression" priority="197" dxfId="2">
      <formula>AND(IF($Q33=2,1,0),IF($X33&lt;30,1,0))</formula>
    </cfRule>
    <cfRule type="expression" priority="198" dxfId="1">
      <formula>AND(IF($Q33=3,1,0),IF($X33&lt;30,1,0))</formula>
    </cfRule>
    <cfRule type="expression" priority="199" dxfId="0">
      <formula>AND(IF($Q33=3,1,IF($Q33=4,1,0)),IF($F33&lt;=85,1,0))</formula>
    </cfRule>
  </conditionalFormatting>
  <conditionalFormatting sqref="AI33">
    <cfRule type="expression" priority="192" dxfId="3">
      <formula>AND(IF(OR($Q33=1,$Q33=2),1,0),IF($X33&lt;=20,1,0))</formula>
    </cfRule>
    <cfRule type="expression" priority="193" dxfId="2">
      <formula>AND(IF($Q33=2,1,0),IF($X33&lt;30,1,0))</formula>
    </cfRule>
    <cfRule type="expression" priority="194" dxfId="1">
      <formula>AND(IF($Q33=3,1,0),IF($X33&lt;30,1,0))</formula>
    </cfRule>
    <cfRule type="expression" priority="195" dxfId="0">
      <formula>AND(IF($Q33=3,1,IF($Q33=4,1,0)),IF($F33&lt;=85,1,0))</formula>
    </cfRule>
  </conditionalFormatting>
  <conditionalFormatting sqref="AV34">
    <cfRule type="expression" priority="190" dxfId="17">
      <formula>AV34="X"</formula>
    </cfRule>
    <cfRule type="expression" priority="191" dxfId="16">
      <formula>AV34="후보"</formula>
    </cfRule>
  </conditionalFormatting>
  <conditionalFormatting sqref="AC34 N34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AV35">
    <cfRule type="expression" priority="185" dxfId="17">
      <formula>AV35="X"</formula>
    </cfRule>
    <cfRule type="expression" priority="186" dxfId="16">
      <formula>AV35="후보"</formula>
    </cfRule>
  </conditionalFormatting>
  <conditionalFormatting sqref="AC35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35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35">
    <cfRule type="expression" priority="176" dxfId="3">
      <formula>AND(IF(OR($Q35=1,$Q35=2),1,0),IF($X35&lt;=20,1,0))</formula>
    </cfRule>
    <cfRule type="expression" priority="177" dxfId="2">
      <formula>AND(IF($Q35=2,1,0),IF($X35&lt;30,1,0))</formula>
    </cfRule>
    <cfRule type="expression" priority="178" dxfId="1">
      <formula>AND(IF($Q35=3,1,0),IF($X35&lt;30,1,0))</formula>
    </cfRule>
    <cfRule type="expression" priority="179" dxfId="0">
      <formula>AND(IF($Q35=3,1,IF($Q35=4,1,0)),IF($F35&lt;=85,1,0))</formula>
    </cfRule>
  </conditionalFormatting>
  <conditionalFormatting sqref="X35">
    <cfRule type="expression" priority="172" dxfId="3">
      <formula>AND(IF(OR($Q35=1,$Q35=2),1,0),IF($X35&lt;=20,1,0))</formula>
    </cfRule>
    <cfRule type="expression" priority="173" dxfId="2">
      <formula>AND(IF($Q35=2,1,0),IF($X35&lt;30,1,0))</formula>
    </cfRule>
    <cfRule type="expression" priority="174" dxfId="1">
      <formula>AND(IF($Q35=3,1,0),IF($X35&lt;30,1,0))</formula>
    </cfRule>
    <cfRule type="expression" priority="175" dxfId="0">
      <formula>AND(IF($Q35=3,1,IF($Q35=4,1,0)),IF($F35&lt;=85,1,0))</formula>
    </cfRule>
  </conditionalFormatting>
  <conditionalFormatting sqref="AI35">
    <cfRule type="expression" priority="168" dxfId="3">
      <formula>AND(IF(OR($Q35=1,$Q35=2),1,0),IF($X35&lt;=20,1,0))</formula>
    </cfRule>
    <cfRule type="expression" priority="169" dxfId="2">
      <formula>AND(IF($Q35=2,1,0),IF($X35&lt;30,1,0))</formula>
    </cfRule>
    <cfRule type="expression" priority="170" dxfId="1">
      <formula>AND(IF($Q35=3,1,0),IF($X35&lt;30,1,0))</formula>
    </cfRule>
    <cfRule type="expression" priority="171" dxfId="0">
      <formula>AND(IF($Q35=3,1,IF($Q35=4,1,0)),IF($F35&lt;=85,1,0))</formula>
    </cfRule>
  </conditionalFormatting>
  <conditionalFormatting sqref="AV36">
    <cfRule type="expression" priority="166" dxfId="17">
      <formula>AV36="X"</formula>
    </cfRule>
    <cfRule type="expression" priority="167" dxfId="16">
      <formula>AV36="후보"</formula>
    </cfRule>
  </conditionalFormatting>
  <conditionalFormatting sqref="AC36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36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36">
    <cfRule type="expression" priority="157" dxfId="3">
      <formula>AND(IF(OR($Q36=1,$Q36=2),1,0),IF($X36&lt;=20,1,0))</formula>
    </cfRule>
    <cfRule type="expression" priority="158" dxfId="2">
      <formula>AND(IF($Q36=2,1,0),IF($X36&lt;30,1,0))</formula>
    </cfRule>
    <cfRule type="expression" priority="159" dxfId="1">
      <formula>AND(IF($Q36=3,1,0),IF($X36&lt;30,1,0))</formula>
    </cfRule>
    <cfRule type="expression" priority="160" dxfId="0">
      <formula>AND(IF($Q36=3,1,IF($Q36=4,1,0)),IF($F36&lt;=85,1,0))</formula>
    </cfRule>
  </conditionalFormatting>
  <conditionalFormatting sqref="X36">
    <cfRule type="expression" priority="153" dxfId="3">
      <formula>AND(IF(OR($Q36=1,$Q36=2),1,0),IF($X36&lt;=20,1,0))</formula>
    </cfRule>
    <cfRule type="expression" priority="154" dxfId="2">
      <formula>AND(IF($Q36=2,1,0),IF($X36&lt;30,1,0))</formula>
    </cfRule>
    <cfRule type="expression" priority="155" dxfId="1">
      <formula>AND(IF($Q36=3,1,0),IF($X36&lt;30,1,0))</formula>
    </cfRule>
    <cfRule type="expression" priority="156" dxfId="0">
      <formula>AND(IF($Q36=3,1,IF($Q36=4,1,0)),IF($F36&lt;=85,1,0))</formula>
    </cfRule>
  </conditionalFormatting>
  <conditionalFormatting sqref="AI36">
    <cfRule type="expression" priority="149" dxfId="3">
      <formula>AND(IF(OR($Q36=1,$Q36=2),1,0),IF($X36&lt;=20,1,0))</formula>
    </cfRule>
    <cfRule type="expression" priority="150" dxfId="2">
      <formula>AND(IF($Q36=2,1,0),IF($X36&lt;30,1,0))</formula>
    </cfRule>
    <cfRule type="expression" priority="151" dxfId="1">
      <formula>AND(IF($Q36=3,1,0),IF($X36&lt;30,1,0))</formula>
    </cfRule>
    <cfRule type="expression" priority="152" dxfId="0">
      <formula>AND(IF($Q36=3,1,IF($Q36=4,1,0)),IF($F36&lt;=85,1,0))</formula>
    </cfRule>
  </conditionalFormatting>
  <conditionalFormatting sqref="AV37">
    <cfRule type="expression" priority="147" dxfId="17">
      <formula>AV37="X"</formula>
    </cfRule>
    <cfRule type="expression" priority="148" dxfId="16">
      <formula>AV37="후보"</formula>
    </cfRule>
  </conditionalFormatting>
  <conditionalFormatting sqref="AC37 N37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38">
    <cfRule type="expression" priority="142" dxfId="17">
      <formula>AV38="X"</formula>
    </cfRule>
    <cfRule type="expression" priority="143" dxfId="16">
      <formula>AV38="후보"</formula>
    </cfRule>
  </conditionalFormatting>
  <conditionalFormatting sqref="AC3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38">
    <cfRule type="expression" priority="133" dxfId="3">
      <formula>AND(IF(OR($Q38=1,$Q38=2),1,0),IF($X38&lt;=20,1,0))</formula>
    </cfRule>
    <cfRule type="expression" priority="134" dxfId="2">
      <formula>AND(IF($Q38=2,1,0),IF($X38&lt;30,1,0))</formula>
    </cfRule>
    <cfRule type="expression" priority="135" dxfId="1">
      <formula>AND(IF($Q38=3,1,0),IF($X38&lt;30,1,0))</formula>
    </cfRule>
    <cfRule type="expression" priority="136" dxfId="0">
      <formula>AND(IF($Q38=3,1,IF($Q38=4,1,0)),IF($F38&lt;=85,1,0))</formula>
    </cfRule>
  </conditionalFormatting>
  <conditionalFormatting sqref="X38">
    <cfRule type="expression" priority="129" dxfId="3">
      <formula>AND(IF(OR($Q38=1,$Q38=2),1,0),IF($X38&lt;=20,1,0))</formula>
    </cfRule>
    <cfRule type="expression" priority="130" dxfId="2">
      <formula>AND(IF($Q38=2,1,0),IF($X38&lt;30,1,0))</formula>
    </cfRule>
    <cfRule type="expression" priority="131" dxfId="1">
      <formula>AND(IF($Q38=3,1,0),IF($X38&lt;30,1,0))</formula>
    </cfRule>
    <cfRule type="expression" priority="132" dxfId="0">
      <formula>AND(IF($Q38=3,1,IF($Q38=4,1,0)),IF($F38&lt;=85,1,0))</formula>
    </cfRule>
  </conditionalFormatting>
  <conditionalFormatting sqref="AI38">
    <cfRule type="expression" priority="125" dxfId="3">
      <formula>AND(IF(OR($Q38=1,$Q38=2),1,0),IF($X38&lt;=20,1,0))</formula>
    </cfRule>
    <cfRule type="expression" priority="126" dxfId="2">
      <formula>AND(IF($Q38=2,1,0),IF($X38&lt;30,1,0))</formula>
    </cfRule>
    <cfRule type="expression" priority="127" dxfId="1">
      <formula>AND(IF($Q38=3,1,0),IF($X38&lt;30,1,0))</formula>
    </cfRule>
    <cfRule type="expression" priority="128" dxfId="0">
      <formula>AND(IF($Q38=3,1,IF($Q38=4,1,0)),IF($F38&lt;=85,1,0))</formula>
    </cfRule>
  </conditionalFormatting>
  <conditionalFormatting sqref="AV39">
    <cfRule type="expression" priority="123" dxfId="17">
      <formula>AV39="X"</formula>
    </cfRule>
    <cfRule type="expression" priority="124" dxfId="16">
      <formula>AV39="후보"</formula>
    </cfRule>
  </conditionalFormatting>
  <conditionalFormatting sqref="AC39 N3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40">
    <cfRule type="expression" priority="118" dxfId="17">
      <formula>AV40="X"</formula>
    </cfRule>
    <cfRule type="expression" priority="119" dxfId="16">
      <formula>AV40="후보"</formula>
    </cfRule>
  </conditionalFormatting>
  <conditionalFormatting sqref="AC4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0">
    <cfRule type="expression" priority="109" dxfId="3">
      <formula>AND(IF(OR($Q40=1,$Q40=2),1,0),IF($X40&lt;=20,1,0))</formula>
    </cfRule>
    <cfRule type="expression" priority="110" dxfId="2">
      <formula>AND(IF($Q40=2,1,0),IF($X40&lt;30,1,0))</formula>
    </cfRule>
    <cfRule type="expression" priority="111" dxfId="1">
      <formula>AND(IF($Q40=3,1,0),IF($X40&lt;30,1,0))</formula>
    </cfRule>
    <cfRule type="expression" priority="112" dxfId="0">
      <formula>AND(IF($Q40=3,1,IF($Q40=4,1,0)),IF($F40&lt;=85,1,0))</formula>
    </cfRule>
  </conditionalFormatting>
  <conditionalFormatting sqref="X40">
    <cfRule type="expression" priority="105" dxfId="3">
      <formula>AND(IF(OR($Q40=1,$Q40=2),1,0),IF($X40&lt;=20,1,0))</formula>
    </cfRule>
    <cfRule type="expression" priority="106" dxfId="2">
      <formula>AND(IF($Q40=2,1,0),IF($X40&lt;30,1,0))</formula>
    </cfRule>
    <cfRule type="expression" priority="107" dxfId="1">
      <formula>AND(IF($Q40=3,1,0),IF($X40&lt;30,1,0))</formula>
    </cfRule>
    <cfRule type="expression" priority="108" dxfId="0">
      <formula>AND(IF($Q40=3,1,IF($Q40=4,1,0)),IF($F40&lt;=85,1,0))</formula>
    </cfRule>
  </conditionalFormatting>
  <conditionalFormatting sqref="AI40">
    <cfRule type="expression" priority="101" dxfId="3">
      <formula>AND(IF(OR($Q40=1,$Q40=2),1,0),IF($X40&lt;=20,1,0))</formula>
    </cfRule>
    <cfRule type="expression" priority="102" dxfId="2">
      <formula>AND(IF($Q40=2,1,0),IF($X40&lt;30,1,0))</formula>
    </cfRule>
    <cfRule type="expression" priority="103" dxfId="1">
      <formula>AND(IF($Q40=3,1,0),IF($X40&lt;30,1,0))</formula>
    </cfRule>
    <cfRule type="expression" priority="104" dxfId="0">
      <formula>AND(IF($Q40=3,1,IF($Q40=4,1,0)),IF($F40&lt;=85,1,0))</formula>
    </cfRule>
  </conditionalFormatting>
  <conditionalFormatting sqref="AV41">
    <cfRule type="expression" priority="99" dxfId="17">
      <formula>AV41="X"</formula>
    </cfRule>
    <cfRule type="expression" priority="100" dxfId="16">
      <formula>AV41="후보"</formula>
    </cfRule>
  </conditionalFormatting>
  <conditionalFormatting sqref="AC4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1">
    <cfRule type="expression" priority="90" dxfId="3">
      <formula>AND(IF(OR($Q41=1,$Q41=2),1,0),IF($X41&lt;=20,1,0))</formula>
    </cfRule>
    <cfRule type="expression" priority="91" dxfId="2">
      <formula>AND(IF($Q41=2,1,0),IF($X41&lt;30,1,0))</formula>
    </cfRule>
    <cfRule type="expression" priority="92" dxfId="1">
      <formula>AND(IF($Q41=3,1,0),IF($X41&lt;30,1,0))</formula>
    </cfRule>
    <cfRule type="expression" priority="93" dxfId="0">
      <formula>AND(IF($Q41=3,1,IF($Q41=4,1,0)),IF($F41&lt;=85,1,0))</formula>
    </cfRule>
  </conditionalFormatting>
  <conditionalFormatting sqref="X41">
    <cfRule type="expression" priority="86" dxfId="3">
      <formula>AND(IF(OR($Q41=1,$Q41=2),1,0),IF($X41&lt;=20,1,0))</formula>
    </cfRule>
    <cfRule type="expression" priority="87" dxfId="2">
      <formula>AND(IF($Q41=2,1,0),IF($X41&lt;30,1,0))</formula>
    </cfRule>
    <cfRule type="expression" priority="88" dxfId="1">
      <formula>AND(IF($Q41=3,1,0),IF($X41&lt;30,1,0))</formula>
    </cfRule>
    <cfRule type="expression" priority="89" dxfId="0">
      <formula>AND(IF($Q41=3,1,IF($Q41=4,1,0)),IF($F41&lt;=85,1,0))</formula>
    </cfRule>
  </conditionalFormatting>
  <conditionalFormatting sqref="AI41">
    <cfRule type="expression" priority="82" dxfId="3">
      <formula>AND(IF(OR($Q41=1,$Q41=2),1,0),IF($X41&lt;=20,1,0))</formula>
    </cfRule>
    <cfRule type="expression" priority="83" dxfId="2">
      <formula>AND(IF($Q41=2,1,0),IF($X41&lt;30,1,0))</formula>
    </cfRule>
    <cfRule type="expression" priority="84" dxfId="1">
      <formula>AND(IF($Q41=3,1,0),IF($X41&lt;30,1,0))</formula>
    </cfRule>
    <cfRule type="expression" priority="85" dxfId="0">
      <formula>AND(IF($Q41=3,1,IF($Q41=4,1,0)),IF($F41&lt;=85,1,0))</formula>
    </cfRule>
  </conditionalFormatting>
  <conditionalFormatting sqref="AV42">
    <cfRule type="expression" priority="80" dxfId="17">
      <formula>AV42="X"</formula>
    </cfRule>
    <cfRule type="expression" priority="81" dxfId="16">
      <formula>AV42="후보"</formula>
    </cfRule>
  </conditionalFormatting>
  <conditionalFormatting sqref="AC4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2">
    <cfRule type="expression" priority="71" dxfId="3">
      <formula>AND(IF(OR($Q42=1,$Q42=2),1,0),IF($X42&lt;=20,1,0))</formula>
    </cfRule>
    <cfRule type="expression" priority="72" dxfId="2">
      <formula>AND(IF($Q42=2,1,0),IF($X42&lt;30,1,0))</formula>
    </cfRule>
    <cfRule type="expression" priority="73" dxfId="1">
      <formula>AND(IF($Q42=3,1,0),IF($X42&lt;30,1,0))</formula>
    </cfRule>
    <cfRule type="expression" priority="74" dxfId="0">
      <formula>AND(IF($Q42=3,1,IF($Q42=4,1,0)),IF($F42&lt;=85,1,0))</formula>
    </cfRule>
  </conditionalFormatting>
  <conditionalFormatting sqref="X42">
    <cfRule type="expression" priority="67" dxfId="3">
      <formula>AND(IF(OR($Q42=1,$Q42=2),1,0),IF($X42&lt;=20,1,0))</formula>
    </cfRule>
    <cfRule type="expression" priority="68" dxfId="2">
      <formula>AND(IF($Q42=2,1,0),IF($X42&lt;30,1,0))</formula>
    </cfRule>
    <cfRule type="expression" priority="69" dxfId="1">
      <formula>AND(IF($Q42=3,1,0),IF($X42&lt;30,1,0))</formula>
    </cfRule>
    <cfRule type="expression" priority="70" dxfId="0">
      <formula>AND(IF($Q42=3,1,IF($Q42=4,1,0)),IF($F42&lt;=85,1,0))</formula>
    </cfRule>
  </conditionalFormatting>
  <conditionalFormatting sqref="AI42">
    <cfRule type="expression" priority="63" dxfId="3">
      <formula>AND(IF(OR($Q42=1,$Q42=2),1,0),IF($X42&lt;=20,1,0))</formula>
    </cfRule>
    <cfRule type="expression" priority="64" dxfId="2">
      <formula>AND(IF($Q42=2,1,0),IF($X42&lt;30,1,0))</formula>
    </cfRule>
    <cfRule type="expression" priority="65" dxfId="1">
      <formula>AND(IF($Q42=3,1,0),IF($X42&lt;30,1,0))</formula>
    </cfRule>
    <cfRule type="expression" priority="66" dxfId="0">
      <formula>AND(IF($Q42=3,1,IF($Q42=4,1,0)),IF($F42&lt;=85,1,0))</formula>
    </cfRule>
  </conditionalFormatting>
  <conditionalFormatting sqref="AV43">
    <cfRule type="expression" priority="61" dxfId="17">
      <formula>AV43="X"</formula>
    </cfRule>
    <cfRule type="expression" priority="62" dxfId="16">
      <formula>AV43="후보"</formula>
    </cfRule>
  </conditionalFormatting>
  <conditionalFormatting sqref="AC43 N4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44">
    <cfRule type="expression" priority="56" dxfId="17">
      <formula>AV44="X"</formula>
    </cfRule>
    <cfRule type="expression" priority="57" dxfId="16">
      <formula>AV44="후보"</formula>
    </cfRule>
  </conditionalFormatting>
  <conditionalFormatting sqref="AC4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4">
    <cfRule type="expression" priority="47" dxfId="3">
      <formula>AND(IF(OR($Q44=1,$Q44=2),1,0),IF($X44&lt;=20,1,0))</formula>
    </cfRule>
    <cfRule type="expression" priority="48" dxfId="2">
      <formula>AND(IF($Q44=2,1,0),IF($X44&lt;30,1,0))</formula>
    </cfRule>
    <cfRule type="expression" priority="49" dxfId="1">
      <formula>AND(IF($Q44=3,1,0),IF($X44&lt;30,1,0))</formula>
    </cfRule>
    <cfRule type="expression" priority="50" dxfId="0">
      <formula>AND(IF($Q44=3,1,IF($Q44=4,1,0)),IF($F44&lt;=85,1,0))</formula>
    </cfRule>
  </conditionalFormatting>
  <conditionalFormatting sqref="X44">
    <cfRule type="expression" priority="43" dxfId="3">
      <formula>AND(IF(OR($Q44=1,$Q44=2),1,0),IF($X44&lt;=20,1,0))</formula>
    </cfRule>
    <cfRule type="expression" priority="44" dxfId="2">
      <formula>AND(IF($Q44=2,1,0),IF($X44&lt;30,1,0))</formula>
    </cfRule>
    <cfRule type="expression" priority="45" dxfId="1">
      <formula>AND(IF($Q44=3,1,0),IF($X44&lt;30,1,0))</formula>
    </cfRule>
    <cfRule type="expression" priority="46" dxfId="0">
      <formula>AND(IF($Q44=3,1,IF($Q44=4,1,0)),IF($F44&lt;=85,1,0))</formula>
    </cfRule>
  </conditionalFormatting>
  <conditionalFormatting sqref="AI44">
    <cfRule type="expression" priority="39" dxfId="3">
      <formula>AND(IF(OR($Q44=1,$Q44=2),1,0),IF($X44&lt;=20,1,0))</formula>
    </cfRule>
    <cfRule type="expression" priority="40" dxfId="2">
      <formula>AND(IF($Q44=2,1,0),IF($X44&lt;30,1,0))</formula>
    </cfRule>
    <cfRule type="expression" priority="41" dxfId="1">
      <formula>AND(IF($Q44=3,1,0),IF($X44&lt;30,1,0))</formula>
    </cfRule>
    <cfRule type="expression" priority="42" dxfId="0">
      <formula>AND(IF($Q44=3,1,IF($Q44=4,1,0)),IF($F44&lt;=85,1,0))</formula>
    </cfRule>
  </conditionalFormatting>
  <conditionalFormatting sqref="AV45">
    <cfRule type="expression" priority="37" dxfId="17">
      <formula>AV45="X"</formula>
    </cfRule>
    <cfRule type="expression" priority="38" dxfId="16">
      <formula>AV45="후보"</formula>
    </cfRule>
  </conditionalFormatting>
  <conditionalFormatting sqref="AC4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5">
    <cfRule type="expression" priority="28" dxfId="3">
      <formula>AND(IF(OR($Q45=1,$Q45=2),1,0),IF($X45&lt;=20,1,0))</formula>
    </cfRule>
    <cfRule type="expression" priority="29" dxfId="2">
      <formula>AND(IF($Q45=2,1,0),IF($X45&lt;30,1,0))</formula>
    </cfRule>
    <cfRule type="expression" priority="30" dxfId="1">
      <formula>AND(IF($Q45=3,1,0),IF($X45&lt;30,1,0))</formula>
    </cfRule>
    <cfRule type="expression" priority="31" dxfId="0">
      <formula>AND(IF($Q45=3,1,IF($Q45=4,1,0)),IF($F45&lt;=85,1,0))</formula>
    </cfRule>
  </conditionalFormatting>
  <conditionalFormatting sqref="X45">
    <cfRule type="expression" priority="24" dxfId="3">
      <formula>AND(IF(OR($Q45=1,$Q45=2),1,0),IF($X45&lt;=20,1,0))</formula>
    </cfRule>
    <cfRule type="expression" priority="25" dxfId="2">
      <formula>AND(IF($Q45=2,1,0),IF($X45&lt;30,1,0))</formula>
    </cfRule>
    <cfRule type="expression" priority="26" dxfId="1">
      <formula>AND(IF($Q45=3,1,0),IF($X45&lt;30,1,0))</formula>
    </cfRule>
    <cfRule type="expression" priority="27" dxfId="0">
      <formula>AND(IF($Q45=3,1,IF($Q45=4,1,0)),IF($F45&lt;=85,1,0))</formula>
    </cfRule>
  </conditionalFormatting>
  <conditionalFormatting sqref="AI45">
    <cfRule type="expression" priority="20" dxfId="3">
      <formula>AND(IF(OR($Q45=1,$Q45=2),1,0),IF($X45&lt;=20,1,0))</formula>
    </cfRule>
    <cfRule type="expression" priority="21" dxfId="2">
      <formula>AND(IF($Q45=2,1,0),IF($X45&lt;30,1,0))</formula>
    </cfRule>
    <cfRule type="expression" priority="22" dxfId="1">
      <formula>AND(IF($Q45=3,1,0),IF($X45&lt;30,1,0))</formula>
    </cfRule>
    <cfRule type="expression" priority="23" dxfId="0">
      <formula>AND(IF($Q45=3,1,IF($Q45=4,1,0)),IF($F45&lt;=85,1,0))</formula>
    </cfRule>
  </conditionalFormatting>
  <conditionalFormatting sqref="AV46">
    <cfRule type="expression" priority="18" dxfId="17">
      <formula>AV46="X"</formula>
    </cfRule>
    <cfRule type="expression" priority="19" dxfId="16">
      <formula>AV46="후보"</formula>
    </cfRule>
  </conditionalFormatting>
  <conditionalFormatting sqref="AC4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6">
    <cfRule type="expression" priority="9" dxfId="3">
      <formula>AND(IF(OR($Q46=1,$Q46=2),1,0),IF($X46&lt;=20,1,0))</formula>
    </cfRule>
    <cfRule type="expression" priority="10" dxfId="2">
      <formula>AND(IF($Q46=2,1,0),IF($X46&lt;30,1,0))</formula>
    </cfRule>
    <cfRule type="expression" priority="11" dxfId="1">
      <formula>AND(IF($Q46=3,1,0),IF($X46&lt;30,1,0))</formula>
    </cfRule>
    <cfRule type="expression" priority="12" dxfId="0">
      <formula>AND(IF($Q46=3,1,IF($Q46=4,1,0)),IF($F46&lt;=85,1,0))</formula>
    </cfRule>
  </conditionalFormatting>
  <conditionalFormatting sqref="X46">
    <cfRule type="expression" priority="5" dxfId="3">
      <formula>AND(IF(OR($Q46=1,$Q46=2),1,0),IF($X46&lt;=20,1,0))</formula>
    </cfRule>
    <cfRule type="expression" priority="6" dxfId="2">
      <formula>AND(IF($Q46=2,1,0),IF($X46&lt;30,1,0))</formula>
    </cfRule>
    <cfRule type="expression" priority="7" dxfId="1">
      <formula>AND(IF($Q46=3,1,0),IF($X46&lt;30,1,0))</formula>
    </cfRule>
    <cfRule type="expression" priority="8" dxfId="0">
      <formula>AND(IF($Q46=3,1,IF($Q46=4,1,0)),IF($F46&lt;=85,1,0))</formula>
    </cfRule>
  </conditionalFormatting>
  <conditionalFormatting sqref="AI46">
    <cfRule type="expression" priority="1" dxfId="3">
      <formula>AND(IF(OR($Q46=1,$Q46=2),1,0),IF($X46&lt;=20,1,0))</formula>
    </cfRule>
    <cfRule type="expression" priority="2" dxfId="2">
      <formula>AND(IF($Q46=2,1,0),IF($X46&lt;30,1,0))</formula>
    </cfRule>
    <cfRule type="expression" priority="3" dxfId="1">
      <formula>AND(IF($Q46=3,1,0),IF($X46&lt;30,1,0))</formula>
    </cfRule>
    <cfRule type="expression" priority="4" dxfId="0">
      <formula>AND(IF($Q46=3,1,IF($Q46=4,1,0)),IF($F46&lt;=85,1,0))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8" sqref="A48:XFD4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석남동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석남경남아너스빌</t>
        </is>
      </c>
      <c r="B6" s="16" t="inlineStr">
        <is>
          <t>'06.11.</t>
        </is>
      </c>
      <c r="C6" s="164" t="n">
        <v>471</v>
      </c>
      <c r="D6" s="161" t="n">
        <v>76.8</v>
      </c>
      <c r="E6" s="163" t="n">
        <v>23</v>
      </c>
      <c r="F6" s="161" t="n">
        <v>59.9</v>
      </c>
      <c r="G6" s="27" t="n">
        <v>18</v>
      </c>
      <c r="H6" s="164" t="n">
        <v>21</v>
      </c>
      <c r="I6" s="165" t="n">
        <v>33000</v>
      </c>
      <c r="J6" s="165" t="inlineStr">
        <is>
          <t>고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76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석남경남아너스빌</t>
        </is>
      </c>
      <c r="B7" s="16" t="inlineStr">
        <is>
          <t>'06.11.</t>
        </is>
      </c>
      <c r="C7" s="164" t="n">
        <v>471</v>
      </c>
      <c r="D7" s="161" t="n">
        <v>81.90000000000001</v>
      </c>
      <c r="E7" s="163" t="n">
        <v>25</v>
      </c>
      <c r="F7" s="161" t="n">
        <v>60</v>
      </c>
      <c r="G7" s="27" t="n">
        <v>18</v>
      </c>
      <c r="H7" s="164" t="n">
        <v>92</v>
      </c>
      <c r="I7" s="165" t="n">
        <v>33000</v>
      </c>
      <c r="J7" s="165" t="inlineStr">
        <is>
          <t>10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81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석남경남아너스빌</t>
        </is>
      </c>
      <c r="B8" s="16" t="inlineStr">
        <is>
          <t>'06.11.</t>
        </is>
      </c>
      <c r="C8" s="164" t="n">
        <v>471</v>
      </c>
      <c r="D8" s="161" t="n">
        <v>83.40000000000001</v>
      </c>
      <c r="E8" s="163" t="n">
        <v>25</v>
      </c>
      <c r="F8" s="161" t="n">
        <v>60</v>
      </c>
      <c r="G8" s="27" t="n">
        <v>18</v>
      </c>
      <c r="H8" s="164" t="n">
        <v>36</v>
      </c>
      <c r="I8" s="165" t="n">
        <v>32000</v>
      </c>
      <c r="J8" s="165" t="inlineStr">
        <is>
          <t>10</t>
        </is>
      </c>
      <c r="K8" s="165" t="n">
        <v>28000</v>
      </c>
      <c r="L8" s="165" t="inlineStr">
        <is>
          <t>10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1</v>
      </c>
      <c r="S8" s="113" t="inlineStr">
        <is>
          <t>계</t>
        </is>
      </c>
      <c r="T8" s="8" t="n">
        <v>83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석남경남아너스빌</t>
        </is>
      </c>
      <c r="B9" s="16" t="inlineStr">
        <is>
          <t>'06.11.</t>
        </is>
      </c>
      <c r="C9" s="164" t="n">
        <v>471</v>
      </c>
      <c r="D9" s="161" t="n">
        <v>90.59999999999999</v>
      </c>
      <c r="E9" s="163" t="n">
        <v>27</v>
      </c>
      <c r="F9" s="161" t="n">
        <v>70.3</v>
      </c>
      <c r="G9" s="27" t="n">
        <v>21</v>
      </c>
      <c r="H9" s="164" t="n">
        <v>41</v>
      </c>
      <c r="I9" s="165" t="n">
        <v>37000</v>
      </c>
      <c r="J9" s="165" t="inlineStr">
        <is>
          <t>7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90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석남경남아너스빌</t>
        </is>
      </c>
      <c r="B10" s="16" t="inlineStr">
        <is>
          <t>'06.11.</t>
        </is>
      </c>
      <c r="C10" s="164" t="n">
        <v>471</v>
      </c>
      <c r="D10" s="161" t="n">
        <v>104.8</v>
      </c>
      <c r="E10" s="163" t="n">
        <v>32</v>
      </c>
      <c r="F10" s="161" t="n">
        <v>84.90000000000001</v>
      </c>
      <c r="G10" s="27" t="n">
        <v>26</v>
      </c>
      <c r="H10" s="164" t="n">
        <v>78</v>
      </c>
      <c r="I10" s="165" t="n">
        <v>44000</v>
      </c>
      <c r="J10" s="165" t="inlineStr">
        <is>
          <t>21</t>
        </is>
      </c>
      <c r="K10" s="165" t="n">
        <v>32000</v>
      </c>
      <c r="L10" s="165" t="inlineStr">
        <is>
          <t>16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104A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석남경남아너스빌</t>
        </is>
      </c>
      <c r="B11" s="16" t="inlineStr">
        <is>
          <t>'06.11.</t>
        </is>
      </c>
      <c r="C11" s="164" t="n">
        <v>471</v>
      </c>
      <c r="D11" s="161" t="n">
        <v>106.4</v>
      </c>
      <c r="E11" s="163" t="n">
        <v>32</v>
      </c>
      <c r="F11" s="161" t="n">
        <v>84.90000000000001</v>
      </c>
      <c r="G11" s="27" t="n">
        <v>26</v>
      </c>
      <c r="H11" s="164" t="n">
        <v>84</v>
      </c>
      <c r="I11" s="165" t="n">
        <v>41000</v>
      </c>
      <c r="J11" s="165" t="inlineStr">
        <is>
          <t>6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106C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석남경남아너스빌</t>
        </is>
      </c>
      <c r="B12" s="16" t="inlineStr">
        <is>
          <t>'06.11.</t>
        </is>
      </c>
      <c r="C12" s="164" t="n">
        <v>471</v>
      </c>
      <c r="D12" s="161" t="n">
        <v>107</v>
      </c>
      <c r="E12" s="163" t="n">
        <v>32</v>
      </c>
      <c r="F12" s="161" t="n">
        <v>84.8</v>
      </c>
      <c r="G12" s="27" t="n">
        <v>26</v>
      </c>
      <c r="H12" s="164" t="n">
        <v>40</v>
      </c>
      <c r="I12" s="165" t="n">
        <v>40000</v>
      </c>
      <c r="J12" s="165" t="inlineStr">
        <is>
          <t>17</t>
        </is>
      </c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107A1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석남경남아너스빌</t>
        </is>
      </c>
      <c r="B13" s="16" t="inlineStr">
        <is>
          <t>'06.11.</t>
        </is>
      </c>
      <c r="C13" s="164" t="n">
        <v>471</v>
      </c>
      <c r="D13" s="161" t="n">
        <v>108.4</v>
      </c>
      <c r="E13" s="163" t="n">
        <v>33</v>
      </c>
      <c r="F13" s="161" t="n">
        <v>84.90000000000001</v>
      </c>
      <c r="G13" s="27" t="n">
        <v>26</v>
      </c>
      <c r="H13" s="164" t="n">
        <v>20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108B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석남경남아너스빌</t>
        </is>
      </c>
      <c r="B14" s="16" t="inlineStr">
        <is>
          <t>'06.11.</t>
        </is>
      </c>
      <c r="C14" s="164" t="n">
        <v>471</v>
      </c>
      <c r="D14" s="161" t="n">
        <v>109</v>
      </c>
      <c r="E14" s="163" t="n">
        <v>33</v>
      </c>
      <c r="F14" s="161" t="n">
        <v>85</v>
      </c>
      <c r="G14" s="27" t="n">
        <v>26</v>
      </c>
      <c r="H14" s="164" t="n">
        <v>18</v>
      </c>
      <c r="I14" s="165" t="n">
        <v>46000</v>
      </c>
      <c r="J14" s="165" t="inlineStr">
        <is>
          <t>14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108C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석남경남아너스빌</t>
        </is>
      </c>
      <c r="B15" s="16" t="inlineStr">
        <is>
          <t>'06.11.</t>
        </is>
      </c>
      <c r="C15" s="164" t="n">
        <v>471</v>
      </c>
      <c r="D15" s="161" t="n">
        <v>108.6</v>
      </c>
      <c r="E15" s="163" t="n">
        <v>33</v>
      </c>
      <c r="F15" s="161" t="n">
        <v>85</v>
      </c>
      <c r="G15" s="27" t="n">
        <v>26</v>
      </c>
      <c r="H15" s="164" t="n">
        <v>18</v>
      </c>
      <c r="I15" s="165" t="n">
        <v>43000</v>
      </c>
      <c r="J15" s="165" t="inlineStr">
        <is>
          <t>14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108D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석남경남아너스빌</t>
        </is>
      </c>
      <c r="B16" s="16" t="inlineStr">
        <is>
          <t>'06.11.</t>
        </is>
      </c>
      <c r="C16" s="164" t="n">
        <v>471</v>
      </c>
      <c r="D16" s="161" t="n">
        <v>117.8</v>
      </c>
      <c r="E16" s="163" t="n">
        <v>36</v>
      </c>
      <c r="F16" s="161" t="n">
        <v>84.90000000000001</v>
      </c>
      <c r="G16" s="27" t="n">
        <v>26</v>
      </c>
      <c r="H16" s="164" t="n">
        <v>23</v>
      </c>
      <c r="I16" s="165" t="n">
        <v>41000</v>
      </c>
      <c r="J16" s="165" t="inlineStr">
        <is>
          <t>8</t>
        </is>
      </c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117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롯데우람</t>
        </is>
      </c>
      <c r="B18" s="16" t="inlineStr">
        <is>
          <t>'85.12.</t>
        </is>
      </c>
      <c r="C18" s="164" t="n">
        <v>315</v>
      </c>
      <c r="D18" s="161" t="n">
        <v>64.5</v>
      </c>
      <c r="E18" s="163" t="n">
        <v>20</v>
      </c>
      <c r="F18" s="161" t="n">
        <v>52.7</v>
      </c>
      <c r="G18" s="27" t="n">
        <v>16</v>
      </c>
      <c r="H18" s="164" t="n">
        <v>175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1</v>
      </c>
      <c r="S18" s="113" t="inlineStr">
        <is>
          <t>계</t>
        </is>
      </c>
      <c r="T18" s="8" t="n">
        <v>64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롯데우람</t>
        </is>
      </c>
      <c r="B19" s="16" t="inlineStr">
        <is>
          <t>'85.12.</t>
        </is>
      </c>
      <c r="C19" s="164" t="n">
        <v>315</v>
      </c>
      <c r="D19" s="161" t="n">
        <v>71.09999999999999</v>
      </c>
      <c r="E19" s="163" t="n">
        <v>22</v>
      </c>
      <c r="F19" s="161" t="n">
        <v>58.1</v>
      </c>
      <c r="G19" s="27" t="n">
        <v>18</v>
      </c>
      <c r="H19" s="164" t="n">
        <v>120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1</v>
      </c>
      <c r="S19" s="113" t="inlineStr">
        <is>
          <t>계</t>
        </is>
      </c>
      <c r="T19" s="8" t="n">
        <v>71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롯데우람</t>
        </is>
      </c>
      <c r="B20" s="16" t="inlineStr">
        <is>
          <t>'85.12.</t>
        </is>
      </c>
      <c r="C20" s="164" t="n">
        <v>315</v>
      </c>
      <c r="D20" s="161" t="n">
        <v>77</v>
      </c>
      <c r="E20" s="163" t="n">
        <v>23</v>
      </c>
      <c r="F20" s="161" t="n">
        <v>64.5</v>
      </c>
      <c r="G20" s="27" t="n">
        <v>20</v>
      </c>
      <c r="H20" s="164" t="n">
        <v>20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77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1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2" t="n"/>
      <c r="P21" s="162" t="n"/>
      <c r="Q21" s="163" t="n"/>
      <c r="R21" s="163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0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태화</t>
        </is>
      </c>
      <c r="B22" s="16" t="inlineStr">
        <is>
          <t>'90.11.</t>
        </is>
      </c>
      <c r="C22" s="164" t="n">
        <v>299</v>
      </c>
      <c r="D22" s="161" t="n">
        <v>77</v>
      </c>
      <c r="E22" s="163" t="n">
        <v>23</v>
      </c>
      <c r="F22" s="161" t="n">
        <v>62.6</v>
      </c>
      <c r="G22" s="27" t="n">
        <v>19</v>
      </c>
      <c r="H22" s="164" t="n">
        <v>156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복</t>
        </is>
      </c>
      <c r="T22" s="8" t="n">
        <v>77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태화</t>
        </is>
      </c>
      <c r="B23" s="16" t="inlineStr">
        <is>
          <t>'90.11.</t>
        </is>
      </c>
      <c r="C23" s="164" t="n">
        <v>299</v>
      </c>
      <c r="D23" s="161" t="n">
        <v>90.90000000000001</v>
      </c>
      <c r="E23" s="163" t="n">
        <v>27</v>
      </c>
      <c r="F23" s="161" t="n">
        <v>73.8</v>
      </c>
      <c r="G23" s="27" t="n">
        <v>22</v>
      </c>
      <c r="H23" s="164" t="n">
        <v>143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계</t>
        </is>
      </c>
      <c r="T23" s="8" t="n">
        <v>90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인천석남금호어울림</t>
        </is>
      </c>
      <c r="B25" s="16" t="inlineStr">
        <is>
          <t>'07.11.</t>
        </is>
      </c>
      <c r="C25" s="164" t="n">
        <v>769</v>
      </c>
      <c r="D25" s="161" t="n">
        <v>81</v>
      </c>
      <c r="E25" s="163" t="n">
        <v>24</v>
      </c>
      <c r="F25" s="161" t="n">
        <v>59.8</v>
      </c>
      <c r="G25" s="27" t="n">
        <v>18</v>
      </c>
      <c r="H25" s="164" t="n">
        <v>206</v>
      </c>
      <c r="I25" s="165" t="n">
        <v>37000</v>
      </c>
      <c r="J25" s="165" t="inlineStr">
        <is>
          <t>5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80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인천석남금호어울림</t>
        </is>
      </c>
      <c r="B26" s="16" t="inlineStr">
        <is>
          <t>'07.11.</t>
        </is>
      </c>
      <c r="C26" s="164" t="n">
        <v>769</v>
      </c>
      <c r="D26" s="161" t="n">
        <v>107.4</v>
      </c>
      <c r="E26" s="163" t="n">
        <v>32</v>
      </c>
      <c r="F26" s="161" t="n">
        <v>84.8</v>
      </c>
      <c r="G26" s="27" t="n">
        <v>26</v>
      </c>
      <c r="H26" s="164" t="n">
        <v>233</v>
      </c>
      <c r="I26" s="165" t="n">
        <v>46000</v>
      </c>
      <c r="J26" s="165" t="inlineStr">
        <is>
          <t>15</t>
        </is>
      </c>
      <c r="K26" s="165" t="n">
        <v>30000</v>
      </c>
      <c r="L26" s="165" t="inlineStr">
        <is>
          <t>고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107A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인천석남금호어울림</t>
        </is>
      </c>
      <c r="B27" s="16" t="inlineStr">
        <is>
          <t>'07.11.</t>
        </is>
      </c>
      <c r="C27" s="164" t="n">
        <v>769</v>
      </c>
      <c r="D27" s="161" t="n">
        <v>107.4</v>
      </c>
      <c r="E27" s="163" t="n">
        <v>32</v>
      </c>
      <c r="F27" s="161" t="n">
        <v>84.8</v>
      </c>
      <c r="G27" s="27" t="n">
        <v>26</v>
      </c>
      <c r="H27" s="164" t="n">
        <v>228</v>
      </c>
      <c r="I27" s="165" t="n">
        <v>46000</v>
      </c>
      <c r="J27" s="165" t="inlineStr">
        <is>
          <t>15</t>
        </is>
      </c>
      <c r="K27" s="165" t="n">
        <v>30000</v>
      </c>
      <c r="L27" s="165" t="inlineStr">
        <is>
          <t>고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107B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인천석남금호어울림</t>
        </is>
      </c>
      <c r="B28" s="16" t="inlineStr">
        <is>
          <t>'07.11.</t>
        </is>
      </c>
      <c r="C28" s="164" t="n">
        <v>769</v>
      </c>
      <c r="D28" s="161" t="n">
        <v>125.9</v>
      </c>
      <c r="E28" s="163" t="n">
        <v>38</v>
      </c>
      <c r="F28" s="161" t="n">
        <v>100</v>
      </c>
      <c r="G28" s="27" t="n">
        <v>30</v>
      </c>
      <c r="H28" s="164" t="n">
        <v>30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n">
        <v>125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인천석남금호어울림</t>
        </is>
      </c>
      <c r="B29" s="16" t="inlineStr">
        <is>
          <t>'07.11.</t>
        </is>
      </c>
      <c r="C29" s="164" t="n">
        <v>769</v>
      </c>
      <c r="D29" s="161" t="n">
        <v>143.2</v>
      </c>
      <c r="E29" s="163" t="n">
        <v>43</v>
      </c>
      <c r="F29" s="161" t="n">
        <v>114.6</v>
      </c>
      <c r="G29" s="27" t="n">
        <v>35</v>
      </c>
      <c r="H29" s="164" t="n">
        <v>72</v>
      </c>
      <c r="I29" s="165" t="n">
        <v>58000</v>
      </c>
      <c r="J29" s="165" t="inlineStr">
        <is>
          <t>11</t>
        </is>
      </c>
      <c r="K29" s="165" t="n">
        <v>40000</v>
      </c>
      <c r="L29" s="165" t="inlineStr">
        <is>
          <t>17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n">
        <v>143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n"/>
      <c r="B30" s="113" t="n"/>
      <c r="C30" s="10" t="n"/>
      <c r="D30" s="13" t="n"/>
      <c r="E30" s="20" t="n"/>
      <c r="F30" s="161" t="n"/>
      <c r="G30" s="13" t="n"/>
      <c r="H30" s="13" t="n"/>
      <c r="I30" s="13" t="n"/>
      <c r="J30" s="13" t="n"/>
      <c r="K30" s="13" t="n"/>
      <c r="L30" s="13" t="n"/>
      <c r="M30" s="13" t="n"/>
      <c r="N30" s="13" t="n"/>
      <c r="O30" s="162" t="n"/>
      <c r="P30" s="162" t="n"/>
      <c r="Q30" s="163" t="n"/>
      <c r="R30" s="163" t="n"/>
      <c r="S30" s="13" t="n"/>
      <c r="T30" s="70" t="n"/>
      <c r="U30" s="13" t="n"/>
      <c r="W30" s="107">
        <f>$A$4&amp;" "&amp;A31&amp;"("&amp;B31&amp;","&amp;C31&amp;"^)"</f>
        <v/>
      </c>
      <c r="X30" s="108" t="n"/>
      <c r="Y30" s="108" t="n"/>
      <c r="Z30" s="108" t="n"/>
      <c r="AA30" s="108" t="n"/>
      <c r="AB30" s="108" t="n"/>
      <c r="AC30" s="108" t="n"/>
      <c r="AD30" s="108" t="n"/>
      <c r="AE30" s="108" t="n"/>
      <c r="AF30" s="109" t="n"/>
      <c r="AH30" s="36">
        <f>IF(A30="","",A30)</f>
        <v/>
      </c>
      <c r="AI30" s="160">
        <f>IF(E30="","",E30)</f>
        <v/>
      </c>
      <c r="AJ30" s="113" t="n"/>
      <c r="AK30" s="113" t="n"/>
      <c r="AL30" s="113" t="n"/>
      <c r="AM30" s="113" t="n"/>
      <c r="AN30" s="113" t="n"/>
      <c r="AO30" s="113" t="n"/>
      <c r="AP30" s="113" t="n"/>
      <c r="AQ30" s="113" t="n"/>
      <c r="AR30" s="113" t="n"/>
      <c r="AS30" s="113" t="n"/>
      <c r="AT30" s="113" t="n"/>
      <c r="AU30" s="113" t="n"/>
      <c r="AV30" s="113" t="n"/>
    </row>
    <row r="31">
      <c r="A31" s="13" t="inlineStr">
        <is>
          <t>덕산</t>
        </is>
      </c>
      <c r="B31" s="16" t="inlineStr">
        <is>
          <t>'90.05.</t>
        </is>
      </c>
      <c r="C31" s="164" t="n">
        <v>252</v>
      </c>
      <c r="D31" s="161" t="n">
        <v>71.09999999999999</v>
      </c>
      <c r="E31" s="163" t="n">
        <v>21</v>
      </c>
      <c r="F31" s="161" t="n">
        <v>60</v>
      </c>
      <c r="G31" s="27" t="n">
        <v>18</v>
      </c>
      <c r="H31" s="164" t="n">
        <v>84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1</v>
      </c>
      <c r="S31" s="113" t="inlineStr">
        <is>
          <t>계</t>
        </is>
      </c>
      <c r="T31" s="8" t="n">
        <v>71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덕산</t>
        </is>
      </c>
      <c r="B32" s="16" t="inlineStr">
        <is>
          <t>'90.05.</t>
        </is>
      </c>
      <c r="C32" s="164" t="n">
        <v>252</v>
      </c>
      <c r="D32" s="161" t="n">
        <v>74.8</v>
      </c>
      <c r="E32" s="163" t="n">
        <v>23</v>
      </c>
      <c r="F32" s="161" t="n">
        <v>62.6</v>
      </c>
      <c r="G32" s="27" t="n">
        <v>19</v>
      </c>
      <c r="H32" s="164" t="n">
        <v>84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1</v>
      </c>
      <c r="S32" s="113" t="inlineStr">
        <is>
          <t>계</t>
        </is>
      </c>
      <c r="T32" s="8" t="n">
        <v>74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덕산</t>
        </is>
      </c>
      <c r="B33" s="16" t="inlineStr">
        <is>
          <t>'90.05.</t>
        </is>
      </c>
      <c r="C33" s="164" t="n">
        <v>252</v>
      </c>
      <c r="D33" s="161" t="n">
        <v>83.8</v>
      </c>
      <c r="E33" s="163" t="n">
        <v>25</v>
      </c>
      <c r="F33" s="161" t="n">
        <v>72.40000000000001</v>
      </c>
      <c r="G33" s="27" t="n">
        <v>22</v>
      </c>
      <c r="H33" s="164" t="n">
        <v>24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1</v>
      </c>
      <c r="S33" s="113" t="inlineStr">
        <is>
          <t>계</t>
        </is>
      </c>
      <c r="T33" s="8" t="n">
        <v>83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덕산</t>
        </is>
      </c>
      <c r="B34" s="16" t="inlineStr">
        <is>
          <t>'90.05.</t>
        </is>
      </c>
      <c r="C34" s="164" t="n">
        <v>252</v>
      </c>
      <c r="D34" s="161" t="n">
        <v>85.3</v>
      </c>
      <c r="E34" s="163" t="n">
        <v>26</v>
      </c>
      <c r="F34" s="161" t="n">
        <v>72</v>
      </c>
      <c r="G34" s="27" t="n">
        <v>22</v>
      </c>
      <c r="H34" s="164" t="n">
        <v>60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1</v>
      </c>
      <c r="S34" s="113" t="inlineStr">
        <is>
          <t>계</t>
        </is>
      </c>
      <c r="T34" s="8" t="n">
        <v>85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우림필유</t>
        </is>
      </c>
      <c r="B36" s="16" t="inlineStr">
        <is>
          <t>'06.09.</t>
        </is>
      </c>
      <c r="C36" s="164" t="n">
        <v>288</v>
      </c>
      <c r="D36" s="161" t="n">
        <v>80.8</v>
      </c>
      <c r="E36" s="163" t="n">
        <v>24</v>
      </c>
      <c r="F36" s="161" t="n">
        <v>59.8</v>
      </c>
      <c r="G36" s="27" t="n">
        <v>18</v>
      </c>
      <c r="H36" s="164" t="n">
        <v>63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n">
        <v>80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우림필유</t>
        </is>
      </c>
      <c r="B37" s="16" t="inlineStr">
        <is>
          <t>'06.09.</t>
        </is>
      </c>
      <c r="C37" s="164" t="n">
        <v>288</v>
      </c>
      <c r="D37" s="161" t="n">
        <v>95.8</v>
      </c>
      <c r="E37" s="163" t="n">
        <v>29</v>
      </c>
      <c r="F37" s="161" t="n">
        <v>74.7</v>
      </c>
      <c r="G37" s="27" t="n">
        <v>23</v>
      </c>
      <c r="H37" s="164" t="n">
        <v>48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n">
        <v>95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우림필유</t>
        </is>
      </c>
      <c r="B38" s="16" t="inlineStr">
        <is>
          <t>'06.09.</t>
        </is>
      </c>
      <c r="C38" s="164" t="n">
        <v>288</v>
      </c>
      <c r="D38" s="161" t="n">
        <v>104.3</v>
      </c>
      <c r="E38" s="163" t="n">
        <v>32</v>
      </c>
      <c r="F38" s="161" t="n">
        <v>75.40000000000001</v>
      </c>
      <c r="G38" s="27" t="n">
        <v>23</v>
      </c>
      <c r="H38" s="164" t="n">
        <v>27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104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우림필유</t>
        </is>
      </c>
      <c r="B39" s="16" t="inlineStr">
        <is>
          <t>'06.09.</t>
        </is>
      </c>
      <c r="C39" s="164" t="n">
        <v>288</v>
      </c>
      <c r="D39" s="161" t="n">
        <v>109.9</v>
      </c>
      <c r="E39" s="163" t="n">
        <v>33</v>
      </c>
      <c r="F39" s="161" t="n">
        <v>84.90000000000001</v>
      </c>
      <c r="G39" s="27" t="n">
        <v>26</v>
      </c>
      <c r="H39" s="164" t="n">
        <v>150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n">
        <v>109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1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2" t="n"/>
      <c r="P40" s="162" t="n"/>
      <c r="Q40" s="163" t="n"/>
      <c r="R40" s="163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0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서인천월드메르디앙</t>
        </is>
      </c>
      <c r="B41" s="16" t="inlineStr">
        <is>
          <t>'06.07.</t>
        </is>
      </c>
      <c r="C41" s="164" t="n">
        <v>778</v>
      </c>
      <c r="D41" s="161" t="n">
        <v>80</v>
      </c>
      <c r="E41" s="163" t="n">
        <v>24</v>
      </c>
      <c r="F41" s="161" t="n">
        <v>59.9</v>
      </c>
      <c r="G41" s="27" t="n">
        <v>18</v>
      </c>
      <c r="H41" s="164" t="n">
        <v>172</v>
      </c>
      <c r="I41" s="165" t="n">
        <v>40000</v>
      </c>
      <c r="J41" s="165" t="inlineStr">
        <is>
          <t>12</t>
        </is>
      </c>
      <c r="K41" s="165" t="n">
        <v>28000</v>
      </c>
      <c r="L41" s="165" t="inlineStr">
        <is>
          <t>17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79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서인천월드메르디앙</t>
        </is>
      </c>
      <c r="B42" s="16" t="inlineStr">
        <is>
          <t>'06.07.</t>
        </is>
      </c>
      <c r="C42" s="164" t="n">
        <v>778</v>
      </c>
      <c r="D42" s="161" t="n">
        <v>110.6</v>
      </c>
      <c r="E42" s="163" t="n">
        <v>33</v>
      </c>
      <c r="F42" s="161" t="n">
        <v>85</v>
      </c>
      <c r="G42" s="27" t="n">
        <v>26</v>
      </c>
      <c r="H42" s="164" t="n">
        <v>511</v>
      </c>
      <c r="I42" s="165" t="n">
        <v>46000</v>
      </c>
      <c r="J42" s="165" t="inlineStr">
        <is>
          <t>7</t>
        </is>
      </c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n">
        <v>110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서인천월드메르디앙</t>
        </is>
      </c>
      <c r="B43" s="16" t="inlineStr">
        <is>
          <t>'06.07.</t>
        </is>
      </c>
      <c r="C43" s="164" t="n">
        <v>778</v>
      </c>
      <c r="D43" s="161" t="n">
        <v>131.8</v>
      </c>
      <c r="E43" s="163" t="n">
        <v>40</v>
      </c>
      <c r="F43" s="161" t="n">
        <v>102.6</v>
      </c>
      <c r="G43" s="27" t="n">
        <v>31</v>
      </c>
      <c r="H43" s="164" t="n">
        <v>39</v>
      </c>
      <c r="I43" s="165" t="n">
        <v>54000</v>
      </c>
      <c r="J43" s="165" t="inlineStr">
        <is>
          <t>13</t>
        </is>
      </c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4</v>
      </c>
      <c r="R43" s="113" t="n">
        <v>2</v>
      </c>
      <c r="S43" s="113" t="inlineStr">
        <is>
          <t>계</t>
        </is>
      </c>
      <c r="T43" s="8" t="n">
        <v>131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서인천월드메르디앙</t>
        </is>
      </c>
      <c r="B44" s="16" t="inlineStr">
        <is>
          <t>'06.07.</t>
        </is>
      </c>
      <c r="C44" s="164" t="n">
        <v>778</v>
      </c>
      <c r="D44" s="161" t="n">
        <v>152.4</v>
      </c>
      <c r="E44" s="163" t="n">
        <v>46</v>
      </c>
      <c r="F44" s="161" t="n">
        <v>118</v>
      </c>
      <c r="G44" s="27" t="n">
        <v>36</v>
      </c>
      <c r="H44" s="164" t="n">
        <v>56</v>
      </c>
      <c r="I44" s="165" t="n">
        <v>58500</v>
      </c>
      <c r="J44" s="165" t="inlineStr">
        <is>
          <t>10</t>
        </is>
      </c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n">
        <v>152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동남</t>
        </is>
      </c>
      <c r="B46" s="16" t="inlineStr">
        <is>
          <t>'89.05.</t>
        </is>
      </c>
      <c r="C46" s="164" t="n">
        <v>360</v>
      </c>
      <c r="D46" s="161" t="n">
        <v>54.9</v>
      </c>
      <c r="E46" s="163" t="n">
        <v>17</v>
      </c>
      <c r="F46" s="161" t="n">
        <v>42.2</v>
      </c>
      <c r="G46" s="27" t="n">
        <v>13</v>
      </c>
      <c r="H46" s="164" t="n">
        <v>168</v>
      </c>
      <c r="I46" s="165" t="n">
        <v>13500</v>
      </c>
      <c r="J46" s="165" t="inlineStr">
        <is>
          <t>6</t>
        </is>
      </c>
      <c r="K46" s="165" t="n">
        <v>8000</v>
      </c>
      <c r="L46" s="165" t="inlineStr">
        <is>
          <t>5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2</v>
      </c>
      <c r="R46" s="113" t="n">
        <v>1</v>
      </c>
      <c r="S46" s="113" t="inlineStr">
        <is>
          <t>계</t>
        </is>
      </c>
      <c r="T46" s="8" t="n">
        <v>54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동남</t>
        </is>
      </c>
      <c r="B47" s="16" t="inlineStr">
        <is>
          <t>'89.05.</t>
        </is>
      </c>
      <c r="C47" s="164" t="n">
        <v>360</v>
      </c>
      <c r="D47" s="161" t="n">
        <v>66</v>
      </c>
      <c r="E47" s="163" t="n">
        <v>20</v>
      </c>
      <c r="F47" s="161" t="n">
        <v>51.5</v>
      </c>
      <c r="G47" s="27" t="n">
        <v>16</v>
      </c>
      <c r="H47" s="164" t="n">
        <v>96</v>
      </c>
      <c r="I47" s="165" t="n">
        <v>15000</v>
      </c>
      <c r="J47" s="165" t="inlineStr">
        <is>
          <t>5</t>
        </is>
      </c>
      <c r="K47" s="165" t="n">
        <v>11000</v>
      </c>
      <c r="L47" s="165" t="inlineStr">
        <is>
          <t>고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1</v>
      </c>
      <c r="S47" s="113" t="inlineStr">
        <is>
          <t>계</t>
        </is>
      </c>
      <c r="T47" s="8" t="n">
        <v>66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동남</t>
        </is>
      </c>
      <c r="B48" s="16" t="inlineStr">
        <is>
          <t>'89.05.</t>
        </is>
      </c>
      <c r="C48" s="164" t="n">
        <v>360</v>
      </c>
      <c r="D48" s="161" t="n">
        <v>69.2</v>
      </c>
      <c r="E48" s="163" t="n">
        <v>21</v>
      </c>
      <c r="F48" s="161" t="n">
        <v>54.3</v>
      </c>
      <c r="G48" s="27" t="n">
        <v>16</v>
      </c>
      <c r="H48" s="164" t="n">
        <v>96</v>
      </c>
      <c r="I48" s="165" t="n">
        <v>15000</v>
      </c>
      <c r="J48" s="165" t="inlineStr">
        <is>
          <t>5</t>
        </is>
      </c>
      <c r="K48" s="165" t="n">
        <v>10000</v>
      </c>
      <c r="L48" s="165" t="inlineStr">
        <is>
          <t>6</t>
        </is>
      </c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1</v>
      </c>
      <c r="S48" s="113" t="inlineStr">
        <is>
          <t>계</t>
        </is>
      </c>
      <c r="T48" s="8" t="n">
        <v>69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</sheetData>
  <mergeCells count="1">
    <mergeCell ref="AJ1:AN1"/>
  </mergeCells>
  <conditionalFormatting sqref="AV4:AV6">
    <cfRule type="expression" priority="720" dxfId="17">
      <formula>AV4="X"</formula>
    </cfRule>
    <cfRule type="expression" priority="721" dxfId="16">
      <formula>AV4="후보"</formula>
    </cfRule>
  </conditionalFormatting>
  <conditionalFormatting sqref="AC1:AC2 AC4:AC6 N4:N5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1:N2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6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6">
    <cfRule type="expression" priority="709" dxfId="3">
      <formula>AND(IF(OR($Q6=1,$Q6=2),1,0),IF($X6&lt;=20,1,0))</formula>
    </cfRule>
    <cfRule type="expression" priority="710" dxfId="2">
      <formula>AND(IF($Q6=2,1,0),IF($X6&lt;30,1,0))</formula>
    </cfRule>
    <cfRule type="expression" priority="711" dxfId="1">
      <formula>AND(IF($Q6=3,1,0),IF($X6&lt;30,1,0))</formula>
    </cfRule>
    <cfRule type="expression" priority="712" dxfId="0">
      <formula>AND(IF($Q6=3,1,IF($Q6=4,1,0)),IF($F6&lt;=85,1,0))</formula>
    </cfRule>
  </conditionalFormatting>
  <conditionalFormatting sqref="X6">
    <cfRule type="expression" priority="705" dxfId="3">
      <formula>AND(IF(OR($Q6=1,$Q6=2),1,0),IF($X6&lt;=20,1,0))</formula>
    </cfRule>
    <cfRule type="expression" priority="706" dxfId="2">
      <formula>AND(IF($Q6=2,1,0),IF($X6&lt;30,1,0))</formula>
    </cfRule>
    <cfRule type="expression" priority="707" dxfId="1">
      <formula>AND(IF($Q6=3,1,0),IF($X6&lt;30,1,0))</formula>
    </cfRule>
    <cfRule type="expression" priority="708" dxfId="0">
      <formula>AND(IF($Q6=3,1,IF($Q6=4,1,0)),IF($F6&lt;=85,1,0))</formula>
    </cfRule>
  </conditionalFormatting>
  <conditionalFormatting sqref="AI6">
    <cfRule type="expression" priority="701" dxfId="3">
      <formula>AND(IF(OR($Q6=1,$Q6=2),1,0),IF($X6&lt;=20,1,0))</formula>
    </cfRule>
    <cfRule type="expression" priority="702" dxfId="2">
      <formula>AND(IF($Q6=2,1,0),IF($X6&lt;30,1,0))</formula>
    </cfRule>
    <cfRule type="expression" priority="703" dxfId="1">
      <formula>AND(IF($Q6=3,1,0),IF($X6&lt;30,1,0))</formula>
    </cfRule>
    <cfRule type="expression" priority="704" dxfId="0">
      <formula>AND(IF($Q6=3,1,IF($Q6=4,1,0)),IF($F6&lt;=85,1,0))</formula>
    </cfRule>
  </conditionalFormatting>
  <conditionalFormatting sqref="AV7">
    <cfRule type="expression" priority="699" dxfId="17">
      <formula>AV7="X"</formula>
    </cfRule>
    <cfRule type="expression" priority="700" dxfId="16">
      <formula>AV7="후보"</formula>
    </cfRule>
  </conditionalFormatting>
  <conditionalFormatting sqref="AC7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7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7">
    <cfRule type="expression" priority="690" dxfId="3">
      <formula>AND(IF(OR($Q7=1,$Q7=2),1,0),IF($X7&lt;=20,1,0))</formula>
    </cfRule>
    <cfRule type="expression" priority="691" dxfId="2">
      <formula>AND(IF($Q7=2,1,0),IF($X7&lt;30,1,0))</formula>
    </cfRule>
    <cfRule type="expression" priority="692" dxfId="1">
      <formula>AND(IF($Q7=3,1,0),IF($X7&lt;30,1,0))</formula>
    </cfRule>
    <cfRule type="expression" priority="693" dxfId="0">
      <formula>AND(IF($Q7=3,1,IF($Q7=4,1,0)),IF($F7&lt;=85,1,0))</formula>
    </cfRule>
  </conditionalFormatting>
  <conditionalFormatting sqref="X7">
    <cfRule type="expression" priority="686" dxfId="3">
      <formula>AND(IF(OR($Q7=1,$Q7=2),1,0),IF($X7&lt;=20,1,0))</formula>
    </cfRule>
    <cfRule type="expression" priority="687" dxfId="2">
      <formula>AND(IF($Q7=2,1,0),IF($X7&lt;30,1,0))</formula>
    </cfRule>
    <cfRule type="expression" priority="688" dxfId="1">
      <formula>AND(IF($Q7=3,1,0),IF($X7&lt;30,1,0))</formula>
    </cfRule>
    <cfRule type="expression" priority="689" dxfId="0">
      <formula>AND(IF($Q7=3,1,IF($Q7=4,1,0)),IF($F7&lt;=85,1,0))</formula>
    </cfRule>
  </conditionalFormatting>
  <conditionalFormatting sqref="AI7">
    <cfRule type="expression" priority="682" dxfId="3">
      <formula>AND(IF(OR($Q7=1,$Q7=2),1,0),IF($X7&lt;=20,1,0))</formula>
    </cfRule>
    <cfRule type="expression" priority="683" dxfId="2">
      <formula>AND(IF($Q7=2,1,0),IF($X7&lt;30,1,0))</formula>
    </cfRule>
    <cfRule type="expression" priority="684" dxfId="1">
      <formula>AND(IF($Q7=3,1,0),IF($X7&lt;30,1,0))</formula>
    </cfRule>
    <cfRule type="expression" priority="685" dxfId="0">
      <formula>AND(IF($Q7=3,1,IF($Q7=4,1,0)),IF($F7&lt;=85,1,0))</formula>
    </cfRule>
  </conditionalFormatting>
  <conditionalFormatting sqref="AV8">
    <cfRule type="expression" priority="680" dxfId="17">
      <formula>AV8="X"</formula>
    </cfRule>
    <cfRule type="expression" priority="681" dxfId="16">
      <formula>AV8="후보"</formula>
    </cfRule>
  </conditionalFormatting>
  <conditionalFormatting sqref="AC8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8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8">
    <cfRule type="expression" priority="671" dxfId="3">
      <formula>AND(IF(OR($Q8=1,$Q8=2),1,0),IF($X8&lt;=20,1,0))</formula>
    </cfRule>
    <cfRule type="expression" priority="672" dxfId="2">
      <formula>AND(IF($Q8=2,1,0),IF($X8&lt;30,1,0))</formula>
    </cfRule>
    <cfRule type="expression" priority="673" dxfId="1">
      <formula>AND(IF($Q8=3,1,0),IF($X8&lt;30,1,0))</formula>
    </cfRule>
    <cfRule type="expression" priority="674" dxfId="0">
      <formula>AND(IF($Q8=3,1,IF($Q8=4,1,0)),IF($F8&lt;=85,1,0))</formula>
    </cfRule>
  </conditionalFormatting>
  <conditionalFormatting sqref="X8">
    <cfRule type="expression" priority="667" dxfId="3">
      <formula>AND(IF(OR($Q8=1,$Q8=2),1,0),IF($X8&lt;=20,1,0))</formula>
    </cfRule>
    <cfRule type="expression" priority="668" dxfId="2">
      <formula>AND(IF($Q8=2,1,0),IF($X8&lt;30,1,0))</formula>
    </cfRule>
    <cfRule type="expression" priority="669" dxfId="1">
      <formula>AND(IF($Q8=3,1,0),IF($X8&lt;30,1,0))</formula>
    </cfRule>
    <cfRule type="expression" priority="670" dxfId="0">
      <formula>AND(IF($Q8=3,1,IF($Q8=4,1,0)),IF($F8&lt;=85,1,0))</formula>
    </cfRule>
  </conditionalFormatting>
  <conditionalFormatting sqref="AI8">
    <cfRule type="expression" priority="663" dxfId="3">
      <formula>AND(IF(OR($Q8=1,$Q8=2),1,0),IF($X8&lt;=20,1,0))</formula>
    </cfRule>
    <cfRule type="expression" priority="664" dxfId="2">
      <formula>AND(IF($Q8=2,1,0),IF($X8&lt;30,1,0))</formula>
    </cfRule>
    <cfRule type="expression" priority="665" dxfId="1">
      <formula>AND(IF($Q8=3,1,0),IF($X8&lt;30,1,0))</formula>
    </cfRule>
    <cfRule type="expression" priority="666" dxfId="0">
      <formula>AND(IF($Q8=3,1,IF($Q8=4,1,0)),IF($F8&lt;=85,1,0))</formula>
    </cfRule>
  </conditionalFormatting>
  <conditionalFormatting sqref="AV9">
    <cfRule type="expression" priority="661" dxfId="17">
      <formula>AV9="X"</formula>
    </cfRule>
    <cfRule type="expression" priority="662" dxfId="16">
      <formula>AV9="후보"</formula>
    </cfRule>
  </conditionalFormatting>
  <conditionalFormatting sqref="AC9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9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9">
    <cfRule type="expression" priority="652" dxfId="3">
      <formula>AND(IF(OR($Q9=1,$Q9=2),1,0),IF($X9&lt;=20,1,0))</formula>
    </cfRule>
    <cfRule type="expression" priority="653" dxfId="2">
      <formula>AND(IF($Q9=2,1,0),IF($X9&lt;30,1,0))</formula>
    </cfRule>
    <cfRule type="expression" priority="654" dxfId="1">
      <formula>AND(IF($Q9=3,1,0),IF($X9&lt;30,1,0))</formula>
    </cfRule>
    <cfRule type="expression" priority="655" dxfId="0">
      <formula>AND(IF($Q9=3,1,IF($Q9=4,1,0)),IF($F9&lt;=85,1,0))</formula>
    </cfRule>
  </conditionalFormatting>
  <conditionalFormatting sqref="X9">
    <cfRule type="expression" priority="648" dxfId="3">
      <formula>AND(IF(OR($Q9=1,$Q9=2),1,0),IF($X9&lt;=20,1,0))</formula>
    </cfRule>
    <cfRule type="expression" priority="649" dxfId="2">
      <formula>AND(IF($Q9=2,1,0),IF($X9&lt;30,1,0))</formula>
    </cfRule>
    <cfRule type="expression" priority="650" dxfId="1">
      <formula>AND(IF($Q9=3,1,0),IF($X9&lt;30,1,0))</formula>
    </cfRule>
    <cfRule type="expression" priority="651" dxfId="0">
      <formula>AND(IF($Q9=3,1,IF($Q9=4,1,0)),IF($F9&lt;=85,1,0))</formula>
    </cfRule>
  </conditionalFormatting>
  <conditionalFormatting sqref="AI9">
    <cfRule type="expression" priority="644" dxfId="3">
      <formula>AND(IF(OR($Q9=1,$Q9=2),1,0),IF($X9&lt;=20,1,0))</formula>
    </cfRule>
    <cfRule type="expression" priority="645" dxfId="2">
      <formula>AND(IF($Q9=2,1,0),IF($X9&lt;30,1,0))</formula>
    </cfRule>
    <cfRule type="expression" priority="646" dxfId="1">
      <formula>AND(IF($Q9=3,1,0),IF($X9&lt;30,1,0))</formula>
    </cfRule>
    <cfRule type="expression" priority="647" dxfId="0">
      <formula>AND(IF($Q9=3,1,IF($Q9=4,1,0)),IF($F9&lt;=85,1,0))</formula>
    </cfRule>
  </conditionalFormatting>
  <conditionalFormatting sqref="AV10">
    <cfRule type="expression" priority="642" dxfId="17">
      <formula>AV10="X"</formula>
    </cfRule>
    <cfRule type="expression" priority="643" dxfId="16">
      <formula>AV10="후보"</formula>
    </cfRule>
  </conditionalFormatting>
  <conditionalFormatting sqref="AC10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10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10">
    <cfRule type="expression" priority="633" dxfId="3">
      <formula>AND(IF(OR($Q10=1,$Q10=2),1,0),IF($X10&lt;=20,1,0))</formula>
    </cfRule>
    <cfRule type="expression" priority="634" dxfId="2">
      <formula>AND(IF($Q10=2,1,0),IF($X10&lt;30,1,0))</formula>
    </cfRule>
    <cfRule type="expression" priority="635" dxfId="1">
      <formula>AND(IF($Q10=3,1,0),IF($X10&lt;30,1,0))</formula>
    </cfRule>
    <cfRule type="expression" priority="636" dxfId="0">
      <formula>AND(IF($Q10=3,1,IF($Q10=4,1,0)),IF($F10&lt;=85,1,0))</formula>
    </cfRule>
  </conditionalFormatting>
  <conditionalFormatting sqref="X10">
    <cfRule type="expression" priority="629" dxfId="3">
      <formula>AND(IF(OR($Q10=1,$Q10=2),1,0),IF($X10&lt;=20,1,0))</formula>
    </cfRule>
    <cfRule type="expression" priority="630" dxfId="2">
      <formula>AND(IF($Q10=2,1,0),IF($X10&lt;30,1,0))</formula>
    </cfRule>
    <cfRule type="expression" priority="631" dxfId="1">
      <formula>AND(IF($Q10=3,1,0),IF($X10&lt;30,1,0))</formula>
    </cfRule>
    <cfRule type="expression" priority="632" dxfId="0">
      <formula>AND(IF($Q10=3,1,IF($Q10=4,1,0)),IF($F10&lt;=85,1,0))</formula>
    </cfRule>
  </conditionalFormatting>
  <conditionalFormatting sqref="AI10">
    <cfRule type="expression" priority="625" dxfId="3">
      <formula>AND(IF(OR($Q10=1,$Q10=2),1,0),IF($X10&lt;=20,1,0))</formula>
    </cfRule>
    <cfRule type="expression" priority="626" dxfId="2">
      <formula>AND(IF($Q10=2,1,0),IF($X10&lt;30,1,0))</formula>
    </cfRule>
    <cfRule type="expression" priority="627" dxfId="1">
      <formula>AND(IF($Q10=3,1,0),IF($X10&lt;30,1,0))</formula>
    </cfRule>
    <cfRule type="expression" priority="628" dxfId="0">
      <formula>AND(IF($Q10=3,1,IF($Q10=4,1,0)),IF($F10&lt;=85,1,0))</formula>
    </cfRule>
  </conditionalFormatting>
  <conditionalFormatting sqref="AV11">
    <cfRule type="expression" priority="623" dxfId="17">
      <formula>AV11="X"</formula>
    </cfRule>
    <cfRule type="expression" priority="624" dxfId="16">
      <formula>AV11="후보"</formula>
    </cfRule>
  </conditionalFormatting>
  <conditionalFormatting sqref="AC11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11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11">
    <cfRule type="expression" priority="614" dxfId="3">
      <formula>AND(IF(OR($Q11=1,$Q11=2),1,0),IF($X11&lt;=20,1,0))</formula>
    </cfRule>
    <cfRule type="expression" priority="615" dxfId="2">
      <formula>AND(IF($Q11=2,1,0),IF($X11&lt;30,1,0))</formula>
    </cfRule>
    <cfRule type="expression" priority="616" dxfId="1">
      <formula>AND(IF($Q11=3,1,0),IF($X11&lt;30,1,0))</formula>
    </cfRule>
    <cfRule type="expression" priority="617" dxfId="0">
      <formula>AND(IF($Q11=3,1,IF($Q11=4,1,0)),IF($F11&lt;=85,1,0))</formula>
    </cfRule>
  </conditionalFormatting>
  <conditionalFormatting sqref="X11">
    <cfRule type="expression" priority="610" dxfId="3">
      <formula>AND(IF(OR($Q11=1,$Q11=2),1,0),IF($X11&lt;=20,1,0))</formula>
    </cfRule>
    <cfRule type="expression" priority="611" dxfId="2">
      <formula>AND(IF($Q11=2,1,0),IF($X11&lt;30,1,0))</formula>
    </cfRule>
    <cfRule type="expression" priority="612" dxfId="1">
      <formula>AND(IF($Q11=3,1,0),IF($X11&lt;30,1,0))</formula>
    </cfRule>
    <cfRule type="expression" priority="613" dxfId="0">
      <formula>AND(IF($Q11=3,1,IF($Q11=4,1,0)),IF($F11&lt;=85,1,0))</formula>
    </cfRule>
  </conditionalFormatting>
  <conditionalFormatting sqref="AI11">
    <cfRule type="expression" priority="606" dxfId="3">
      <formula>AND(IF(OR($Q11=1,$Q11=2),1,0),IF($X11&lt;=20,1,0))</formula>
    </cfRule>
    <cfRule type="expression" priority="607" dxfId="2">
      <formula>AND(IF($Q11=2,1,0),IF($X11&lt;30,1,0))</formula>
    </cfRule>
    <cfRule type="expression" priority="608" dxfId="1">
      <formula>AND(IF($Q11=3,1,0),IF($X11&lt;30,1,0))</formula>
    </cfRule>
    <cfRule type="expression" priority="609" dxfId="0">
      <formula>AND(IF($Q11=3,1,IF($Q11=4,1,0)),IF($F11&lt;=85,1,0))</formula>
    </cfRule>
  </conditionalFormatting>
  <conditionalFormatting sqref="AV12">
    <cfRule type="expression" priority="604" dxfId="17">
      <formula>AV12="X"</formula>
    </cfRule>
    <cfRule type="expression" priority="605" dxfId="16">
      <formula>AV12="후보"</formula>
    </cfRule>
  </conditionalFormatting>
  <conditionalFormatting sqref="AC12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12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12">
    <cfRule type="expression" priority="595" dxfId="3">
      <formula>AND(IF(OR($Q12=1,$Q12=2),1,0),IF($X12&lt;=20,1,0))</formula>
    </cfRule>
    <cfRule type="expression" priority="596" dxfId="2">
      <formula>AND(IF($Q12=2,1,0),IF($X12&lt;30,1,0))</formula>
    </cfRule>
    <cfRule type="expression" priority="597" dxfId="1">
      <formula>AND(IF($Q12=3,1,0),IF($X12&lt;30,1,0))</formula>
    </cfRule>
    <cfRule type="expression" priority="598" dxfId="0">
      <formula>AND(IF($Q12=3,1,IF($Q12=4,1,0)),IF($F12&lt;=85,1,0))</formula>
    </cfRule>
  </conditionalFormatting>
  <conditionalFormatting sqref="X12">
    <cfRule type="expression" priority="591" dxfId="3">
      <formula>AND(IF(OR($Q12=1,$Q12=2),1,0),IF($X12&lt;=20,1,0))</formula>
    </cfRule>
    <cfRule type="expression" priority="592" dxfId="2">
      <formula>AND(IF($Q12=2,1,0),IF($X12&lt;30,1,0))</formula>
    </cfRule>
    <cfRule type="expression" priority="593" dxfId="1">
      <formula>AND(IF($Q12=3,1,0),IF($X12&lt;30,1,0))</formula>
    </cfRule>
    <cfRule type="expression" priority="594" dxfId="0">
      <formula>AND(IF($Q12=3,1,IF($Q12=4,1,0)),IF($F12&lt;=85,1,0))</formula>
    </cfRule>
  </conditionalFormatting>
  <conditionalFormatting sqref="AI12">
    <cfRule type="expression" priority="587" dxfId="3">
      <formula>AND(IF(OR($Q12=1,$Q12=2),1,0),IF($X12&lt;=20,1,0))</formula>
    </cfRule>
    <cfRule type="expression" priority="588" dxfId="2">
      <formula>AND(IF($Q12=2,1,0),IF($X12&lt;30,1,0))</formula>
    </cfRule>
    <cfRule type="expression" priority="589" dxfId="1">
      <formula>AND(IF($Q12=3,1,0),IF($X12&lt;30,1,0))</formula>
    </cfRule>
    <cfRule type="expression" priority="590" dxfId="0">
      <formula>AND(IF($Q12=3,1,IF($Q12=4,1,0)),IF($F12&lt;=85,1,0))</formula>
    </cfRule>
  </conditionalFormatting>
  <conditionalFormatting sqref="AV13">
    <cfRule type="expression" priority="585" dxfId="17">
      <formula>AV13="X"</formula>
    </cfRule>
    <cfRule type="expression" priority="586" dxfId="16">
      <formula>AV13="후보"</formula>
    </cfRule>
  </conditionalFormatting>
  <conditionalFormatting sqref="AC13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13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13">
    <cfRule type="expression" priority="576" dxfId="3">
      <formula>AND(IF(OR($Q13=1,$Q13=2),1,0),IF($X13&lt;=20,1,0))</formula>
    </cfRule>
    <cfRule type="expression" priority="577" dxfId="2">
      <formula>AND(IF($Q13=2,1,0),IF($X13&lt;30,1,0))</formula>
    </cfRule>
    <cfRule type="expression" priority="578" dxfId="1">
      <formula>AND(IF($Q13=3,1,0),IF($X13&lt;30,1,0))</formula>
    </cfRule>
    <cfRule type="expression" priority="579" dxfId="0">
      <formula>AND(IF($Q13=3,1,IF($Q13=4,1,0)),IF($F13&lt;=85,1,0))</formula>
    </cfRule>
  </conditionalFormatting>
  <conditionalFormatting sqref="X13">
    <cfRule type="expression" priority="572" dxfId="3">
      <formula>AND(IF(OR($Q13=1,$Q13=2),1,0),IF($X13&lt;=20,1,0))</formula>
    </cfRule>
    <cfRule type="expression" priority="573" dxfId="2">
      <formula>AND(IF($Q13=2,1,0),IF($X13&lt;30,1,0))</formula>
    </cfRule>
    <cfRule type="expression" priority="574" dxfId="1">
      <formula>AND(IF($Q13=3,1,0),IF($X13&lt;30,1,0))</formula>
    </cfRule>
    <cfRule type="expression" priority="575" dxfId="0">
      <formula>AND(IF($Q13=3,1,IF($Q13=4,1,0)),IF($F13&lt;=85,1,0))</formula>
    </cfRule>
  </conditionalFormatting>
  <conditionalFormatting sqref="AI13">
    <cfRule type="expression" priority="568" dxfId="3">
      <formula>AND(IF(OR($Q13=1,$Q13=2),1,0),IF($X13&lt;=20,1,0))</formula>
    </cfRule>
    <cfRule type="expression" priority="569" dxfId="2">
      <formula>AND(IF($Q13=2,1,0),IF($X13&lt;30,1,0))</formula>
    </cfRule>
    <cfRule type="expression" priority="570" dxfId="1">
      <formula>AND(IF($Q13=3,1,0),IF($X13&lt;30,1,0))</formula>
    </cfRule>
    <cfRule type="expression" priority="571" dxfId="0">
      <formula>AND(IF($Q13=3,1,IF($Q13=4,1,0)),IF($F13&lt;=85,1,0))</formula>
    </cfRule>
  </conditionalFormatting>
  <conditionalFormatting sqref="AV14">
    <cfRule type="expression" priority="566" dxfId="17">
      <formula>AV14="X"</formula>
    </cfRule>
    <cfRule type="expression" priority="567" dxfId="16">
      <formula>AV14="후보"</formula>
    </cfRule>
  </conditionalFormatting>
  <conditionalFormatting sqref="AC14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14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14">
    <cfRule type="expression" priority="557" dxfId="3">
      <formula>AND(IF(OR($Q14=1,$Q14=2),1,0),IF($X14&lt;=20,1,0))</formula>
    </cfRule>
    <cfRule type="expression" priority="558" dxfId="2">
      <formula>AND(IF($Q14=2,1,0),IF($X14&lt;30,1,0))</formula>
    </cfRule>
    <cfRule type="expression" priority="559" dxfId="1">
      <formula>AND(IF($Q14=3,1,0),IF($X14&lt;30,1,0))</formula>
    </cfRule>
    <cfRule type="expression" priority="560" dxfId="0">
      <formula>AND(IF($Q14=3,1,IF($Q14=4,1,0)),IF($F14&lt;=85,1,0))</formula>
    </cfRule>
  </conditionalFormatting>
  <conditionalFormatting sqref="X14">
    <cfRule type="expression" priority="553" dxfId="3">
      <formula>AND(IF(OR($Q14=1,$Q14=2),1,0),IF($X14&lt;=20,1,0))</formula>
    </cfRule>
    <cfRule type="expression" priority="554" dxfId="2">
      <formula>AND(IF($Q14=2,1,0),IF($X14&lt;30,1,0))</formula>
    </cfRule>
    <cfRule type="expression" priority="555" dxfId="1">
      <formula>AND(IF($Q14=3,1,0),IF($X14&lt;30,1,0))</formula>
    </cfRule>
    <cfRule type="expression" priority="556" dxfId="0">
      <formula>AND(IF($Q14=3,1,IF($Q14=4,1,0)),IF($F14&lt;=85,1,0))</formula>
    </cfRule>
  </conditionalFormatting>
  <conditionalFormatting sqref="AI14">
    <cfRule type="expression" priority="549" dxfId="3">
      <formula>AND(IF(OR($Q14=1,$Q14=2),1,0),IF($X14&lt;=20,1,0))</formula>
    </cfRule>
    <cfRule type="expression" priority="550" dxfId="2">
      <formula>AND(IF($Q14=2,1,0),IF($X14&lt;30,1,0))</formula>
    </cfRule>
    <cfRule type="expression" priority="551" dxfId="1">
      <formula>AND(IF($Q14=3,1,0),IF($X14&lt;30,1,0))</formula>
    </cfRule>
    <cfRule type="expression" priority="552" dxfId="0">
      <formula>AND(IF($Q14=3,1,IF($Q14=4,1,0)),IF($F14&lt;=85,1,0))</formula>
    </cfRule>
  </conditionalFormatting>
  <conditionalFormatting sqref="AV15">
    <cfRule type="expression" priority="547" dxfId="17">
      <formula>AV15="X"</formula>
    </cfRule>
    <cfRule type="expression" priority="548" dxfId="16">
      <formula>AV15="후보"</formula>
    </cfRule>
  </conditionalFormatting>
  <conditionalFormatting sqref="AC15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15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15">
    <cfRule type="expression" priority="538" dxfId="3">
      <formula>AND(IF(OR($Q15=1,$Q15=2),1,0),IF($X15&lt;=20,1,0))</formula>
    </cfRule>
    <cfRule type="expression" priority="539" dxfId="2">
      <formula>AND(IF($Q15=2,1,0),IF($X15&lt;30,1,0))</formula>
    </cfRule>
    <cfRule type="expression" priority="540" dxfId="1">
      <formula>AND(IF($Q15=3,1,0),IF($X15&lt;30,1,0))</formula>
    </cfRule>
    <cfRule type="expression" priority="541" dxfId="0">
      <formula>AND(IF($Q15=3,1,IF($Q15=4,1,0)),IF($F15&lt;=85,1,0))</formula>
    </cfRule>
  </conditionalFormatting>
  <conditionalFormatting sqref="X15">
    <cfRule type="expression" priority="534" dxfId="3">
      <formula>AND(IF(OR($Q15=1,$Q15=2),1,0),IF($X15&lt;=20,1,0))</formula>
    </cfRule>
    <cfRule type="expression" priority="535" dxfId="2">
      <formula>AND(IF($Q15=2,1,0),IF($X15&lt;30,1,0))</formula>
    </cfRule>
    <cfRule type="expression" priority="536" dxfId="1">
      <formula>AND(IF($Q15=3,1,0),IF($X15&lt;30,1,0))</formula>
    </cfRule>
    <cfRule type="expression" priority="537" dxfId="0">
      <formula>AND(IF($Q15=3,1,IF($Q15=4,1,0)),IF($F15&lt;=85,1,0))</formula>
    </cfRule>
  </conditionalFormatting>
  <conditionalFormatting sqref="AI15">
    <cfRule type="expression" priority="530" dxfId="3">
      <formula>AND(IF(OR($Q15=1,$Q15=2),1,0),IF($X15&lt;=20,1,0))</formula>
    </cfRule>
    <cfRule type="expression" priority="531" dxfId="2">
      <formula>AND(IF($Q15=2,1,0),IF($X15&lt;30,1,0))</formula>
    </cfRule>
    <cfRule type="expression" priority="532" dxfId="1">
      <formula>AND(IF($Q15=3,1,0),IF($X15&lt;30,1,0))</formula>
    </cfRule>
    <cfRule type="expression" priority="533" dxfId="0">
      <formula>AND(IF($Q15=3,1,IF($Q15=4,1,0)),IF($F15&lt;=85,1,0))</formula>
    </cfRule>
  </conditionalFormatting>
  <conditionalFormatting sqref="AV16">
    <cfRule type="expression" priority="528" dxfId="17">
      <formula>AV16="X"</formula>
    </cfRule>
    <cfRule type="expression" priority="529" dxfId="16">
      <formula>AV16="후보"</formula>
    </cfRule>
  </conditionalFormatting>
  <conditionalFormatting sqref="AC16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6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6">
    <cfRule type="expression" priority="519" dxfId="3">
      <formula>AND(IF(OR($Q16=1,$Q16=2),1,0),IF($X16&lt;=20,1,0))</formula>
    </cfRule>
    <cfRule type="expression" priority="520" dxfId="2">
      <formula>AND(IF($Q16=2,1,0),IF($X16&lt;30,1,0))</formula>
    </cfRule>
    <cfRule type="expression" priority="521" dxfId="1">
      <formula>AND(IF($Q16=3,1,0),IF($X16&lt;30,1,0))</formula>
    </cfRule>
    <cfRule type="expression" priority="522" dxfId="0">
      <formula>AND(IF($Q16=3,1,IF($Q16=4,1,0)),IF($F16&lt;=85,1,0))</formula>
    </cfRule>
  </conditionalFormatting>
  <conditionalFormatting sqref="X16">
    <cfRule type="expression" priority="515" dxfId="3">
      <formula>AND(IF(OR($Q16=1,$Q16=2),1,0),IF($X16&lt;=20,1,0))</formula>
    </cfRule>
    <cfRule type="expression" priority="516" dxfId="2">
      <formula>AND(IF($Q16=2,1,0),IF($X16&lt;30,1,0))</formula>
    </cfRule>
    <cfRule type="expression" priority="517" dxfId="1">
      <formula>AND(IF($Q16=3,1,0),IF($X16&lt;30,1,0))</formula>
    </cfRule>
    <cfRule type="expression" priority="518" dxfId="0">
      <formula>AND(IF($Q16=3,1,IF($Q16=4,1,0)),IF($F16&lt;=85,1,0))</formula>
    </cfRule>
  </conditionalFormatting>
  <conditionalFormatting sqref="AI16">
    <cfRule type="expression" priority="511" dxfId="3">
      <formula>AND(IF(OR($Q16=1,$Q16=2),1,0),IF($X16&lt;=20,1,0))</formula>
    </cfRule>
    <cfRule type="expression" priority="512" dxfId="2">
      <formula>AND(IF($Q16=2,1,0),IF($X16&lt;30,1,0))</formula>
    </cfRule>
    <cfRule type="expression" priority="513" dxfId="1">
      <formula>AND(IF($Q16=3,1,0),IF($X16&lt;30,1,0))</formula>
    </cfRule>
    <cfRule type="expression" priority="514" dxfId="0">
      <formula>AND(IF($Q16=3,1,IF($Q16=4,1,0)),IF($F16&lt;=85,1,0))</formula>
    </cfRule>
  </conditionalFormatting>
  <conditionalFormatting sqref="AV17">
    <cfRule type="expression" priority="509" dxfId="17">
      <formula>AV17="X"</formula>
    </cfRule>
    <cfRule type="expression" priority="510" dxfId="16">
      <formula>AV17="후보"</formula>
    </cfRule>
  </conditionalFormatting>
  <conditionalFormatting sqref="AC17 N17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AV18">
    <cfRule type="expression" priority="504" dxfId="17">
      <formula>AV18="X"</formula>
    </cfRule>
    <cfRule type="expression" priority="505" dxfId="16">
      <formula>AV18="후보"</formula>
    </cfRule>
  </conditionalFormatting>
  <conditionalFormatting sqref="AC18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18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18">
    <cfRule type="expression" priority="495" dxfId="3">
      <formula>AND(IF(OR($Q18=1,$Q18=2),1,0),IF($X18&lt;=20,1,0))</formula>
    </cfRule>
    <cfRule type="expression" priority="496" dxfId="2">
      <formula>AND(IF($Q18=2,1,0),IF($X18&lt;30,1,0))</formula>
    </cfRule>
    <cfRule type="expression" priority="497" dxfId="1">
      <formula>AND(IF($Q18=3,1,0),IF($X18&lt;30,1,0))</formula>
    </cfRule>
    <cfRule type="expression" priority="498" dxfId="0">
      <formula>AND(IF($Q18=3,1,IF($Q18=4,1,0)),IF($F18&lt;=85,1,0))</formula>
    </cfRule>
  </conditionalFormatting>
  <conditionalFormatting sqref="X18">
    <cfRule type="expression" priority="491" dxfId="3">
      <formula>AND(IF(OR($Q18=1,$Q18=2),1,0),IF($X18&lt;=20,1,0))</formula>
    </cfRule>
    <cfRule type="expression" priority="492" dxfId="2">
      <formula>AND(IF($Q18=2,1,0),IF($X18&lt;30,1,0))</formula>
    </cfRule>
    <cfRule type="expression" priority="493" dxfId="1">
      <formula>AND(IF($Q18=3,1,0),IF($X18&lt;30,1,0))</formula>
    </cfRule>
    <cfRule type="expression" priority="494" dxfId="0">
      <formula>AND(IF($Q18=3,1,IF($Q18=4,1,0)),IF($F18&lt;=85,1,0))</formula>
    </cfRule>
  </conditionalFormatting>
  <conditionalFormatting sqref="AI18">
    <cfRule type="expression" priority="487" dxfId="3">
      <formula>AND(IF(OR($Q18=1,$Q18=2),1,0),IF($X18&lt;=20,1,0))</formula>
    </cfRule>
    <cfRule type="expression" priority="488" dxfId="2">
      <formula>AND(IF($Q18=2,1,0),IF($X18&lt;30,1,0))</formula>
    </cfRule>
    <cfRule type="expression" priority="489" dxfId="1">
      <formula>AND(IF($Q18=3,1,0),IF($X18&lt;30,1,0))</formula>
    </cfRule>
    <cfRule type="expression" priority="490" dxfId="0">
      <formula>AND(IF($Q18=3,1,IF($Q18=4,1,0)),IF($F18&lt;=85,1,0))</formula>
    </cfRule>
  </conditionalFormatting>
  <conditionalFormatting sqref="AV19">
    <cfRule type="expression" priority="485" dxfId="17">
      <formula>AV19="X"</formula>
    </cfRule>
    <cfRule type="expression" priority="486" dxfId="16">
      <formula>AV19="후보"</formula>
    </cfRule>
  </conditionalFormatting>
  <conditionalFormatting sqref="AC19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19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19">
    <cfRule type="expression" priority="476" dxfId="3">
      <formula>AND(IF(OR($Q19=1,$Q19=2),1,0),IF($X19&lt;=20,1,0))</formula>
    </cfRule>
    <cfRule type="expression" priority="477" dxfId="2">
      <formula>AND(IF($Q19=2,1,0),IF($X19&lt;30,1,0))</formula>
    </cfRule>
    <cfRule type="expression" priority="478" dxfId="1">
      <formula>AND(IF($Q19=3,1,0),IF($X19&lt;30,1,0))</formula>
    </cfRule>
    <cfRule type="expression" priority="479" dxfId="0">
      <formula>AND(IF($Q19=3,1,IF($Q19=4,1,0)),IF($F19&lt;=85,1,0))</formula>
    </cfRule>
  </conditionalFormatting>
  <conditionalFormatting sqref="X19">
    <cfRule type="expression" priority="472" dxfId="3">
      <formula>AND(IF(OR($Q19=1,$Q19=2),1,0),IF($X19&lt;=20,1,0))</formula>
    </cfRule>
    <cfRule type="expression" priority="473" dxfId="2">
      <formula>AND(IF($Q19=2,1,0),IF($X19&lt;30,1,0))</formula>
    </cfRule>
    <cfRule type="expression" priority="474" dxfId="1">
      <formula>AND(IF($Q19=3,1,0),IF($X19&lt;30,1,0))</formula>
    </cfRule>
    <cfRule type="expression" priority="475" dxfId="0">
      <formula>AND(IF($Q19=3,1,IF($Q19=4,1,0)),IF($F19&lt;=85,1,0))</formula>
    </cfRule>
  </conditionalFormatting>
  <conditionalFormatting sqref="AI19">
    <cfRule type="expression" priority="468" dxfId="3">
      <formula>AND(IF(OR($Q19=1,$Q19=2),1,0),IF($X19&lt;=20,1,0))</formula>
    </cfRule>
    <cfRule type="expression" priority="469" dxfId="2">
      <formula>AND(IF($Q19=2,1,0),IF($X19&lt;30,1,0))</formula>
    </cfRule>
    <cfRule type="expression" priority="470" dxfId="1">
      <formula>AND(IF($Q19=3,1,0),IF($X19&lt;30,1,0))</formula>
    </cfRule>
    <cfRule type="expression" priority="471" dxfId="0">
      <formula>AND(IF($Q19=3,1,IF($Q19=4,1,0)),IF($F19&lt;=85,1,0))</formula>
    </cfRule>
  </conditionalFormatting>
  <conditionalFormatting sqref="AV20">
    <cfRule type="expression" priority="466" dxfId="17">
      <formula>AV20="X"</formula>
    </cfRule>
    <cfRule type="expression" priority="467" dxfId="16">
      <formula>AV20="후보"</formula>
    </cfRule>
  </conditionalFormatting>
  <conditionalFormatting sqref="AC20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20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20">
    <cfRule type="expression" priority="457" dxfId="3">
      <formula>AND(IF(OR($Q20=1,$Q20=2),1,0),IF($X20&lt;=20,1,0))</formula>
    </cfRule>
    <cfRule type="expression" priority="458" dxfId="2">
      <formula>AND(IF($Q20=2,1,0),IF($X20&lt;30,1,0))</formula>
    </cfRule>
    <cfRule type="expression" priority="459" dxfId="1">
      <formula>AND(IF($Q20=3,1,0),IF($X20&lt;30,1,0))</formula>
    </cfRule>
    <cfRule type="expression" priority="460" dxfId="0">
      <formula>AND(IF($Q20=3,1,IF($Q20=4,1,0)),IF($F20&lt;=85,1,0))</formula>
    </cfRule>
  </conditionalFormatting>
  <conditionalFormatting sqref="X20">
    <cfRule type="expression" priority="453" dxfId="3">
      <formula>AND(IF(OR($Q20=1,$Q20=2),1,0),IF($X20&lt;=20,1,0))</formula>
    </cfRule>
    <cfRule type="expression" priority="454" dxfId="2">
      <formula>AND(IF($Q20=2,1,0),IF($X20&lt;30,1,0))</formula>
    </cfRule>
    <cfRule type="expression" priority="455" dxfId="1">
      <formula>AND(IF($Q20=3,1,0),IF($X20&lt;30,1,0))</formula>
    </cfRule>
    <cfRule type="expression" priority="456" dxfId="0">
      <formula>AND(IF($Q20=3,1,IF($Q20=4,1,0)),IF($F20&lt;=85,1,0))</formula>
    </cfRule>
  </conditionalFormatting>
  <conditionalFormatting sqref="AI20">
    <cfRule type="expression" priority="449" dxfId="3">
      <formula>AND(IF(OR($Q20=1,$Q20=2),1,0),IF($X20&lt;=20,1,0))</formula>
    </cfRule>
    <cfRule type="expression" priority="450" dxfId="2">
      <formula>AND(IF($Q20=2,1,0),IF($X20&lt;30,1,0))</formula>
    </cfRule>
    <cfRule type="expression" priority="451" dxfId="1">
      <formula>AND(IF($Q20=3,1,0),IF($X20&lt;30,1,0))</formula>
    </cfRule>
    <cfRule type="expression" priority="452" dxfId="0">
      <formula>AND(IF($Q20=3,1,IF($Q20=4,1,0)),IF($F20&lt;=85,1,0))</formula>
    </cfRule>
  </conditionalFormatting>
  <conditionalFormatting sqref="AV21">
    <cfRule type="expression" priority="447" dxfId="17">
      <formula>AV21="X"</formula>
    </cfRule>
    <cfRule type="expression" priority="448" dxfId="16">
      <formula>AV21="후보"</formula>
    </cfRule>
  </conditionalFormatting>
  <conditionalFormatting sqref="AC21 N21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AV22">
    <cfRule type="expression" priority="442" dxfId="17">
      <formula>AV22="X"</formula>
    </cfRule>
    <cfRule type="expression" priority="443" dxfId="16">
      <formula>AV22="후보"</formula>
    </cfRule>
  </conditionalFormatting>
  <conditionalFormatting sqref="AC22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22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22">
    <cfRule type="expression" priority="433" dxfId="3">
      <formula>AND(IF(OR($Q22=1,$Q22=2),1,0),IF($X22&lt;=20,1,0))</formula>
    </cfRule>
    <cfRule type="expression" priority="434" dxfId="2">
      <formula>AND(IF($Q22=2,1,0),IF($X22&lt;30,1,0))</formula>
    </cfRule>
    <cfRule type="expression" priority="435" dxfId="1">
      <formula>AND(IF($Q22=3,1,0),IF($X22&lt;30,1,0))</formula>
    </cfRule>
    <cfRule type="expression" priority="436" dxfId="0">
      <formula>AND(IF($Q22=3,1,IF($Q22=4,1,0)),IF($F22&lt;=85,1,0))</formula>
    </cfRule>
  </conditionalFormatting>
  <conditionalFormatting sqref="X22">
    <cfRule type="expression" priority="429" dxfId="3">
      <formula>AND(IF(OR($Q22=1,$Q22=2),1,0),IF($X22&lt;=20,1,0))</formula>
    </cfRule>
    <cfRule type="expression" priority="430" dxfId="2">
      <formula>AND(IF($Q22=2,1,0),IF($X22&lt;30,1,0))</formula>
    </cfRule>
    <cfRule type="expression" priority="431" dxfId="1">
      <formula>AND(IF($Q22=3,1,0),IF($X22&lt;30,1,0))</formula>
    </cfRule>
    <cfRule type="expression" priority="432" dxfId="0">
      <formula>AND(IF($Q22=3,1,IF($Q22=4,1,0)),IF($F22&lt;=85,1,0))</formula>
    </cfRule>
  </conditionalFormatting>
  <conditionalFormatting sqref="AI22">
    <cfRule type="expression" priority="425" dxfId="3">
      <formula>AND(IF(OR($Q22=1,$Q22=2),1,0),IF($X22&lt;=20,1,0))</formula>
    </cfRule>
    <cfRule type="expression" priority="426" dxfId="2">
      <formula>AND(IF($Q22=2,1,0),IF($X22&lt;30,1,0))</formula>
    </cfRule>
    <cfRule type="expression" priority="427" dxfId="1">
      <formula>AND(IF($Q22=3,1,0),IF($X22&lt;30,1,0))</formula>
    </cfRule>
    <cfRule type="expression" priority="428" dxfId="0">
      <formula>AND(IF($Q22=3,1,IF($Q22=4,1,0)),IF($F22&lt;=85,1,0))</formula>
    </cfRule>
  </conditionalFormatting>
  <conditionalFormatting sqref="AV23">
    <cfRule type="expression" priority="423" dxfId="17">
      <formula>AV23="X"</formula>
    </cfRule>
    <cfRule type="expression" priority="424" dxfId="16">
      <formula>AV23="후보"</formula>
    </cfRule>
  </conditionalFormatting>
  <conditionalFormatting sqref="AC23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3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3">
    <cfRule type="expression" priority="414" dxfId="3">
      <formula>AND(IF(OR($Q23=1,$Q23=2),1,0),IF($X23&lt;=20,1,0))</formula>
    </cfRule>
    <cfRule type="expression" priority="415" dxfId="2">
      <formula>AND(IF($Q23=2,1,0),IF($X23&lt;30,1,0))</formula>
    </cfRule>
    <cfRule type="expression" priority="416" dxfId="1">
      <formula>AND(IF($Q23=3,1,0),IF($X23&lt;30,1,0))</formula>
    </cfRule>
    <cfRule type="expression" priority="417" dxfId="0">
      <formula>AND(IF($Q23=3,1,IF($Q23=4,1,0)),IF($F23&lt;=85,1,0))</formula>
    </cfRule>
  </conditionalFormatting>
  <conditionalFormatting sqref="X23">
    <cfRule type="expression" priority="410" dxfId="3">
      <formula>AND(IF(OR($Q23=1,$Q23=2),1,0),IF($X23&lt;=20,1,0))</formula>
    </cfRule>
    <cfRule type="expression" priority="411" dxfId="2">
      <formula>AND(IF($Q23=2,1,0),IF($X23&lt;30,1,0))</formula>
    </cfRule>
    <cfRule type="expression" priority="412" dxfId="1">
      <formula>AND(IF($Q23=3,1,0),IF($X23&lt;30,1,0))</formula>
    </cfRule>
    <cfRule type="expression" priority="413" dxfId="0">
      <formula>AND(IF($Q23=3,1,IF($Q23=4,1,0)),IF($F23&lt;=85,1,0))</formula>
    </cfRule>
  </conditionalFormatting>
  <conditionalFormatting sqref="AI23">
    <cfRule type="expression" priority="406" dxfId="3">
      <formula>AND(IF(OR($Q23=1,$Q23=2),1,0),IF($X23&lt;=20,1,0))</formula>
    </cfRule>
    <cfRule type="expression" priority="407" dxfId="2">
      <formula>AND(IF($Q23=2,1,0),IF($X23&lt;30,1,0))</formula>
    </cfRule>
    <cfRule type="expression" priority="408" dxfId="1">
      <formula>AND(IF($Q23=3,1,0),IF($X23&lt;30,1,0))</formula>
    </cfRule>
    <cfRule type="expression" priority="409" dxfId="0">
      <formula>AND(IF($Q23=3,1,IF($Q23=4,1,0)),IF($F23&lt;=85,1,0))</formula>
    </cfRule>
  </conditionalFormatting>
  <conditionalFormatting sqref="AV24">
    <cfRule type="expression" priority="404" dxfId="17">
      <formula>AV24="X"</formula>
    </cfRule>
    <cfRule type="expression" priority="405" dxfId="16">
      <formula>AV24="후보"</formula>
    </cfRule>
  </conditionalFormatting>
  <conditionalFormatting sqref="AC24 N24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AV25">
    <cfRule type="expression" priority="399" dxfId="17">
      <formula>AV25="X"</formula>
    </cfRule>
    <cfRule type="expression" priority="400" dxfId="16">
      <formula>AV25="후보"</formula>
    </cfRule>
  </conditionalFormatting>
  <conditionalFormatting sqref="AC25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25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25">
    <cfRule type="expression" priority="390" dxfId="3">
      <formula>AND(IF(OR($Q25=1,$Q25=2),1,0),IF($X25&lt;=20,1,0))</formula>
    </cfRule>
    <cfRule type="expression" priority="391" dxfId="2">
      <formula>AND(IF($Q25=2,1,0),IF($X25&lt;30,1,0))</formula>
    </cfRule>
    <cfRule type="expression" priority="392" dxfId="1">
      <formula>AND(IF($Q25=3,1,0),IF($X25&lt;30,1,0))</formula>
    </cfRule>
    <cfRule type="expression" priority="393" dxfId="0">
      <formula>AND(IF($Q25=3,1,IF($Q25=4,1,0)),IF($F25&lt;=85,1,0))</formula>
    </cfRule>
  </conditionalFormatting>
  <conditionalFormatting sqref="X25">
    <cfRule type="expression" priority="386" dxfId="3">
      <formula>AND(IF(OR($Q25=1,$Q25=2),1,0),IF($X25&lt;=20,1,0))</formula>
    </cfRule>
    <cfRule type="expression" priority="387" dxfId="2">
      <formula>AND(IF($Q25=2,1,0),IF($X25&lt;30,1,0))</formula>
    </cfRule>
    <cfRule type="expression" priority="388" dxfId="1">
      <formula>AND(IF($Q25=3,1,0),IF($X25&lt;30,1,0))</formula>
    </cfRule>
    <cfRule type="expression" priority="389" dxfId="0">
      <formula>AND(IF($Q25=3,1,IF($Q25=4,1,0)),IF($F25&lt;=85,1,0))</formula>
    </cfRule>
  </conditionalFormatting>
  <conditionalFormatting sqref="AI25">
    <cfRule type="expression" priority="382" dxfId="3">
      <formula>AND(IF(OR($Q25=1,$Q25=2),1,0),IF($X25&lt;=20,1,0))</formula>
    </cfRule>
    <cfRule type="expression" priority="383" dxfId="2">
      <formula>AND(IF($Q25=2,1,0),IF($X25&lt;30,1,0))</formula>
    </cfRule>
    <cfRule type="expression" priority="384" dxfId="1">
      <formula>AND(IF($Q25=3,1,0),IF($X25&lt;30,1,0))</formula>
    </cfRule>
    <cfRule type="expression" priority="385" dxfId="0">
      <formula>AND(IF($Q25=3,1,IF($Q25=4,1,0)),IF($F25&lt;=85,1,0))</formula>
    </cfRule>
  </conditionalFormatting>
  <conditionalFormatting sqref="AV26">
    <cfRule type="expression" priority="380" dxfId="17">
      <formula>AV26="X"</formula>
    </cfRule>
    <cfRule type="expression" priority="381" dxfId="16">
      <formula>AV26="후보"</formula>
    </cfRule>
  </conditionalFormatting>
  <conditionalFormatting sqref="AC26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26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26">
    <cfRule type="expression" priority="371" dxfId="3">
      <formula>AND(IF(OR($Q26=1,$Q26=2),1,0),IF($X26&lt;=20,1,0))</formula>
    </cfRule>
    <cfRule type="expression" priority="372" dxfId="2">
      <formula>AND(IF($Q26=2,1,0),IF($X26&lt;30,1,0))</formula>
    </cfRule>
    <cfRule type="expression" priority="373" dxfId="1">
      <formula>AND(IF($Q26=3,1,0),IF($X26&lt;30,1,0))</formula>
    </cfRule>
    <cfRule type="expression" priority="374" dxfId="0">
      <formula>AND(IF($Q26=3,1,IF($Q26=4,1,0)),IF($F26&lt;=85,1,0))</formula>
    </cfRule>
  </conditionalFormatting>
  <conditionalFormatting sqref="X26">
    <cfRule type="expression" priority="367" dxfId="3">
      <formula>AND(IF(OR($Q26=1,$Q26=2),1,0),IF($X26&lt;=20,1,0))</formula>
    </cfRule>
    <cfRule type="expression" priority="368" dxfId="2">
      <formula>AND(IF($Q26=2,1,0),IF($X26&lt;30,1,0))</formula>
    </cfRule>
    <cfRule type="expression" priority="369" dxfId="1">
      <formula>AND(IF($Q26=3,1,0),IF($X26&lt;30,1,0))</formula>
    </cfRule>
    <cfRule type="expression" priority="370" dxfId="0">
      <formula>AND(IF($Q26=3,1,IF($Q26=4,1,0)),IF($F26&lt;=85,1,0))</formula>
    </cfRule>
  </conditionalFormatting>
  <conditionalFormatting sqref="AI26">
    <cfRule type="expression" priority="363" dxfId="3">
      <formula>AND(IF(OR($Q26=1,$Q26=2),1,0),IF($X26&lt;=20,1,0))</formula>
    </cfRule>
    <cfRule type="expression" priority="364" dxfId="2">
      <formula>AND(IF($Q26=2,1,0),IF($X26&lt;30,1,0))</formula>
    </cfRule>
    <cfRule type="expression" priority="365" dxfId="1">
      <formula>AND(IF($Q26=3,1,0),IF($X26&lt;30,1,0))</formula>
    </cfRule>
    <cfRule type="expression" priority="366" dxfId="0">
      <formula>AND(IF($Q26=3,1,IF($Q26=4,1,0)),IF($F26&lt;=85,1,0))</formula>
    </cfRule>
  </conditionalFormatting>
  <conditionalFormatting sqref="AV27">
    <cfRule type="expression" priority="361" dxfId="17">
      <formula>AV27="X"</formula>
    </cfRule>
    <cfRule type="expression" priority="362" dxfId="16">
      <formula>AV27="후보"</formula>
    </cfRule>
  </conditionalFormatting>
  <conditionalFormatting sqref="AC27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27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27">
    <cfRule type="expression" priority="352" dxfId="3">
      <formula>AND(IF(OR($Q27=1,$Q27=2),1,0),IF($X27&lt;=20,1,0))</formula>
    </cfRule>
    <cfRule type="expression" priority="353" dxfId="2">
      <formula>AND(IF($Q27=2,1,0),IF($X27&lt;30,1,0))</formula>
    </cfRule>
    <cfRule type="expression" priority="354" dxfId="1">
      <formula>AND(IF($Q27=3,1,0),IF($X27&lt;30,1,0))</formula>
    </cfRule>
    <cfRule type="expression" priority="355" dxfId="0">
      <formula>AND(IF($Q27=3,1,IF($Q27=4,1,0)),IF($F27&lt;=85,1,0))</formula>
    </cfRule>
  </conditionalFormatting>
  <conditionalFormatting sqref="X27">
    <cfRule type="expression" priority="348" dxfId="3">
      <formula>AND(IF(OR($Q27=1,$Q27=2),1,0),IF($X27&lt;=20,1,0))</formula>
    </cfRule>
    <cfRule type="expression" priority="349" dxfId="2">
      <formula>AND(IF($Q27=2,1,0),IF($X27&lt;30,1,0))</formula>
    </cfRule>
    <cfRule type="expression" priority="350" dxfId="1">
      <formula>AND(IF($Q27=3,1,0),IF($X27&lt;30,1,0))</formula>
    </cfRule>
    <cfRule type="expression" priority="351" dxfId="0">
      <formula>AND(IF($Q27=3,1,IF($Q27=4,1,0)),IF($F27&lt;=85,1,0))</formula>
    </cfRule>
  </conditionalFormatting>
  <conditionalFormatting sqref="AI27">
    <cfRule type="expression" priority="344" dxfId="3">
      <formula>AND(IF(OR($Q27=1,$Q27=2),1,0),IF($X27&lt;=20,1,0))</formula>
    </cfRule>
    <cfRule type="expression" priority="345" dxfId="2">
      <formula>AND(IF($Q27=2,1,0),IF($X27&lt;30,1,0))</formula>
    </cfRule>
    <cfRule type="expression" priority="346" dxfId="1">
      <formula>AND(IF($Q27=3,1,0),IF($X27&lt;30,1,0))</formula>
    </cfRule>
    <cfRule type="expression" priority="347" dxfId="0">
      <formula>AND(IF($Q27=3,1,IF($Q27=4,1,0)),IF($F27&lt;=85,1,0))</formula>
    </cfRule>
  </conditionalFormatting>
  <conditionalFormatting sqref="AV28">
    <cfRule type="expression" priority="342" dxfId="17">
      <formula>AV28="X"</formula>
    </cfRule>
    <cfRule type="expression" priority="343" dxfId="16">
      <formula>AV28="후보"</formula>
    </cfRule>
  </conditionalFormatting>
  <conditionalFormatting sqref="AC2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2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28">
    <cfRule type="expression" priority="333" dxfId="3">
      <formula>AND(IF(OR($Q28=1,$Q28=2),1,0),IF($X28&lt;=20,1,0))</formula>
    </cfRule>
    <cfRule type="expression" priority="334" dxfId="2">
      <formula>AND(IF($Q28=2,1,0),IF($X28&lt;30,1,0))</formula>
    </cfRule>
    <cfRule type="expression" priority="335" dxfId="1">
      <formula>AND(IF($Q28=3,1,0),IF($X28&lt;30,1,0))</formula>
    </cfRule>
    <cfRule type="expression" priority="336" dxfId="0">
      <formula>AND(IF($Q28=3,1,IF($Q28=4,1,0)),IF($F28&lt;=85,1,0))</formula>
    </cfRule>
  </conditionalFormatting>
  <conditionalFormatting sqref="X28">
    <cfRule type="expression" priority="329" dxfId="3">
      <formula>AND(IF(OR($Q28=1,$Q28=2),1,0),IF($X28&lt;=20,1,0))</formula>
    </cfRule>
    <cfRule type="expression" priority="330" dxfId="2">
      <formula>AND(IF($Q28=2,1,0),IF($X28&lt;30,1,0))</formula>
    </cfRule>
    <cfRule type="expression" priority="331" dxfId="1">
      <formula>AND(IF($Q28=3,1,0),IF($X28&lt;30,1,0))</formula>
    </cfRule>
    <cfRule type="expression" priority="332" dxfId="0">
      <formula>AND(IF($Q28=3,1,IF($Q28=4,1,0)),IF($F28&lt;=85,1,0))</formula>
    </cfRule>
  </conditionalFormatting>
  <conditionalFormatting sqref="AI28">
    <cfRule type="expression" priority="325" dxfId="3">
      <formula>AND(IF(OR($Q28=1,$Q28=2),1,0),IF($X28&lt;=20,1,0))</formula>
    </cfRule>
    <cfRule type="expression" priority="326" dxfId="2">
      <formula>AND(IF($Q28=2,1,0),IF($X28&lt;30,1,0))</formula>
    </cfRule>
    <cfRule type="expression" priority="327" dxfId="1">
      <formula>AND(IF($Q28=3,1,0),IF($X28&lt;30,1,0))</formula>
    </cfRule>
    <cfRule type="expression" priority="328" dxfId="0">
      <formula>AND(IF($Q28=3,1,IF($Q28=4,1,0)),IF($F28&lt;=85,1,0))</formula>
    </cfRule>
  </conditionalFormatting>
  <conditionalFormatting sqref="AV29">
    <cfRule type="expression" priority="323" dxfId="17">
      <formula>AV29="X"</formula>
    </cfRule>
    <cfRule type="expression" priority="324" dxfId="16">
      <formula>AV29="후보"</formula>
    </cfRule>
  </conditionalFormatting>
  <conditionalFormatting sqref="AC29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29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29">
    <cfRule type="expression" priority="314" dxfId="3">
      <formula>AND(IF(OR($Q29=1,$Q29=2),1,0),IF($X29&lt;=20,1,0))</formula>
    </cfRule>
    <cfRule type="expression" priority="315" dxfId="2">
      <formula>AND(IF($Q29=2,1,0),IF($X29&lt;30,1,0))</formula>
    </cfRule>
    <cfRule type="expression" priority="316" dxfId="1">
      <formula>AND(IF($Q29=3,1,0),IF($X29&lt;30,1,0))</formula>
    </cfRule>
    <cfRule type="expression" priority="317" dxfId="0">
      <formula>AND(IF($Q29=3,1,IF($Q29=4,1,0)),IF($F29&lt;=85,1,0))</formula>
    </cfRule>
  </conditionalFormatting>
  <conditionalFormatting sqref="X29">
    <cfRule type="expression" priority="310" dxfId="3">
      <formula>AND(IF(OR($Q29=1,$Q29=2),1,0),IF($X29&lt;=20,1,0))</formula>
    </cfRule>
    <cfRule type="expression" priority="311" dxfId="2">
      <formula>AND(IF($Q29=2,1,0),IF($X29&lt;30,1,0))</formula>
    </cfRule>
    <cfRule type="expression" priority="312" dxfId="1">
      <formula>AND(IF($Q29=3,1,0),IF($X29&lt;30,1,0))</formula>
    </cfRule>
    <cfRule type="expression" priority="313" dxfId="0">
      <formula>AND(IF($Q29=3,1,IF($Q29=4,1,0)),IF($F29&lt;=85,1,0))</formula>
    </cfRule>
  </conditionalFormatting>
  <conditionalFormatting sqref="AI29">
    <cfRule type="expression" priority="306" dxfId="3">
      <formula>AND(IF(OR($Q29=1,$Q29=2),1,0),IF($X29&lt;=20,1,0))</formula>
    </cfRule>
    <cfRule type="expression" priority="307" dxfId="2">
      <formula>AND(IF($Q29=2,1,0),IF($X29&lt;30,1,0))</formula>
    </cfRule>
    <cfRule type="expression" priority="308" dxfId="1">
      <formula>AND(IF($Q29=3,1,0),IF($X29&lt;30,1,0))</formula>
    </cfRule>
    <cfRule type="expression" priority="309" dxfId="0">
      <formula>AND(IF($Q29=3,1,IF($Q29=4,1,0)),IF($F29&lt;=85,1,0))</formula>
    </cfRule>
  </conditionalFormatting>
  <conditionalFormatting sqref="AV30">
    <cfRule type="expression" priority="304" dxfId="17">
      <formula>AV30="X"</formula>
    </cfRule>
    <cfRule type="expression" priority="305" dxfId="16">
      <formula>AV30="후보"</formula>
    </cfRule>
  </conditionalFormatting>
  <conditionalFormatting sqref="AC30 N3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31">
    <cfRule type="expression" priority="299" dxfId="17">
      <formula>AV31="X"</formula>
    </cfRule>
    <cfRule type="expression" priority="300" dxfId="16">
      <formula>AV31="후보"</formula>
    </cfRule>
  </conditionalFormatting>
  <conditionalFormatting sqref="AC31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31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31">
    <cfRule type="expression" priority="290" dxfId="3">
      <formula>AND(IF(OR($Q31=1,$Q31=2),1,0),IF($X31&lt;=20,1,0))</formula>
    </cfRule>
    <cfRule type="expression" priority="291" dxfId="2">
      <formula>AND(IF($Q31=2,1,0),IF($X31&lt;30,1,0))</formula>
    </cfRule>
    <cfRule type="expression" priority="292" dxfId="1">
      <formula>AND(IF($Q31=3,1,0),IF($X31&lt;30,1,0))</formula>
    </cfRule>
    <cfRule type="expression" priority="293" dxfId="0">
      <formula>AND(IF($Q31=3,1,IF($Q31=4,1,0)),IF($F31&lt;=85,1,0))</formula>
    </cfRule>
  </conditionalFormatting>
  <conditionalFormatting sqref="X31">
    <cfRule type="expression" priority="286" dxfId="3">
      <formula>AND(IF(OR($Q31=1,$Q31=2),1,0),IF($X31&lt;=20,1,0))</formula>
    </cfRule>
    <cfRule type="expression" priority="287" dxfId="2">
      <formula>AND(IF($Q31=2,1,0),IF($X31&lt;30,1,0))</formula>
    </cfRule>
    <cfRule type="expression" priority="288" dxfId="1">
      <formula>AND(IF($Q31=3,1,0),IF($X31&lt;30,1,0))</formula>
    </cfRule>
    <cfRule type="expression" priority="289" dxfId="0">
      <formula>AND(IF($Q31=3,1,IF($Q31=4,1,0)),IF($F31&lt;=85,1,0))</formula>
    </cfRule>
  </conditionalFormatting>
  <conditionalFormatting sqref="AI31">
    <cfRule type="expression" priority="282" dxfId="3">
      <formula>AND(IF(OR($Q31=1,$Q31=2),1,0),IF($X31&lt;=20,1,0))</formula>
    </cfRule>
    <cfRule type="expression" priority="283" dxfId="2">
      <formula>AND(IF($Q31=2,1,0),IF($X31&lt;30,1,0))</formula>
    </cfRule>
    <cfRule type="expression" priority="284" dxfId="1">
      <formula>AND(IF($Q31=3,1,0),IF($X31&lt;30,1,0))</formula>
    </cfRule>
    <cfRule type="expression" priority="285" dxfId="0">
      <formula>AND(IF($Q31=3,1,IF($Q31=4,1,0)),IF($F31&lt;=85,1,0))</formula>
    </cfRule>
  </conditionalFormatting>
  <conditionalFormatting sqref="AV32">
    <cfRule type="expression" priority="280" dxfId="17">
      <formula>AV32="X"</formula>
    </cfRule>
    <cfRule type="expression" priority="281" dxfId="16">
      <formula>AV32="후보"</formula>
    </cfRule>
  </conditionalFormatting>
  <conditionalFormatting sqref="AC3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32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32">
    <cfRule type="expression" priority="271" dxfId="3">
      <formula>AND(IF(OR($Q32=1,$Q32=2),1,0),IF($X32&lt;=20,1,0))</formula>
    </cfRule>
    <cfRule type="expression" priority="272" dxfId="2">
      <formula>AND(IF($Q32=2,1,0),IF($X32&lt;30,1,0))</formula>
    </cfRule>
    <cfRule type="expression" priority="273" dxfId="1">
      <formula>AND(IF($Q32=3,1,0),IF($X32&lt;30,1,0))</formula>
    </cfRule>
    <cfRule type="expression" priority="274" dxfId="0">
      <formula>AND(IF($Q32=3,1,IF($Q32=4,1,0)),IF($F32&lt;=85,1,0))</formula>
    </cfRule>
  </conditionalFormatting>
  <conditionalFormatting sqref="X32">
    <cfRule type="expression" priority="267" dxfId="3">
      <formula>AND(IF(OR($Q32=1,$Q32=2),1,0),IF($X32&lt;=20,1,0))</formula>
    </cfRule>
    <cfRule type="expression" priority="268" dxfId="2">
      <formula>AND(IF($Q32=2,1,0),IF($X32&lt;30,1,0))</formula>
    </cfRule>
    <cfRule type="expression" priority="269" dxfId="1">
      <formula>AND(IF($Q32=3,1,0),IF($X32&lt;30,1,0))</formula>
    </cfRule>
    <cfRule type="expression" priority="270" dxfId="0">
      <formula>AND(IF($Q32=3,1,IF($Q32=4,1,0)),IF($F32&lt;=85,1,0))</formula>
    </cfRule>
  </conditionalFormatting>
  <conditionalFormatting sqref="AI32">
    <cfRule type="expression" priority="263" dxfId="3">
      <formula>AND(IF(OR($Q32=1,$Q32=2),1,0),IF($X32&lt;=20,1,0))</formula>
    </cfRule>
    <cfRule type="expression" priority="264" dxfId="2">
      <formula>AND(IF($Q32=2,1,0),IF($X32&lt;30,1,0))</formula>
    </cfRule>
    <cfRule type="expression" priority="265" dxfId="1">
      <formula>AND(IF($Q32=3,1,0),IF($X32&lt;30,1,0))</formula>
    </cfRule>
    <cfRule type="expression" priority="266" dxfId="0">
      <formula>AND(IF($Q32=3,1,IF($Q32=4,1,0)),IF($F32&lt;=85,1,0))</formula>
    </cfRule>
  </conditionalFormatting>
  <conditionalFormatting sqref="AV33">
    <cfRule type="expression" priority="261" dxfId="17">
      <formula>AV33="X"</formula>
    </cfRule>
    <cfRule type="expression" priority="262" dxfId="16">
      <formula>AV33="후보"</formula>
    </cfRule>
  </conditionalFormatting>
  <conditionalFormatting sqref="AC33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33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33">
    <cfRule type="expression" priority="252" dxfId="3">
      <formula>AND(IF(OR($Q33=1,$Q33=2),1,0),IF($X33&lt;=20,1,0))</formula>
    </cfRule>
    <cfRule type="expression" priority="253" dxfId="2">
      <formula>AND(IF($Q33=2,1,0),IF($X33&lt;30,1,0))</formula>
    </cfRule>
    <cfRule type="expression" priority="254" dxfId="1">
      <formula>AND(IF($Q33=3,1,0),IF($X33&lt;30,1,0))</formula>
    </cfRule>
    <cfRule type="expression" priority="255" dxfId="0">
      <formula>AND(IF($Q33=3,1,IF($Q33=4,1,0)),IF($F33&lt;=85,1,0))</formula>
    </cfRule>
  </conditionalFormatting>
  <conditionalFormatting sqref="X33">
    <cfRule type="expression" priority="248" dxfId="3">
      <formula>AND(IF(OR($Q33=1,$Q33=2),1,0),IF($X33&lt;=20,1,0))</formula>
    </cfRule>
    <cfRule type="expression" priority="249" dxfId="2">
      <formula>AND(IF($Q33=2,1,0),IF($X33&lt;30,1,0))</formula>
    </cfRule>
    <cfRule type="expression" priority="250" dxfId="1">
      <formula>AND(IF($Q33=3,1,0),IF($X33&lt;30,1,0))</formula>
    </cfRule>
    <cfRule type="expression" priority="251" dxfId="0">
      <formula>AND(IF($Q33=3,1,IF($Q33=4,1,0)),IF($F33&lt;=85,1,0))</formula>
    </cfRule>
  </conditionalFormatting>
  <conditionalFormatting sqref="AI33">
    <cfRule type="expression" priority="244" dxfId="3">
      <formula>AND(IF(OR($Q33=1,$Q33=2),1,0),IF($X33&lt;=20,1,0))</formula>
    </cfRule>
    <cfRule type="expression" priority="245" dxfId="2">
      <formula>AND(IF($Q33=2,1,0),IF($X33&lt;30,1,0))</formula>
    </cfRule>
    <cfRule type="expression" priority="246" dxfId="1">
      <formula>AND(IF($Q33=3,1,0),IF($X33&lt;30,1,0))</formula>
    </cfRule>
    <cfRule type="expression" priority="247" dxfId="0">
      <formula>AND(IF($Q33=3,1,IF($Q33=4,1,0)),IF($F33&lt;=85,1,0))</formula>
    </cfRule>
  </conditionalFormatting>
  <conditionalFormatting sqref="AV34">
    <cfRule type="expression" priority="242" dxfId="17">
      <formula>AV34="X"</formula>
    </cfRule>
    <cfRule type="expression" priority="243" dxfId="16">
      <formula>AV34="후보"</formula>
    </cfRule>
  </conditionalFormatting>
  <conditionalFormatting sqref="AC34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34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34">
    <cfRule type="expression" priority="233" dxfId="3">
      <formula>AND(IF(OR($Q34=1,$Q34=2),1,0),IF($X34&lt;=20,1,0))</formula>
    </cfRule>
    <cfRule type="expression" priority="234" dxfId="2">
      <formula>AND(IF($Q34=2,1,0),IF($X34&lt;30,1,0))</formula>
    </cfRule>
    <cfRule type="expression" priority="235" dxfId="1">
      <formula>AND(IF($Q34=3,1,0),IF($X34&lt;30,1,0))</formula>
    </cfRule>
    <cfRule type="expression" priority="236" dxfId="0">
      <formula>AND(IF($Q34=3,1,IF($Q34=4,1,0)),IF($F34&lt;=85,1,0))</formula>
    </cfRule>
  </conditionalFormatting>
  <conditionalFormatting sqref="X34">
    <cfRule type="expression" priority="229" dxfId="3">
      <formula>AND(IF(OR($Q34=1,$Q34=2),1,0),IF($X34&lt;=20,1,0))</formula>
    </cfRule>
    <cfRule type="expression" priority="230" dxfId="2">
      <formula>AND(IF($Q34=2,1,0),IF($X34&lt;30,1,0))</formula>
    </cfRule>
    <cfRule type="expression" priority="231" dxfId="1">
      <formula>AND(IF($Q34=3,1,0),IF($X34&lt;30,1,0))</formula>
    </cfRule>
    <cfRule type="expression" priority="232" dxfId="0">
      <formula>AND(IF($Q34=3,1,IF($Q34=4,1,0)),IF($F34&lt;=85,1,0))</formula>
    </cfRule>
  </conditionalFormatting>
  <conditionalFormatting sqref="AI34">
    <cfRule type="expression" priority="225" dxfId="3">
      <formula>AND(IF(OR($Q34=1,$Q34=2),1,0),IF($X34&lt;=20,1,0))</formula>
    </cfRule>
    <cfRule type="expression" priority="226" dxfId="2">
      <formula>AND(IF($Q34=2,1,0),IF($X34&lt;30,1,0))</formula>
    </cfRule>
    <cfRule type="expression" priority="227" dxfId="1">
      <formula>AND(IF($Q34=3,1,0),IF($X34&lt;30,1,0))</formula>
    </cfRule>
    <cfRule type="expression" priority="228" dxfId="0">
      <formula>AND(IF($Q34=3,1,IF($Q34=4,1,0)),IF($F34&lt;=85,1,0))</formula>
    </cfRule>
  </conditionalFormatting>
  <conditionalFormatting sqref="AV35">
    <cfRule type="expression" priority="223" dxfId="17">
      <formula>AV35="X"</formula>
    </cfRule>
    <cfRule type="expression" priority="224" dxfId="16">
      <formula>AV35="후보"</formula>
    </cfRule>
  </conditionalFormatting>
  <conditionalFormatting sqref="AC35 N35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36">
    <cfRule type="expression" priority="218" dxfId="17">
      <formula>AV36="X"</formula>
    </cfRule>
    <cfRule type="expression" priority="219" dxfId="16">
      <formula>AV36="후보"</formula>
    </cfRule>
  </conditionalFormatting>
  <conditionalFormatting sqref="AC36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6">
    <cfRule type="expression" priority="209" dxfId="3">
      <formula>AND(IF(OR($Q36=1,$Q36=2),1,0),IF($X36&lt;=20,1,0))</formula>
    </cfRule>
    <cfRule type="expression" priority="210" dxfId="2">
      <formula>AND(IF($Q36=2,1,0),IF($X36&lt;30,1,0))</formula>
    </cfRule>
    <cfRule type="expression" priority="211" dxfId="1">
      <formula>AND(IF($Q36=3,1,0),IF($X36&lt;30,1,0))</formula>
    </cfRule>
    <cfRule type="expression" priority="212" dxfId="0">
      <formula>AND(IF($Q36=3,1,IF($Q36=4,1,0)),IF($F36&lt;=85,1,0))</formula>
    </cfRule>
  </conditionalFormatting>
  <conditionalFormatting sqref="X36">
    <cfRule type="expression" priority="205" dxfId="3">
      <formula>AND(IF(OR($Q36=1,$Q36=2),1,0),IF($X36&lt;=20,1,0))</formula>
    </cfRule>
    <cfRule type="expression" priority="206" dxfId="2">
      <formula>AND(IF($Q36=2,1,0),IF($X36&lt;30,1,0))</formula>
    </cfRule>
    <cfRule type="expression" priority="207" dxfId="1">
      <formula>AND(IF($Q36=3,1,0),IF($X36&lt;30,1,0))</formula>
    </cfRule>
    <cfRule type="expression" priority="208" dxfId="0">
      <formula>AND(IF($Q36=3,1,IF($Q36=4,1,0)),IF($F36&lt;=85,1,0))</formula>
    </cfRule>
  </conditionalFormatting>
  <conditionalFormatting sqref="AI36">
    <cfRule type="expression" priority="201" dxfId="3">
      <formula>AND(IF(OR($Q36=1,$Q36=2),1,0),IF($X36&lt;=20,1,0))</formula>
    </cfRule>
    <cfRule type="expression" priority="202" dxfId="2">
      <formula>AND(IF($Q36=2,1,0),IF($X36&lt;30,1,0))</formula>
    </cfRule>
    <cfRule type="expression" priority="203" dxfId="1">
      <formula>AND(IF($Q36=3,1,0),IF($X36&lt;30,1,0))</formula>
    </cfRule>
    <cfRule type="expression" priority="204" dxfId="0">
      <formula>AND(IF($Q36=3,1,IF($Q36=4,1,0)),IF($F36&lt;=85,1,0))</formula>
    </cfRule>
  </conditionalFormatting>
  <conditionalFormatting sqref="AV37">
    <cfRule type="expression" priority="199" dxfId="17">
      <formula>AV37="X"</formula>
    </cfRule>
    <cfRule type="expression" priority="200" dxfId="16">
      <formula>AV37="후보"</formula>
    </cfRule>
  </conditionalFormatting>
  <conditionalFormatting sqref="AC3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7">
    <cfRule type="expression" priority="190" dxfId="3">
      <formula>AND(IF(OR($Q37=1,$Q37=2),1,0),IF($X37&lt;=20,1,0))</formula>
    </cfRule>
    <cfRule type="expression" priority="191" dxfId="2">
      <formula>AND(IF($Q37=2,1,0),IF($X37&lt;30,1,0))</formula>
    </cfRule>
    <cfRule type="expression" priority="192" dxfId="1">
      <formula>AND(IF($Q37=3,1,0),IF($X37&lt;30,1,0))</formula>
    </cfRule>
    <cfRule type="expression" priority="193" dxfId="0">
      <formula>AND(IF($Q37=3,1,IF($Q37=4,1,0)),IF($F37&lt;=85,1,0))</formula>
    </cfRule>
  </conditionalFormatting>
  <conditionalFormatting sqref="X37">
    <cfRule type="expression" priority="186" dxfId="3">
      <formula>AND(IF(OR($Q37=1,$Q37=2),1,0),IF($X37&lt;=20,1,0))</formula>
    </cfRule>
    <cfRule type="expression" priority="187" dxfId="2">
      <formula>AND(IF($Q37=2,1,0),IF($X37&lt;30,1,0))</formula>
    </cfRule>
    <cfRule type="expression" priority="188" dxfId="1">
      <formula>AND(IF($Q37=3,1,0),IF($X37&lt;30,1,0))</formula>
    </cfRule>
    <cfRule type="expression" priority="189" dxfId="0">
      <formula>AND(IF($Q37=3,1,IF($Q37=4,1,0)),IF($F37&lt;=85,1,0))</formula>
    </cfRule>
  </conditionalFormatting>
  <conditionalFormatting sqref="AI37">
    <cfRule type="expression" priority="182" dxfId="3">
      <formula>AND(IF(OR($Q37=1,$Q37=2),1,0),IF($X37&lt;=20,1,0))</formula>
    </cfRule>
    <cfRule type="expression" priority="183" dxfId="2">
      <formula>AND(IF($Q37=2,1,0),IF($X37&lt;30,1,0))</formula>
    </cfRule>
    <cfRule type="expression" priority="184" dxfId="1">
      <formula>AND(IF($Q37=3,1,0),IF($X37&lt;30,1,0))</formula>
    </cfRule>
    <cfRule type="expression" priority="185" dxfId="0">
      <formula>AND(IF($Q37=3,1,IF($Q37=4,1,0)),IF($F37&lt;=85,1,0))</formula>
    </cfRule>
  </conditionalFormatting>
  <conditionalFormatting sqref="AV38">
    <cfRule type="expression" priority="180" dxfId="17">
      <formula>AV38="X"</formula>
    </cfRule>
    <cfRule type="expression" priority="181" dxfId="16">
      <formula>AV38="후보"</formula>
    </cfRule>
  </conditionalFormatting>
  <conditionalFormatting sqref="AC3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8">
    <cfRule type="expression" priority="171" dxfId="3">
      <formula>AND(IF(OR($Q38=1,$Q38=2),1,0),IF($X38&lt;=20,1,0))</formula>
    </cfRule>
    <cfRule type="expression" priority="172" dxfId="2">
      <formula>AND(IF($Q38=2,1,0),IF($X38&lt;30,1,0))</formula>
    </cfRule>
    <cfRule type="expression" priority="173" dxfId="1">
      <formula>AND(IF($Q38=3,1,0),IF($X38&lt;30,1,0))</formula>
    </cfRule>
    <cfRule type="expression" priority="174" dxfId="0">
      <formula>AND(IF($Q38=3,1,IF($Q38=4,1,0)),IF($F38&lt;=85,1,0))</formula>
    </cfRule>
  </conditionalFormatting>
  <conditionalFormatting sqref="X38">
    <cfRule type="expression" priority="167" dxfId="3">
      <formula>AND(IF(OR($Q38=1,$Q38=2),1,0),IF($X38&lt;=20,1,0))</formula>
    </cfRule>
    <cfRule type="expression" priority="168" dxfId="2">
      <formula>AND(IF($Q38=2,1,0),IF($X38&lt;30,1,0))</formula>
    </cfRule>
    <cfRule type="expression" priority="169" dxfId="1">
      <formula>AND(IF($Q38=3,1,0),IF($X38&lt;30,1,0))</formula>
    </cfRule>
    <cfRule type="expression" priority="170" dxfId="0">
      <formula>AND(IF($Q38=3,1,IF($Q38=4,1,0)),IF($F38&lt;=85,1,0))</formula>
    </cfRule>
  </conditionalFormatting>
  <conditionalFormatting sqref="AI38">
    <cfRule type="expression" priority="163" dxfId="3">
      <formula>AND(IF(OR($Q38=1,$Q38=2),1,0),IF($X38&lt;=20,1,0))</formula>
    </cfRule>
    <cfRule type="expression" priority="164" dxfId="2">
      <formula>AND(IF($Q38=2,1,0),IF($X38&lt;30,1,0))</formula>
    </cfRule>
    <cfRule type="expression" priority="165" dxfId="1">
      <formula>AND(IF($Q38=3,1,0),IF($X38&lt;30,1,0))</formula>
    </cfRule>
    <cfRule type="expression" priority="166" dxfId="0">
      <formula>AND(IF($Q38=3,1,IF($Q38=4,1,0)),IF($F38&lt;=85,1,0))</formula>
    </cfRule>
  </conditionalFormatting>
  <conditionalFormatting sqref="AV39">
    <cfRule type="expression" priority="161" dxfId="17">
      <formula>AV39="X"</formula>
    </cfRule>
    <cfRule type="expression" priority="162" dxfId="16">
      <formula>AV39="후보"</formula>
    </cfRule>
  </conditionalFormatting>
  <conditionalFormatting sqref="AC3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3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39">
    <cfRule type="expression" priority="152" dxfId="3">
      <formula>AND(IF(OR($Q39=1,$Q39=2),1,0),IF($X39&lt;=20,1,0))</formula>
    </cfRule>
    <cfRule type="expression" priority="153" dxfId="2">
      <formula>AND(IF($Q39=2,1,0),IF($X39&lt;30,1,0))</formula>
    </cfRule>
    <cfRule type="expression" priority="154" dxfId="1">
      <formula>AND(IF($Q39=3,1,0),IF($X39&lt;30,1,0))</formula>
    </cfRule>
    <cfRule type="expression" priority="155" dxfId="0">
      <formula>AND(IF($Q39=3,1,IF($Q39=4,1,0)),IF($F39&lt;=85,1,0))</formula>
    </cfRule>
  </conditionalFormatting>
  <conditionalFormatting sqref="X39">
    <cfRule type="expression" priority="148" dxfId="3">
      <formula>AND(IF(OR($Q39=1,$Q39=2),1,0),IF($X39&lt;=20,1,0))</formula>
    </cfRule>
    <cfRule type="expression" priority="149" dxfId="2">
      <formula>AND(IF($Q39=2,1,0),IF($X39&lt;30,1,0))</formula>
    </cfRule>
    <cfRule type="expression" priority="150" dxfId="1">
      <formula>AND(IF($Q39=3,1,0),IF($X39&lt;30,1,0))</formula>
    </cfRule>
    <cfRule type="expression" priority="151" dxfId="0">
      <formula>AND(IF($Q39=3,1,IF($Q39=4,1,0)),IF($F39&lt;=85,1,0))</formula>
    </cfRule>
  </conditionalFormatting>
  <conditionalFormatting sqref="AI39">
    <cfRule type="expression" priority="144" dxfId="3">
      <formula>AND(IF(OR($Q39=1,$Q39=2),1,0),IF($X39&lt;=20,1,0))</formula>
    </cfRule>
    <cfRule type="expression" priority="145" dxfId="2">
      <formula>AND(IF($Q39=2,1,0),IF($X39&lt;30,1,0))</formula>
    </cfRule>
    <cfRule type="expression" priority="146" dxfId="1">
      <formula>AND(IF($Q39=3,1,0),IF($X39&lt;30,1,0))</formula>
    </cfRule>
    <cfRule type="expression" priority="147" dxfId="0">
      <formula>AND(IF($Q39=3,1,IF($Q39=4,1,0)),IF($F39&lt;=85,1,0))</formula>
    </cfRule>
  </conditionalFormatting>
  <conditionalFormatting sqref="AV40">
    <cfRule type="expression" priority="142" dxfId="17">
      <formula>AV40="X"</formula>
    </cfRule>
    <cfRule type="expression" priority="143" dxfId="16">
      <formula>AV40="후보"</formula>
    </cfRule>
  </conditionalFormatting>
  <conditionalFormatting sqref="AC40 N4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41">
    <cfRule type="expression" priority="137" dxfId="17">
      <formula>AV41="X"</formula>
    </cfRule>
    <cfRule type="expression" priority="138" dxfId="16">
      <formula>AV41="후보"</formula>
    </cfRule>
  </conditionalFormatting>
  <conditionalFormatting sqref="AC4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1">
    <cfRule type="expression" priority="128" dxfId="3">
      <formula>AND(IF(OR($Q41=1,$Q41=2),1,0),IF($X41&lt;=20,1,0))</formula>
    </cfRule>
    <cfRule type="expression" priority="129" dxfId="2">
      <formula>AND(IF($Q41=2,1,0),IF($X41&lt;30,1,0))</formula>
    </cfRule>
    <cfRule type="expression" priority="130" dxfId="1">
      <formula>AND(IF($Q41=3,1,0),IF($X41&lt;30,1,0))</formula>
    </cfRule>
    <cfRule type="expression" priority="131" dxfId="0">
      <formula>AND(IF($Q41=3,1,IF($Q41=4,1,0)),IF($F41&lt;=85,1,0))</formula>
    </cfRule>
  </conditionalFormatting>
  <conditionalFormatting sqref="X41">
    <cfRule type="expression" priority="124" dxfId="3">
      <formula>AND(IF(OR($Q41=1,$Q41=2),1,0),IF($X41&lt;=20,1,0))</formula>
    </cfRule>
    <cfRule type="expression" priority="125" dxfId="2">
      <formula>AND(IF($Q41=2,1,0),IF($X41&lt;30,1,0))</formula>
    </cfRule>
    <cfRule type="expression" priority="126" dxfId="1">
      <formula>AND(IF($Q41=3,1,0),IF($X41&lt;30,1,0))</formula>
    </cfRule>
    <cfRule type="expression" priority="127" dxfId="0">
      <formula>AND(IF($Q41=3,1,IF($Q41=4,1,0)),IF($F41&lt;=85,1,0))</formula>
    </cfRule>
  </conditionalFormatting>
  <conditionalFormatting sqref="AI41">
    <cfRule type="expression" priority="120" dxfId="3">
      <formula>AND(IF(OR($Q41=1,$Q41=2),1,0),IF($X41&lt;=20,1,0))</formula>
    </cfRule>
    <cfRule type="expression" priority="121" dxfId="2">
      <formula>AND(IF($Q41=2,1,0),IF($X41&lt;30,1,0))</formula>
    </cfRule>
    <cfRule type="expression" priority="122" dxfId="1">
      <formula>AND(IF($Q41=3,1,0),IF($X41&lt;30,1,0))</formula>
    </cfRule>
    <cfRule type="expression" priority="123" dxfId="0">
      <formula>AND(IF($Q41=3,1,IF($Q41=4,1,0)),IF($F41&lt;=85,1,0))</formula>
    </cfRule>
  </conditionalFormatting>
  <conditionalFormatting sqref="AV42">
    <cfRule type="expression" priority="118" dxfId="17">
      <formula>AV42="X"</formula>
    </cfRule>
    <cfRule type="expression" priority="119" dxfId="16">
      <formula>AV42="후보"</formula>
    </cfRule>
  </conditionalFormatting>
  <conditionalFormatting sqref="AC4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2">
    <cfRule type="expression" priority="109" dxfId="3">
      <formula>AND(IF(OR($Q42=1,$Q42=2),1,0),IF($X42&lt;=20,1,0))</formula>
    </cfRule>
    <cfRule type="expression" priority="110" dxfId="2">
      <formula>AND(IF($Q42=2,1,0),IF($X42&lt;30,1,0))</formula>
    </cfRule>
    <cfRule type="expression" priority="111" dxfId="1">
      <formula>AND(IF($Q42=3,1,0),IF($X42&lt;30,1,0))</formula>
    </cfRule>
    <cfRule type="expression" priority="112" dxfId="0">
      <formula>AND(IF($Q42=3,1,IF($Q42=4,1,0)),IF($F42&lt;=85,1,0))</formula>
    </cfRule>
  </conditionalFormatting>
  <conditionalFormatting sqref="X42">
    <cfRule type="expression" priority="105" dxfId="3">
      <formula>AND(IF(OR($Q42=1,$Q42=2),1,0),IF($X42&lt;=20,1,0))</formula>
    </cfRule>
    <cfRule type="expression" priority="106" dxfId="2">
      <formula>AND(IF($Q42=2,1,0),IF($X42&lt;30,1,0))</formula>
    </cfRule>
    <cfRule type="expression" priority="107" dxfId="1">
      <formula>AND(IF($Q42=3,1,0),IF($X42&lt;30,1,0))</formula>
    </cfRule>
    <cfRule type="expression" priority="108" dxfId="0">
      <formula>AND(IF($Q42=3,1,IF($Q42=4,1,0)),IF($F42&lt;=85,1,0))</formula>
    </cfRule>
  </conditionalFormatting>
  <conditionalFormatting sqref="AI42">
    <cfRule type="expression" priority="101" dxfId="3">
      <formula>AND(IF(OR($Q42=1,$Q42=2),1,0),IF($X42&lt;=20,1,0))</formula>
    </cfRule>
    <cfRule type="expression" priority="102" dxfId="2">
      <formula>AND(IF($Q42=2,1,0),IF($X42&lt;30,1,0))</formula>
    </cfRule>
    <cfRule type="expression" priority="103" dxfId="1">
      <formula>AND(IF($Q42=3,1,0),IF($X42&lt;30,1,0))</formula>
    </cfRule>
    <cfRule type="expression" priority="104" dxfId="0">
      <formula>AND(IF($Q42=3,1,IF($Q42=4,1,0)),IF($F42&lt;=85,1,0))</formula>
    </cfRule>
  </conditionalFormatting>
  <conditionalFormatting sqref="AV43">
    <cfRule type="expression" priority="99" dxfId="17">
      <formula>AV43="X"</formula>
    </cfRule>
    <cfRule type="expression" priority="100" dxfId="16">
      <formula>AV43="후보"</formula>
    </cfRule>
  </conditionalFormatting>
  <conditionalFormatting sqref="AC4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3">
    <cfRule type="expression" priority="90" dxfId="3">
      <formula>AND(IF(OR($Q43=1,$Q43=2),1,0),IF($X43&lt;=20,1,0))</formula>
    </cfRule>
    <cfRule type="expression" priority="91" dxfId="2">
      <formula>AND(IF($Q43=2,1,0),IF($X43&lt;30,1,0))</formula>
    </cfRule>
    <cfRule type="expression" priority="92" dxfId="1">
      <formula>AND(IF($Q43=3,1,0),IF($X43&lt;30,1,0))</formula>
    </cfRule>
    <cfRule type="expression" priority="93" dxfId="0">
      <formula>AND(IF($Q43=3,1,IF($Q43=4,1,0)),IF($F43&lt;=85,1,0))</formula>
    </cfRule>
  </conditionalFormatting>
  <conditionalFormatting sqref="X43">
    <cfRule type="expression" priority="86" dxfId="3">
      <formula>AND(IF(OR($Q43=1,$Q43=2),1,0),IF($X43&lt;=20,1,0))</formula>
    </cfRule>
    <cfRule type="expression" priority="87" dxfId="2">
      <formula>AND(IF($Q43=2,1,0),IF($X43&lt;30,1,0))</formula>
    </cfRule>
    <cfRule type="expression" priority="88" dxfId="1">
      <formula>AND(IF($Q43=3,1,0),IF($X43&lt;30,1,0))</formula>
    </cfRule>
    <cfRule type="expression" priority="89" dxfId="0">
      <formula>AND(IF($Q43=3,1,IF($Q43=4,1,0)),IF($F43&lt;=85,1,0))</formula>
    </cfRule>
  </conditionalFormatting>
  <conditionalFormatting sqref="AI43">
    <cfRule type="expression" priority="82" dxfId="3">
      <formula>AND(IF(OR($Q43=1,$Q43=2),1,0),IF($X43&lt;=20,1,0))</formula>
    </cfRule>
    <cfRule type="expression" priority="83" dxfId="2">
      <formula>AND(IF($Q43=2,1,0),IF($X43&lt;30,1,0))</formula>
    </cfRule>
    <cfRule type="expression" priority="84" dxfId="1">
      <formula>AND(IF($Q43=3,1,0),IF($X43&lt;30,1,0))</formula>
    </cfRule>
    <cfRule type="expression" priority="85" dxfId="0">
      <formula>AND(IF($Q43=3,1,IF($Q43=4,1,0)),IF($F43&lt;=85,1,0))</formula>
    </cfRule>
  </conditionalFormatting>
  <conditionalFormatting sqref="AV44">
    <cfRule type="expression" priority="80" dxfId="17">
      <formula>AV44="X"</formula>
    </cfRule>
    <cfRule type="expression" priority="81" dxfId="16">
      <formula>AV44="후보"</formula>
    </cfRule>
  </conditionalFormatting>
  <conditionalFormatting sqref="AC4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4">
    <cfRule type="expression" priority="71" dxfId="3">
      <formula>AND(IF(OR($Q44=1,$Q44=2),1,0),IF($X44&lt;=20,1,0))</formula>
    </cfRule>
    <cfRule type="expression" priority="72" dxfId="2">
      <formula>AND(IF($Q44=2,1,0),IF($X44&lt;30,1,0))</formula>
    </cfRule>
    <cfRule type="expression" priority="73" dxfId="1">
      <formula>AND(IF($Q44=3,1,0),IF($X44&lt;30,1,0))</formula>
    </cfRule>
    <cfRule type="expression" priority="74" dxfId="0">
      <formula>AND(IF($Q44=3,1,IF($Q44=4,1,0)),IF($F44&lt;=85,1,0))</formula>
    </cfRule>
  </conditionalFormatting>
  <conditionalFormatting sqref="X44">
    <cfRule type="expression" priority="67" dxfId="3">
      <formula>AND(IF(OR($Q44=1,$Q44=2),1,0),IF($X44&lt;=20,1,0))</formula>
    </cfRule>
    <cfRule type="expression" priority="68" dxfId="2">
      <formula>AND(IF($Q44=2,1,0),IF($X44&lt;30,1,0))</formula>
    </cfRule>
    <cfRule type="expression" priority="69" dxfId="1">
      <formula>AND(IF($Q44=3,1,0),IF($X44&lt;30,1,0))</formula>
    </cfRule>
    <cfRule type="expression" priority="70" dxfId="0">
      <formula>AND(IF($Q44=3,1,IF($Q44=4,1,0)),IF($F44&lt;=85,1,0))</formula>
    </cfRule>
  </conditionalFormatting>
  <conditionalFormatting sqref="AI44">
    <cfRule type="expression" priority="63" dxfId="3">
      <formula>AND(IF(OR($Q44=1,$Q44=2),1,0),IF($X44&lt;=20,1,0))</formula>
    </cfRule>
    <cfRule type="expression" priority="64" dxfId="2">
      <formula>AND(IF($Q44=2,1,0),IF($X44&lt;30,1,0))</formula>
    </cfRule>
    <cfRule type="expression" priority="65" dxfId="1">
      <formula>AND(IF($Q44=3,1,0),IF($X44&lt;30,1,0))</formula>
    </cfRule>
    <cfRule type="expression" priority="66" dxfId="0">
      <formula>AND(IF($Q44=3,1,IF($Q44=4,1,0)),IF($F44&lt;=85,1,0))</formula>
    </cfRule>
  </conditionalFormatting>
  <conditionalFormatting sqref="AV45">
    <cfRule type="expression" priority="61" dxfId="17">
      <formula>AV45="X"</formula>
    </cfRule>
    <cfRule type="expression" priority="62" dxfId="16">
      <formula>AV45="후보"</formula>
    </cfRule>
  </conditionalFormatting>
  <conditionalFormatting sqref="AC45 N4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46">
    <cfRule type="expression" priority="56" dxfId="17">
      <formula>AV46="X"</formula>
    </cfRule>
    <cfRule type="expression" priority="57" dxfId="16">
      <formula>AV46="후보"</formula>
    </cfRule>
  </conditionalFormatting>
  <conditionalFormatting sqref="AC4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6">
    <cfRule type="expression" priority="47" dxfId="3">
      <formula>AND(IF(OR($Q46=1,$Q46=2),1,0),IF($X46&lt;=20,1,0))</formula>
    </cfRule>
    <cfRule type="expression" priority="48" dxfId="2">
      <formula>AND(IF($Q46=2,1,0),IF($X46&lt;30,1,0))</formula>
    </cfRule>
    <cfRule type="expression" priority="49" dxfId="1">
      <formula>AND(IF($Q46=3,1,0),IF($X46&lt;30,1,0))</formula>
    </cfRule>
    <cfRule type="expression" priority="50" dxfId="0">
      <formula>AND(IF($Q46=3,1,IF($Q46=4,1,0)),IF($F46&lt;=85,1,0))</formula>
    </cfRule>
  </conditionalFormatting>
  <conditionalFormatting sqref="X46">
    <cfRule type="expression" priority="43" dxfId="3">
      <formula>AND(IF(OR($Q46=1,$Q46=2),1,0),IF($X46&lt;=20,1,0))</formula>
    </cfRule>
    <cfRule type="expression" priority="44" dxfId="2">
      <formula>AND(IF($Q46=2,1,0),IF($X46&lt;30,1,0))</formula>
    </cfRule>
    <cfRule type="expression" priority="45" dxfId="1">
      <formula>AND(IF($Q46=3,1,0),IF($X46&lt;30,1,0))</formula>
    </cfRule>
    <cfRule type="expression" priority="46" dxfId="0">
      <formula>AND(IF($Q46=3,1,IF($Q46=4,1,0)),IF($F46&lt;=85,1,0))</formula>
    </cfRule>
  </conditionalFormatting>
  <conditionalFormatting sqref="AI46">
    <cfRule type="expression" priority="39" dxfId="3">
      <formula>AND(IF(OR($Q46=1,$Q46=2),1,0),IF($X46&lt;=20,1,0))</formula>
    </cfRule>
    <cfRule type="expression" priority="40" dxfId="2">
      <formula>AND(IF($Q46=2,1,0),IF($X46&lt;30,1,0))</formula>
    </cfRule>
    <cfRule type="expression" priority="41" dxfId="1">
      <formula>AND(IF($Q46=3,1,0),IF($X46&lt;30,1,0))</formula>
    </cfRule>
    <cfRule type="expression" priority="42" dxfId="0">
      <formula>AND(IF($Q46=3,1,IF($Q46=4,1,0)),IF($F46&lt;=85,1,0))</formula>
    </cfRule>
  </conditionalFormatting>
  <conditionalFormatting sqref="AV47">
    <cfRule type="expression" priority="37" dxfId="17">
      <formula>AV47="X"</formula>
    </cfRule>
    <cfRule type="expression" priority="38" dxfId="16">
      <formula>AV47="후보"</formula>
    </cfRule>
  </conditionalFormatting>
  <conditionalFormatting sqref="AC4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7">
    <cfRule type="expression" priority="28" dxfId="3">
      <formula>AND(IF(OR($Q47=1,$Q47=2),1,0),IF($X47&lt;=20,1,0))</formula>
    </cfRule>
    <cfRule type="expression" priority="29" dxfId="2">
      <formula>AND(IF($Q47=2,1,0),IF($X47&lt;30,1,0))</formula>
    </cfRule>
    <cfRule type="expression" priority="30" dxfId="1">
      <formula>AND(IF($Q47=3,1,0),IF($X47&lt;30,1,0))</formula>
    </cfRule>
    <cfRule type="expression" priority="31" dxfId="0">
      <formula>AND(IF($Q47=3,1,IF($Q47=4,1,0)),IF($F47&lt;=85,1,0))</formula>
    </cfRule>
  </conditionalFormatting>
  <conditionalFormatting sqref="X47">
    <cfRule type="expression" priority="24" dxfId="3">
      <formula>AND(IF(OR($Q47=1,$Q47=2),1,0),IF($X47&lt;=20,1,0))</formula>
    </cfRule>
    <cfRule type="expression" priority="25" dxfId="2">
      <formula>AND(IF($Q47=2,1,0),IF($X47&lt;30,1,0))</formula>
    </cfRule>
    <cfRule type="expression" priority="26" dxfId="1">
      <formula>AND(IF($Q47=3,1,0),IF($X47&lt;30,1,0))</formula>
    </cfRule>
    <cfRule type="expression" priority="27" dxfId="0">
      <formula>AND(IF($Q47=3,1,IF($Q47=4,1,0)),IF($F47&lt;=85,1,0))</formula>
    </cfRule>
  </conditionalFormatting>
  <conditionalFormatting sqref="AI47">
    <cfRule type="expression" priority="20" dxfId="3">
      <formula>AND(IF(OR($Q47=1,$Q47=2),1,0),IF($X47&lt;=20,1,0))</formula>
    </cfRule>
    <cfRule type="expression" priority="21" dxfId="2">
      <formula>AND(IF($Q47=2,1,0),IF($X47&lt;30,1,0))</formula>
    </cfRule>
    <cfRule type="expression" priority="22" dxfId="1">
      <formula>AND(IF($Q47=3,1,0),IF($X47&lt;30,1,0))</formula>
    </cfRule>
    <cfRule type="expression" priority="23" dxfId="0">
      <formula>AND(IF($Q47=3,1,IF($Q47=4,1,0)),IF($F47&lt;=85,1,0))</formula>
    </cfRule>
  </conditionalFormatting>
  <conditionalFormatting sqref="AV48">
    <cfRule type="expression" priority="18" dxfId="17">
      <formula>AV48="X"</formula>
    </cfRule>
    <cfRule type="expression" priority="19" dxfId="16">
      <formula>AV48="후보"</formula>
    </cfRule>
  </conditionalFormatting>
  <conditionalFormatting sqref="AC4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8">
    <cfRule type="expression" priority="9" dxfId="3">
      <formula>AND(IF(OR($Q48=1,$Q48=2),1,0),IF($X48&lt;=20,1,0))</formula>
    </cfRule>
    <cfRule type="expression" priority="10" dxfId="2">
      <formula>AND(IF($Q48=2,1,0),IF($X48&lt;30,1,0))</formula>
    </cfRule>
    <cfRule type="expression" priority="11" dxfId="1">
      <formula>AND(IF($Q48=3,1,0),IF($X48&lt;30,1,0))</formula>
    </cfRule>
    <cfRule type="expression" priority="12" dxfId="0">
      <formula>AND(IF($Q48=3,1,IF($Q48=4,1,0)),IF($F48&lt;=85,1,0))</formula>
    </cfRule>
  </conditionalFormatting>
  <conditionalFormatting sqref="X48">
    <cfRule type="expression" priority="5" dxfId="3">
      <formula>AND(IF(OR($Q48=1,$Q48=2),1,0),IF($X48&lt;=20,1,0))</formula>
    </cfRule>
    <cfRule type="expression" priority="6" dxfId="2">
      <formula>AND(IF($Q48=2,1,0),IF($X48&lt;30,1,0))</formula>
    </cfRule>
    <cfRule type="expression" priority="7" dxfId="1">
      <formula>AND(IF($Q48=3,1,0),IF($X48&lt;30,1,0))</formula>
    </cfRule>
    <cfRule type="expression" priority="8" dxfId="0">
      <formula>AND(IF($Q48=3,1,IF($Q48=4,1,0)),IF($F48&lt;=85,1,0))</formula>
    </cfRule>
  </conditionalFormatting>
  <conditionalFormatting sqref="AI48">
    <cfRule type="expression" priority="1" dxfId="3">
      <formula>AND(IF(OR($Q48=1,$Q48=2),1,0),IF($X48&lt;=20,1,0))</formula>
    </cfRule>
    <cfRule type="expression" priority="2" dxfId="2">
      <formula>AND(IF($Q48=2,1,0),IF($X48&lt;30,1,0))</formula>
    </cfRule>
    <cfRule type="expression" priority="3" dxfId="1">
      <formula>AND(IF($Q48=3,1,0),IF($X48&lt;30,1,0))</formula>
    </cfRule>
    <cfRule type="expression" priority="4" dxfId="0">
      <formula>AND(IF($Q48=3,1,IF($Q48=4,1,0)),IF($F48&lt;=85,1,0))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신현동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루원시티대성베르힐</t>
        </is>
      </c>
      <c r="B6" s="16" t="inlineStr">
        <is>
          <t>'17.09.</t>
        </is>
      </c>
      <c r="C6" s="164" t="n">
        <v>1147</v>
      </c>
      <c r="D6" s="161" t="n">
        <v>101.3</v>
      </c>
      <c r="E6" s="163" t="n">
        <v>31</v>
      </c>
      <c r="F6" s="161" t="n">
        <v>75.7</v>
      </c>
      <c r="G6" s="27" t="n">
        <v>23</v>
      </c>
      <c r="H6" s="164" t="n">
        <v>217</v>
      </c>
      <c r="I6" s="165" t="n">
        <v>60000</v>
      </c>
      <c r="J6" s="165" t="inlineStr">
        <is>
          <t>고</t>
        </is>
      </c>
      <c r="K6" s="165" t="n">
        <v>35000</v>
      </c>
      <c r="L6" s="165" t="inlineStr">
        <is>
          <t>24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101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루원시티대성베르힐</t>
        </is>
      </c>
      <c r="B7" s="16" t="inlineStr">
        <is>
          <t>'17.09.</t>
        </is>
      </c>
      <c r="C7" s="164" t="n">
        <v>1147</v>
      </c>
      <c r="D7" s="161" t="n">
        <v>107.1</v>
      </c>
      <c r="E7" s="163" t="n">
        <v>32</v>
      </c>
      <c r="F7" s="161" t="n">
        <v>80.7</v>
      </c>
      <c r="G7" s="27" t="n">
        <v>24</v>
      </c>
      <c r="H7" s="164" t="n">
        <v>59</v>
      </c>
      <c r="I7" s="165" t="n">
        <v>62000</v>
      </c>
      <c r="J7" s="165" t="inlineStr">
        <is>
          <t>17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107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루원시티대성베르힐</t>
        </is>
      </c>
      <c r="B8" s="16" t="inlineStr">
        <is>
          <t>'17.09.</t>
        </is>
      </c>
      <c r="C8" s="164" t="n">
        <v>1147</v>
      </c>
      <c r="D8" s="161" t="n">
        <v>111.8</v>
      </c>
      <c r="E8" s="163" t="n">
        <v>34</v>
      </c>
      <c r="F8" s="161" t="n">
        <v>85</v>
      </c>
      <c r="G8" s="27" t="n">
        <v>26</v>
      </c>
      <c r="H8" s="164" t="n">
        <v>416</v>
      </c>
      <c r="I8" s="165" t="n">
        <v>65000</v>
      </c>
      <c r="J8" s="165" t="inlineStr">
        <is>
          <t>고</t>
        </is>
      </c>
      <c r="K8" s="165" t="n">
        <v>38000</v>
      </c>
      <c r="L8" s="165" t="inlineStr">
        <is>
          <t>중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111A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루원시티대성베르힐</t>
        </is>
      </c>
      <c r="B9" s="16" t="inlineStr">
        <is>
          <t>'17.09.</t>
        </is>
      </c>
      <c r="C9" s="164" t="n">
        <v>1147</v>
      </c>
      <c r="D9" s="161" t="n">
        <v>111.2</v>
      </c>
      <c r="E9" s="163" t="n">
        <v>34</v>
      </c>
      <c r="F9" s="161" t="n">
        <v>85</v>
      </c>
      <c r="G9" s="27" t="n">
        <v>26</v>
      </c>
      <c r="H9" s="164" t="n">
        <v>175</v>
      </c>
      <c r="I9" s="165" t="n">
        <v>62000</v>
      </c>
      <c r="J9" s="165" t="inlineStr">
        <is>
          <t>19</t>
        </is>
      </c>
      <c r="K9" s="165" t="n">
        <v>41000</v>
      </c>
      <c r="L9" s="165" t="inlineStr">
        <is>
          <t>고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111B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루원시티대성베르힐</t>
        </is>
      </c>
      <c r="B10" s="16" t="inlineStr">
        <is>
          <t>'17.09.</t>
        </is>
      </c>
      <c r="C10" s="164" t="n">
        <v>1147</v>
      </c>
      <c r="D10" s="161" t="n">
        <v>124.9</v>
      </c>
      <c r="E10" s="163" t="n">
        <v>38</v>
      </c>
      <c r="F10" s="161" t="n">
        <v>99.5</v>
      </c>
      <c r="G10" s="27" t="n">
        <v>30</v>
      </c>
      <c r="H10" s="164" t="n">
        <v>280</v>
      </c>
      <c r="I10" s="165" t="n">
        <v>75000</v>
      </c>
      <c r="J10" s="165" t="inlineStr">
        <is>
          <t>9</t>
        </is>
      </c>
      <c r="K10" s="165" t="n">
        <v>43000</v>
      </c>
      <c r="L10" s="165" t="inlineStr">
        <is>
          <t>고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124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효성</t>
        </is>
      </c>
      <c r="B12" s="16" t="inlineStr">
        <is>
          <t>'91.01.</t>
        </is>
      </c>
      <c r="C12" s="164" t="n">
        <v>452</v>
      </c>
      <c r="D12" s="161" t="n">
        <v>87.2</v>
      </c>
      <c r="E12" s="163" t="n">
        <v>26</v>
      </c>
      <c r="F12" s="161" t="n">
        <v>70.8</v>
      </c>
      <c r="G12" s="27" t="n">
        <v>21</v>
      </c>
      <c r="H12" s="164" t="n">
        <v>218</v>
      </c>
      <c r="I12" s="165" t="n">
        <v>28000</v>
      </c>
      <c r="J12" s="165" t="inlineStr">
        <is>
          <t>고</t>
        </is>
      </c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1</v>
      </c>
      <c r="S12" s="113" t="inlineStr">
        <is>
          <t>계</t>
        </is>
      </c>
      <c r="T12" s="8" t="n">
        <v>87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효성</t>
        </is>
      </c>
      <c r="B13" s="16" t="inlineStr">
        <is>
          <t>'91.01.</t>
        </is>
      </c>
      <c r="C13" s="164" t="n">
        <v>452</v>
      </c>
      <c r="D13" s="161" t="n">
        <v>90.59999999999999</v>
      </c>
      <c r="E13" s="163" t="n">
        <v>27</v>
      </c>
      <c r="F13" s="161" t="n">
        <v>74</v>
      </c>
      <c r="G13" s="27" t="n">
        <v>22</v>
      </c>
      <c r="H13" s="164" t="n">
        <v>52</v>
      </c>
      <c r="I13" s="165" t="n">
        <v>25000</v>
      </c>
      <c r="J13" s="165" t="inlineStr">
        <is>
          <t>고</t>
        </is>
      </c>
      <c r="K13" s="165" t="n">
        <v>20000</v>
      </c>
      <c r="L13" s="165" t="inlineStr">
        <is>
          <t>8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90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효성</t>
        </is>
      </c>
      <c r="B14" s="16" t="inlineStr">
        <is>
          <t>'91.01.</t>
        </is>
      </c>
      <c r="C14" s="164" t="n">
        <v>452</v>
      </c>
      <c r="D14" s="161" t="n">
        <v>91.2</v>
      </c>
      <c r="E14" s="163" t="n">
        <v>28</v>
      </c>
      <c r="F14" s="161" t="n">
        <v>74.5</v>
      </c>
      <c r="G14" s="27" t="n">
        <v>23</v>
      </c>
      <c r="H14" s="164" t="n">
        <v>52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1</v>
      </c>
      <c r="S14" s="113" t="inlineStr">
        <is>
          <t>계</t>
        </is>
      </c>
      <c r="T14" s="8" t="inlineStr">
        <is>
          <t>91A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효성</t>
        </is>
      </c>
      <c r="B15" s="16" t="inlineStr">
        <is>
          <t>'91.01.</t>
        </is>
      </c>
      <c r="C15" s="164" t="n">
        <v>452</v>
      </c>
      <c r="D15" s="161" t="n">
        <v>94.09999999999999</v>
      </c>
      <c r="E15" s="163" t="n">
        <v>28</v>
      </c>
      <c r="F15" s="161" t="n">
        <v>77.09999999999999</v>
      </c>
      <c r="G15" s="27" t="n">
        <v>23</v>
      </c>
      <c r="H15" s="164" t="n">
        <v>78</v>
      </c>
      <c r="I15" s="165" t="n">
        <v>30000</v>
      </c>
      <c r="J15" s="165" t="inlineStr">
        <is>
          <t>고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1</v>
      </c>
      <c r="S15" s="113" t="inlineStr">
        <is>
          <t>계</t>
        </is>
      </c>
      <c r="T15" s="8" t="inlineStr">
        <is>
          <t>94B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효성</t>
        </is>
      </c>
      <c r="B16" s="16" t="inlineStr">
        <is>
          <t>'91.01.</t>
        </is>
      </c>
      <c r="C16" s="164" t="n">
        <v>452</v>
      </c>
      <c r="D16" s="161" t="n">
        <v>101.3</v>
      </c>
      <c r="E16" s="163" t="n">
        <v>31</v>
      </c>
      <c r="F16" s="161" t="n">
        <v>83.09999999999999</v>
      </c>
      <c r="G16" s="27" t="n">
        <v>25</v>
      </c>
      <c r="H16" s="164" t="n">
        <v>52</v>
      </c>
      <c r="I16" s="165" t="n">
        <v>35000</v>
      </c>
      <c r="J16" s="165" t="inlineStr">
        <is>
          <t>고</t>
        </is>
      </c>
      <c r="K16" s="165" t="n">
        <v>22000</v>
      </c>
      <c r="L16" s="165" t="inlineStr">
        <is>
          <t>5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1</v>
      </c>
      <c r="S16" s="113" t="inlineStr">
        <is>
          <t>계</t>
        </is>
      </c>
      <c r="T16" s="8" t="n">
        <v>101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동진</t>
        </is>
      </c>
      <c r="B18" s="16" t="inlineStr">
        <is>
          <t>'89.04.</t>
        </is>
      </c>
      <c r="C18" s="164" t="n">
        <v>240</v>
      </c>
      <c r="D18" s="161" t="n">
        <v>63.6</v>
      </c>
      <c r="E18" s="163" t="n">
        <v>19</v>
      </c>
      <c r="F18" s="161" t="n">
        <v>51.4</v>
      </c>
      <c r="G18" s="27" t="n">
        <v>16</v>
      </c>
      <c r="H18" s="164" t="n">
        <v>96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1</v>
      </c>
      <c r="S18" s="113" t="inlineStr">
        <is>
          <t>계</t>
        </is>
      </c>
      <c r="T18" s="8" t="n">
        <v>63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동진</t>
        </is>
      </c>
      <c r="B19" s="16" t="inlineStr">
        <is>
          <t>'89.04.</t>
        </is>
      </c>
      <c r="C19" s="164" t="n">
        <v>240</v>
      </c>
      <c r="D19" s="161" t="n">
        <v>66.5</v>
      </c>
      <c r="E19" s="163" t="n">
        <v>20</v>
      </c>
      <c r="F19" s="161" t="n">
        <v>53.9</v>
      </c>
      <c r="G19" s="27" t="n">
        <v>16</v>
      </c>
      <c r="H19" s="164" t="n">
        <v>72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1</v>
      </c>
      <c r="S19" s="113" t="inlineStr">
        <is>
          <t>계</t>
        </is>
      </c>
      <c r="T19" s="8" t="n">
        <v>66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동진</t>
        </is>
      </c>
      <c r="B20" s="16" t="inlineStr">
        <is>
          <t>'89.04.</t>
        </is>
      </c>
      <c r="C20" s="164" t="n">
        <v>240</v>
      </c>
      <c r="D20" s="161" t="n">
        <v>71.59999999999999</v>
      </c>
      <c r="E20" s="163" t="n">
        <v>22</v>
      </c>
      <c r="F20" s="161" t="n">
        <v>58.5</v>
      </c>
      <c r="G20" s="27" t="n">
        <v>18</v>
      </c>
      <c r="H20" s="164" t="n">
        <v>60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71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동진</t>
        </is>
      </c>
      <c r="B21" s="16" t="inlineStr">
        <is>
          <t>'89.04.</t>
        </is>
      </c>
      <c r="C21" s="164" t="n">
        <v>240</v>
      </c>
      <c r="D21" s="161" t="n">
        <v>74.7</v>
      </c>
      <c r="E21" s="163" t="n">
        <v>23</v>
      </c>
      <c r="F21" s="161" t="n">
        <v>56</v>
      </c>
      <c r="G21" s="27" t="n">
        <v>17</v>
      </c>
      <c r="H21" s="164" t="n">
        <v>12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n">
        <v>74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루원시티센트럴타운</t>
        </is>
      </c>
      <c r="B23" s="16" t="inlineStr">
        <is>
          <t>'17.12.</t>
        </is>
      </c>
      <c r="C23" s="164" t="n">
        <v>743</v>
      </c>
      <c r="D23" s="161" t="n">
        <v>81.3</v>
      </c>
      <c r="E23" s="163" t="n">
        <v>25</v>
      </c>
      <c r="F23" s="161" t="n">
        <v>60</v>
      </c>
      <c r="G23" s="27" t="n">
        <v>18</v>
      </c>
      <c r="H23" s="164" t="n">
        <v>140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81A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루원시티센트럴타운</t>
        </is>
      </c>
      <c r="B24" s="16" t="inlineStr">
        <is>
          <t>'17.12.</t>
        </is>
      </c>
      <c r="C24" s="164" t="n">
        <v>743</v>
      </c>
      <c r="D24" s="161" t="n">
        <v>81.09999999999999</v>
      </c>
      <c r="E24" s="163" t="n">
        <v>25</v>
      </c>
      <c r="F24" s="161" t="n">
        <v>59.8</v>
      </c>
      <c r="G24" s="27" t="n">
        <v>18</v>
      </c>
      <c r="H24" s="164" t="n">
        <v>56</v>
      </c>
      <c r="I24" s="165" t="n">
        <v>52000</v>
      </c>
      <c r="J24" s="165" t="inlineStr">
        <is>
          <t>중</t>
        </is>
      </c>
      <c r="K24" s="165" t="n">
        <v>28000</v>
      </c>
      <c r="L24" s="165" t="inlineStr">
        <is>
          <t>6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81A2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루원시티센트럴타운</t>
        </is>
      </c>
      <c r="B25" s="16" t="inlineStr">
        <is>
          <t>'17.12.</t>
        </is>
      </c>
      <c r="C25" s="164" t="n">
        <v>743</v>
      </c>
      <c r="D25" s="161" t="n">
        <v>101.6</v>
      </c>
      <c r="E25" s="163" t="n">
        <v>31</v>
      </c>
      <c r="F25" s="161" t="n">
        <v>75</v>
      </c>
      <c r="G25" s="27" t="n">
        <v>23</v>
      </c>
      <c r="H25" s="164" t="n">
        <v>246</v>
      </c>
      <c r="I25" s="165" t="n">
        <v>56000</v>
      </c>
      <c r="J25" s="165" t="inlineStr">
        <is>
          <t>21</t>
        </is>
      </c>
      <c r="K25" s="165" t="n">
        <v>33000</v>
      </c>
      <c r="L25" s="165" t="inlineStr">
        <is>
          <t>17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101A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루원시티센트럴타운</t>
        </is>
      </c>
      <c r="B26" s="16" t="inlineStr">
        <is>
          <t>'17.12.</t>
        </is>
      </c>
      <c r="C26" s="164" t="n">
        <v>743</v>
      </c>
      <c r="D26" s="161" t="n">
        <v>101.5</v>
      </c>
      <c r="E26" s="163" t="n">
        <v>31</v>
      </c>
      <c r="F26" s="161" t="n">
        <v>74.90000000000001</v>
      </c>
      <c r="G26" s="27" t="n">
        <v>23</v>
      </c>
      <c r="H26" s="164" t="n">
        <v>46</v>
      </c>
      <c r="I26" s="165" t="n">
        <v>65000</v>
      </c>
      <c r="J26" s="165" t="inlineStr">
        <is>
          <t>19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101B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루원시티센트럴타운</t>
        </is>
      </c>
      <c r="B27" s="16" t="inlineStr">
        <is>
          <t>'17.12.</t>
        </is>
      </c>
      <c r="C27" s="164" t="n">
        <v>743</v>
      </c>
      <c r="D27" s="161" t="n">
        <v>101.6</v>
      </c>
      <c r="E27" s="163" t="n">
        <v>31</v>
      </c>
      <c r="F27" s="161" t="n">
        <v>75</v>
      </c>
      <c r="G27" s="27" t="n">
        <v>23</v>
      </c>
      <c r="H27" s="164" t="n">
        <v>23</v>
      </c>
      <c r="I27" s="165" t="n">
        <v>56000</v>
      </c>
      <c r="J27" s="165" t="inlineStr">
        <is>
          <t>21</t>
        </is>
      </c>
      <c r="K27" s="165" t="n">
        <v>33000</v>
      </c>
      <c r="L27" s="165" t="inlineStr">
        <is>
          <t>17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101C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루원시티센트럴타운</t>
        </is>
      </c>
      <c r="B28" s="16" t="inlineStr">
        <is>
          <t>'17.12.</t>
        </is>
      </c>
      <c r="C28" s="164" t="n">
        <v>743</v>
      </c>
      <c r="D28" s="161" t="n">
        <v>114.7</v>
      </c>
      <c r="E28" s="163" t="n">
        <v>35</v>
      </c>
      <c r="F28" s="161" t="n">
        <v>84.7</v>
      </c>
      <c r="G28" s="27" t="n">
        <v>26</v>
      </c>
      <c r="H28" s="164" t="n">
        <v>232</v>
      </c>
      <c r="I28" s="165" t="n">
        <v>61000</v>
      </c>
      <c r="J28" s="165" t="inlineStr">
        <is>
          <t>고</t>
        </is>
      </c>
      <c r="K28" s="165" t="n">
        <v>33000</v>
      </c>
      <c r="L28" s="165" t="inlineStr">
        <is>
          <t>중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114A1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루원e편한세상하늘채</t>
        </is>
      </c>
      <c r="B30" s="16" t="inlineStr">
        <is>
          <t>'10.02.</t>
        </is>
      </c>
      <c r="C30" s="164" t="n">
        <v>3331</v>
      </c>
      <c r="D30" s="161" t="n">
        <v>83.59999999999999</v>
      </c>
      <c r="E30" s="163" t="n">
        <v>25</v>
      </c>
      <c r="F30" s="161" t="n">
        <v>60</v>
      </c>
      <c r="G30" s="27" t="n">
        <v>18</v>
      </c>
      <c r="H30" s="164" t="n">
        <v>555</v>
      </c>
      <c r="I30" s="165" t="n">
        <v>44000</v>
      </c>
      <c r="J30" s="165" t="inlineStr">
        <is>
          <t>5</t>
        </is>
      </c>
      <c r="K30" s="165" t="n">
        <v>30000</v>
      </c>
      <c r="L30" s="165" t="inlineStr">
        <is>
          <t>5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n">
        <v>83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루원e편한세상하늘채</t>
        </is>
      </c>
      <c r="B31" s="16" t="inlineStr">
        <is>
          <t>'10.02.</t>
        </is>
      </c>
      <c r="C31" s="164" t="n">
        <v>3331</v>
      </c>
      <c r="D31" s="161" t="n">
        <v>84.40000000000001</v>
      </c>
      <c r="E31" s="163" t="n">
        <v>26</v>
      </c>
      <c r="F31" s="161" t="n">
        <v>60</v>
      </c>
      <c r="G31" s="27" t="n">
        <v>18</v>
      </c>
      <c r="H31" s="164" t="n">
        <v>144</v>
      </c>
      <c r="I31" s="165" t="n">
        <v>50000</v>
      </c>
      <c r="J31" s="165" t="inlineStr">
        <is>
          <t>7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84A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루원e편한세상하늘채</t>
        </is>
      </c>
      <c r="B32" s="16" t="inlineStr">
        <is>
          <t>'10.02.</t>
        </is>
      </c>
      <c r="C32" s="164" t="n">
        <v>3331</v>
      </c>
      <c r="D32" s="161" t="n">
        <v>109.6</v>
      </c>
      <c r="E32" s="163" t="n">
        <v>33</v>
      </c>
      <c r="F32" s="161" t="n">
        <v>84.90000000000001</v>
      </c>
      <c r="G32" s="27" t="n">
        <v>26</v>
      </c>
      <c r="H32" s="164" t="n">
        <v>676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109A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루원e편한세상하늘채</t>
        </is>
      </c>
      <c r="B33" s="16" t="inlineStr">
        <is>
          <t>'10.02.</t>
        </is>
      </c>
      <c r="C33" s="164" t="n">
        <v>3331</v>
      </c>
      <c r="D33" s="161" t="n">
        <v>109.3</v>
      </c>
      <c r="E33" s="163" t="n">
        <v>33</v>
      </c>
      <c r="F33" s="161" t="n">
        <v>84.90000000000001</v>
      </c>
      <c r="G33" s="27" t="n">
        <v>26</v>
      </c>
      <c r="H33" s="164" t="n">
        <v>309</v>
      </c>
      <c r="I33" s="165" t="n">
        <v>58500</v>
      </c>
      <c r="J33" s="165" t="inlineStr">
        <is>
          <t>11</t>
        </is>
      </c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n">
        <v>109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루원e편한세상하늘채</t>
        </is>
      </c>
      <c r="B34" s="16" t="inlineStr">
        <is>
          <t>'10.02.</t>
        </is>
      </c>
      <c r="C34" s="164" t="n">
        <v>3331</v>
      </c>
      <c r="D34" s="161" t="n">
        <v>109.3</v>
      </c>
      <c r="E34" s="163" t="n">
        <v>33</v>
      </c>
      <c r="F34" s="161" t="n">
        <v>85</v>
      </c>
      <c r="G34" s="27" t="n">
        <v>26</v>
      </c>
      <c r="H34" s="164" t="n">
        <v>257</v>
      </c>
      <c r="I34" s="165" t="n">
        <v>59000</v>
      </c>
      <c r="J34" s="165" t="inlineStr">
        <is>
          <t>23</t>
        </is>
      </c>
      <c r="K34" s="165" t="n">
        <v>30000</v>
      </c>
      <c r="L34" s="165" t="inlineStr">
        <is>
          <t>6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109C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루원e편한세상하늘채</t>
        </is>
      </c>
      <c r="B35" s="16" t="inlineStr">
        <is>
          <t>'10.02.</t>
        </is>
      </c>
      <c r="C35" s="164" t="n">
        <v>3331</v>
      </c>
      <c r="D35" s="161" t="n">
        <v>110</v>
      </c>
      <c r="E35" s="163" t="n">
        <v>33</v>
      </c>
      <c r="F35" s="161" t="n">
        <v>84.90000000000001</v>
      </c>
      <c r="G35" s="27" t="n">
        <v>26</v>
      </c>
      <c r="H35" s="164" t="n">
        <v>104</v>
      </c>
      <c r="I35" s="165" t="n">
        <v>56000</v>
      </c>
      <c r="J35" s="165" t="inlineStr">
        <is>
          <t>27</t>
        </is>
      </c>
      <c r="K35" s="165" t="n">
        <v>35000</v>
      </c>
      <c r="L35" s="165" t="inlineStr">
        <is>
          <t>21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109B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루원e편한세상하늘채</t>
        </is>
      </c>
      <c r="B36" s="16" t="inlineStr">
        <is>
          <t>'10.02.</t>
        </is>
      </c>
      <c r="C36" s="164" t="n">
        <v>3331</v>
      </c>
      <c r="D36" s="161" t="n">
        <v>134.4</v>
      </c>
      <c r="E36" s="163" t="n">
        <v>41</v>
      </c>
      <c r="F36" s="161" t="n">
        <v>103.7</v>
      </c>
      <c r="G36" s="27" t="n">
        <v>31</v>
      </c>
      <c r="H36" s="164" t="n">
        <v>178</v>
      </c>
      <c r="I36" s="165" t="n">
        <v>69000</v>
      </c>
      <c r="J36" s="165" t="inlineStr">
        <is>
          <t>16</t>
        </is>
      </c>
      <c r="K36" s="165" t="n">
        <v>38000</v>
      </c>
      <c r="L36" s="165" t="inlineStr">
        <is>
          <t>13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n">
        <v>134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루원e편한세상하늘채</t>
        </is>
      </c>
      <c r="B37" s="16" t="inlineStr">
        <is>
          <t>'10.02.</t>
        </is>
      </c>
      <c r="C37" s="164" t="n">
        <v>3331</v>
      </c>
      <c r="D37" s="161" t="n">
        <v>144.7</v>
      </c>
      <c r="E37" s="163" t="n">
        <v>44</v>
      </c>
      <c r="F37" s="161" t="n">
        <v>114.9</v>
      </c>
      <c r="G37" s="27" t="n">
        <v>35</v>
      </c>
      <c r="H37" s="164" t="n">
        <v>598</v>
      </c>
      <c r="I37" s="165" t="n">
        <v>70000</v>
      </c>
      <c r="J37" s="165" t="inlineStr">
        <is>
          <t>중</t>
        </is>
      </c>
      <c r="K37" s="165" t="n">
        <v>40000</v>
      </c>
      <c r="L37" s="165" t="inlineStr">
        <is>
          <t>14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4</v>
      </c>
      <c r="R37" s="113" t="n">
        <v>2</v>
      </c>
      <c r="S37" s="113" t="inlineStr">
        <is>
          <t>계</t>
        </is>
      </c>
      <c r="T37" s="8" t="n">
        <v>144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루원e편한세상하늘채</t>
        </is>
      </c>
      <c r="B38" s="16" t="inlineStr">
        <is>
          <t>'10.02.</t>
        </is>
      </c>
      <c r="C38" s="164" t="n">
        <v>3331</v>
      </c>
      <c r="D38" s="161" t="n">
        <v>186</v>
      </c>
      <c r="E38" s="163" t="n">
        <v>56</v>
      </c>
      <c r="F38" s="161" t="n">
        <v>156.3</v>
      </c>
      <c r="G38" s="27" t="n">
        <v>47</v>
      </c>
      <c r="H38" s="164" t="n">
        <v>302</v>
      </c>
      <c r="I38" s="165" t="n">
        <v>76000</v>
      </c>
      <c r="J38" s="165" t="inlineStr">
        <is>
          <t>5</t>
        </is>
      </c>
      <c r="K38" s="165" t="n">
        <v>49500</v>
      </c>
      <c r="L38" s="165" t="inlineStr">
        <is>
          <t>26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4</v>
      </c>
      <c r="R38" s="113" t="n">
        <v>2</v>
      </c>
      <c r="S38" s="113" t="inlineStr">
        <is>
          <t>계</t>
        </is>
      </c>
      <c r="T38" s="8" t="n">
        <v>186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루원e편한세상하늘채</t>
        </is>
      </c>
      <c r="B39" s="16" t="inlineStr">
        <is>
          <t>'10.02.</t>
        </is>
      </c>
      <c r="C39" s="164" t="n">
        <v>3331</v>
      </c>
      <c r="D39" s="161" t="n">
        <v>206.3</v>
      </c>
      <c r="E39" s="163" t="n">
        <v>62</v>
      </c>
      <c r="F39" s="161" t="n">
        <v>170.3</v>
      </c>
      <c r="G39" s="27" t="n">
        <v>52</v>
      </c>
      <c r="H39" s="164" t="n">
        <v>208</v>
      </c>
      <c r="I39" s="165" t="n">
        <v>79000</v>
      </c>
      <c r="J39" s="165" t="inlineStr">
        <is>
          <t>6</t>
        </is>
      </c>
      <c r="K39" s="165" t="n">
        <v>50000</v>
      </c>
      <c r="L39" s="165" t="inlineStr">
        <is>
          <t>고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n">
        <v>206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1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2" t="n"/>
      <c r="P40" s="162" t="n"/>
      <c r="Q40" s="163" t="n"/>
      <c r="R40" s="163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0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한주타운</t>
        </is>
      </c>
      <c r="B41" s="16" t="inlineStr">
        <is>
          <t>'91.07.</t>
        </is>
      </c>
      <c r="C41" s="164" t="n">
        <v>222</v>
      </c>
      <c r="D41" s="161" t="n">
        <v>47</v>
      </c>
      <c r="E41" s="163" t="n">
        <v>14</v>
      </c>
      <c r="F41" s="161" t="n">
        <v>36.6</v>
      </c>
      <c r="G41" s="27" t="n">
        <v>11</v>
      </c>
      <c r="H41" s="164" t="n">
        <v>176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1</v>
      </c>
      <c r="R41" s="113" t="n">
        <v>1</v>
      </c>
      <c r="S41" s="113" t="inlineStr">
        <is>
          <t>계</t>
        </is>
      </c>
      <c r="T41" s="8" t="n">
        <v>46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한주타운</t>
        </is>
      </c>
      <c r="B42" s="16" t="inlineStr">
        <is>
          <t>'91.07.</t>
        </is>
      </c>
      <c r="C42" s="164" t="n">
        <v>222</v>
      </c>
      <c r="D42" s="161" t="n">
        <v>50.5</v>
      </c>
      <c r="E42" s="163" t="n">
        <v>15</v>
      </c>
      <c r="F42" s="161" t="n">
        <v>39.5</v>
      </c>
      <c r="G42" s="27" t="n">
        <v>12</v>
      </c>
      <c r="H42" s="164" t="n">
        <v>4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2</v>
      </c>
      <c r="R42" s="113" t="n">
        <v>1</v>
      </c>
      <c r="S42" s="113" t="inlineStr">
        <is>
          <t>계</t>
        </is>
      </c>
      <c r="T42" s="8" t="n">
        <v>50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한주타운</t>
        </is>
      </c>
      <c r="B43" s="16" t="inlineStr">
        <is>
          <t>'91.07.</t>
        </is>
      </c>
      <c r="C43" s="164" t="n">
        <v>222</v>
      </c>
      <c r="D43" s="161" t="n">
        <v>52.4</v>
      </c>
      <c r="E43" s="163" t="n">
        <v>16</v>
      </c>
      <c r="F43" s="161" t="n">
        <v>41.8</v>
      </c>
      <c r="G43" s="27" t="n">
        <v>13</v>
      </c>
      <c r="H43" s="164" t="n">
        <v>4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2</v>
      </c>
      <c r="R43" s="113" t="n">
        <v>1</v>
      </c>
      <c r="S43" s="113" t="inlineStr">
        <is>
          <t>계</t>
        </is>
      </c>
      <c r="T43" s="8" t="inlineStr">
        <is>
          <t>52A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한주타운</t>
        </is>
      </c>
      <c r="B44" s="16" t="inlineStr">
        <is>
          <t>'91.07.</t>
        </is>
      </c>
      <c r="C44" s="164" t="n">
        <v>222</v>
      </c>
      <c r="D44" s="161" t="n">
        <v>54.3</v>
      </c>
      <c r="E44" s="163" t="n">
        <v>16</v>
      </c>
      <c r="F44" s="161" t="n">
        <v>44.9</v>
      </c>
      <c r="G44" s="27" t="n">
        <v>14</v>
      </c>
      <c r="H44" s="164" t="n">
        <v>8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2</v>
      </c>
      <c r="R44" s="113" t="n">
        <v>1</v>
      </c>
      <c r="S44" s="113" t="inlineStr">
        <is>
          <t>계</t>
        </is>
      </c>
      <c r="T44" s="8" t="inlineStr">
        <is>
          <t>54B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한주타운</t>
        </is>
      </c>
      <c r="B45" s="16" t="inlineStr">
        <is>
          <t>'91.07.</t>
        </is>
      </c>
      <c r="C45" s="164" t="n">
        <v>222</v>
      </c>
      <c r="D45" s="161" t="n">
        <v>54.5</v>
      </c>
      <c r="E45" s="163" t="n">
        <v>16</v>
      </c>
      <c r="F45" s="161" t="n">
        <v>45</v>
      </c>
      <c r="G45" s="27" t="n">
        <v>14</v>
      </c>
      <c r="H45" s="164" t="n">
        <v>8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2</v>
      </c>
      <c r="R45" s="113" t="n">
        <v>1</v>
      </c>
      <c r="S45" s="113" t="inlineStr">
        <is>
          <t>계</t>
        </is>
      </c>
      <c r="T45" s="8" t="inlineStr">
        <is>
          <t>54C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한주타운</t>
        </is>
      </c>
      <c r="B46" s="16" t="inlineStr">
        <is>
          <t>'91.07.</t>
        </is>
      </c>
      <c r="C46" s="164" t="n">
        <v>222</v>
      </c>
      <c r="D46" s="161" t="n">
        <v>55.1</v>
      </c>
      <c r="E46" s="163" t="n">
        <v>17</v>
      </c>
      <c r="F46" s="161" t="n">
        <v>45.6</v>
      </c>
      <c r="G46" s="27" t="n">
        <v>14</v>
      </c>
      <c r="H46" s="164" t="n">
        <v>16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2</v>
      </c>
      <c r="R46" s="113" t="n">
        <v>1</v>
      </c>
      <c r="S46" s="113" t="inlineStr">
        <is>
          <t>계</t>
        </is>
      </c>
      <c r="T46" s="8" t="n">
        <v>55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한주타운</t>
        </is>
      </c>
      <c r="B47" s="16" t="inlineStr">
        <is>
          <t>'91.07.</t>
        </is>
      </c>
      <c r="C47" s="164" t="n">
        <v>222</v>
      </c>
      <c r="D47" s="161" t="n">
        <v>72.40000000000001</v>
      </c>
      <c r="E47" s="163" t="n">
        <v>22</v>
      </c>
      <c r="F47" s="161" t="n">
        <v>58.9</v>
      </c>
      <c r="G47" s="27" t="n">
        <v>18</v>
      </c>
      <c r="H47" s="164" t="n">
        <v>6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1</v>
      </c>
      <c r="S47" s="113" t="inlineStr">
        <is>
          <t>계</t>
        </is>
      </c>
      <c r="T47" s="8" t="n">
        <v>72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729" dxfId="17">
      <formula>AV4="X"</formula>
    </cfRule>
    <cfRule type="expression" priority="730" dxfId="16">
      <formula>AV4="후보"</formula>
    </cfRule>
  </conditionalFormatting>
  <conditionalFormatting sqref="AC1:AC2 AC4:AC6 N4:N5">
    <cfRule type="cellIs" priority="726" operator="greaterThan" dxfId="13">
      <formula>0.9</formula>
    </cfRule>
    <cfRule type="cellIs" priority="727" operator="greaterThan" dxfId="12">
      <formula>0.85</formula>
    </cfRule>
  </conditionalFormatting>
  <conditionalFormatting sqref="N1:N2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6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6">
    <cfRule type="expression" priority="718" dxfId="3">
      <formula>AND(IF(OR($Q6=1,$Q6=2),1,0),IF($X6&lt;=20,1,0))</formula>
    </cfRule>
    <cfRule type="expression" priority="719" dxfId="2">
      <formula>AND(IF($Q6=2,1,0),IF($X6&lt;30,1,0))</formula>
    </cfRule>
    <cfRule type="expression" priority="720" dxfId="1">
      <formula>AND(IF($Q6=3,1,0),IF($X6&lt;30,1,0))</formula>
    </cfRule>
    <cfRule type="expression" priority="721" dxfId="0">
      <formula>AND(IF($Q6=3,1,IF($Q6=4,1,0)),IF($F6&lt;=85,1,0))</formula>
    </cfRule>
  </conditionalFormatting>
  <conditionalFormatting sqref="X6">
    <cfRule type="expression" priority="714" dxfId="3">
      <formula>AND(IF(OR($Q6=1,$Q6=2),1,0),IF($X6&lt;=20,1,0))</formula>
    </cfRule>
    <cfRule type="expression" priority="715" dxfId="2">
      <formula>AND(IF($Q6=2,1,0),IF($X6&lt;30,1,0))</formula>
    </cfRule>
    <cfRule type="expression" priority="716" dxfId="1">
      <formula>AND(IF($Q6=3,1,0),IF($X6&lt;30,1,0))</formula>
    </cfRule>
    <cfRule type="expression" priority="717" dxfId="0">
      <formula>AND(IF($Q6=3,1,IF($Q6=4,1,0)),IF($F6&lt;=85,1,0))</formula>
    </cfRule>
  </conditionalFormatting>
  <conditionalFormatting sqref="AI6">
    <cfRule type="expression" priority="710" dxfId="3">
      <formula>AND(IF(OR($Q6=1,$Q6=2),1,0),IF($X6&lt;=20,1,0))</formula>
    </cfRule>
    <cfRule type="expression" priority="711" dxfId="2">
      <formula>AND(IF($Q6=2,1,0),IF($X6&lt;30,1,0))</formula>
    </cfRule>
    <cfRule type="expression" priority="712" dxfId="1">
      <formula>AND(IF($Q6=3,1,0),IF($X6&lt;30,1,0))</formula>
    </cfRule>
    <cfRule type="expression" priority="713" dxfId="0">
      <formula>AND(IF($Q6=3,1,IF($Q6=4,1,0)),IF($F6&lt;=85,1,0))</formula>
    </cfRule>
  </conditionalFormatting>
  <conditionalFormatting sqref="AV7">
    <cfRule type="expression" priority="708" dxfId="17">
      <formula>AV7="X"</formula>
    </cfRule>
    <cfRule type="expression" priority="709" dxfId="16">
      <formula>AV7="후보"</formula>
    </cfRule>
  </conditionalFormatting>
  <conditionalFormatting sqref="AC7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7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7">
    <cfRule type="expression" priority="699" dxfId="3">
      <formula>AND(IF(OR($Q7=1,$Q7=2),1,0),IF($X7&lt;=20,1,0))</formula>
    </cfRule>
    <cfRule type="expression" priority="700" dxfId="2">
      <formula>AND(IF($Q7=2,1,0),IF($X7&lt;30,1,0))</formula>
    </cfRule>
    <cfRule type="expression" priority="701" dxfId="1">
      <formula>AND(IF($Q7=3,1,0),IF($X7&lt;30,1,0))</formula>
    </cfRule>
    <cfRule type="expression" priority="702" dxfId="0">
      <formula>AND(IF($Q7=3,1,IF($Q7=4,1,0)),IF($F7&lt;=85,1,0))</formula>
    </cfRule>
  </conditionalFormatting>
  <conditionalFormatting sqref="X7">
    <cfRule type="expression" priority="695" dxfId="3">
      <formula>AND(IF(OR($Q7=1,$Q7=2),1,0),IF($X7&lt;=20,1,0))</formula>
    </cfRule>
    <cfRule type="expression" priority="696" dxfId="2">
      <formula>AND(IF($Q7=2,1,0),IF($X7&lt;30,1,0))</formula>
    </cfRule>
    <cfRule type="expression" priority="697" dxfId="1">
      <formula>AND(IF($Q7=3,1,0),IF($X7&lt;30,1,0))</formula>
    </cfRule>
    <cfRule type="expression" priority="698" dxfId="0">
      <formula>AND(IF($Q7=3,1,IF($Q7=4,1,0)),IF($F7&lt;=85,1,0))</formula>
    </cfRule>
  </conditionalFormatting>
  <conditionalFormatting sqref="AI7">
    <cfRule type="expression" priority="691" dxfId="3">
      <formula>AND(IF(OR($Q7=1,$Q7=2),1,0),IF($X7&lt;=20,1,0))</formula>
    </cfRule>
    <cfRule type="expression" priority="692" dxfId="2">
      <formula>AND(IF($Q7=2,1,0),IF($X7&lt;30,1,0))</formula>
    </cfRule>
    <cfRule type="expression" priority="693" dxfId="1">
      <formula>AND(IF($Q7=3,1,0),IF($X7&lt;30,1,0))</formula>
    </cfRule>
    <cfRule type="expression" priority="694" dxfId="0">
      <formula>AND(IF($Q7=3,1,IF($Q7=4,1,0)),IF($F7&lt;=85,1,0))</formula>
    </cfRule>
  </conditionalFormatting>
  <conditionalFormatting sqref="AV8">
    <cfRule type="expression" priority="689" dxfId="17">
      <formula>AV8="X"</formula>
    </cfRule>
    <cfRule type="expression" priority="690" dxfId="16">
      <formula>AV8="후보"</formula>
    </cfRule>
  </conditionalFormatting>
  <conditionalFormatting sqref="AC8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8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8">
    <cfRule type="expression" priority="680" dxfId="3">
      <formula>AND(IF(OR($Q8=1,$Q8=2),1,0),IF($X8&lt;=20,1,0))</formula>
    </cfRule>
    <cfRule type="expression" priority="681" dxfId="2">
      <formula>AND(IF($Q8=2,1,0),IF($X8&lt;30,1,0))</formula>
    </cfRule>
    <cfRule type="expression" priority="682" dxfId="1">
      <formula>AND(IF($Q8=3,1,0),IF($X8&lt;30,1,0))</formula>
    </cfRule>
    <cfRule type="expression" priority="683" dxfId="0">
      <formula>AND(IF($Q8=3,1,IF($Q8=4,1,0)),IF($F8&lt;=85,1,0))</formula>
    </cfRule>
  </conditionalFormatting>
  <conditionalFormatting sqref="X8">
    <cfRule type="expression" priority="676" dxfId="3">
      <formula>AND(IF(OR($Q8=1,$Q8=2),1,0),IF($X8&lt;=20,1,0))</formula>
    </cfRule>
    <cfRule type="expression" priority="677" dxfId="2">
      <formula>AND(IF($Q8=2,1,0),IF($X8&lt;30,1,0))</formula>
    </cfRule>
    <cfRule type="expression" priority="678" dxfId="1">
      <formula>AND(IF($Q8=3,1,0),IF($X8&lt;30,1,0))</formula>
    </cfRule>
    <cfRule type="expression" priority="679" dxfId="0">
      <formula>AND(IF($Q8=3,1,IF($Q8=4,1,0)),IF($F8&lt;=85,1,0))</formula>
    </cfRule>
  </conditionalFormatting>
  <conditionalFormatting sqref="AI8">
    <cfRule type="expression" priority="672" dxfId="3">
      <formula>AND(IF(OR($Q8=1,$Q8=2),1,0),IF($X8&lt;=20,1,0))</formula>
    </cfRule>
    <cfRule type="expression" priority="673" dxfId="2">
      <formula>AND(IF($Q8=2,1,0),IF($X8&lt;30,1,0))</formula>
    </cfRule>
    <cfRule type="expression" priority="674" dxfId="1">
      <formula>AND(IF($Q8=3,1,0),IF($X8&lt;30,1,0))</formula>
    </cfRule>
    <cfRule type="expression" priority="675" dxfId="0">
      <formula>AND(IF($Q8=3,1,IF($Q8=4,1,0)),IF($F8&lt;=85,1,0))</formula>
    </cfRule>
  </conditionalFormatting>
  <conditionalFormatting sqref="AV9">
    <cfRule type="expression" priority="670" dxfId="17">
      <formula>AV9="X"</formula>
    </cfRule>
    <cfRule type="expression" priority="671" dxfId="16">
      <formula>AV9="후보"</formula>
    </cfRule>
  </conditionalFormatting>
  <conditionalFormatting sqref="AC9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9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9">
    <cfRule type="expression" priority="661" dxfId="3">
      <formula>AND(IF(OR($Q9=1,$Q9=2),1,0),IF($X9&lt;=20,1,0))</formula>
    </cfRule>
    <cfRule type="expression" priority="662" dxfId="2">
      <formula>AND(IF($Q9=2,1,0),IF($X9&lt;30,1,0))</formula>
    </cfRule>
    <cfRule type="expression" priority="663" dxfId="1">
      <formula>AND(IF($Q9=3,1,0),IF($X9&lt;30,1,0))</formula>
    </cfRule>
    <cfRule type="expression" priority="664" dxfId="0">
      <formula>AND(IF($Q9=3,1,IF($Q9=4,1,0)),IF($F9&lt;=85,1,0))</formula>
    </cfRule>
  </conditionalFormatting>
  <conditionalFormatting sqref="X9">
    <cfRule type="expression" priority="657" dxfId="3">
      <formula>AND(IF(OR($Q9=1,$Q9=2),1,0),IF($X9&lt;=20,1,0))</formula>
    </cfRule>
    <cfRule type="expression" priority="658" dxfId="2">
      <formula>AND(IF($Q9=2,1,0),IF($X9&lt;30,1,0))</formula>
    </cfRule>
    <cfRule type="expression" priority="659" dxfId="1">
      <formula>AND(IF($Q9=3,1,0),IF($X9&lt;30,1,0))</formula>
    </cfRule>
    <cfRule type="expression" priority="660" dxfId="0">
      <formula>AND(IF($Q9=3,1,IF($Q9=4,1,0)),IF($F9&lt;=85,1,0))</formula>
    </cfRule>
  </conditionalFormatting>
  <conditionalFormatting sqref="AI9">
    <cfRule type="expression" priority="653" dxfId="3">
      <formula>AND(IF(OR($Q9=1,$Q9=2),1,0),IF($X9&lt;=20,1,0))</formula>
    </cfRule>
    <cfRule type="expression" priority="654" dxfId="2">
      <formula>AND(IF($Q9=2,1,0),IF($X9&lt;30,1,0))</formula>
    </cfRule>
    <cfRule type="expression" priority="655" dxfId="1">
      <formula>AND(IF($Q9=3,1,0),IF($X9&lt;30,1,0))</formula>
    </cfRule>
    <cfRule type="expression" priority="656" dxfId="0">
      <formula>AND(IF($Q9=3,1,IF($Q9=4,1,0)),IF($F9&lt;=85,1,0))</formula>
    </cfRule>
  </conditionalFormatting>
  <conditionalFormatting sqref="AV10">
    <cfRule type="expression" priority="651" dxfId="17">
      <formula>AV10="X"</formula>
    </cfRule>
    <cfRule type="expression" priority="652" dxfId="16">
      <formula>AV10="후보"</formula>
    </cfRule>
  </conditionalFormatting>
  <conditionalFormatting sqref="AC10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10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10">
    <cfRule type="expression" priority="642" dxfId="3">
      <formula>AND(IF(OR($Q10=1,$Q10=2),1,0),IF($X10&lt;=20,1,0))</formula>
    </cfRule>
    <cfRule type="expression" priority="643" dxfId="2">
      <formula>AND(IF($Q10=2,1,0),IF($X10&lt;30,1,0))</formula>
    </cfRule>
    <cfRule type="expression" priority="644" dxfId="1">
      <formula>AND(IF($Q10=3,1,0),IF($X10&lt;30,1,0))</formula>
    </cfRule>
    <cfRule type="expression" priority="645" dxfId="0">
      <formula>AND(IF($Q10=3,1,IF($Q10=4,1,0)),IF($F10&lt;=85,1,0))</formula>
    </cfRule>
  </conditionalFormatting>
  <conditionalFormatting sqref="X10">
    <cfRule type="expression" priority="638" dxfId="3">
      <formula>AND(IF(OR($Q10=1,$Q10=2),1,0),IF($X10&lt;=20,1,0))</formula>
    </cfRule>
    <cfRule type="expression" priority="639" dxfId="2">
      <formula>AND(IF($Q10=2,1,0),IF($X10&lt;30,1,0))</formula>
    </cfRule>
    <cfRule type="expression" priority="640" dxfId="1">
      <formula>AND(IF($Q10=3,1,0),IF($X10&lt;30,1,0))</formula>
    </cfRule>
    <cfRule type="expression" priority="641" dxfId="0">
      <formula>AND(IF($Q10=3,1,IF($Q10=4,1,0)),IF($F10&lt;=85,1,0))</formula>
    </cfRule>
  </conditionalFormatting>
  <conditionalFormatting sqref="AI10">
    <cfRule type="expression" priority="634" dxfId="3">
      <formula>AND(IF(OR($Q10=1,$Q10=2),1,0),IF($X10&lt;=20,1,0))</formula>
    </cfRule>
    <cfRule type="expression" priority="635" dxfId="2">
      <formula>AND(IF($Q10=2,1,0),IF($X10&lt;30,1,0))</formula>
    </cfRule>
    <cfRule type="expression" priority="636" dxfId="1">
      <formula>AND(IF($Q10=3,1,0),IF($X10&lt;30,1,0))</formula>
    </cfRule>
    <cfRule type="expression" priority="637" dxfId="0">
      <formula>AND(IF($Q10=3,1,IF($Q10=4,1,0)),IF($F10&lt;=85,1,0))</formula>
    </cfRule>
  </conditionalFormatting>
  <conditionalFormatting sqref="AV11">
    <cfRule type="expression" priority="632" dxfId="17">
      <formula>AV11="X"</formula>
    </cfRule>
    <cfRule type="expression" priority="633" dxfId="16">
      <formula>AV11="후보"</formula>
    </cfRule>
  </conditionalFormatting>
  <conditionalFormatting sqref="AC11 N11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AV12">
    <cfRule type="expression" priority="627" dxfId="17">
      <formula>AV12="X"</formula>
    </cfRule>
    <cfRule type="expression" priority="628" dxfId="16">
      <formula>AV12="후보"</formula>
    </cfRule>
  </conditionalFormatting>
  <conditionalFormatting sqref="AC12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N12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E12">
    <cfRule type="expression" priority="618" dxfId="3">
      <formula>AND(IF(OR($Q12=1,$Q12=2),1,0),IF($X12&lt;=20,1,0))</formula>
    </cfRule>
    <cfRule type="expression" priority="619" dxfId="2">
      <formula>AND(IF($Q12=2,1,0),IF($X12&lt;30,1,0))</formula>
    </cfRule>
    <cfRule type="expression" priority="620" dxfId="1">
      <formula>AND(IF($Q12=3,1,0),IF($X12&lt;30,1,0))</formula>
    </cfRule>
    <cfRule type="expression" priority="621" dxfId="0">
      <formula>AND(IF($Q12=3,1,IF($Q12=4,1,0)),IF($F12&lt;=85,1,0))</formula>
    </cfRule>
  </conditionalFormatting>
  <conditionalFormatting sqref="X12">
    <cfRule type="expression" priority="614" dxfId="3">
      <formula>AND(IF(OR($Q12=1,$Q12=2),1,0),IF($X12&lt;=20,1,0))</formula>
    </cfRule>
    <cfRule type="expression" priority="615" dxfId="2">
      <formula>AND(IF($Q12=2,1,0),IF($X12&lt;30,1,0))</formula>
    </cfRule>
    <cfRule type="expression" priority="616" dxfId="1">
      <formula>AND(IF($Q12=3,1,0),IF($X12&lt;30,1,0))</formula>
    </cfRule>
    <cfRule type="expression" priority="617" dxfId="0">
      <formula>AND(IF($Q12=3,1,IF($Q12=4,1,0)),IF($F12&lt;=85,1,0))</formula>
    </cfRule>
  </conditionalFormatting>
  <conditionalFormatting sqref="AI12">
    <cfRule type="expression" priority="610" dxfId="3">
      <formula>AND(IF(OR($Q12=1,$Q12=2),1,0),IF($X12&lt;=20,1,0))</formula>
    </cfRule>
    <cfRule type="expression" priority="611" dxfId="2">
      <formula>AND(IF($Q12=2,1,0),IF($X12&lt;30,1,0))</formula>
    </cfRule>
    <cfRule type="expression" priority="612" dxfId="1">
      <formula>AND(IF($Q12=3,1,0),IF($X12&lt;30,1,0))</formula>
    </cfRule>
    <cfRule type="expression" priority="613" dxfId="0">
      <formula>AND(IF($Q12=3,1,IF($Q12=4,1,0)),IF($F12&lt;=85,1,0))</formula>
    </cfRule>
  </conditionalFormatting>
  <conditionalFormatting sqref="AV13">
    <cfRule type="expression" priority="608" dxfId="17">
      <formula>AV13="X"</formula>
    </cfRule>
    <cfRule type="expression" priority="609" dxfId="16">
      <formula>AV13="후보"</formula>
    </cfRule>
  </conditionalFormatting>
  <conditionalFormatting sqref="AC13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13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13">
    <cfRule type="expression" priority="599" dxfId="3">
      <formula>AND(IF(OR($Q13=1,$Q13=2),1,0),IF($X13&lt;=20,1,0))</formula>
    </cfRule>
    <cfRule type="expression" priority="600" dxfId="2">
      <formula>AND(IF($Q13=2,1,0),IF($X13&lt;30,1,0))</formula>
    </cfRule>
    <cfRule type="expression" priority="601" dxfId="1">
      <formula>AND(IF($Q13=3,1,0),IF($X13&lt;30,1,0))</formula>
    </cfRule>
    <cfRule type="expression" priority="602" dxfId="0">
      <formula>AND(IF($Q13=3,1,IF($Q13=4,1,0)),IF($F13&lt;=85,1,0))</formula>
    </cfRule>
  </conditionalFormatting>
  <conditionalFormatting sqref="X13">
    <cfRule type="expression" priority="595" dxfId="3">
      <formula>AND(IF(OR($Q13=1,$Q13=2),1,0),IF($X13&lt;=20,1,0))</formula>
    </cfRule>
    <cfRule type="expression" priority="596" dxfId="2">
      <formula>AND(IF($Q13=2,1,0),IF($X13&lt;30,1,0))</formula>
    </cfRule>
    <cfRule type="expression" priority="597" dxfId="1">
      <formula>AND(IF($Q13=3,1,0),IF($X13&lt;30,1,0))</formula>
    </cfRule>
    <cfRule type="expression" priority="598" dxfId="0">
      <formula>AND(IF($Q13=3,1,IF($Q13=4,1,0)),IF($F13&lt;=85,1,0))</formula>
    </cfRule>
  </conditionalFormatting>
  <conditionalFormatting sqref="AI13">
    <cfRule type="expression" priority="591" dxfId="3">
      <formula>AND(IF(OR($Q13=1,$Q13=2),1,0),IF($X13&lt;=20,1,0))</formula>
    </cfRule>
    <cfRule type="expression" priority="592" dxfId="2">
      <formula>AND(IF($Q13=2,1,0),IF($X13&lt;30,1,0))</formula>
    </cfRule>
    <cfRule type="expression" priority="593" dxfId="1">
      <formula>AND(IF($Q13=3,1,0),IF($X13&lt;30,1,0))</formula>
    </cfRule>
    <cfRule type="expression" priority="594" dxfId="0">
      <formula>AND(IF($Q13=3,1,IF($Q13=4,1,0)),IF($F13&lt;=85,1,0))</formula>
    </cfRule>
  </conditionalFormatting>
  <conditionalFormatting sqref="AV14">
    <cfRule type="expression" priority="589" dxfId="17">
      <formula>AV14="X"</formula>
    </cfRule>
    <cfRule type="expression" priority="590" dxfId="16">
      <formula>AV14="후보"</formula>
    </cfRule>
  </conditionalFormatting>
  <conditionalFormatting sqref="AC14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14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14">
    <cfRule type="expression" priority="580" dxfId="3">
      <formula>AND(IF(OR($Q14=1,$Q14=2),1,0),IF($X14&lt;=20,1,0))</formula>
    </cfRule>
    <cfRule type="expression" priority="581" dxfId="2">
      <formula>AND(IF($Q14=2,1,0),IF($X14&lt;30,1,0))</formula>
    </cfRule>
    <cfRule type="expression" priority="582" dxfId="1">
      <formula>AND(IF($Q14=3,1,0),IF($X14&lt;30,1,0))</formula>
    </cfRule>
    <cfRule type="expression" priority="583" dxfId="0">
      <formula>AND(IF($Q14=3,1,IF($Q14=4,1,0)),IF($F14&lt;=85,1,0))</formula>
    </cfRule>
  </conditionalFormatting>
  <conditionalFormatting sqref="X14">
    <cfRule type="expression" priority="576" dxfId="3">
      <formula>AND(IF(OR($Q14=1,$Q14=2),1,0),IF($X14&lt;=20,1,0))</formula>
    </cfRule>
    <cfRule type="expression" priority="577" dxfId="2">
      <formula>AND(IF($Q14=2,1,0),IF($X14&lt;30,1,0))</formula>
    </cfRule>
    <cfRule type="expression" priority="578" dxfId="1">
      <formula>AND(IF($Q14=3,1,0),IF($X14&lt;30,1,0))</formula>
    </cfRule>
    <cfRule type="expression" priority="579" dxfId="0">
      <formula>AND(IF($Q14=3,1,IF($Q14=4,1,0)),IF($F14&lt;=85,1,0))</formula>
    </cfRule>
  </conditionalFormatting>
  <conditionalFormatting sqref="AI14">
    <cfRule type="expression" priority="572" dxfId="3">
      <formula>AND(IF(OR($Q14=1,$Q14=2),1,0),IF($X14&lt;=20,1,0))</formula>
    </cfRule>
    <cfRule type="expression" priority="573" dxfId="2">
      <formula>AND(IF($Q14=2,1,0),IF($X14&lt;30,1,0))</formula>
    </cfRule>
    <cfRule type="expression" priority="574" dxfId="1">
      <formula>AND(IF($Q14=3,1,0),IF($X14&lt;30,1,0))</formula>
    </cfRule>
    <cfRule type="expression" priority="575" dxfId="0">
      <formula>AND(IF($Q14=3,1,IF($Q14=4,1,0)),IF($F14&lt;=85,1,0))</formula>
    </cfRule>
  </conditionalFormatting>
  <conditionalFormatting sqref="AV15">
    <cfRule type="expression" priority="570" dxfId="17">
      <formula>AV15="X"</formula>
    </cfRule>
    <cfRule type="expression" priority="571" dxfId="16">
      <formula>AV15="후보"</formula>
    </cfRule>
  </conditionalFormatting>
  <conditionalFormatting sqref="AC15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15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15">
    <cfRule type="expression" priority="561" dxfId="3">
      <formula>AND(IF(OR($Q15=1,$Q15=2),1,0),IF($X15&lt;=20,1,0))</formula>
    </cfRule>
    <cfRule type="expression" priority="562" dxfId="2">
      <formula>AND(IF($Q15=2,1,0),IF($X15&lt;30,1,0))</formula>
    </cfRule>
    <cfRule type="expression" priority="563" dxfId="1">
      <formula>AND(IF($Q15=3,1,0),IF($X15&lt;30,1,0))</formula>
    </cfRule>
    <cfRule type="expression" priority="564" dxfId="0">
      <formula>AND(IF($Q15=3,1,IF($Q15=4,1,0)),IF($F15&lt;=85,1,0))</formula>
    </cfRule>
  </conditionalFormatting>
  <conditionalFormatting sqref="X15">
    <cfRule type="expression" priority="557" dxfId="3">
      <formula>AND(IF(OR($Q15=1,$Q15=2),1,0),IF($X15&lt;=20,1,0))</formula>
    </cfRule>
    <cfRule type="expression" priority="558" dxfId="2">
      <formula>AND(IF($Q15=2,1,0),IF($X15&lt;30,1,0))</formula>
    </cfRule>
    <cfRule type="expression" priority="559" dxfId="1">
      <formula>AND(IF($Q15=3,1,0),IF($X15&lt;30,1,0))</formula>
    </cfRule>
    <cfRule type="expression" priority="560" dxfId="0">
      <formula>AND(IF($Q15=3,1,IF($Q15=4,1,0)),IF($F15&lt;=85,1,0))</formula>
    </cfRule>
  </conditionalFormatting>
  <conditionalFormatting sqref="AI15">
    <cfRule type="expression" priority="553" dxfId="3">
      <formula>AND(IF(OR($Q15=1,$Q15=2),1,0),IF($X15&lt;=20,1,0))</formula>
    </cfRule>
    <cfRule type="expression" priority="554" dxfId="2">
      <formula>AND(IF($Q15=2,1,0),IF($X15&lt;30,1,0))</formula>
    </cfRule>
    <cfRule type="expression" priority="555" dxfId="1">
      <formula>AND(IF($Q15=3,1,0),IF($X15&lt;30,1,0))</formula>
    </cfRule>
    <cfRule type="expression" priority="556" dxfId="0">
      <formula>AND(IF($Q15=3,1,IF($Q15=4,1,0)),IF($F15&lt;=85,1,0))</formula>
    </cfRule>
  </conditionalFormatting>
  <conditionalFormatting sqref="AV16">
    <cfRule type="expression" priority="551" dxfId="17">
      <formula>AV16="X"</formula>
    </cfRule>
    <cfRule type="expression" priority="552" dxfId="16">
      <formula>AV16="후보"</formula>
    </cfRule>
  </conditionalFormatting>
  <conditionalFormatting sqref="AC16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16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16">
    <cfRule type="expression" priority="542" dxfId="3">
      <formula>AND(IF(OR($Q16=1,$Q16=2),1,0),IF($X16&lt;=20,1,0))</formula>
    </cfRule>
    <cfRule type="expression" priority="543" dxfId="2">
      <formula>AND(IF($Q16=2,1,0),IF($X16&lt;30,1,0))</formula>
    </cfRule>
    <cfRule type="expression" priority="544" dxfId="1">
      <formula>AND(IF($Q16=3,1,0),IF($X16&lt;30,1,0))</formula>
    </cfRule>
    <cfRule type="expression" priority="545" dxfId="0">
      <formula>AND(IF($Q16=3,1,IF($Q16=4,1,0)),IF($F16&lt;=85,1,0))</formula>
    </cfRule>
  </conditionalFormatting>
  <conditionalFormatting sqref="X16">
    <cfRule type="expression" priority="538" dxfId="3">
      <formula>AND(IF(OR($Q16=1,$Q16=2),1,0),IF($X16&lt;=20,1,0))</formula>
    </cfRule>
    <cfRule type="expression" priority="539" dxfId="2">
      <formula>AND(IF($Q16=2,1,0),IF($X16&lt;30,1,0))</formula>
    </cfRule>
    <cfRule type="expression" priority="540" dxfId="1">
      <formula>AND(IF($Q16=3,1,0),IF($X16&lt;30,1,0))</formula>
    </cfRule>
    <cfRule type="expression" priority="541" dxfId="0">
      <formula>AND(IF($Q16=3,1,IF($Q16=4,1,0)),IF($F16&lt;=85,1,0))</formula>
    </cfRule>
  </conditionalFormatting>
  <conditionalFormatting sqref="AI16">
    <cfRule type="expression" priority="534" dxfId="3">
      <formula>AND(IF(OR($Q16=1,$Q16=2),1,0),IF($X16&lt;=20,1,0))</formula>
    </cfRule>
    <cfRule type="expression" priority="535" dxfId="2">
      <formula>AND(IF($Q16=2,1,0),IF($X16&lt;30,1,0))</formula>
    </cfRule>
    <cfRule type="expression" priority="536" dxfId="1">
      <formula>AND(IF($Q16=3,1,0),IF($X16&lt;30,1,0))</formula>
    </cfRule>
    <cfRule type="expression" priority="537" dxfId="0">
      <formula>AND(IF($Q16=3,1,IF($Q16=4,1,0)),IF($F16&lt;=85,1,0))</formula>
    </cfRule>
  </conditionalFormatting>
  <conditionalFormatting sqref="AV17">
    <cfRule type="expression" priority="532" dxfId="17">
      <formula>AV17="X"</formula>
    </cfRule>
    <cfRule type="expression" priority="533" dxfId="16">
      <formula>AV17="후보"</formula>
    </cfRule>
  </conditionalFormatting>
  <conditionalFormatting sqref="AC17 N17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AV18">
    <cfRule type="expression" priority="527" dxfId="17">
      <formula>AV18="X"</formula>
    </cfRule>
    <cfRule type="expression" priority="528" dxfId="16">
      <formula>AV18="후보"</formula>
    </cfRule>
  </conditionalFormatting>
  <conditionalFormatting sqref="AC18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18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18">
    <cfRule type="expression" priority="518" dxfId="3">
      <formula>AND(IF(OR($Q18=1,$Q18=2),1,0),IF($X18&lt;=20,1,0))</formula>
    </cfRule>
    <cfRule type="expression" priority="519" dxfId="2">
      <formula>AND(IF($Q18=2,1,0),IF($X18&lt;30,1,0))</formula>
    </cfRule>
    <cfRule type="expression" priority="520" dxfId="1">
      <formula>AND(IF($Q18=3,1,0),IF($X18&lt;30,1,0))</formula>
    </cfRule>
    <cfRule type="expression" priority="521" dxfId="0">
      <formula>AND(IF($Q18=3,1,IF($Q18=4,1,0)),IF($F18&lt;=85,1,0))</formula>
    </cfRule>
  </conditionalFormatting>
  <conditionalFormatting sqref="X18">
    <cfRule type="expression" priority="514" dxfId="3">
      <formula>AND(IF(OR($Q18=1,$Q18=2),1,0),IF($X18&lt;=20,1,0))</formula>
    </cfRule>
    <cfRule type="expression" priority="515" dxfId="2">
      <formula>AND(IF($Q18=2,1,0),IF($X18&lt;30,1,0))</formula>
    </cfRule>
    <cfRule type="expression" priority="516" dxfId="1">
      <formula>AND(IF($Q18=3,1,0),IF($X18&lt;30,1,0))</formula>
    </cfRule>
    <cfRule type="expression" priority="517" dxfId="0">
      <formula>AND(IF($Q18=3,1,IF($Q18=4,1,0)),IF($F18&lt;=85,1,0))</formula>
    </cfRule>
  </conditionalFormatting>
  <conditionalFormatting sqref="AI18">
    <cfRule type="expression" priority="510" dxfId="3">
      <formula>AND(IF(OR($Q18=1,$Q18=2),1,0),IF($X18&lt;=20,1,0))</formula>
    </cfRule>
    <cfRule type="expression" priority="511" dxfId="2">
      <formula>AND(IF($Q18=2,1,0),IF($X18&lt;30,1,0))</formula>
    </cfRule>
    <cfRule type="expression" priority="512" dxfId="1">
      <formula>AND(IF($Q18=3,1,0),IF($X18&lt;30,1,0))</formula>
    </cfRule>
    <cfRule type="expression" priority="513" dxfId="0">
      <formula>AND(IF($Q18=3,1,IF($Q18=4,1,0)),IF($F18&lt;=85,1,0))</formula>
    </cfRule>
  </conditionalFormatting>
  <conditionalFormatting sqref="AV19">
    <cfRule type="expression" priority="508" dxfId="17">
      <formula>AV19="X"</formula>
    </cfRule>
    <cfRule type="expression" priority="509" dxfId="16">
      <formula>AV19="후보"</formula>
    </cfRule>
  </conditionalFormatting>
  <conditionalFormatting sqref="AC19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19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19">
    <cfRule type="expression" priority="499" dxfId="3">
      <formula>AND(IF(OR($Q19=1,$Q19=2),1,0),IF($X19&lt;=20,1,0))</formula>
    </cfRule>
    <cfRule type="expression" priority="500" dxfId="2">
      <formula>AND(IF($Q19=2,1,0),IF($X19&lt;30,1,0))</formula>
    </cfRule>
    <cfRule type="expression" priority="501" dxfId="1">
      <formula>AND(IF($Q19=3,1,0),IF($X19&lt;30,1,0))</formula>
    </cfRule>
    <cfRule type="expression" priority="502" dxfId="0">
      <formula>AND(IF($Q19=3,1,IF($Q19=4,1,0)),IF($F19&lt;=85,1,0))</formula>
    </cfRule>
  </conditionalFormatting>
  <conditionalFormatting sqref="X19">
    <cfRule type="expression" priority="495" dxfId="3">
      <formula>AND(IF(OR($Q19=1,$Q19=2),1,0),IF($X19&lt;=20,1,0))</formula>
    </cfRule>
    <cfRule type="expression" priority="496" dxfId="2">
      <formula>AND(IF($Q19=2,1,0),IF($X19&lt;30,1,0))</formula>
    </cfRule>
    <cfRule type="expression" priority="497" dxfId="1">
      <formula>AND(IF($Q19=3,1,0),IF($X19&lt;30,1,0))</formula>
    </cfRule>
    <cfRule type="expression" priority="498" dxfId="0">
      <formula>AND(IF($Q19=3,1,IF($Q19=4,1,0)),IF($F19&lt;=85,1,0))</formula>
    </cfRule>
  </conditionalFormatting>
  <conditionalFormatting sqref="AI19">
    <cfRule type="expression" priority="491" dxfId="3">
      <formula>AND(IF(OR($Q19=1,$Q19=2),1,0),IF($X19&lt;=20,1,0))</formula>
    </cfRule>
    <cfRule type="expression" priority="492" dxfId="2">
      <formula>AND(IF($Q19=2,1,0),IF($X19&lt;30,1,0))</formula>
    </cfRule>
    <cfRule type="expression" priority="493" dxfId="1">
      <formula>AND(IF($Q19=3,1,0),IF($X19&lt;30,1,0))</formula>
    </cfRule>
    <cfRule type="expression" priority="494" dxfId="0">
      <formula>AND(IF($Q19=3,1,IF($Q19=4,1,0)),IF($F19&lt;=85,1,0))</formula>
    </cfRule>
  </conditionalFormatting>
  <conditionalFormatting sqref="AV20">
    <cfRule type="expression" priority="489" dxfId="17">
      <formula>AV20="X"</formula>
    </cfRule>
    <cfRule type="expression" priority="490" dxfId="16">
      <formula>AV20="후보"</formula>
    </cfRule>
  </conditionalFormatting>
  <conditionalFormatting sqref="AC20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20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20">
    <cfRule type="expression" priority="480" dxfId="3">
      <formula>AND(IF(OR($Q20=1,$Q20=2),1,0),IF($X20&lt;=20,1,0))</formula>
    </cfRule>
    <cfRule type="expression" priority="481" dxfId="2">
      <formula>AND(IF($Q20=2,1,0),IF($X20&lt;30,1,0))</formula>
    </cfRule>
    <cfRule type="expression" priority="482" dxfId="1">
      <formula>AND(IF($Q20=3,1,0),IF($X20&lt;30,1,0))</formula>
    </cfRule>
    <cfRule type="expression" priority="483" dxfId="0">
      <formula>AND(IF($Q20=3,1,IF($Q20=4,1,0)),IF($F20&lt;=85,1,0))</formula>
    </cfRule>
  </conditionalFormatting>
  <conditionalFormatting sqref="X20">
    <cfRule type="expression" priority="476" dxfId="3">
      <formula>AND(IF(OR($Q20=1,$Q20=2),1,0),IF($X20&lt;=20,1,0))</formula>
    </cfRule>
    <cfRule type="expression" priority="477" dxfId="2">
      <formula>AND(IF($Q20=2,1,0),IF($X20&lt;30,1,0))</formula>
    </cfRule>
    <cfRule type="expression" priority="478" dxfId="1">
      <formula>AND(IF($Q20=3,1,0),IF($X20&lt;30,1,0))</formula>
    </cfRule>
    <cfRule type="expression" priority="479" dxfId="0">
      <formula>AND(IF($Q20=3,1,IF($Q20=4,1,0)),IF($F20&lt;=85,1,0))</formula>
    </cfRule>
  </conditionalFormatting>
  <conditionalFormatting sqref="AI20">
    <cfRule type="expression" priority="472" dxfId="3">
      <formula>AND(IF(OR($Q20=1,$Q20=2),1,0),IF($X20&lt;=20,1,0))</formula>
    </cfRule>
    <cfRule type="expression" priority="473" dxfId="2">
      <formula>AND(IF($Q20=2,1,0),IF($X20&lt;30,1,0))</formula>
    </cfRule>
    <cfRule type="expression" priority="474" dxfId="1">
      <formula>AND(IF($Q20=3,1,0),IF($X20&lt;30,1,0))</formula>
    </cfRule>
    <cfRule type="expression" priority="475" dxfId="0">
      <formula>AND(IF($Q20=3,1,IF($Q20=4,1,0)),IF($F20&lt;=85,1,0))</formula>
    </cfRule>
  </conditionalFormatting>
  <conditionalFormatting sqref="AV21">
    <cfRule type="expression" priority="470" dxfId="17">
      <formula>AV21="X"</formula>
    </cfRule>
    <cfRule type="expression" priority="471" dxfId="16">
      <formula>AV21="후보"</formula>
    </cfRule>
  </conditionalFormatting>
  <conditionalFormatting sqref="AC21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21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21">
    <cfRule type="expression" priority="461" dxfId="3">
      <formula>AND(IF(OR($Q21=1,$Q21=2),1,0),IF($X21&lt;=20,1,0))</formula>
    </cfRule>
    <cfRule type="expression" priority="462" dxfId="2">
      <formula>AND(IF($Q21=2,1,0),IF($X21&lt;30,1,0))</formula>
    </cfRule>
    <cfRule type="expression" priority="463" dxfId="1">
      <formula>AND(IF($Q21=3,1,0),IF($X21&lt;30,1,0))</formula>
    </cfRule>
    <cfRule type="expression" priority="464" dxfId="0">
      <formula>AND(IF($Q21=3,1,IF($Q21=4,1,0)),IF($F21&lt;=85,1,0))</formula>
    </cfRule>
  </conditionalFormatting>
  <conditionalFormatting sqref="X21">
    <cfRule type="expression" priority="457" dxfId="3">
      <formula>AND(IF(OR($Q21=1,$Q21=2),1,0),IF($X21&lt;=20,1,0))</formula>
    </cfRule>
    <cfRule type="expression" priority="458" dxfId="2">
      <formula>AND(IF($Q21=2,1,0),IF($X21&lt;30,1,0))</formula>
    </cfRule>
    <cfRule type="expression" priority="459" dxfId="1">
      <formula>AND(IF($Q21=3,1,0),IF($X21&lt;30,1,0))</formula>
    </cfRule>
    <cfRule type="expression" priority="460" dxfId="0">
      <formula>AND(IF($Q21=3,1,IF($Q21=4,1,0)),IF($F21&lt;=85,1,0))</formula>
    </cfRule>
  </conditionalFormatting>
  <conditionalFormatting sqref="AI21">
    <cfRule type="expression" priority="453" dxfId="3">
      <formula>AND(IF(OR($Q21=1,$Q21=2),1,0),IF($X21&lt;=20,1,0))</formula>
    </cfRule>
    <cfRule type="expression" priority="454" dxfId="2">
      <formula>AND(IF($Q21=2,1,0),IF($X21&lt;30,1,0))</formula>
    </cfRule>
    <cfRule type="expression" priority="455" dxfId="1">
      <formula>AND(IF($Q21=3,1,0),IF($X21&lt;30,1,0))</formula>
    </cfRule>
    <cfRule type="expression" priority="456" dxfId="0">
      <formula>AND(IF($Q21=3,1,IF($Q21=4,1,0)),IF($F21&lt;=85,1,0))</formula>
    </cfRule>
  </conditionalFormatting>
  <conditionalFormatting sqref="AV22">
    <cfRule type="expression" priority="451" dxfId="17">
      <formula>AV22="X"</formula>
    </cfRule>
    <cfRule type="expression" priority="452" dxfId="16">
      <formula>AV22="후보"</formula>
    </cfRule>
  </conditionalFormatting>
  <conditionalFormatting sqref="AC22 N22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AV23">
    <cfRule type="expression" priority="446" dxfId="17">
      <formula>AV23="X"</formula>
    </cfRule>
    <cfRule type="expression" priority="447" dxfId="16">
      <formula>AV23="후보"</formula>
    </cfRule>
  </conditionalFormatting>
  <conditionalFormatting sqref="AC23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23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23">
    <cfRule type="expression" priority="437" dxfId="3">
      <formula>AND(IF(OR($Q23=1,$Q23=2),1,0),IF($X23&lt;=20,1,0))</formula>
    </cfRule>
    <cfRule type="expression" priority="438" dxfId="2">
      <formula>AND(IF($Q23=2,1,0),IF($X23&lt;30,1,0))</formula>
    </cfRule>
    <cfRule type="expression" priority="439" dxfId="1">
      <formula>AND(IF($Q23=3,1,0),IF($X23&lt;30,1,0))</formula>
    </cfRule>
    <cfRule type="expression" priority="440" dxfId="0">
      <formula>AND(IF($Q23=3,1,IF($Q23=4,1,0)),IF($F23&lt;=85,1,0))</formula>
    </cfRule>
  </conditionalFormatting>
  <conditionalFormatting sqref="X23">
    <cfRule type="expression" priority="433" dxfId="3">
      <formula>AND(IF(OR($Q23=1,$Q23=2),1,0),IF($X23&lt;=20,1,0))</formula>
    </cfRule>
    <cfRule type="expression" priority="434" dxfId="2">
      <formula>AND(IF($Q23=2,1,0),IF($X23&lt;30,1,0))</formula>
    </cfRule>
    <cfRule type="expression" priority="435" dxfId="1">
      <formula>AND(IF($Q23=3,1,0),IF($X23&lt;30,1,0))</formula>
    </cfRule>
    <cfRule type="expression" priority="436" dxfId="0">
      <formula>AND(IF($Q23=3,1,IF($Q23=4,1,0)),IF($F23&lt;=85,1,0))</formula>
    </cfRule>
  </conditionalFormatting>
  <conditionalFormatting sqref="AI23">
    <cfRule type="expression" priority="429" dxfId="3">
      <formula>AND(IF(OR($Q23=1,$Q23=2),1,0),IF($X23&lt;=20,1,0))</formula>
    </cfRule>
    <cfRule type="expression" priority="430" dxfId="2">
      <formula>AND(IF($Q23=2,1,0),IF($X23&lt;30,1,0))</formula>
    </cfRule>
    <cfRule type="expression" priority="431" dxfId="1">
      <formula>AND(IF($Q23=3,1,0),IF($X23&lt;30,1,0))</formula>
    </cfRule>
    <cfRule type="expression" priority="432" dxfId="0">
      <formula>AND(IF($Q23=3,1,IF($Q23=4,1,0)),IF($F23&lt;=85,1,0))</formula>
    </cfRule>
  </conditionalFormatting>
  <conditionalFormatting sqref="AV24">
    <cfRule type="expression" priority="427" dxfId="17">
      <formula>AV24="X"</formula>
    </cfRule>
    <cfRule type="expression" priority="428" dxfId="16">
      <formula>AV24="후보"</formula>
    </cfRule>
  </conditionalFormatting>
  <conditionalFormatting sqref="AC24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24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24">
    <cfRule type="expression" priority="418" dxfId="3">
      <formula>AND(IF(OR($Q24=1,$Q24=2),1,0),IF($X24&lt;=20,1,0))</formula>
    </cfRule>
    <cfRule type="expression" priority="419" dxfId="2">
      <formula>AND(IF($Q24=2,1,0),IF($X24&lt;30,1,0))</formula>
    </cfRule>
    <cfRule type="expression" priority="420" dxfId="1">
      <formula>AND(IF($Q24=3,1,0),IF($X24&lt;30,1,0))</formula>
    </cfRule>
    <cfRule type="expression" priority="421" dxfId="0">
      <formula>AND(IF($Q24=3,1,IF($Q24=4,1,0)),IF($F24&lt;=85,1,0))</formula>
    </cfRule>
  </conditionalFormatting>
  <conditionalFormatting sqref="X24">
    <cfRule type="expression" priority="414" dxfId="3">
      <formula>AND(IF(OR($Q24=1,$Q24=2),1,0),IF($X24&lt;=20,1,0))</formula>
    </cfRule>
    <cfRule type="expression" priority="415" dxfId="2">
      <formula>AND(IF($Q24=2,1,0),IF($X24&lt;30,1,0))</formula>
    </cfRule>
    <cfRule type="expression" priority="416" dxfId="1">
      <formula>AND(IF($Q24=3,1,0),IF($X24&lt;30,1,0))</formula>
    </cfRule>
    <cfRule type="expression" priority="417" dxfId="0">
      <formula>AND(IF($Q24=3,1,IF($Q24=4,1,0)),IF($F24&lt;=85,1,0))</formula>
    </cfRule>
  </conditionalFormatting>
  <conditionalFormatting sqref="AI24">
    <cfRule type="expression" priority="410" dxfId="3">
      <formula>AND(IF(OR($Q24=1,$Q24=2),1,0),IF($X24&lt;=20,1,0))</formula>
    </cfRule>
    <cfRule type="expression" priority="411" dxfId="2">
      <formula>AND(IF($Q24=2,1,0),IF($X24&lt;30,1,0))</formula>
    </cfRule>
    <cfRule type="expression" priority="412" dxfId="1">
      <formula>AND(IF($Q24=3,1,0),IF($X24&lt;30,1,0))</formula>
    </cfRule>
    <cfRule type="expression" priority="413" dxfId="0">
      <formula>AND(IF($Q24=3,1,IF($Q24=4,1,0)),IF($F24&lt;=85,1,0))</formula>
    </cfRule>
  </conditionalFormatting>
  <conditionalFormatting sqref="AV25">
    <cfRule type="expression" priority="408" dxfId="17">
      <formula>AV25="X"</formula>
    </cfRule>
    <cfRule type="expression" priority="409" dxfId="16">
      <formula>AV25="후보"</formula>
    </cfRule>
  </conditionalFormatting>
  <conditionalFormatting sqref="AC25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25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25">
    <cfRule type="expression" priority="399" dxfId="3">
      <formula>AND(IF(OR($Q25=1,$Q25=2),1,0),IF($X25&lt;=20,1,0))</formula>
    </cfRule>
    <cfRule type="expression" priority="400" dxfId="2">
      <formula>AND(IF($Q25=2,1,0),IF($X25&lt;30,1,0))</formula>
    </cfRule>
    <cfRule type="expression" priority="401" dxfId="1">
      <formula>AND(IF($Q25=3,1,0),IF($X25&lt;30,1,0))</formula>
    </cfRule>
    <cfRule type="expression" priority="402" dxfId="0">
      <formula>AND(IF($Q25=3,1,IF($Q25=4,1,0)),IF($F25&lt;=85,1,0))</formula>
    </cfRule>
  </conditionalFormatting>
  <conditionalFormatting sqref="X25">
    <cfRule type="expression" priority="395" dxfId="3">
      <formula>AND(IF(OR($Q25=1,$Q25=2),1,0),IF($X25&lt;=20,1,0))</formula>
    </cfRule>
    <cfRule type="expression" priority="396" dxfId="2">
      <formula>AND(IF($Q25=2,1,0),IF($X25&lt;30,1,0))</formula>
    </cfRule>
    <cfRule type="expression" priority="397" dxfId="1">
      <formula>AND(IF($Q25=3,1,0),IF($X25&lt;30,1,0))</formula>
    </cfRule>
    <cfRule type="expression" priority="398" dxfId="0">
      <formula>AND(IF($Q25=3,1,IF($Q25=4,1,0)),IF($F25&lt;=85,1,0))</formula>
    </cfRule>
  </conditionalFormatting>
  <conditionalFormatting sqref="AI25">
    <cfRule type="expression" priority="391" dxfId="3">
      <formula>AND(IF(OR($Q25=1,$Q25=2),1,0),IF($X25&lt;=20,1,0))</formula>
    </cfRule>
    <cfRule type="expression" priority="392" dxfId="2">
      <formula>AND(IF($Q25=2,1,0),IF($X25&lt;30,1,0))</formula>
    </cfRule>
    <cfRule type="expression" priority="393" dxfId="1">
      <formula>AND(IF($Q25=3,1,0),IF($X25&lt;30,1,0))</formula>
    </cfRule>
    <cfRule type="expression" priority="394" dxfId="0">
      <formula>AND(IF($Q25=3,1,IF($Q25=4,1,0)),IF($F25&lt;=85,1,0))</formula>
    </cfRule>
  </conditionalFormatting>
  <conditionalFormatting sqref="AV26">
    <cfRule type="expression" priority="389" dxfId="17">
      <formula>AV26="X"</formula>
    </cfRule>
    <cfRule type="expression" priority="390" dxfId="16">
      <formula>AV26="후보"</formula>
    </cfRule>
  </conditionalFormatting>
  <conditionalFormatting sqref="AC26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26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26">
    <cfRule type="expression" priority="380" dxfId="3">
      <formula>AND(IF(OR($Q26=1,$Q26=2),1,0),IF($X26&lt;=20,1,0))</formula>
    </cfRule>
    <cfRule type="expression" priority="381" dxfId="2">
      <formula>AND(IF($Q26=2,1,0),IF($X26&lt;30,1,0))</formula>
    </cfRule>
    <cfRule type="expression" priority="382" dxfId="1">
      <formula>AND(IF($Q26=3,1,0),IF($X26&lt;30,1,0))</formula>
    </cfRule>
    <cfRule type="expression" priority="383" dxfId="0">
      <formula>AND(IF($Q26=3,1,IF($Q26=4,1,0)),IF($F26&lt;=85,1,0))</formula>
    </cfRule>
  </conditionalFormatting>
  <conditionalFormatting sqref="X26">
    <cfRule type="expression" priority="376" dxfId="3">
      <formula>AND(IF(OR($Q26=1,$Q26=2),1,0),IF($X26&lt;=20,1,0))</formula>
    </cfRule>
    <cfRule type="expression" priority="377" dxfId="2">
      <formula>AND(IF($Q26=2,1,0),IF($X26&lt;30,1,0))</formula>
    </cfRule>
    <cfRule type="expression" priority="378" dxfId="1">
      <formula>AND(IF($Q26=3,1,0),IF($X26&lt;30,1,0))</formula>
    </cfRule>
    <cfRule type="expression" priority="379" dxfId="0">
      <formula>AND(IF($Q26=3,1,IF($Q26=4,1,0)),IF($F26&lt;=85,1,0))</formula>
    </cfRule>
  </conditionalFormatting>
  <conditionalFormatting sqref="AI26">
    <cfRule type="expression" priority="372" dxfId="3">
      <formula>AND(IF(OR($Q26=1,$Q26=2),1,0),IF($X26&lt;=20,1,0))</formula>
    </cfRule>
    <cfRule type="expression" priority="373" dxfId="2">
      <formula>AND(IF($Q26=2,1,0),IF($X26&lt;30,1,0))</formula>
    </cfRule>
    <cfRule type="expression" priority="374" dxfId="1">
      <formula>AND(IF($Q26=3,1,0),IF($X26&lt;30,1,0))</formula>
    </cfRule>
    <cfRule type="expression" priority="375" dxfId="0">
      <formula>AND(IF($Q26=3,1,IF($Q26=4,1,0)),IF($F26&lt;=85,1,0))</formula>
    </cfRule>
  </conditionalFormatting>
  <conditionalFormatting sqref="AV27">
    <cfRule type="expression" priority="370" dxfId="17">
      <formula>AV27="X"</formula>
    </cfRule>
    <cfRule type="expression" priority="371" dxfId="16">
      <formula>AV27="후보"</formula>
    </cfRule>
  </conditionalFormatting>
  <conditionalFormatting sqref="AC27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27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27">
    <cfRule type="expression" priority="361" dxfId="3">
      <formula>AND(IF(OR($Q27=1,$Q27=2),1,0),IF($X27&lt;=20,1,0))</formula>
    </cfRule>
    <cfRule type="expression" priority="362" dxfId="2">
      <formula>AND(IF($Q27=2,1,0),IF($X27&lt;30,1,0))</formula>
    </cfRule>
    <cfRule type="expression" priority="363" dxfId="1">
      <formula>AND(IF($Q27=3,1,0),IF($X27&lt;30,1,0))</formula>
    </cfRule>
    <cfRule type="expression" priority="364" dxfId="0">
      <formula>AND(IF($Q27=3,1,IF($Q27=4,1,0)),IF($F27&lt;=85,1,0))</formula>
    </cfRule>
  </conditionalFormatting>
  <conditionalFormatting sqref="X27">
    <cfRule type="expression" priority="357" dxfId="3">
      <formula>AND(IF(OR($Q27=1,$Q27=2),1,0),IF($X27&lt;=20,1,0))</formula>
    </cfRule>
    <cfRule type="expression" priority="358" dxfId="2">
      <formula>AND(IF($Q27=2,1,0),IF($X27&lt;30,1,0))</formula>
    </cfRule>
    <cfRule type="expression" priority="359" dxfId="1">
      <formula>AND(IF($Q27=3,1,0),IF($X27&lt;30,1,0))</formula>
    </cfRule>
    <cfRule type="expression" priority="360" dxfId="0">
      <formula>AND(IF($Q27=3,1,IF($Q27=4,1,0)),IF($F27&lt;=85,1,0))</formula>
    </cfRule>
  </conditionalFormatting>
  <conditionalFormatting sqref="AI27">
    <cfRule type="expression" priority="353" dxfId="3">
      <formula>AND(IF(OR($Q27=1,$Q27=2),1,0),IF($X27&lt;=20,1,0))</formula>
    </cfRule>
    <cfRule type="expression" priority="354" dxfId="2">
      <formula>AND(IF($Q27=2,1,0),IF($X27&lt;30,1,0))</formula>
    </cfRule>
    <cfRule type="expression" priority="355" dxfId="1">
      <formula>AND(IF($Q27=3,1,0),IF($X27&lt;30,1,0))</formula>
    </cfRule>
    <cfRule type="expression" priority="356" dxfId="0">
      <formula>AND(IF($Q27=3,1,IF($Q27=4,1,0)),IF($F27&lt;=85,1,0))</formula>
    </cfRule>
  </conditionalFormatting>
  <conditionalFormatting sqref="AV28">
    <cfRule type="expression" priority="351" dxfId="17">
      <formula>AV28="X"</formula>
    </cfRule>
    <cfRule type="expression" priority="352" dxfId="16">
      <formula>AV28="후보"</formula>
    </cfRule>
  </conditionalFormatting>
  <conditionalFormatting sqref="AC28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28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28">
    <cfRule type="expression" priority="342" dxfId="3">
      <formula>AND(IF(OR($Q28=1,$Q28=2),1,0),IF($X28&lt;=20,1,0))</formula>
    </cfRule>
    <cfRule type="expression" priority="343" dxfId="2">
      <formula>AND(IF($Q28=2,1,0),IF($X28&lt;30,1,0))</formula>
    </cfRule>
    <cfRule type="expression" priority="344" dxfId="1">
      <formula>AND(IF($Q28=3,1,0),IF($X28&lt;30,1,0))</formula>
    </cfRule>
    <cfRule type="expression" priority="345" dxfId="0">
      <formula>AND(IF($Q28=3,1,IF($Q28=4,1,0)),IF($F28&lt;=85,1,0))</formula>
    </cfRule>
  </conditionalFormatting>
  <conditionalFormatting sqref="X28">
    <cfRule type="expression" priority="338" dxfId="3">
      <formula>AND(IF(OR($Q28=1,$Q28=2),1,0),IF($X28&lt;=20,1,0))</formula>
    </cfRule>
    <cfRule type="expression" priority="339" dxfId="2">
      <formula>AND(IF($Q28=2,1,0),IF($X28&lt;30,1,0))</formula>
    </cfRule>
    <cfRule type="expression" priority="340" dxfId="1">
      <formula>AND(IF($Q28=3,1,0),IF($X28&lt;30,1,0))</formula>
    </cfRule>
    <cfRule type="expression" priority="341" dxfId="0">
      <formula>AND(IF($Q28=3,1,IF($Q28=4,1,0)),IF($F28&lt;=85,1,0))</formula>
    </cfRule>
  </conditionalFormatting>
  <conditionalFormatting sqref="AI28">
    <cfRule type="expression" priority="334" dxfId="3">
      <formula>AND(IF(OR($Q28=1,$Q28=2),1,0),IF($X28&lt;=20,1,0))</formula>
    </cfRule>
    <cfRule type="expression" priority="335" dxfId="2">
      <formula>AND(IF($Q28=2,1,0),IF($X28&lt;30,1,0))</formula>
    </cfRule>
    <cfRule type="expression" priority="336" dxfId="1">
      <formula>AND(IF($Q28=3,1,0),IF($X28&lt;30,1,0))</formula>
    </cfRule>
    <cfRule type="expression" priority="337" dxfId="0">
      <formula>AND(IF($Q28=3,1,IF($Q28=4,1,0)),IF($F28&lt;=85,1,0))</formula>
    </cfRule>
  </conditionalFormatting>
  <conditionalFormatting sqref="AV29">
    <cfRule type="expression" priority="332" dxfId="17">
      <formula>AV29="X"</formula>
    </cfRule>
    <cfRule type="expression" priority="333" dxfId="16">
      <formula>AV29="후보"</formula>
    </cfRule>
  </conditionalFormatting>
  <conditionalFormatting sqref="AC29 N29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AV30">
    <cfRule type="expression" priority="327" dxfId="17">
      <formula>AV30="X"</formula>
    </cfRule>
    <cfRule type="expression" priority="328" dxfId="16">
      <formula>AV30="후보"</formula>
    </cfRule>
  </conditionalFormatting>
  <conditionalFormatting sqref="AC30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30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30">
    <cfRule type="expression" priority="318" dxfId="3">
      <formula>AND(IF(OR($Q30=1,$Q30=2),1,0),IF($X30&lt;=20,1,0))</formula>
    </cfRule>
    <cfRule type="expression" priority="319" dxfId="2">
      <formula>AND(IF($Q30=2,1,0),IF($X30&lt;30,1,0))</formula>
    </cfRule>
    <cfRule type="expression" priority="320" dxfId="1">
      <formula>AND(IF($Q30=3,1,0),IF($X30&lt;30,1,0))</formula>
    </cfRule>
    <cfRule type="expression" priority="321" dxfId="0">
      <formula>AND(IF($Q30=3,1,IF($Q30=4,1,0)),IF($F30&lt;=85,1,0))</formula>
    </cfRule>
  </conditionalFormatting>
  <conditionalFormatting sqref="X30">
    <cfRule type="expression" priority="314" dxfId="3">
      <formula>AND(IF(OR($Q30=1,$Q30=2),1,0),IF($X30&lt;=20,1,0))</formula>
    </cfRule>
    <cfRule type="expression" priority="315" dxfId="2">
      <formula>AND(IF($Q30=2,1,0),IF($X30&lt;30,1,0))</formula>
    </cfRule>
    <cfRule type="expression" priority="316" dxfId="1">
      <formula>AND(IF($Q30=3,1,0),IF($X30&lt;30,1,0))</formula>
    </cfRule>
    <cfRule type="expression" priority="317" dxfId="0">
      <formula>AND(IF($Q30=3,1,IF($Q30=4,1,0)),IF($F30&lt;=85,1,0))</formula>
    </cfRule>
  </conditionalFormatting>
  <conditionalFormatting sqref="AI30">
    <cfRule type="expression" priority="310" dxfId="3">
      <formula>AND(IF(OR($Q30=1,$Q30=2),1,0),IF($X30&lt;=20,1,0))</formula>
    </cfRule>
    <cfRule type="expression" priority="311" dxfId="2">
      <formula>AND(IF($Q30=2,1,0),IF($X30&lt;30,1,0))</formula>
    </cfRule>
    <cfRule type="expression" priority="312" dxfId="1">
      <formula>AND(IF($Q30=3,1,0),IF($X30&lt;30,1,0))</formula>
    </cfRule>
    <cfRule type="expression" priority="313" dxfId="0">
      <formula>AND(IF($Q30=3,1,IF($Q30=4,1,0)),IF($F30&lt;=85,1,0))</formula>
    </cfRule>
  </conditionalFormatting>
  <conditionalFormatting sqref="AV31">
    <cfRule type="expression" priority="308" dxfId="17">
      <formula>AV31="X"</formula>
    </cfRule>
    <cfRule type="expression" priority="309" dxfId="16">
      <formula>AV31="후보"</formula>
    </cfRule>
  </conditionalFormatting>
  <conditionalFormatting sqref="AC31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31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31">
    <cfRule type="expression" priority="299" dxfId="3">
      <formula>AND(IF(OR($Q31=1,$Q31=2),1,0),IF($X31&lt;=20,1,0))</formula>
    </cfRule>
    <cfRule type="expression" priority="300" dxfId="2">
      <formula>AND(IF($Q31=2,1,0),IF($X31&lt;30,1,0))</formula>
    </cfRule>
    <cfRule type="expression" priority="301" dxfId="1">
      <formula>AND(IF($Q31=3,1,0),IF($X31&lt;30,1,0))</formula>
    </cfRule>
    <cfRule type="expression" priority="302" dxfId="0">
      <formula>AND(IF($Q31=3,1,IF($Q31=4,1,0)),IF($F31&lt;=85,1,0))</formula>
    </cfRule>
  </conditionalFormatting>
  <conditionalFormatting sqref="X31">
    <cfRule type="expression" priority="295" dxfId="3">
      <formula>AND(IF(OR($Q31=1,$Q31=2),1,0),IF($X31&lt;=20,1,0))</formula>
    </cfRule>
    <cfRule type="expression" priority="296" dxfId="2">
      <formula>AND(IF($Q31=2,1,0),IF($X31&lt;30,1,0))</formula>
    </cfRule>
    <cfRule type="expression" priority="297" dxfId="1">
      <formula>AND(IF($Q31=3,1,0),IF($X31&lt;30,1,0))</formula>
    </cfRule>
    <cfRule type="expression" priority="298" dxfId="0">
      <formula>AND(IF($Q31=3,1,IF($Q31=4,1,0)),IF($F31&lt;=85,1,0))</formula>
    </cfRule>
  </conditionalFormatting>
  <conditionalFormatting sqref="AI31">
    <cfRule type="expression" priority="291" dxfId="3">
      <formula>AND(IF(OR($Q31=1,$Q31=2),1,0),IF($X31&lt;=20,1,0))</formula>
    </cfRule>
    <cfRule type="expression" priority="292" dxfId="2">
      <formula>AND(IF($Q31=2,1,0),IF($X31&lt;30,1,0))</formula>
    </cfRule>
    <cfRule type="expression" priority="293" dxfId="1">
      <formula>AND(IF($Q31=3,1,0),IF($X31&lt;30,1,0))</formula>
    </cfRule>
    <cfRule type="expression" priority="294" dxfId="0">
      <formula>AND(IF($Q31=3,1,IF($Q31=4,1,0)),IF($F31&lt;=85,1,0))</formula>
    </cfRule>
  </conditionalFormatting>
  <conditionalFormatting sqref="AV32">
    <cfRule type="expression" priority="289" dxfId="17">
      <formula>AV32="X"</formula>
    </cfRule>
    <cfRule type="expression" priority="290" dxfId="16">
      <formula>AV32="후보"</formula>
    </cfRule>
  </conditionalFormatting>
  <conditionalFormatting sqref="AC32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32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32">
    <cfRule type="expression" priority="280" dxfId="3">
      <formula>AND(IF(OR($Q32=1,$Q32=2),1,0),IF($X32&lt;=20,1,0))</formula>
    </cfRule>
    <cfRule type="expression" priority="281" dxfId="2">
      <formula>AND(IF($Q32=2,1,0),IF($X32&lt;30,1,0))</formula>
    </cfRule>
    <cfRule type="expression" priority="282" dxfId="1">
      <formula>AND(IF($Q32=3,1,0),IF($X32&lt;30,1,0))</formula>
    </cfRule>
    <cfRule type="expression" priority="283" dxfId="0">
      <formula>AND(IF($Q32=3,1,IF($Q32=4,1,0)),IF($F32&lt;=85,1,0))</formula>
    </cfRule>
  </conditionalFormatting>
  <conditionalFormatting sqref="X32">
    <cfRule type="expression" priority="276" dxfId="3">
      <formula>AND(IF(OR($Q32=1,$Q32=2),1,0),IF($X32&lt;=20,1,0))</formula>
    </cfRule>
    <cfRule type="expression" priority="277" dxfId="2">
      <formula>AND(IF($Q32=2,1,0),IF($X32&lt;30,1,0))</formula>
    </cfRule>
    <cfRule type="expression" priority="278" dxfId="1">
      <formula>AND(IF($Q32=3,1,0),IF($X32&lt;30,1,0))</formula>
    </cfRule>
    <cfRule type="expression" priority="279" dxfId="0">
      <formula>AND(IF($Q32=3,1,IF($Q32=4,1,0)),IF($F32&lt;=85,1,0))</formula>
    </cfRule>
  </conditionalFormatting>
  <conditionalFormatting sqref="AI32">
    <cfRule type="expression" priority="272" dxfId="3">
      <formula>AND(IF(OR($Q32=1,$Q32=2),1,0),IF($X32&lt;=20,1,0))</formula>
    </cfRule>
    <cfRule type="expression" priority="273" dxfId="2">
      <formula>AND(IF($Q32=2,1,0),IF($X32&lt;30,1,0))</formula>
    </cfRule>
    <cfRule type="expression" priority="274" dxfId="1">
      <formula>AND(IF($Q32=3,1,0),IF($X32&lt;30,1,0))</formula>
    </cfRule>
    <cfRule type="expression" priority="275" dxfId="0">
      <formula>AND(IF($Q32=3,1,IF($Q32=4,1,0)),IF($F32&lt;=85,1,0))</formula>
    </cfRule>
  </conditionalFormatting>
  <conditionalFormatting sqref="AV33">
    <cfRule type="expression" priority="270" dxfId="17">
      <formula>AV33="X"</formula>
    </cfRule>
    <cfRule type="expression" priority="271" dxfId="16">
      <formula>AV33="후보"</formula>
    </cfRule>
  </conditionalFormatting>
  <conditionalFormatting sqref="AC33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33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33">
    <cfRule type="expression" priority="261" dxfId="3">
      <formula>AND(IF(OR($Q33=1,$Q33=2),1,0),IF($X33&lt;=20,1,0))</formula>
    </cfRule>
    <cfRule type="expression" priority="262" dxfId="2">
      <formula>AND(IF($Q33=2,1,0),IF($X33&lt;30,1,0))</formula>
    </cfRule>
    <cfRule type="expression" priority="263" dxfId="1">
      <formula>AND(IF($Q33=3,1,0),IF($X33&lt;30,1,0))</formula>
    </cfRule>
    <cfRule type="expression" priority="264" dxfId="0">
      <formula>AND(IF($Q33=3,1,IF($Q33=4,1,0)),IF($F33&lt;=85,1,0))</formula>
    </cfRule>
  </conditionalFormatting>
  <conditionalFormatting sqref="X33">
    <cfRule type="expression" priority="257" dxfId="3">
      <formula>AND(IF(OR($Q33=1,$Q33=2),1,0),IF($X33&lt;=20,1,0))</formula>
    </cfRule>
    <cfRule type="expression" priority="258" dxfId="2">
      <formula>AND(IF($Q33=2,1,0),IF($X33&lt;30,1,0))</formula>
    </cfRule>
    <cfRule type="expression" priority="259" dxfId="1">
      <formula>AND(IF($Q33=3,1,0),IF($X33&lt;30,1,0))</formula>
    </cfRule>
    <cfRule type="expression" priority="260" dxfId="0">
      <formula>AND(IF($Q33=3,1,IF($Q33=4,1,0)),IF($F33&lt;=85,1,0))</formula>
    </cfRule>
  </conditionalFormatting>
  <conditionalFormatting sqref="AI33">
    <cfRule type="expression" priority="253" dxfId="3">
      <formula>AND(IF(OR($Q33=1,$Q33=2),1,0),IF($X33&lt;=20,1,0))</formula>
    </cfRule>
    <cfRule type="expression" priority="254" dxfId="2">
      <formula>AND(IF($Q33=2,1,0),IF($X33&lt;30,1,0))</formula>
    </cfRule>
    <cfRule type="expression" priority="255" dxfId="1">
      <formula>AND(IF($Q33=3,1,0),IF($X33&lt;30,1,0))</formula>
    </cfRule>
    <cfRule type="expression" priority="256" dxfId="0">
      <formula>AND(IF($Q33=3,1,IF($Q33=4,1,0)),IF($F33&lt;=85,1,0))</formula>
    </cfRule>
  </conditionalFormatting>
  <conditionalFormatting sqref="AV34">
    <cfRule type="expression" priority="251" dxfId="17">
      <formula>AV34="X"</formula>
    </cfRule>
    <cfRule type="expression" priority="252" dxfId="16">
      <formula>AV34="후보"</formula>
    </cfRule>
  </conditionalFormatting>
  <conditionalFormatting sqref="AC34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34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34">
    <cfRule type="expression" priority="242" dxfId="3">
      <formula>AND(IF(OR($Q34=1,$Q34=2),1,0),IF($X34&lt;=20,1,0))</formula>
    </cfRule>
    <cfRule type="expression" priority="243" dxfId="2">
      <formula>AND(IF($Q34=2,1,0),IF($X34&lt;30,1,0))</formula>
    </cfRule>
    <cfRule type="expression" priority="244" dxfId="1">
      <formula>AND(IF($Q34=3,1,0),IF($X34&lt;30,1,0))</formula>
    </cfRule>
    <cfRule type="expression" priority="245" dxfId="0">
      <formula>AND(IF($Q34=3,1,IF($Q34=4,1,0)),IF($F34&lt;=85,1,0))</formula>
    </cfRule>
  </conditionalFormatting>
  <conditionalFormatting sqref="X34">
    <cfRule type="expression" priority="238" dxfId="3">
      <formula>AND(IF(OR($Q34=1,$Q34=2),1,0),IF($X34&lt;=20,1,0))</formula>
    </cfRule>
    <cfRule type="expression" priority="239" dxfId="2">
      <formula>AND(IF($Q34=2,1,0),IF($X34&lt;30,1,0))</formula>
    </cfRule>
    <cfRule type="expression" priority="240" dxfId="1">
      <formula>AND(IF($Q34=3,1,0),IF($X34&lt;30,1,0))</formula>
    </cfRule>
    <cfRule type="expression" priority="241" dxfId="0">
      <formula>AND(IF($Q34=3,1,IF($Q34=4,1,0)),IF($F34&lt;=85,1,0))</formula>
    </cfRule>
  </conditionalFormatting>
  <conditionalFormatting sqref="AI34">
    <cfRule type="expression" priority="234" dxfId="3">
      <formula>AND(IF(OR($Q34=1,$Q34=2),1,0),IF($X34&lt;=20,1,0))</formula>
    </cfRule>
    <cfRule type="expression" priority="235" dxfId="2">
      <formula>AND(IF($Q34=2,1,0),IF($X34&lt;30,1,0))</formula>
    </cfRule>
    <cfRule type="expression" priority="236" dxfId="1">
      <formula>AND(IF($Q34=3,1,0),IF($X34&lt;30,1,0))</formula>
    </cfRule>
    <cfRule type="expression" priority="237" dxfId="0">
      <formula>AND(IF($Q34=3,1,IF($Q34=4,1,0)),IF($F34&lt;=85,1,0))</formula>
    </cfRule>
  </conditionalFormatting>
  <conditionalFormatting sqref="AV35">
    <cfRule type="expression" priority="232" dxfId="17">
      <formula>AV35="X"</formula>
    </cfRule>
    <cfRule type="expression" priority="233" dxfId="16">
      <formula>AV35="후보"</formula>
    </cfRule>
  </conditionalFormatting>
  <conditionalFormatting sqref="AC3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35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35">
    <cfRule type="expression" priority="223" dxfId="3">
      <formula>AND(IF(OR($Q35=1,$Q35=2),1,0),IF($X35&lt;=20,1,0))</formula>
    </cfRule>
    <cfRule type="expression" priority="224" dxfId="2">
      <formula>AND(IF($Q35=2,1,0),IF($X35&lt;30,1,0))</formula>
    </cfRule>
    <cfRule type="expression" priority="225" dxfId="1">
      <formula>AND(IF($Q35=3,1,0),IF($X35&lt;30,1,0))</formula>
    </cfRule>
    <cfRule type="expression" priority="226" dxfId="0">
      <formula>AND(IF($Q35=3,1,IF($Q35=4,1,0)),IF($F35&lt;=85,1,0))</formula>
    </cfRule>
  </conditionalFormatting>
  <conditionalFormatting sqref="X35">
    <cfRule type="expression" priority="219" dxfId="3">
      <formula>AND(IF(OR($Q35=1,$Q35=2),1,0),IF($X35&lt;=20,1,0))</formula>
    </cfRule>
    <cfRule type="expression" priority="220" dxfId="2">
      <formula>AND(IF($Q35=2,1,0),IF($X35&lt;30,1,0))</formula>
    </cfRule>
    <cfRule type="expression" priority="221" dxfId="1">
      <formula>AND(IF($Q35=3,1,0),IF($X35&lt;30,1,0))</formula>
    </cfRule>
    <cfRule type="expression" priority="222" dxfId="0">
      <formula>AND(IF($Q35=3,1,IF($Q35=4,1,0)),IF($F35&lt;=85,1,0))</formula>
    </cfRule>
  </conditionalFormatting>
  <conditionalFormatting sqref="AI35">
    <cfRule type="expression" priority="215" dxfId="3">
      <formula>AND(IF(OR($Q35=1,$Q35=2),1,0),IF($X35&lt;=20,1,0))</formula>
    </cfRule>
    <cfRule type="expression" priority="216" dxfId="2">
      <formula>AND(IF($Q35=2,1,0),IF($X35&lt;30,1,0))</formula>
    </cfRule>
    <cfRule type="expression" priority="217" dxfId="1">
      <formula>AND(IF($Q35=3,1,0),IF($X35&lt;30,1,0))</formula>
    </cfRule>
    <cfRule type="expression" priority="218" dxfId="0">
      <formula>AND(IF($Q35=3,1,IF($Q35=4,1,0)),IF($F35&lt;=85,1,0))</formula>
    </cfRule>
  </conditionalFormatting>
  <conditionalFormatting sqref="AV36">
    <cfRule type="expression" priority="213" dxfId="17">
      <formula>AV36="X"</formula>
    </cfRule>
    <cfRule type="expression" priority="214" dxfId="16">
      <formula>AV36="후보"</formula>
    </cfRule>
  </conditionalFormatting>
  <conditionalFormatting sqref="AC36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36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36">
    <cfRule type="expression" priority="204" dxfId="3">
      <formula>AND(IF(OR($Q36=1,$Q36=2),1,0),IF($X36&lt;=20,1,0))</formula>
    </cfRule>
    <cfRule type="expression" priority="205" dxfId="2">
      <formula>AND(IF($Q36=2,1,0),IF($X36&lt;30,1,0))</formula>
    </cfRule>
    <cfRule type="expression" priority="206" dxfId="1">
      <formula>AND(IF($Q36=3,1,0),IF($X36&lt;30,1,0))</formula>
    </cfRule>
    <cfRule type="expression" priority="207" dxfId="0">
      <formula>AND(IF($Q36=3,1,IF($Q36=4,1,0)),IF($F36&lt;=85,1,0))</formula>
    </cfRule>
  </conditionalFormatting>
  <conditionalFormatting sqref="X36">
    <cfRule type="expression" priority="200" dxfId="3">
      <formula>AND(IF(OR($Q36=1,$Q36=2),1,0),IF($X36&lt;=20,1,0))</formula>
    </cfRule>
    <cfRule type="expression" priority="201" dxfId="2">
      <formula>AND(IF($Q36=2,1,0),IF($X36&lt;30,1,0))</formula>
    </cfRule>
    <cfRule type="expression" priority="202" dxfId="1">
      <formula>AND(IF($Q36=3,1,0),IF($X36&lt;30,1,0))</formula>
    </cfRule>
    <cfRule type="expression" priority="203" dxfId="0">
      <formula>AND(IF($Q36=3,1,IF($Q36=4,1,0)),IF($F36&lt;=85,1,0))</formula>
    </cfRule>
  </conditionalFormatting>
  <conditionalFormatting sqref="AI36">
    <cfRule type="expression" priority="196" dxfId="3">
      <formula>AND(IF(OR($Q36=1,$Q36=2),1,0),IF($X36&lt;=20,1,0))</formula>
    </cfRule>
    <cfRule type="expression" priority="197" dxfId="2">
      <formula>AND(IF($Q36=2,1,0),IF($X36&lt;30,1,0))</formula>
    </cfRule>
    <cfRule type="expression" priority="198" dxfId="1">
      <formula>AND(IF($Q36=3,1,0),IF($X36&lt;30,1,0))</formula>
    </cfRule>
    <cfRule type="expression" priority="199" dxfId="0">
      <formula>AND(IF($Q36=3,1,IF($Q36=4,1,0)),IF($F36&lt;=85,1,0))</formula>
    </cfRule>
  </conditionalFormatting>
  <conditionalFormatting sqref="AV37">
    <cfRule type="expression" priority="194" dxfId="17">
      <formula>AV37="X"</formula>
    </cfRule>
    <cfRule type="expression" priority="195" dxfId="16">
      <formula>AV37="후보"</formula>
    </cfRule>
  </conditionalFormatting>
  <conditionalFormatting sqref="AC3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37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37">
    <cfRule type="expression" priority="185" dxfId="3">
      <formula>AND(IF(OR($Q37=1,$Q37=2),1,0),IF($X37&lt;=20,1,0))</formula>
    </cfRule>
    <cfRule type="expression" priority="186" dxfId="2">
      <formula>AND(IF($Q37=2,1,0),IF($X37&lt;30,1,0))</formula>
    </cfRule>
    <cfRule type="expression" priority="187" dxfId="1">
      <formula>AND(IF($Q37=3,1,0),IF($X37&lt;30,1,0))</formula>
    </cfRule>
    <cfRule type="expression" priority="188" dxfId="0">
      <formula>AND(IF($Q37=3,1,IF($Q37=4,1,0)),IF($F37&lt;=85,1,0))</formula>
    </cfRule>
  </conditionalFormatting>
  <conditionalFormatting sqref="X37">
    <cfRule type="expression" priority="181" dxfId="3">
      <formula>AND(IF(OR($Q37=1,$Q37=2),1,0),IF($X37&lt;=20,1,0))</formula>
    </cfRule>
    <cfRule type="expression" priority="182" dxfId="2">
      <formula>AND(IF($Q37=2,1,0),IF($X37&lt;30,1,0))</formula>
    </cfRule>
    <cfRule type="expression" priority="183" dxfId="1">
      <formula>AND(IF($Q37=3,1,0),IF($X37&lt;30,1,0))</formula>
    </cfRule>
    <cfRule type="expression" priority="184" dxfId="0">
      <formula>AND(IF($Q37=3,1,IF($Q37=4,1,0)),IF($F37&lt;=85,1,0))</formula>
    </cfRule>
  </conditionalFormatting>
  <conditionalFormatting sqref="AI37">
    <cfRule type="expression" priority="177" dxfId="3">
      <formula>AND(IF(OR($Q37=1,$Q37=2),1,0),IF($X37&lt;=20,1,0))</formula>
    </cfRule>
    <cfRule type="expression" priority="178" dxfId="2">
      <formula>AND(IF($Q37=2,1,0),IF($X37&lt;30,1,0))</formula>
    </cfRule>
    <cfRule type="expression" priority="179" dxfId="1">
      <formula>AND(IF($Q37=3,1,0),IF($X37&lt;30,1,0))</formula>
    </cfRule>
    <cfRule type="expression" priority="180" dxfId="0">
      <formula>AND(IF($Q37=3,1,IF($Q37=4,1,0)),IF($F37&lt;=85,1,0))</formula>
    </cfRule>
  </conditionalFormatting>
  <conditionalFormatting sqref="AV38">
    <cfRule type="expression" priority="175" dxfId="17">
      <formula>AV38="X"</formula>
    </cfRule>
    <cfRule type="expression" priority="176" dxfId="16">
      <formula>AV38="후보"</formula>
    </cfRule>
  </conditionalFormatting>
  <conditionalFormatting sqref="AC3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8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8">
    <cfRule type="expression" priority="166" dxfId="3">
      <formula>AND(IF(OR($Q38=1,$Q38=2),1,0),IF($X38&lt;=20,1,0))</formula>
    </cfRule>
    <cfRule type="expression" priority="167" dxfId="2">
      <formula>AND(IF($Q38=2,1,0),IF($X38&lt;30,1,0))</formula>
    </cfRule>
    <cfRule type="expression" priority="168" dxfId="1">
      <formula>AND(IF($Q38=3,1,0),IF($X38&lt;30,1,0))</formula>
    </cfRule>
    <cfRule type="expression" priority="169" dxfId="0">
      <formula>AND(IF($Q38=3,1,IF($Q38=4,1,0)),IF($F38&lt;=85,1,0))</formula>
    </cfRule>
  </conditionalFormatting>
  <conditionalFormatting sqref="X38">
    <cfRule type="expression" priority="162" dxfId="3">
      <formula>AND(IF(OR($Q38=1,$Q38=2),1,0),IF($X38&lt;=20,1,0))</formula>
    </cfRule>
    <cfRule type="expression" priority="163" dxfId="2">
      <formula>AND(IF($Q38=2,1,0),IF($X38&lt;30,1,0))</formula>
    </cfRule>
    <cfRule type="expression" priority="164" dxfId="1">
      <formula>AND(IF($Q38=3,1,0),IF($X38&lt;30,1,0))</formula>
    </cfRule>
    <cfRule type="expression" priority="165" dxfId="0">
      <formula>AND(IF($Q38=3,1,IF($Q38=4,1,0)),IF($F38&lt;=85,1,0))</formula>
    </cfRule>
  </conditionalFormatting>
  <conditionalFormatting sqref="AI38">
    <cfRule type="expression" priority="158" dxfId="3">
      <formula>AND(IF(OR($Q38=1,$Q38=2),1,0),IF($X38&lt;=20,1,0))</formula>
    </cfRule>
    <cfRule type="expression" priority="159" dxfId="2">
      <formula>AND(IF($Q38=2,1,0),IF($X38&lt;30,1,0))</formula>
    </cfRule>
    <cfRule type="expression" priority="160" dxfId="1">
      <formula>AND(IF($Q38=3,1,0),IF($X38&lt;30,1,0))</formula>
    </cfRule>
    <cfRule type="expression" priority="161" dxfId="0">
      <formula>AND(IF($Q38=3,1,IF($Q38=4,1,0)),IF($F38&lt;=85,1,0))</formula>
    </cfRule>
  </conditionalFormatting>
  <conditionalFormatting sqref="AV39">
    <cfRule type="expression" priority="156" dxfId="17">
      <formula>AV39="X"</formula>
    </cfRule>
    <cfRule type="expression" priority="157" dxfId="16">
      <formula>AV39="후보"</formula>
    </cfRule>
  </conditionalFormatting>
  <conditionalFormatting sqref="AC3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9">
    <cfRule type="expression" priority="147" dxfId="3">
      <formula>AND(IF(OR($Q39=1,$Q39=2),1,0),IF($X39&lt;=20,1,0))</formula>
    </cfRule>
    <cfRule type="expression" priority="148" dxfId="2">
      <formula>AND(IF($Q39=2,1,0),IF($X39&lt;30,1,0))</formula>
    </cfRule>
    <cfRule type="expression" priority="149" dxfId="1">
      <formula>AND(IF($Q39=3,1,0),IF($X39&lt;30,1,0))</formula>
    </cfRule>
    <cfRule type="expression" priority="150" dxfId="0">
      <formula>AND(IF($Q39=3,1,IF($Q39=4,1,0)),IF($F39&lt;=85,1,0))</formula>
    </cfRule>
  </conditionalFormatting>
  <conditionalFormatting sqref="X39">
    <cfRule type="expression" priority="143" dxfId="3">
      <formula>AND(IF(OR($Q39=1,$Q39=2),1,0),IF($X39&lt;=20,1,0))</formula>
    </cfRule>
    <cfRule type="expression" priority="144" dxfId="2">
      <formula>AND(IF($Q39=2,1,0),IF($X39&lt;30,1,0))</formula>
    </cfRule>
    <cfRule type="expression" priority="145" dxfId="1">
      <formula>AND(IF($Q39=3,1,0),IF($X39&lt;30,1,0))</formula>
    </cfRule>
    <cfRule type="expression" priority="146" dxfId="0">
      <formula>AND(IF($Q39=3,1,IF($Q39=4,1,0)),IF($F39&lt;=85,1,0))</formula>
    </cfRule>
  </conditionalFormatting>
  <conditionalFormatting sqref="AI39">
    <cfRule type="expression" priority="139" dxfId="3">
      <formula>AND(IF(OR($Q39=1,$Q39=2),1,0),IF($X39&lt;=20,1,0))</formula>
    </cfRule>
    <cfRule type="expression" priority="140" dxfId="2">
      <formula>AND(IF($Q39=2,1,0),IF($X39&lt;30,1,0))</formula>
    </cfRule>
    <cfRule type="expression" priority="141" dxfId="1">
      <formula>AND(IF($Q39=3,1,0),IF($X39&lt;30,1,0))</formula>
    </cfRule>
    <cfRule type="expression" priority="142" dxfId="0">
      <formula>AND(IF($Q39=3,1,IF($Q39=4,1,0)),IF($F39&lt;=85,1,0))</formula>
    </cfRule>
  </conditionalFormatting>
  <conditionalFormatting sqref="AV40">
    <cfRule type="expression" priority="137" dxfId="17">
      <formula>AV40="X"</formula>
    </cfRule>
    <cfRule type="expression" priority="138" dxfId="16">
      <formula>AV40="후보"</formula>
    </cfRule>
  </conditionalFormatting>
  <conditionalFormatting sqref="AC40 N4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41">
    <cfRule type="expression" priority="132" dxfId="17">
      <formula>AV41="X"</formula>
    </cfRule>
    <cfRule type="expression" priority="133" dxfId="16">
      <formula>AV41="후보"</formula>
    </cfRule>
  </conditionalFormatting>
  <conditionalFormatting sqref="AC4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4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41">
    <cfRule type="expression" priority="123" dxfId="3">
      <formula>AND(IF(OR($Q41=1,$Q41=2),1,0),IF($X41&lt;=20,1,0))</formula>
    </cfRule>
    <cfRule type="expression" priority="124" dxfId="2">
      <formula>AND(IF($Q41=2,1,0),IF($X41&lt;30,1,0))</formula>
    </cfRule>
    <cfRule type="expression" priority="125" dxfId="1">
      <formula>AND(IF($Q41=3,1,0),IF($X41&lt;30,1,0))</formula>
    </cfRule>
    <cfRule type="expression" priority="126" dxfId="0">
      <formula>AND(IF($Q41=3,1,IF($Q41=4,1,0)),IF($F41&lt;=85,1,0))</formula>
    </cfRule>
  </conditionalFormatting>
  <conditionalFormatting sqref="X41">
    <cfRule type="expression" priority="119" dxfId="3">
      <formula>AND(IF(OR($Q41=1,$Q41=2),1,0),IF($X41&lt;=20,1,0))</formula>
    </cfRule>
    <cfRule type="expression" priority="120" dxfId="2">
      <formula>AND(IF($Q41=2,1,0),IF($X41&lt;30,1,0))</formula>
    </cfRule>
    <cfRule type="expression" priority="121" dxfId="1">
      <formula>AND(IF($Q41=3,1,0),IF($X41&lt;30,1,0))</formula>
    </cfRule>
    <cfRule type="expression" priority="122" dxfId="0">
      <formula>AND(IF($Q41=3,1,IF($Q41=4,1,0)),IF($F41&lt;=85,1,0))</formula>
    </cfRule>
  </conditionalFormatting>
  <conditionalFormatting sqref="AI41">
    <cfRule type="expression" priority="115" dxfId="3">
      <formula>AND(IF(OR($Q41=1,$Q41=2),1,0),IF($X41&lt;=20,1,0))</formula>
    </cfRule>
    <cfRule type="expression" priority="116" dxfId="2">
      <formula>AND(IF($Q41=2,1,0),IF($X41&lt;30,1,0))</formula>
    </cfRule>
    <cfRule type="expression" priority="117" dxfId="1">
      <formula>AND(IF($Q41=3,1,0),IF($X41&lt;30,1,0))</formula>
    </cfRule>
    <cfRule type="expression" priority="118" dxfId="0">
      <formula>AND(IF($Q41=3,1,IF($Q41=4,1,0)),IF($F41&lt;=85,1,0))</formula>
    </cfRule>
  </conditionalFormatting>
  <conditionalFormatting sqref="AV42">
    <cfRule type="expression" priority="113" dxfId="17">
      <formula>AV42="X"</formula>
    </cfRule>
    <cfRule type="expression" priority="114" dxfId="16">
      <formula>AV42="후보"</formula>
    </cfRule>
  </conditionalFormatting>
  <conditionalFormatting sqref="AC4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4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42">
    <cfRule type="expression" priority="104" dxfId="3">
      <formula>AND(IF(OR($Q42=1,$Q42=2),1,0),IF($X42&lt;=20,1,0))</formula>
    </cfRule>
    <cfRule type="expression" priority="105" dxfId="2">
      <formula>AND(IF($Q42=2,1,0),IF($X42&lt;30,1,0))</formula>
    </cfRule>
    <cfRule type="expression" priority="106" dxfId="1">
      <formula>AND(IF($Q42=3,1,0),IF($X42&lt;30,1,0))</formula>
    </cfRule>
    <cfRule type="expression" priority="107" dxfId="0">
      <formula>AND(IF($Q42=3,1,IF($Q42=4,1,0)),IF($F42&lt;=85,1,0))</formula>
    </cfRule>
  </conditionalFormatting>
  <conditionalFormatting sqref="X42">
    <cfRule type="expression" priority="100" dxfId="3">
      <formula>AND(IF(OR($Q42=1,$Q42=2),1,0),IF($X42&lt;=20,1,0))</formula>
    </cfRule>
    <cfRule type="expression" priority="101" dxfId="2">
      <formula>AND(IF($Q42=2,1,0),IF($X42&lt;30,1,0))</formula>
    </cfRule>
    <cfRule type="expression" priority="102" dxfId="1">
      <formula>AND(IF($Q42=3,1,0),IF($X42&lt;30,1,0))</formula>
    </cfRule>
    <cfRule type="expression" priority="103" dxfId="0">
      <formula>AND(IF($Q42=3,1,IF($Q42=4,1,0)),IF($F42&lt;=85,1,0))</formula>
    </cfRule>
  </conditionalFormatting>
  <conditionalFormatting sqref="AI42">
    <cfRule type="expression" priority="96" dxfId="3">
      <formula>AND(IF(OR($Q42=1,$Q42=2),1,0),IF($X42&lt;=20,1,0))</formula>
    </cfRule>
    <cfRule type="expression" priority="97" dxfId="2">
      <formula>AND(IF($Q42=2,1,0),IF($X42&lt;30,1,0))</formula>
    </cfRule>
    <cfRule type="expression" priority="98" dxfId="1">
      <formula>AND(IF($Q42=3,1,0),IF($X42&lt;30,1,0))</formula>
    </cfRule>
    <cfRule type="expression" priority="99" dxfId="0">
      <formula>AND(IF($Q42=3,1,IF($Q42=4,1,0)),IF($F42&lt;=85,1,0))</formula>
    </cfRule>
  </conditionalFormatting>
  <conditionalFormatting sqref="AV43">
    <cfRule type="expression" priority="94" dxfId="17">
      <formula>AV43="X"</formula>
    </cfRule>
    <cfRule type="expression" priority="95" dxfId="16">
      <formula>AV43="후보"</formula>
    </cfRule>
  </conditionalFormatting>
  <conditionalFormatting sqref="AC4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4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43">
    <cfRule type="expression" priority="85" dxfId="3">
      <formula>AND(IF(OR($Q43=1,$Q43=2),1,0),IF($X43&lt;=20,1,0))</formula>
    </cfRule>
    <cfRule type="expression" priority="86" dxfId="2">
      <formula>AND(IF($Q43=2,1,0),IF($X43&lt;30,1,0))</formula>
    </cfRule>
    <cfRule type="expression" priority="87" dxfId="1">
      <formula>AND(IF($Q43=3,1,0),IF($X43&lt;30,1,0))</formula>
    </cfRule>
    <cfRule type="expression" priority="88" dxfId="0">
      <formula>AND(IF($Q43=3,1,IF($Q43=4,1,0)),IF($F43&lt;=85,1,0))</formula>
    </cfRule>
  </conditionalFormatting>
  <conditionalFormatting sqref="X43">
    <cfRule type="expression" priority="81" dxfId="3">
      <formula>AND(IF(OR($Q43=1,$Q43=2),1,0),IF($X43&lt;=20,1,0))</formula>
    </cfRule>
    <cfRule type="expression" priority="82" dxfId="2">
      <formula>AND(IF($Q43=2,1,0),IF($X43&lt;30,1,0))</formula>
    </cfRule>
    <cfRule type="expression" priority="83" dxfId="1">
      <formula>AND(IF($Q43=3,1,0),IF($X43&lt;30,1,0))</formula>
    </cfRule>
    <cfRule type="expression" priority="84" dxfId="0">
      <formula>AND(IF($Q43=3,1,IF($Q43=4,1,0)),IF($F43&lt;=85,1,0))</formula>
    </cfRule>
  </conditionalFormatting>
  <conditionalFormatting sqref="AI43">
    <cfRule type="expression" priority="77" dxfId="3">
      <formula>AND(IF(OR($Q43=1,$Q43=2),1,0),IF($X43&lt;=20,1,0))</formula>
    </cfRule>
    <cfRule type="expression" priority="78" dxfId="2">
      <formula>AND(IF($Q43=2,1,0),IF($X43&lt;30,1,0))</formula>
    </cfRule>
    <cfRule type="expression" priority="79" dxfId="1">
      <formula>AND(IF($Q43=3,1,0),IF($X43&lt;30,1,0))</formula>
    </cfRule>
    <cfRule type="expression" priority="80" dxfId="0">
      <formula>AND(IF($Q43=3,1,IF($Q43=4,1,0)),IF($F43&lt;=85,1,0))</formula>
    </cfRule>
  </conditionalFormatting>
  <conditionalFormatting sqref="AV44">
    <cfRule type="expression" priority="75" dxfId="17">
      <formula>AV44="X"</formula>
    </cfRule>
    <cfRule type="expression" priority="76" dxfId="16">
      <formula>AV44="후보"</formula>
    </cfRule>
  </conditionalFormatting>
  <conditionalFormatting sqref="AC4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4">
    <cfRule type="expression" priority="66" dxfId="3">
      <formula>AND(IF(OR($Q44=1,$Q44=2),1,0),IF($X44&lt;=20,1,0))</formula>
    </cfRule>
    <cfRule type="expression" priority="67" dxfId="2">
      <formula>AND(IF($Q44=2,1,0),IF($X44&lt;30,1,0))</formula>
    </cfRule>
    <cfRule type="expression" priority="68" dxfId="1">
      <formula>AND(IF($Q44=3,1,0),IF($X44&lt;30,1,0))</formula>
    </cfRule>
    <cfRule type="expression" priority="69" dxfId="0">
      <formula>AND(IF($Q44=3,1,IF($Q44=4,1,0)),IF($F44&lt;=85,1,0))</formula>
    </cfRule>
  </conditionalFormatting>
  <conditionalFormatting sqref="X44">
    <cfRule type="expression" priority="62" dxfId="3">
      <formula>AND(IF(OR($Q44=1,$Q44=2),1,0),IF($X44&lt;=20,1,0))</formula>
    </cfRule>
    <cfRule type="expression" priority="63" dxfId="2">
      <formula>AND(IF($Q44=2,1,0),IF($X44&lt;30,1,0))</formula>
    </cfRule>
    <cfRule type="expression" priority="64" dxfId="1">
      <formula>AND(IF($Q44=3,1,0),IF($X44&lt;30,1,0))</formula>
    </cfRule>
    <cfRule type="expression" priority="65" dxfId="0">
      <formula>AND(IF($Q44=3,1,IF($Q44=4,1,0)),IF($F44&lt;=85,1,0))</formula>
    </cfRule>
  </conditionalFormatting>
  <conditionalFormatting sqref="AI44">
    <cfRule type="expression" priority="58" dxfId="3">
      <formula>AND(IF(OR($Q44=1,$Q44=2),1,0),IF($X44&lt;=20,1,0))</formula>
    </cfRule>
    <cfRule type="expression" priority="59" dxfId="2">
      <formula>AND(IF($Q44=2,1,0),IF($X44&lt;30,1,0))</formula>
    </cfRule>
    <cfRule type="expression" priority="60" dxfId="1">
      <formula>AND(IF($Q44=3,1,0),IF($X44&lt;30,1,0))</formula>
    </cfRule>
    <cfRule type="expression" priority="61" dxfId="0">
      <formula>AND(IF($Q44=3,1,IF($Q44=4,1,0)),IF($F44&lt;=85,1,0))</formula>
    </cfRule>
  </conditionalFormatting>
  <conditionalFormatting sqref="AV45">
    <cfRule type="expression" priority="56" dxfId="17">
      <formula>AV45="X"</formula>
    </cfRule>
    <cfRule type="expression" priority="57" dxfId="16">
      <formula>AV45="후보"</formula>
    </cfRule>
  </conditionalFormatting>
  <conditionalFormatting sqref="AC4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5">
    <cfRule type="expression" priority="47" dxfId="3">
      <formula>AND(IF(OR($Q45=1,$Q45=2),1,0),IF($X45&lt;=20,1,0))</formula>
    </cfRule>
    <cfRule type="expression" priority="48" dxfId="2">
      <formula>AND(IF($Q45=2,1,0),IF($X45&lt;30,1,0))</formula>
    </cfRule>
    <cfRule type="expression" priority="49" dxfId="1">
      <formula>AND(IF($Q45=3,1,0),IF($X45&lt;30,1,0))</formula>
    </cfRule>
    <cfRule type="expression" priority="50" dxfId="0">
      <formula>AND(IF($Q45=3,1,IF($Q45=4,1,0)),IF($F45&lt;=85,1,0))</formula>
    </cfRule>
  </conditionalFormatting>
  <conditionalFormatting sqref="X45">
    <cfRule type="expression" priority="43" dxfId="3">
      <formula>AND(IF(OR($Q45=1,$Q45=2),1,0),IF($X45&lt;=20,1,0))</formula>
    </cfRule>
    <cfRule type="expression" priority="44" dxfId="2">
      <formula>AND(IF($Q45=2,1,0),IF($X45&lt;30,1,0))</formula>
    </cfRule>
    <cfRule type="expression" priority="45" dxfId="1">
      <formula>AND(IF($Q45=3,1,0),IF($X45&lt;30,1,0))</formula>
    </cfRule>
    <cfRule type="expression" priority="46" dxfId="0">
      <formula>AND(IF($Q45=3,1,IF($Q45=4,1,0)),IF($F45&lt;=85,1,0))</formula>
    </cfRule>
  </conditionalFormatting>
  <conditionalFormatting sqref="AI45">
    <cfRule type="expression" priority="39" dxfId="3">
      <formula>AND(IF(OR($Q45=1,$Q45=2),1,0),IF($X45&lt;=20,1,0))</formula>
    </cfRule>
    <cfRule type="expression" priority="40" dxfId="2">
      <formula>AND(IF($Q45=2,1,0),IF($X45&lt;30,1,0))</formula>
    </cfRule>
    <cfRule type="expression" priority="41" dxfId="1">
      <formula>AND(IF($Q45=3,1,0),IF($X45&lt;30,1,0))</formula>
    </cfRule>
    <cfRule type="expression" priority="42" dxfId="0">
      <formula>AND(IF($Q45=3,1,IF($Q45=4,1,0)),IF($F45&lt;=85,1,0))</formula>
    </cfRule>
  </conditionalFormatting>
  <conditionalFormatting sqref="AV46">
    <cfRule type="expression" priority="37" dxfId="17">
      <formula>AV46="X"</formula>
    </cfRule>
    <cfRule type="expression" priority="38" dxfId="16">
      <formula>AV46="후보"</formula>
    </cfRule>
  </conditionalFormatting>
  <conditionalFormatting sqref="AC4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6">
    <cfRule type="expression" priority="28" dxfId="3">
      <formula>AND(IF(OR($Q46=1,$Q46=2),1,0),IF($X46&lt;=20,1,0))</formula>
    </cfRule>
    <cfRule type="expression" priority="29" dxfId="2">
      <formula>AND(IF($Q46=2,1,0),IF($X46&lt;30,1,0))</formula>
    </cfRule>
    <cfRule type="expression" priority="30" dxfId="1">
      <formula>AND(IF($Q46=3,1,0),IF($X46&lt;30,1,0))</formula>
    </cfRule>
    <cfRule type="expression" priority="31" dxfId="0">
      <formula>AND(IF($Q46=3,1,IF($Q46=4,1,0)),IF($F46&lt;=85,1,0))</formula>
    </cfRule>
  </conditionalFormatting>
  <conditionalFormatting sqref="X46">
    <cfRule type="expression" priority="24" dxfId="3">
      <formula>AND(IF(OR($Q46=1,$Q46=2),1,0),IF($X46&lt;=20,1,0))</formula>
    </cfRule>
    <cfRule type="expression" priority="25" dxfId="2">
      <formula>AND(IF($Q46=2,1,0),IF($X46&lt;30,1,0))</formula>
    </cfRule>
    <cfRule type="expression" priority="26" dxfId="1">
      <formula>AND(IF($Q46=3,1,0),IF($X46&lt;30,1,0))</formula>
    </cfRule>
    <cfRule type="expression" priority="27" dxfId="0">
      <formula>AND(IF($Q46=3,1,IF($Q46=4,1,0)),IF($F46&lt;=85,1,0))</formula>
    </cfRule>
  </conditionalFormatting>
  <conditionalFormatting sqref="AI46">
    <cfRule type="expression" priority="20" dxfId="3">
      <formula>AND(IF(OR($Q46=1,$Q46=2),1,0),IF($X46&lt;=20,1,0))</formula>
    </cfRule>
    <cfRule type="expression" priority="21" dxfId="2">
      <formula>AND(IF($Q46=2,1,0),IF($X46&lt;30,1,0))</formula>
    </cfRule>
    <cfRule type="expression" priority="22" dxfId="1">
      <formula>AND(IF($Q46=3,1,0),IF($X46&lt;30,1,0))</formula>
    </cfRule>
    <cfRule type="expression" priority="23" dxfId="0">
      <formula>AND(IF($Q46=3,1,IF($Q46=4,1,0)),IF($F46&lt;=85,1,0))</formula>
    </cfRule>
  </conditionalFormatting>
  <conditionalFormatting sqref="AV47">
    <cfRule type="expression" priority="18" dxfId="17">
      <formula>AV47="X"</formula>
    </cfRule>
    <cfRule type="expression" priority="19" dxfId="16">
      <formula>AV47="후보"</formula>
    </cfRule>
  </conditionalFormatting>
  <conditionalFormatting sqref="AC4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" sqref="A25:XFD2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심곡동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동남</t>
        </is>
      </c>
      <c r="B6" s="16" t="inlineStr">
        <is>
          <t>'95.08.</t>
        </is>
      </c>
      <c r="C6" s="164" t="n">
        <v>280</v>
      </c>
      <c r="D6" s="161" t="n">
        <v>83.40000000000001</v>
      </c>
      <c r="E6" s="163" t="n">
        <v>25</v>
      </c>
      <c r="F6" s="161" t="n">
        <v>59.7</v>
      </c>
      <c r="G6" s="27" t="n">
        <v>18</v>
      </c>
      <c r="H6" s="164" t="n">
        <v>160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복</t>
        </is>
      </c>
      <c r="T6" s="8" t="n">
        <v>83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동남</t>
        </is>
      </c>
      <c r="B7" s="16" t="inlineStr">
        <is>
          <t>'95.08.</t>
        </is>
      </c>
      <c r="C7" s="164" t="n">
        <v>280</v>
      </c>
      <c r="D7" s="161" t="n">
        <v>105.2</v>
      </c>
      <c r="E7" s="163" t="n">
        <v>32</v>
      </c>
      <c r="F7" s="161" t="n">
        <v>84.8</v>
      </c>
      <c r="G7" s="27" t="n">
        <v>26</v>
      </c>
      <c r="H7" s="164" t="n">
        <v>120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105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광명</t>
        </is>
      </c>
      <c r="B9" s="16" t="inlineStr">
        <is>
          <t>'97.01.</t>
        </is>
      </c>
      <c r="C9" s="164" t="n">
        <v>604</v>
      </c>
      <c r="D9" s="161" t="n">
        <v>78.3</v>
      </c>
      <c r="E9" s="163" t="n">
        <v>24</v>
      </c>
      <c r="F9" s="161" t="n">
        <v>59.9</v>
      </c>
      <c r="G9" s="27" t="n">
        <v>18</v>
      </c>
      <c r="H9" s="164" t="n">
        <v>266</v>
      </c>
      <c r="I9" s="165" t="n">
        <v>29000</v>
      </c>
      <c r="J9" s="165" t="inlineStr">
        <is>
          <t>12</t>
        </is>
      </c>
      <c r="K9" s="165" t="n">
        <v>24000</v>
      </c>
      <c r="L9" s="165" t="inlineStr">
        <is>
          <t>중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1</v>
      </c>
      <c r="S9" s="113" t="inlineStr">
        <is>
          <t>계</t>
        </is>
      </c>
      <c r="T9" s="8" t="n">
        <v>78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광명</t>
        </is>
      </c>
      <c r="B10" s="16" t="inlineStr">
        <is>
          <t>'97.01.</t>
        </is>
      </c>
      <c r="C10" s="164" t="n">
        <v>604</v>
      </c>
      <c r="D10" s="161" t="n">
        <v>110.9</v>
      </c>
      <c r="E10" s="163" t="n">
        <v>34</v>
      </c>
      <c r="F10" s="161" t="n">
        <v>84.8</v>
      </c>
      <c r="G10" s="27" t="n">
        <v>26</v>
      </c>
      <c r="H10" s="164" t="n">
        <v>338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110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극동늘푸른</t>
        </is>
      </c>
      <c r="B12" s="16" t="inlineStr">
        <is>
          <t>'97.08.</t>
        </is>
      </c>
      <c r="C12" s="164" t="n">
        <v>998</v>
      </c>
      <c r="D12" s="161" t="n">
        <v>80.8</v>
      </c>
      <c r="E12" s="163" t="n">
        <v>24</v>
      </c>
      <c r="F12" s="161" t="n">
        <v>59.8</v>
      </c>
      <c r="G12" s="27" t="n">
        <v>18</v>
      </c>
      <c r="H12" s="164" t="n">
        <v>480</v>
      </c>
      <c r="I12" s="165" t="n">
        <v>29000</v>
      </c>
      <c r="J12" s="165" t="inlineStr">
        <is>
          <t>18</t>
        </is>
      </c>
      <c r="K12" s="165" t="n">
        <v>25000</v>
      </c>
      <c r="L12" s="165" t="inlineStr">
        <is>
          <t>10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1</v>
      </c>
      <c r="S12" s="113" t="inlineStr">
        <is>
          <t>계</t>
        </is>
      </c>
      <c r="T12" s="8" t="n">
        <v>80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극동늘푸른</t>
        </is>
      </c>
      <c r="B13" s="16" t="inlineStr">
        <is>
          <t>'97.08.</t>
        </is>
      </c>
      <c r="C13" s="164" t="n">
        <v>998</v>
      </c>
      <c r="D13" s="161" t="n">
        <v>107.2</v>
      </c>
      <c r="E13" s="163" t="n">
        <v>32</v>
      </c>
      <c r="F13" s="161" t="n">
        <v>84.90000000000001</v>
      </c>
      <c r="G13" s="27" t="n">
        <v>26</v>
      </c>
      <c r="H13" s="164" t="n">
        <v>518</v>
      </c>
      <c r="I13" s="165" t="n">
        <v>42000</v>
      </c>
      <c r="J13" s="165" t="inlineStr">
        <is>
          <t>12</t>
        </is>
      </c>
      <c r="K13" s="165" t="n">
        <v>30000</v>
      </c>
      <c r="L13" s="165" t="inlineStr">
        <is>
          <t>15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107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한국</t>
        </is>
      </c>
      <c r="B15" s="16" t="inlineStr">
        <is>
          <t>'95.02.</t>
        </is>
      </c>
      <c r="C15" s="164" t="n">
        <v>392</v>
      </c>
      <c r="D15" s="161" t="n">
        <v>79.40000000000001</v>
      </c>
      <c r="E15" s="163" t="n">
        <v>24</v>
      </c>
      <c r="F15" s="161" t="n">
        <v>58.3</v>
      </c>
      <c r="G15" s="27" t="n">
        <v>18</v>
      </c>
      <c r="H15" s="164" t="n">
        <v>152</v>
      </c>
      <c r="I15" s="165" t="n">
        <v>24000</v>
      </c>
      <c r="J15" s="165" t="inlineStr">
        <is>
          <t>5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2</v>
      </c>
      <c r="R15" s="113" t="n">
        <v>1</v>
      </c>
      <c r="S15" s="113" t="inlineStr">
        <is>
          <t>복</t>
        </is>
      </c>
      <c r="T15" s="8" t="n">
        <v>79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한국</t>
        </is>
      </c>
      <c r="B16" s="16" t="inlineStr">
        <is>
          <t>'95.02.</t>
        </is>
      </c>
      <c r="C16" s="164" t="n">
        <v>392</v>
      </c>
      <c r="D16" s="161" t="n">
        <v>103.3</v>
      </c>
      <c r="E16" s="163" t="n">
        <v>31</v>
      </c>
      <c r="F16" s="161" t="n">
        <v>84.59999999999999</v>
      </c>
      <c r="G16" s="27" t="n">
        <v>26</v>
      </c>
      <c r="H16" s="164" t="n">
        <v>126</v>
      </c>
      <c r="I16" s="165" t="n">
        <v>35000</v>
      </c>
      <c r="J16" s="165" t="inlineStr">
        <is>
          <t>21</t>
        </is>
      </c>
      <c r="K16" s="165" t="n">
        <v>30000</v>
      </c>
      <c r="L16" s="165" t="inlineStr">
        <is>
          <t>고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103A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한국</t>
        </is>
      </c>
      <c r="B17" s="16" t="inlineStr">
        <is>
          <t>'95.02.</t>
        </is>
      </c>
      <c r="C17" s="164" t="n">
        <v>392</v>
      </c>
      <c r="D17" s="161" t="n">
        <v>103.5</v>
      </c>
      <c r="E17" s="163" t="n">
        <v>31</v>
      </c>
      <c r="F17" s="161" t="n">
        <v>84.8</v>
      </c>
      <c r="G17" s="27" t="n">
        <v>26</v>
      </c>
      <c r="H17" s="164" t="n">
        <v>38</v>
      </c>
      <c r="I17" s="165" t="n">
        <v>39000</v>
      </c>
      <c r="J17" s="165" t="inlineStr">
        <is>
          <t>15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103B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한국</t>
        </is>
      </c>
      <c r="B18" s="16" t="inlineStr">
        <is>
          <t>'95.02.</t>
        </is>
      </c>
      <c r="C18" s="164" t="n">
        <v>392</v>
      </c>
      <c r="D18" s="161" t="n">
        <v>152.5</v>
      </c>
      <c r="E18" s="163" t="n">
        <v>46</v>
      </c>
      <c r="F18" s="161" t="n">
        <v>130.1</v>
      </c>
      <c r="G18" s="27" t="n">
        <v>39</v>
      </c>
      <c r="H18" s="164" t="n">
        <v>76</v>
      </c>
      <c r="I18" s="165" t="n">
        <v>45000</v>
      </c>
      <c r="J18" s="165" t="inlineStr">
        <is>
          <t>11</t>
        </is>
      </c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152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1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2" t="n"/>
      <c r="P19" s="162" t="n"/>
      <c r="Q19" s="163" t="n"/>
      <c r="R19" s="163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0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삼성</t>
        </is>
      </c>
      <c r="B20" s="16" t="inlineStr">
        <is>
          <t>'97.06.</t>
        </is>
      </c>
      <c r="C20" s="164" t="n">
        <v>421</v>
      </c>
      <c r="D20" s="161" t="n">
        <v>77.90000000000001</v>
      </c>
      <c r="E20" s="163" t="n">
        <v>24</v>
      </c>
      <c r="F20" s="161" t="n">
        <v>59.9</v>
      </c>
      <c r="G20" s="27" t="n">
        <v>18</v>
      </c>
      <c r="H20" s="164" t="n">
        <v>172</v>
      </c>
      <c r="I20" s="165" t="n">
        <v>32000</v>
      </c>
      <c r="J20" s="165" t="inlineStr">
        <is>
          <t>8</t>
        </is>
      </c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77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삼성</t>
        </is>
      </c>
      <c r="B21" s="16" t="inlineStr">
        <is>
          <t>'97.06.</t>
        </is>
      </c>
      <c r="C21" s="164" t="n">
        <v>421</v>
      </c>
      <c r="D21" s="161" t="n">
        <v>110.4</v>
      </c>
      <c r="E21" s="163" t="n">
        <v>33</v>
      </c>
      <c r="F21" s="161" t="n">
        <v>84.90000000000001</v>
      </c>
      <c r="G21" s="27" t="n">
        <v>26</v>
      </c>
      <c r="H21" s="164" t="n">
        <v>249</v>
      </c>
      <c r="I21" s="165" t="n">
        <v>39000</v>
      </c>
      <c r="J21" s="165" t="inlineStr">
        <is>
          <t>10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110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대동</t>
        </is>
      </c>
      <c r="B23" s="16" t="inlineStr">
        <is>
          <t>'96.05.</t>
        </is>
      </c>
      <c r="C23" s="164" t="n">
        <v>1048</v>
      </c>
      <c r="D23" s="161" t="n">
        <v>84.2</v>
      </c>
      <c r="E23" s="163" t="n">
        <v>25</v>
      </c>
      <c r="F23" s="161" t="n">
        <v>59.9</v>
      </c>
      <c r="G23" s="27" t="n">
        <v>18</v>
      </c>
      <c r="H23" s="164" t="n">
        <v>576</v>
      </c>
      <c r="I23" s="165" t="n">
        <v>24000</v>
      </c>
      <c r="J23" s="165" t="inlineStr">
        <is>
          <t>17</t>
        </is>
      </c>
      <c r="K23" s="165" t="n">
        <v>23000</v>
      </c>
      <c r="L23" s="165" t="inlineStr">
        <is>
          <t>12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복</t>
        </is>
      </c>
      <c r="T23" s="8" t="n">
        <v>84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대동</t>
        </is>
      </c>
      <c r="B24" s="16" t="inlineStr">
        <is>
          <t>'96.05.</t>
        </is>
      </c>
      <c r="C24" s="164" t="n">
        <v>1048</v>
      </c>
      <c r="D24" s="161" t="n">
        <v>97.8</v>
      </c>
      <c r="E24" s="163" t="n">
        <v>30</v>
      </c>
      <c r="F24" s="161" t="n">
        <v>75.3</v>
      </c>
      <c r="G24" s="27" t="n">
        <v>23</v>
      </c>
      <c r="H24" s="164" t="n">
        <v>88</v>
      </c>
      <c r="I24" s="165" t="n">
        <v>37200</v>
      </c>
      <c r="J24" s="165" t="inlineStr">
        <is>
          <t>21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1</v>
      </c>
      <c r="S24" s="113" t="inlineStr">
        <is>
          <t>계</t>
        </is>
      </c>
      <c r="T24" s="8" t="n">
        <v>97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대동</t>
        </is>
      </c>
      <c r="B25" s="16" t="inlineStr">
        <is>
          <t>'96.05.</t>
        </is>
      </c>
      <c r="C25" s="164" t="n">
        <v>1048</v>
      </c>
      <c r="D25" s="161" t="n">
        <v>108.4</v>
      </c>
      <c r="E25" s="163" t="n">
        <v>33</v>
      </c>
      <c r="F25" s="161" t="n">
        <v>85</v>
      </c>
      <c r="G25" s="27" t="n">
        <v>26</v>
      </c>
      <c r="H25" s="164" t="n">
        <v>384</v>
      </c>
      <c r="I25" s="165" t="n">
        <v>37000</v>
      </c>
      <c r="J25" s="165" t="inlineStr">
        <is>
          <t>8</t>
        </is>
      </c>
      <c r="K25" s="165" t="n">
        <v>30000</v>
      </c>
      <c r="L25" s="165" t="inlineStr">
        <is>
          <t>19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108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</sheetData>
  <mergeCells count="1">
    <mergeCell ref="AJ1:AN1"/>
  </mergeCells>
  <conditionalFormatting sqref="AV4:AV6">
    <cfRule type="expression" priority="311" dxfId="17">
      <formula>AV4="X"</formula>
    </cfRule>
    <cfRule type="expression" priority="312" dxfId="16">
      <formula>AV4="후보"</formula>
    </cfRule>
  </conditionalFormatting>
  <conditionalFormatting sqref="AC1:AC2 AC4:AC6 N4:N5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N1:N2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6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6">
    <cfRule type="expression" priority="300" dxfId="3">
      <formula>AND(IF(OR($Q6=1,$Q6=2),1,0),IF($X6&lt;=20,1,0))</formula>
    </cfRule>
    <cfRule type="expression" priority="301" dxfId="2">
      <formula>AND(IF($Q6=2,1,0),IF($X6&lt;30,1,0))</formula>
    </cfRule>
    <cfRule type="expression" priority="302" dxfId="1">
      <formula>AND(IF($Q6=3,1,0),IF($X6&lt;30,1,0))</formula>
    </cfRule>
    <cfRule type="expression" priority="303" dxfId="0">
      <formula>AND(IF($Q6=3,1,IF($Q6=4,1,0)),IF($F6&lt;=85,1,0))</formula>
    </cfRule>
  </conditionalFormatting>
  <conditionalFormatting sqref="X6">
    <cfRule type="expression" priority="296" dxfId="3">
      <formula>AND(IF(OR($Q6=1,$Q6=2),1,0),IF($X6&lt;=20,1,0))</formula>
    </cfRule>
    <cfRule type="expression" priority="297" dxfId="2">
      <formula>AND(IF($Q6=2,1,0),IF($X6&lt;30,1,0))</formula>
    </cfRule>
    <cfRule type="expression" priority="298" dxfId="1">
      <formula>AND(IF($Q6=3,1,0),IF($X6&lt;30,1,0))</formula>
    </cfRule>
    <cfRule type="expression" priority="299" dxfId="0">
      <formula>AND(IF($Q6=3,1,IF($Q6=4,1,0)),IF($F6&lt;=85,1,0))</formula>
    </cfRule>
  </conditionalFormatting>
  <conditionalFormatting sqref="AI6">
    <cfRule type="expression" priority="292" dxfId="3">
      <formula>AND(IF(OR($Q6=1,$Q6=2),1,0),IF($X6&lt;=20,1,0))</formula>
    </cfRule>
    <cfRule type="expression" priority="293" dxfId="2">
      <formula>AND(IF($Q6=2,1,0),IF($X6&lt;30,1,0))</formula>
    </cfRule>
    <cfRule type="expression" priority="294" dxfId="1">
      <formula>AND(IF($Q6=3,1,0),IF($X6&lt;30,1,0))</formula>
    </cfRule>
    <cfRule type="expression" priority="295" dxfId="0">
      <formula>AND(IF($Q6=3,1,IF($Q6=4,1,0)),IF($F6&lt;=85,1,0))</formula>
    </cfRule>
  </conditionalFormatting>
  <conditionalFormatting sqref="AV7">
    <cfRule type="expression" priority="290" dxfId="17">
      <formula>AV7="X"</formula>
    </cfRule>
    <cfRule type="expression" priority="291" dxfId="16">
      <formula>AV7="후보"</formula>
    </cfRule>
  </conditionalFormatting>
  <conditionalFormatting sqref="AC7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7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7">
    <cfRule type="expression" priority="281" dxfId="3">
      <formula>AND(IF(OR($Q7=1,$Q7=2),1,0),IF($X7&lt;=20,1,0))</formula>
    </cfRule>
    <cfRule type="expression" priority="282" dxfId="2">
      <formula>AND(IF($Q7=2,1,0),IF($X7&lt;30,1,0))</formula>
    </cfRule>
    <cfRule type="expression" priority="283" dxfId="1">
      <formula>AND(IF($Q7=3,1,0),IF($X7&lt;30,1,0))</formula>
    </cfRule>
    <cfRule type="expression" priority="284" dxfId="0">
      <formula>AND(IF($Q7=3,1,IF($Q7=4,1,0)),IF($F7&lt;=85,1,0))</formula>
    </cfRule>
  </conditionalFormatting>
  <conditionalFormatting sqref="X7">
    <cfRule type="expression" priority="277" dxfId="3">
      <formula>AND(IF(OR($Q7=1,$Q7=2),1,0),IF($X7&lt;=20,1,0))</formula>
    </cfRule>
    <cfRule type="expression" priority="278" dxfId="2">
      <formula>AND(IF($Q7=2,1,0),IF($X7&lt;30,1,0))</formula>
    </cfRule>
    <cfRule type="expression" priority="279" dxfId="1">
      <formula>AND(IF($Q7=3,1,0),IF($X7&lt;30,1,0))</formula>
    </cfRule>
    <cfRule type="expression" priority="280" dxfId="0">
      <formula>AND(IF($Q7=3,1,IF($Q7=4,1,0)),IF($F7&lt;=85,1,0))</formula>
    </cfRule>
  </conditionalFormatting>
  <conditionalFormatting sqref="AI7">
    <cfRule type="expression" priority="273" dxfId="3">
      <formula>AND(IF(OR($Q7=1,$Q7=2),1,0),IF($X7&lt;=20,1,0))</formula>
    </cfRule>
    <cfRule type="expression" priority="274" dxfId="2">
      <formula>AND(IF($Q7=2,1,0),IF($X7&lt;30,1,0))</formula>
    </cfRule>
    <cfRule type="expression" priority="275" dxfId="1">
      <formula>AND(IF($Q7=3,1,0),IF($X7&lt;30,1,0))</formula>
    </cfRule>
    <cfRule type="expression" priority="276" dxfId="0">
      <formula>AND(IF($Q7=3,1,IF($Q7=4,1,0)),IF($F7&lt;=85,1,0))</formula>
    </cfRule>
  </conditionalFormatting>
  <conditionalFormatting sqref="AV8">
    <cfRule type="expression" priority="271" dxfId="17">
      <formula>AV8="X"</formula>
    </cfRule>
    <cfRule type="expression" priority="272" dxfId="16">
      <formula>AV8="후보"</formula>
    </cfRule>
  </conditionalFormatting>
  <conditionalFormatting sqref="AC8 N8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AV9">
    <cfRule type="expression" priority="266" dxfId="17">
      <formula>AV9="X"</formula>
    </cfRule>
    <cfRule type="expression" priority="267" dxfId="16">
      <formula>AV9="후보"</formula>
    </cfRule>
  </conditionalFormatting>
  <conditionalFormatting sqref="AC9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9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9">
    <cfRule type="expression" priority="257" dxfId="3">
      <formula>AND(IF(OR($Q9=1,$Q9=2),1,0),IF($X9&lt;=20,1,0))</formula>
    </cfRule>
    <cfRule type="expression" priority="258" dxfId="2">
      <formula>AND(IF($Q9=2,1,0),IF($X9&lt;30,1,0))</formula>
    </cfRule>
    <cfRule type="expression" priority="259" dxfId="1">
      <formula>AND(IF($Q9=3,1,0),IF($X9&lt;30,1,0))</formula>
    </cfRule>
    <cfRule type="expression" priority="260" dxfId="0">
      <formula>AND(IF($Q9=3,1,IF($Q9=4,1,0)),IF($F9&lt;=85,1,0))</formula>
    </cfRule>
  </conditionalFormatting>
  <conditionalFormatting sqref="X9">
    <cfRule type="expression" priority="253" dxfId="3">
      <formula>AND(IF(OR($Q9=1,$Q9=2),1,0),IF($X9&lt;=20,1,0))</formula>
    </cfRule>
    <cfRule type="expression" priority="254" dxfId="2">
      <formula>AND(IF($Q9=2,1,0),IF($X9&lt;30,1,0))</formula>
    </cfRule>
    <cfRule type="expression" priority="255" dxfId="1">
      <formula>AND(IF($Q9=3,1,0),IF($X9&lt;30,1,0))</formula>
    </cfRule>
    <cfRule type="expression" priority="256" dxfId="0">
      <formula>AND(IF($Q9=3,1,IF($Q9=4,1,0)),IF($F9&lt;=85,1,0))</formula>
    </cfRule>
  </conditionalFormatting>
  <conditionalFormatting sqref="AI9">
    <cfRule type="expression" priority="249" dxfId="3">
      <formula>AND(IF(OR($Q9=1,$Q9=2),1,0),IF($X9&lt;=20,1,0))</formula>
    </cfRule>
    <cfRule type="expression" priority="250" dxfId="2">
      <formula>AND(IF($Q9=2,1,0),IF($X9&lt;30,1,0))</formula>
    </cfRule>
    <cfRule type="expression" priority="251" dxfId="1">
      <formula>AND(IF($Q9=3,1,0),IF($X9&lt;30,1,0))</formula>
    </cfRule>
    <cfRule type="expression" priority="252" dxfId="0">
      <formula>AND(IF($Q9=3,1,IF($Q9=4,1,0)),IF($F9&lt;=85,1,0))</formula>
    </cfRule>
  </conditionalFormatting>
  <conditionalFormatting sqref="AV10">
    <cfRule type="expression" priority="247" dxfId="17">
      <formula>AV10="X"</formula>
    </cfRule>
    <cfRule type="expression" priority="248" dxfId="16">
      <formula>AV10="후보"</formula>
    </cfRule>
  </conditionalFormatting>
  <conditionalFormatting sqref="AC10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10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10">
    <cfRule type="expression" priority="238" dxfId="3">
      <formula>AND(IF(OR($Q10=1,$Q10=2),1,0),IF($X10&lt;=20,1,0))</formula>
    </cfRule>
    <cfRule type="expression" priority="239" dxfId="2">
      <formula>AND(IF($Q10=2,1,0),IF($X10&lt;30,1,0))</formula>
    </cfRule>
    <cfRule type="expression" priority="240" dxfId="1">
      <formula>AND(IF($Q10=3,1,0),IF($X10&lt;30,1,0))</formula>
    </cfRule>
    <cfRule type="expression" priority="241" dxfId="0">
      <formula>AND(IF($Q10=3,1,IF($Q10=4,1,0)),IF($F10&lt;=85,1,0))</formula>
    </cfRule>
  </conditionalFormatting>
  <conditionalFormatting sqref="X10">
    <cfRule type="expression" priority="234" dxfId="3">
      <formula>AND(IF(OR($Q10=1,$Q10=2),1,0),IF($X10&lt;=20,1,0))</formula>
    </cfRule>
    <cfRule type="expression" priority="235" dxfId="2">
      <formula>AND(IF($Q10=2,1,0),IF($X10&lt;30,1,0))</formula>
    </cfRule>
    <cfRule type="expression" priority="236" dxfId="1">
      <formula>AND(IF($Q10=3,1,0),IF($X10&lt;30,1,0))</formula>
    </cfRule>
    <cfRule type="expression" priority="237" dxfId="0">
      <formula>AND(IF($Q10=3,1,IF($Q10=4,1,0)),IF($F10&lt;=85,1,0))</formula>
    </cfRule>
  </conditionalFormatting>
  <conditionalFormatting sqref="AI10">
    <cfRule type="expression" priority="230" dxfId="3">
      <formula>AND(IF(OR($Q10=1,$Q10=2),1,0),IF($X10&lt;=20,1,0))</formula>
    </cfRule>
    <cfRule type="expression" priority="231" dxfId="2">
      <formula>AND(IF($Q10=2,1,0),IF($X10&lt;30,1,0))</formula>
    </cfRule>
    <cfRule type="expression" priority="232" dxfId="1">
      <formula>AND(IF($Q10=3,1,0),IF($X10&lt;30,1,0))</formula>
    </cfRule>
    <cfRule type="expression" priority="233" dxfId="0">
      <formula>AND(IF($Q10=3,1,IF($Q10=4,1,0)),IF($F10&lt;=85,1,0))</formula>
    </cfRule>
  </conditionalFormatting>
  <conditionalFormatting sqref="AV11">
    <cfRule type="expression" priority="228" dxfId="17">
      <formula>AV11="X"</formula>
    </cfRule>
    <cfRule type="expression" priority="229" dxfId="16">
      <formula>AV11="후보"</formula>
    </cfRule>
  </conditionalFormatting>
  <conditionalFormatting sqref="AC11 N11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AV12">
    <cfRule type="expression" priority="223" dxfId="17">
      <formula>AV12="X"</formula>
    </cfRule>
    <cfRule type="expression" priority="224" dxfId="16">
      <formula>AV12="후보"</formula>
    </cfRule>
  </conditionalFormatting>
  <conditionalFormatting sqref="AC12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2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2">
    <cfRule type="expression" priority="214" dxfId="3">
      <formula>AND(IF(OR($Q12=1,$Q12=2),1,0),IF($X12&lt;=20,1,0))</formula>
    </cfRule>
    <cfRule type="expression" priority="215" dxfId="2">
      <formula>AND(IF($Q12=2,1,0),IF($X12&lt;30,1,0))</formula>
    </cfRule>
    <cfRule type="expression" priority="216" dxfId="1">
      <formula>AND(IF($Q12=3,1,0),IF($X12&lt;30,1,0))</formula>
    </cfRule>
    <cfRule type="expression" priority="217" dxfId="0">
      <formula>AND(IF($Q12=3,1,IF($Q12=4,1,0)),IF($F12&lt;=85,1,0))</formula>
    </cfRule>
  </conditionalFormatting>
  <conditionalFormatting sqref="X12">
    <cfRule type="expression" priority="210" dxfId="3">
      <formula>AND(IF(OR($Q12=1,$Q12=2),1,0),IF($X12&lt;=20,1,0))</formula>
    </cfRule>
    <cfRule type="expression" priority="211" dxfId="2">
      <formula>AND(IF($Q12=2,1,0),IF($X12&lt;30,1,0))</formula>
    </cfRule>
    <cfRule type="expression" priority="212" dxfId="1">
      <formula>AND(IF($Q12=3,1,0),IF($X12&lt;30,1,0))</formula>
    </cfRule>
    <cfRule type="expression" priority="213" dxfId="0">
      <formula>AND(IF($Q12=3,1,IF($Q12=4,1,0)),IF($F12&lt;=85,1,0))</formula>
    </cfRule>
  </conditionalFormatting>
  <conditionalFormatting sqref="AI12">
    <cfRule type="expression" priority="206" dxfId="3">
      <formula>AND(IF(OR($Q12=1,$Q12=2),1,0),IF($X12&lt;=20,1,0))</formula>
    </cfRule>
    <cfRule type="expression" priority="207" dxfId="2">
      <formula>AND(IF($Q12=2,1,0),IF($X12&lt;30,1,0))</formula>
    </cfRule>
    <cfRule type="expression" priority="208" dxfId="1">
      <formula>AND(IF($Q12=3,1,0),IF($X12&lt;30,1,0))</formula>
    </cfRule>
    <cfRule type="expression" priority="209" dxfId="0">
      <formula>AND(IF($Q12=3,1,IF($Q12=4,1,0)),IF($F12&lt;=85,1,0))</formula>
    </cfRule>
  </conditionalFormatting>
  <conditionalFormatting sqref="AV13">
    <cfRule type="expression" priority="204" dxfId="17">
      <formula>AV13="X"</formula>
    </cfRule>
    <cfRule type="expression" priority="205" dxfId="16">
      <formula>AV13="후보"</formula>
    </cfRule>
  </conditionalFormatting>
  <conditionalFormatting sqref="AC1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3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3">
    <cfRule type="expression" priority="195" dxfId="3">
      <formula>AND(IF(OR($Q13=1,$Q13=2),1,0),IF($X13&lt;=20,1,0))</formula>
    </cfRule>
    <cfRule type="expression" priority="196" dxfId="2">
      <formula>AND(IF($Q13=2,1,0),IF($X13&lt;30,1,0))</formula>
    </cfRule>
    <cfRule type="expression" priority="197" dxfId="1">
      <formula>AND(IF($Q13=3,1,0),IF($X13&lt;30,1,0))</formula>
    </cfRule>
    <cfRule type="expression" priority="198" dxfId="0">
      <formula>AND(IF($Q13=3,1,IF($Q13=4,1,0)),IF($F13&lt;=85,1,0))</formula>
    </cfRule>
  </conditionalFormatting>
  <conditionalFormatting sqref="X13">
    <cfRule type="expression" priority="191" dxfId="3">
      <formula>AND(IF(OR($Q13=1,$Q13=2),1,0),IF($X13&lt;=20,1,0))</formula>
    </cfRule>
    <cfRule type="expression" priority="192" dxfId="2">
      <formula>AND(IF($Q13=2,1,0),IF($X13&lt;30,1,0))</formula>
    </cfRule>
    <cfRule type="expression" priority="193" dxfId="1">
      <formula>AND(IF($Q13=3,1,0),IF($X13&lt;30,1,0))</formula>
    </cfRule>
    <cfRule type="expression" priority="194" dxfId="0">
      <formula>AND(IF($Q13=3,1,IF($Q13=4,1,0)),IF($F13&lt;=85,1,0))</formula>
    </cfRule>
  </conditionalFormatting>
  <conditionalFormatting sqref="AI13">
    <cfRule type="expression" priority="187" dxfId="3">
      <formula>AND(IF(OR($Q13=1,$Q13=2),1,0),IF($X13&lt;=20,1,0))</formula>
    </cfRule>
    <cfRule type="expression" priority="188" dxfId="2">
      <formula>AND(IF($Q13=2,1,0),IF($X13&lt;30,1,0))</formula>
    </cfRule>
    <cfRule type="expression" priority="189" dxfId="1">
      <formula>AND(IF($Q13=3,1,0),IF($X13&lt;30,1,0))</formula>
    </cfRule>
    <cfRule type="expression" priority="190" dxfId="0">
      <formula>AND(IF($Q13=3,1,IF($Q13=4,1,0)),IF($F13&lt;=85,1,0))</formula>
    </cfRule>
  </conditionalFormatting>
  <conditionalFormatting sqref="AV14">
    <cfRule type="expression" priority="185" dxfId="17">
      <formula>AV14="X"</formula>
    </cfRule>
    <cfRule type="expression" priority="186" dxfId="16">
      <formula>AV14="후보"</formula>
    </cfRule>
  </conditionalFormatting>
  <conditionalFormatting sqref="AC14 N14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15">
    <cfRule type="expression" priority="180" dxfId="17">
      <formula>AV15="X"</formula>
    </cfRule>
    <cfRule type="expression" priority="181" dxfId="16">
      <formula>AV15="후보"</formula>
    </cfRule>
  </conditionalFormatting>
  <conditionalFormatting sqref="AC15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5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5">
    <cfRule type="expression" priority="171" dxfId="3">
      <formula>AND(IF(OR($Q15=1,$Q15=2),1,0),IF($X15&lt;=20,1,0))</formula>
    </cfRule>
    <cfRule type="expression" priority="172" dxfId="2">
      <formula>AND(IF($Q15=2,1,0),IF($X15&lt;30,1,0))</formula>
    </cfRule>
    <cfRule type="expression" priority="173" dxfId="1">
      <formula>AND(IF($Q15=3,1,0),IF($X15&lt;30,1,0))</formula>
    </cfRule>
    <cfRule type="expression" priority="174" dxfId="0">
      <formula>AND(IF($Q15=3,1,IF($Q15=4,1,0)),IF($F15&lt;=85,1,0))</formula>
    </cfRule>
  </conditionalFormatting>
  <conditionalFormatting sqref="X15">
    <cfRule type="expression" priority="167" dxfId="3">
      <formula>AND(IF(OR($Q15=1,$Q15=2),1,0),IF($X15&lt;=20,1,0))</formula>
    </cfRule>
    <cfRule type="expression" priority="168" dxfId="2">
      <formula>AND(IF($Q15=2,1,0),IF($X15&lt;30,1,0))</formula>
    </cfRule>
    <cfRule type="expression" priority="169" dxfId="1">
      <formula>AND(IF($Q15=3,1,0),IF($X15&lt;30,1,0))</formula>
    </cfRule>
    <cfRule type="expression" priority="170" dxfId="0">
      <formula>AND(IF($Q15=3,1,IF($Q15=4,1,0)),IF($F15&lt;=85,1,0))</formula>
    </cfRule>
  </conditionalFormatting>
  <conditionalFormatting sqref="AI15">
    <cfRule type="expression" priority="163" dxfId="3">
      <formula>AND(IF(OR($Q15=1,$Q15=2),1,0),IF($X15&lt;=20,1,0))</formula>
    </cfRule>
    <cfRule type="expression" priority="164" dxfId="2">
      <formula>AND(IF($Q15=2,1,0),IF($X15&lt;30,1,0))</formula>
    </cfRule>
    <cfRule type="expression" priority="165" dxfId="1">
      <formula>AND(IF($Q15=3,1,0),IF($X15&lt;30,1,0))</formula>
    </cfRule>
    <cfRule type="expression" priority="166" dxfId="0">
      <formula>AND(IF($Q15=3,1,IF($Q15=4,1,0)),IF($F15&lt;=85,1,0))</formula>
    </cfRule>
  </conditionalFormatting>
  <conditionalFormatting sqref="AV16">
    <cfRule type="expression" priority="161" dxfId="17">
      <formula>AV16="X"</formula>
    </cfRule>
    <cfRule type="expression" priority="162" dxfId="16">
      <formula>AV16="후보"</formula>
    </cfRule>
  </conditionalFormatting>
  <conditionalFormatting sqref="AC16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6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6">
    <cfRule type="expression" priority="152" dxfId="3">
      <formula>AND(IF(OR($Q16=1,$Q16=2),1,0),IF($X16&lt;=20,1,0))</formula>
    </cfRule>
    <cfRule type="expression" priority="153" dxfId="2">
      <formula>AND(IF($Q16=2,1,0),IF($X16&lt;30,1,0))</formula>
    </cfRule>
    <cfRule type="expression" priority="154" dxfId="1">
      <formula>AND(IF($Q16=3,1,0),IF($X16&lt;30,1,0))</formula>
    </cfRule>
    <cfRule type="expression" priority="155" dxfId="0">
      <formula>AND(IF($Q16=3,1,IF($Q16=4,1,0)),IF($F16&lt;=85,1,0))</formula>
    </cfRule>
  </conditionalFormatting>
  <conditionalFormatting sqref="X16">
    <cfRule type="expression" priority="148" dxfId="3">
      <formula>AND(IF(OR($Q16=1,$Q16=2),1,0),IF($X16&lt;=20,1,0))</formula>
    </cfRule>
    <cfRule type="expression" priority="149" dxfId="2">
      <formula>AND(IF($Q16=2,1,0),IF($X16&lt;30,1,0))</formula>
    </cfRule>
    <cfRule type="expression" priority="150" dxfId="1">
      <formula>AND(IF($Q16=3,1,0),IF($X16&lt;30,1,0))</formula>
    </cfRule>
    <cfRule type="expression" priority="151" dxfId="0">
      <formula>AND(IF($Q16=3,1,IF($Q16=4,1,0)),IF($F16&lt;=85,1,0))</formula>
    </cfRule>
  </conditionalFormatting>
  <conditionalFormatting sqref="AI16">
    <cfRule type="expression" priority="144" dxfId="3">
      <formula>AND(IF(OR($Q16=1,$Q16=2),1,0),IF($X16&lt;=20,1,0))</formula>
    </cfRule>
    <cfRule type="expression" priority="145" dxfId="2">
      <formula>AND(IF($Q16=2,1,0),IF($X16&lt;30,1,0))</formula>
    </cfRule>
    <cfRule type="expression" priority="146" dxfId="1">
      <formula>AND(IF($Q16=3,1,0),IF($X16&lt;30,1,0))</formula>
    </cfRule>
    <cfRule type="expression" priority="147" dxfId="0">
      <formula>AND(IF($Q16=3,1,IF($Q16=4,1,0)),IF($F16&lt;=85,1,0))</formula>
    </cfRule>
  </conditionalFormatting>
  <conditionalFormatting sqref="AV17">
    <cfRule type="expression" priority="142" dxfId="17">
      <formula>AV17="X"</formula>
    </cfRule>
    <cfRule type="expression" priority="143" dxfId="16">
      <formula>AV17="후보"</formula>
    </cfRule>
  </conditionalFormatting>
  <conditionalFormatting sqref="AC17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7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7">
    <cfRule type="expression" priority="133" dxfId="3">
      <formula>AND(IF(OR($Q17=1,$Q17=2),1,0),IF($X17&lt;=20,1,0))</formula>
    </cfRule>
    <cfRule type="expression" priority="134" dxfId="2">
      <formula>AND(IF($Q17=2,1,0),IF($X17&lt;30,1,0))</formula>
    </cfRule>
    <cfRule type="expression" priority="135" dxfId="1">
      <formula>AND(IF($Q17=3,1,0),IF($X17&lt;30,1,0))</formula>
    </cfRule>
    <cfRule type="expression" priority="136" dxfId="0">
      <formula>AND(IF($Q17=3,1,IF($Q17=4,1,0)),IF($F17&lt;=85,1,0))</formula>
    </cfRule>
  </conditionalFormatting>
  <conditionalFormatting sqref="X17">
    <cfRule type="expression" priority="129" dxfId="3">
      <formula>AND(IF(OR($Q17=1,$Q17=2),1,0),IF($X17&lt;=20,1,0))</formula>
    </cfRule>
    <cfRule type="expression" priority="130" dxfId="2">
      <formula>AND(IF($Q17=2,1,0),IF($X17&lt;30,1,0))</formula>
    </cfRule>
    <cfRule type="expression" priority="131" dxfId="1">
      <formula>AND(IF($Q17=3,1,0),IF($X17&lt;30,1,0))</formula>
    </cfRule>
    <cfRule type="expression" priority="132" dxfId="0">
      <formula>AND(IF($Q17=3,1,IF($Q17=4,1,0)),IF($F17&lt;=85,1,0))</formula>
    </cfRule>
  </conditionalFormatting>
  <conditionalFormatting sqref="AI17">
    <cfRule type="expression" priority="125" dxfId="3">
      <formula>AND(IF(OR($Q17=1,$Q17=2),1,0),IF($X17&lt;=20,1,0))</formula>
    </cfRule>
    <cfRule type="expression" priority="126" dxfId="2">
      <formula>AND(IF($Q17=2,1,0),IF($X17&lt;30,1,0))</formula>
    </cfRule>
    <cfRule type="expression" priority="127" dxfId="1">
      <formula>AND(IF($Q17=3,1,0),IF($X17&lt;30,1,0))</formula>
    </cfRule>
    <cfRule type="expression" priority="128" dxfId="0">
      <formula>AND(IF($Q17=3,1,IF($Q17=4,1,0)),IF($F17&lt;=85,1,0))</formula>
    </cfRule>
  </conditionalFormatting>
  <conditionalFormatting sqref="AV18">
    <cfRule type="expression" priority="123" dxfId="17">
      <formula>AV18="X"</formula>
    </cfRule>
    <cfRule type="expression" priority="124" dxfId="16">
      <formula>AV18="후보"</formula>
    </cfRule>
  </conditionalFormatting>
  <conditionalFormatting sqref="AC18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8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8">
    <cfRule type="expression" priority="114" dxfId="3">
      <formula>AND(IF(OR($Q18=1,$Q18=2),1,0),IF($X18&lt;=20,1,0))</formula>
    </cfRule>
    <cfRule type="expression" priority="115" dxfId="2">
      <formula>AND(IF($Q18=2,1,0),IF($X18&lt;30,1,0))</formula>
    </cfRule>
    <cfRule type="expression" priority="116" dxfId="1">
      <formula>AND(IF($Q18=3,1,0),IF($X18&lt;30,1,0))</formula>
    </cfRule>
    <cfRule type="expression" priority="117" dxfId="0">
      <formula>AND(IF($Q18=3,1,IF($Q18=4,1,0)),IF($F18&lt;=85,1,0))</formula>
    </cfRule>
  </conditionalFormatting>
  <conditionalFormatting sqref="X18">
    <cfRule type="expression" priority="110" dxfId="3">
      <formula>AND(IF(OR($Q18=1,$Q18=2),1,0),IF($X18&lt;=20,1,0))</formula>
    </cfRule>
    <cfRule type="expression" priority="111" dxfId="2">
      <formula>AND(IF($Q18=2,1,0),IF($X18&lt;30,1,0))</formula>
    </cfRule>
    <cfRule type="expression" priority="112" dxfId="1">
      <formula>AND(IF($Q18=3,1,0),IF($X18&lt;30,1,0))</formula>
    </cfRule>
    <cfRule type="expression" priority="113" dxfId="0">
      <formula>AND(IF($Q18=3,1,IF($Q18=4,1,0)),IF($F18&lt;=85,1,0))</formula>
    </cfRule>
  </conditionalFormatting>
  <conditionalFormatting sqref="AI18">
    <cfRule type="expression" priority="106" dxfId="3">
      <formula>AND(IF(OR($Q18=1,$Q18=2),1,0),IF($X18&lt;=20,1,0))</formula>
    </cfRule>
    <cfRule type="expression" priority="107" dxfId="2">
      <formula>AND(IF($Q18=2,1,0),IF($X18&lt;30,1,0))</formula>
    </cfRule>
    <cfRule type="expression" priority="108" dxfId="1">
      <formula>AND(IF($Q18=3,1,0),IF($X18&lt;30,1,0))</formula>
    </cfRule>
    <cfRule type="expression" priority="109" dxfId="0">
      <formula>AND(IF($Q18=3,1,IF($Q18=4,1,0)),IF($F18&lt;=85,1,0))</formula>
    </cfRule>
  </conditionalFormatting>
  <conditionalFormatting sqref="AV19">
    <cfRule type="expression" priority="104" dxfId="17">
      <formula>AV19="X"</formula>
    </cfRule>
    <cfRule type="expression" priority="105" dxfId="16">
      <formula>AV19="후보"</formula>
    </cfRule>
  </conditionalFormatting>
  <conditionalFormatting sqref="AC19 N1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20">
    <cfRule type="expression" priority="99" dxfId="17">
      <formula>AV20="X"</formula>
    </cfRule>
    <cfRule type="expression" priority="100" dxfId="16">
      <formula>AV20="후보"</formula>
    </cfRule>
  </conditionalFormatting>
  <conditionalFormatting sqref="AC2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0">
    <cfRule type="expression" priority="90" dxfId="3">
      <formula>AND(IF(OR($Q20=1,$Q20=2),1,0),IF($X20&lt;=20,1,0))</formula>
    </cfRule>
    <cfRule type="expression" priority="91" dxfId="2">
      <formula>AND(IF($Q20=2,1,0),IF($X20&lt;30,1,0))</formula>
    </cfRule>
    <cfRule type="expression" priority="92" dxfId="1">
      <formula>AND(IF($Q20=3,1,0),IF($X20&lt;30,1,0))</formula>
    </cfRule>
    <cfRule type="expression" priority="93" dxfId="0">
      <formula>AND(IF($Q20=3,1,IF($Q20=4,1,0)),IF($F20&lt;=85,1,0))</formula>
    </cfRule>
  </conditionalFormatting>
  <conditionalFormatting sqref="X20">
    <cfRule type="expression" priority="86" dxfId="3">
      <formula>AND(IF(OR($Q20=1,$Q20=2),1,0),IF($X20&lt;=20,1,0))</formula>
    </cfRule>
    <cfRule type="expression" priority="87" dxfId="2">
      <formula>AND(IF($Q20=2,1,0),IF($X20&lt;30,1,0))</formula>
    </cfRule>
    <cfRule type="expression" priority="88" dxfId="1">
      <formula>AND(IF($Q20=3,1,0),IF($X20&lt;30,1,0))</formula>
    </cfRule>
    <cfRule type="expression" priority="89" dxfId="0">
      <formula>AND(IF($Q20=3,1,IF($Q20=4,1,0)),IF($F20&lt;=85,1,0))</formula>
    </cfRule>
  </conditionalFormatting>
  <conditionalFormatting sqref="AI20">
    <cfRule type="expression" priority="82" dxfId="3">
      <formula>AND(IF(OR($Q20=1,$Q20=2),1,0),IF($X20&lt;=20,1,0))</formula>
    </cfRule>
    <cfRule type="expression" priority="83" dxfId="2">
      <formula>AND(IF($Q20=2,1,0),IF($X20&lt;30,1,0))</formula>
    </cfRule>
    <cfRule type="expression" priority="84" dxfId="1">
      <formula>AND(IF($Q20=3,1,0),IF($X20&lt;30,1,0))</formula>
    </cfRule>
    <cfRule type="expression" priority="85" dxfId="0">
      <formula>AND(IF($Q20=3,1,IF($Q20=4,1,0)),IF($F20&lt;=85,1,0))</formula>
    </cfRule>
  </conditionalFormatting>
  <conditionalFormatting sqref="AV21">
    <cfRule type="expression" priority="80" dxfId="17">
      <formula>AV21="X"</formula>
    </cfRule>
    <cfRule type="expression" priority="81" dxfId="16">
      <formula>AV21="후보"</formula>
    </cfRule>
  </conditionalFormatting>
  <conditionalFormatting sqref="AC2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1">
    <cfRule type="expression" priority="71" dxfId="3">
      <formula>AND(IF(OR($Q21=1,$Q21=2),1,0),IF($X21&lt;=20,1,0))</formula>
    </cfRule>
    <cfRule type="expression" priority="72" dxfId="2">
      <formula>AND(IF($Q21=2,1,0),IF($X21&lt;30,1,0))</formula>
    </cfRule>
    <cfRule type="expression" priority="73" dxfId="1">
      <formula>AND(IF($Q21=3,1,0),IF($X21&lt;30,1,0))</formula>
    </cfRule>
    <cfRule type="expression" priority="74" dxfId="0">
      <formula>AND(IF($Q21=3,1,IF($Q21=4,1,0)),IF($F21&lt;=85,1,0))</formula>
    </cfRule>
  </conditionalFormatting>
  <conditionalFormatting sqref="X21">
    <cfRule type="expression" priority="67" dxfId="3">
      <formula>AND(IF(OR($Q21=1,$Q21=2),1,0),IF($X21&lt;=20,1,0))</formula>
    </cfRule>
    <cfRule type="expression" priority="68" dxfId="2">
      <formula>AND(IF($Q21=2,1,0),IF($X21&lt;30,1,0))</formula>
    </cfRule>
    <cfRule type="expression" priority="69" dxfId="1">
      <formula>AND(IF($Q21=3,1,0),IF($X21&lt;30,1,0))</formula>
    </cfRule>
    <cfRule type="expression" priority="70" dxfId="0">
      <formula>AND(IF($Q21=3,1,IF($Q21=4,1,0)),IF($F21&lt;=85,1,0))</formula>
    </cfRule>
  </conditionalFormatting>
  <conditionalFormatting sqref="AI21">
    <cfRule type="expression" priority="63" dxfId="3">
      <formula>AND(IF(OR($Q21=1,$Q21=2),1,0),IF($X21&lt;=20,1,0))</formula>
    </cfRule>
    <cfRule type="expression" priority="64" dxfId="2">
      <formula>AND(IF($Q21=2,1,0),IF($X21&lt;30,1,0))</formula>
    </cfRule>
    <cfRule type="expression" priority="65" dxfId="1">
      <formula>AND(IF($Q21=3,1,0),IF($X21&lt;30,1,0))</formula>
    </cfRule>
    <cfRule type="expression" priority="66" dxfId="0">
      <formula>AND(IF($Q21=3,1,IF($Q21=4,1,0)),IF($F21&lt;=85,1,0))</formula>
    </cfRule>
  </conditionalFormatting>
  <conditionalFormatting sqref="AV22">
    <cfRule type="expression" priority="61" dxfId="17">
      <formula>AV22="X"</formula>
    </cfRule>
    <cfRule type="expression" priority="62" dxfId="16">
      <formula>AV22="후보"</formula>
    </cfRule>
  </conditionalFormatting>
  <conditionalFormatting sqref="AC22 N2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23">
    <cfRule type="expression" priority="56" dxfId="17">
      <formula>AV23="X"</formula>
    </cfRule>
    <cfRule type="expression" priority="57" dxfId="16">
      <formula>AV23="후보"</formula>
    </cfRule>
  </conditionalFormatting>
  <conditionalFormatting sqref="AC2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3">
    <cfRule type="expression" priority="47" dxfId="3">
      <formula>AND(IF(OR($Q23=1,$Q23=2),1,0),IF($X23&lt;=20,1,0))</formula>
    </cfRule>
    <cfRule type="expression" priority="48" dxfId="2">
      <formula>AND(IF($Q23=2,1,0),IF($X23&lt;30,1,0))</formula>
    </cfRule>
    <cfRule type="expression" priority="49" dxfId="1">
      <formula>AND(IF($Q23=3,1,0),IF($X23&lt;30,1,0))</formula>
    </cfRule>
    <cfRule type="expression" priority="50" dxfId="0">
      <formula>AND(IF($Q23=3,1,IF($Q23=4,1,0)),IF($F23&lt;=85,1,0))</formula>
    </cfRule>
  </conditionalFormatting>
  <conditionalFormatting sqref="X23">
    <cfRule type="expression" priority="43" dxfId="3">
      <formula>AND(IF(OR($Q23=1,$Q23=2),1,0),IF($X23&lt;=20,1,0))</formula>
    </cfRule>
    <cfRule type="expression" priority="44" dxfId="2">
      <formula>AND(IF($Q23=2,1,0),IF($X23&lt;30,1,0))</formula>
    </cfRule>
    <cfRule type="expression" priority="45" dxfId="1">
      <formula>AND(IF($Q23=3,1,0),IF($X23&lt;30,1,0))</formula>
    </cfRule>
    <cfRule type="expression" priority="46" dxfId="0">
      <formula>AND(IF($Q23=3,1,IF($Q23=4,1,0)),IF($F23&lt;=85,1,0))</formula>
    </cfRule>
  </conditionalFormatting>
  <conditionalFormatting sqref="AI23">
    <cfRule type="expression" priority="39" dxfId="3">
      <formula>AND(IF(OR($Q23=1,$Q23=2),1,0),IF($X23&lt;=20,1,0))</formula>
    </cfRule>
    <cfRule type="expression" priority="40" dxfId="2">
      <formula>AND(IF($Q23=2,1,0),IF($X23&lt;30,1,0))</formula>
    </cfRule>
    <cfRule type="expression" priority="41" dxfId="1">
      <formula>AND(IF($Q23=3,1,0),IF($X23&lt;30,1,0))</formula>
    </cfRule>
    <cfRule type="expression" priority="42" dxfId="0">
      <formula>AND(IF($Q23=3,1,IF($Q23=4,1,0)),IF($F23&lt;=85,1,0))</formula>
    </cfRule>
  </conditionalFormatting>
  <conditionalFormatting sqref="AV24">
    <cfRule type="expression" priority="37" dxfId="17">
      <formula>AV24="X"</formula>
    </cfRule>
    <cfRule type="expression" priority="38" dxfId="16">
      <formula>AV24="후보"</formula>
    </cfRule>
  </conditionalFormatting>
  <conditionalFormatting sqref="AC2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4">
    <cfRule type="expression" priority="28" dxfId="3">
      <formula>AND(IF(OR($Q24=1,$Q24=2),1,0),IF($X24&lt;=20,1,0))</formula>
    </cfRule>
    <cfRule type="expression" priority="29" dxfId="2">
      <formula>AND(IF($Q24=2,1,0),IF($X24&lt;30,1,0))</formula>
    </cfRule>
    <cfRule type="expression" priority="30" dxfId="1">
      <formula>AND(IF($Q24=3,1,0),IF($X24&lt;30,1,0))</formula>
    </cfRule>
    <cfRule type="expression" priority="31" dxfId="0">
      <formula>AND(IF($Q24=3,1,IF($Q24=4,1,0)),IF($F24&lt;=85,1,0))</formula>
    </cfRule>
  </conditionalFormatting>
  <conditionalFormatting sqref="X24">
    <cfRule type="expression" priority="24" dxfId="3">
      <formula>AND(IF(OR($Q24=1,$Q24=2),1,0),IF($X24&lt;=20,1,0))</formula>
    </cfRule>
    <cfRule type="expression" priority="25" dxfId="2">
      <formula>AND(IF($Q24=2,1,0),IF($X24&lt;30,1,0))</formula>
    </cfRule>
    <cfRule type="expression" priority="26" dxfId="1">
      <formula>AND(IF($Q24=3,1,0),IF($X24&lt;30,1,0))</formula>
    </cfRule>
    <cfRule type="expression" priority="27" dxfId="0">
      <formula>AND(IF($Q24=3,1,IF($Q24=4,1,0)),IF($F24&lt;=85,1,0))</formula>
    </cfRule>
  </conditionalFormatting>
  <conditionalFormatting sqref="AI24">
    <cfRule type="expression" priority="20" dxfId="3">
      <formula>AND(IF(OR($Q24=1,$Q24=2),1,0),IF($X24&lt;=20,1,0))</formula>
    </cfRule>
    <cfRule type="expression" priority="21" dxfId="2">
      <formula>AND(IF($Q24=2,1,0),IF($X24&lt;30,1,0))</formula>
    </cfRule>
    <cfRule type="expression" priority="22" dxfId="1">
      <formula>AND(IF($Q24=3,1,0),IF($X24&lt;30,1,0))</formula>
    </cfRule>
    <cfRule type="expression" priority="23" dxfId="0">
      <formula>AND(IF($Q24=3,1,IF($Q24=4,1,0)),IF($F24&lt;=85,1,0))</formula>
    </cfRule>
  </conditionalFormatting>
  <conditionalFormatting sqref="AV25">
    <cfRule type="expression" priority="18" dxfId="17">
      <formula>AV25="X"</formula>
    </cfRule>
    <cfRule type="expression" priority="19" dxfId="16">
      <formula>AV25="후보"</formula>
    </cfRule>
  </conditionalFormatting>
  <conditionalFormatting sqref="AC2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5">
    <cfRule type="expression" priority="9" dxfId="3">
      <formula>AND(IF(OR($Q25=1,$Q25=2),1,0),IF($X25&lt;=20,1,0))</formula>
    </cfRule>
    <cfRule type="expression" priority="10" dxfId="2">
      <formula>AND(IF($Q25=2,1,0),IF($X25&lt;30,1,0))</formula>
    </cfRule>
    <cfRule type="expression" priority="11" dxfId="1">
      <formula>AND(IF($Q25=3,1,0),IF($X25&lt;30,1,0))</formula>
    </cfRule>
    <cfRule type="expression" priority="12" dxfId="0">
      <formula>AND(IF($Q25=3,1,IF($Q25=4,1,0)),IF($F25&lt;=85,1,0))</formula>
    </cfRule>
  </conditionalFormatting>
  <conditionalFormatting sqref="X25">
    <cfRule type="expression" priority="5" dxfId="3">
      <formula>AND(IF(OR($Q25=1,$Q25=2),1,0),IF($X25&lt;=20,1,0))</formula>
    </cfRule>
    <cfRule type="expression" priority="6" dxfId="2">
      <formula>AND(IF($Q25=2,1,0),IF($X25&lt;30,1,0))</formula>
    </cfRule>
    <cfRule type="expression" priority="7" dxfId="1">
      <formula>AND(IF($Q25=3,1,0),IF($X25&lt;30,1,0))</formula>
    </cfRule>
    <cfRule type="expression" priority="8" dxfId="0">
      <formula>AND(IF($Q25=3,1,IF($Q25=4,1,0)),IF($F25&lt;=85,1,0))</formula>
    </cfRule>
  </conditionalFormatting>
  <conditionalFormatting sqref="AI25">
    <cfRule type="expression" priority="1" dxfId="3">
      <formula>AND(IF(OR($Q25=1,$Q25=2),1,0),IF($X25&lt;=20,1,0))</formula>
    </cfRule>
    <cfRule type="expression" priority="2" dxfId="2">
      <formula>AND(IF($Q25=2,1,0),IF($X25&lt;30,1,0))</formula>
    </cfRule>
    <cfRule type="expression" priority="3" dxfId="1">
      <formula>AND(IF($Q25=3,1,0),IF($X25&lt;30,1,0))</formula>
    </cfRule>
    <cfRule type="expression" priority="4" dxfId="0">
      <formula>AND(IF($Q25=3,1,IF($Q25=4,1,0)),IF($F25&lt;=85,1,0))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연희동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중앙공영</t>
        </is>
      </c>
      <c r="B6" s="16" t="inlineStr">
        <is>
          <t>'97.08.</t>
        </is>
      </c>
      <c r="C6" s="164" t="n">
        <v>294</v>
      </c>
      <c r="D6" s="161" t="n">
        <v>35.8</v>
      </c>
      <c r="E6" s="163" t="n">
        <v>11</v>
      </c>
      <c r="F6" s="161" t="n">
        <v>24.8</v>
      </c>
      <c r="G6" s="27" t="n">
        <v>7</v>
      </c>
      <c r="H6" s="164" t="n">
        <v>224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1</v>
      </c>
      <c r="R6" s="113" t="n">
        <v>1</v>
      </c>
      <c r="S6" s="113" t="inlineStr">
        <is>
          <t>복</t>
        </is>
      </c>
      <c r="T6" s="8" t="n">
        <v>35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중앙공영</t>
        </is>
      </c>
      <c r="B7" s="16" t="inlineStr">
        <is>
          <t>'97.08.</t>
        </is>
      </c>
      <c r="C7" s="164" t="n">
        <v>294</v>
      </c>
      <c r="D7" s="161" t="n">
        <v>75.09999999999999</v>
      </c>
      <c r="E7" s="163" t="n">
        <v>23</v>
      </c>
      <c r="F7" s="161" t="n">
        <v>60</v>
      </c>
      <c r="G7" s="27" t="n">
        <v>18</v>
      </c>
      <c r="H7" s="164" t="n">
        <v>70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75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우성</t>
        </is>
      </c>
      <c r="B9" s="16" t="inlineStr">
        <is>
          <t>'97.06.</t>
        </is>
      </c>
      <c r="C9" s="164" t="n">
        <v>410</v>
      </c>
      <c r="D9" s="161" t="n">
        <v>77.90000000000001</v>
      </c>
      <c r="E9" s="163" t="n">
        <v>24</v>
      </c>
      <c r="F9" s="161" t="n">
        <v>59.9</v>
      </c>
      <c r="G9" s="27" t="n">
        <v>18</v>
      </c>
      <c r="H9" s="164" t="n">
        <v>168</v>
      </c>
      <c r="I9" s="165" t="n">
        <v>28000</v>
      </c>
      <c r="J9" s="165" t="inlineStr">
        <is>
          <t>5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1</v>
      </c>
      <c r="S9" s="113" t="inlineStr">
        <is>
          <t>계</t>
        </is>
      </c>
      <c r="T9" s="8" t="n">
        <v>77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우성</t>
        </is>
      </c>
      <c r="B10" s="16" t="inlineStr">
        <is>
          <t>'97.06.</t>
        </is>
      </c>
      <c r="C10" s="164" t="n">
        <v>410</v>
      </c>
      <c r="D10" s="161" t="n">
        <v>110</v>
      </c>
      <c r="E10" s="163" t="n">
        <v>33</v>
      </c>
      <c r="F10" s="161" t="n">
        <v>84.7</v>
      </c>
      <c r="G10" s="27" t="n">
        <v>26</v>
      </c>
      <c r="H10" s="164" t="n">
        <v>242</v>
      </c>
      <c r="I10" s="165" t="n">
        <v>36000</v>
      </c>
      <c r="J10" s="165" t="inlineStr">
        <is>
          <t>고</t>
        </is>
      </c>
      <c r="K10" s="165" t="n">
        <v>30000</v>
      </c>
      <c r="L10" s="165" t="inlineStr">
        <is>
          <t>18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110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태영</t>
        </is>
      </c>
      <c r="B12" s="16" t="inlineStr">
        <is>
          <t>'96.11.</t>
        </is>
      </c>
      <c r="C12" s="164" t="n">
        <v>390</v>
      </c>
      <c r="D12" s="161" t="n">
        <v>80.09999999999999</v>
      </c>
      <c r="E12" s="163" t="n">
        <v>24</v>
      </c>
      <c r="F12" s="161" t="n">
        <v>59.2</v>
      </c>
      <c r="G12" s="27" t="n">
        <v>18</v>
      </c>
      <c r="H12" s="164" t="n">
        <v>220</v>
      </c>
      <c r="I12" s="165" t="n">
        <v>24000</v>
      </c>
      <c r="J12" s="165" t="inlineStr">
        <is>
          <t>6</t>
        </is>
      </c>
      <c r="K12" s="165" t="n">
        <v>22000</v>
      </c>
      <c r="L12" s="165" t="inlineStr">
        <is>
          <t>12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1</v>
      </c>
      <c r="S12" s="113" t="inlineStr">
        <is>
          <t>복</t>
        </is>
      </c>
      <c r="T12" s="8" t="n">
        <v>80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태영</t>
        </is>
      </c>
      <c r="B13" s="16" t="inlineStr">
        <is>
          <t>'96.11.</t>
        </is>
      </c>
      <c r="C13" s="164" t="n">
        <v>390</v>
      </c>
      <c r="D13" s="161" t="n">
        <v>108.1</v>
      </c>
      <c r="E13" s="163" t="n">
        <v>33</v>
      </c>
      <c r="F13" s="161" t="n">
        <v>85</v>
      </c>
      <c r="G13" s="27" t="n">
        <v>26</v>
      </c>
      <c r="H13" s="164" t="n">
        <v>170</v>
      </c>
      <c r="I13" s="165" t="n">
        <v>36500</v>
      </c>
      <c r="J13" s="165" t="inlineStr">
        <is>
          <t>6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108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한국1차</t>
        </is>
      </c>
      <c r="B15" s="16" t="inlineStr">
        <is>
          <t>'94.08.</t>
        </is>
      </c>
      <c r="C15" s="164" t="n">
        <v>356</v>
      </c>
      <c r="D15" s="161" t="n">
        <v>83.09999999999999</v>
      </c>
      <c r="E15" s="163" t="n">
        <v>25</v>
      </c>
      <c r="F15" s="161" t="n">
        <v>58.3</v>
      </c>
      <c r="G15" s="27" t="n">
        <v>18</v>
      </c>
      <c r="H15" s="164" t="n">
        <v>88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2</v>
      </c>
      <c r="R15" s="113" t="n">
        <v>1</v>
      </c>
      <c r="S15" s="113" t="inlineStr">
        <is>
          <t>복</t>
        </is>
      </c>
      <c r="T15" s="8" t="n">
        <v>83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한국1차</t>
        </is>
      </c>
      <c r="B16" s="16" t="inlineStr">
        <is>
          <t>'94.08.</t>
        </is>
      </c>
      <c r="C16" s="164" t="n">
        <v>356</v>
      </c>
      <c r="D16" s="161" t="n">
        <v>87.2</v>
      </c>
      <c r="E16" s="163" t="n">
        <v>26</v>
      </c>
      <c r="F16" s="161" t="n">
        <v>58.3</v>
      </c>
      <c r="G16" s="27" t="n">
        <v>18</v>
      </c>
      <c r="H16" s="164" t="n">
        <v>60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2</v>
      </c>
      <c r="R16" s="113" t="n">
        <v>1</v>
      </c>
      <c r="S16" s="113" t="inlineStr">
        <is>
          <t>복</t>
        </is>
      </c>
      <c r="T16" s="8" t="n">
        <v>87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한국1차</t>
        </is>
      </c>
      <c r="B17" s="16" t="inlineStr">
        <is>
          <t>'94.08.</t>
        </is>
      </c>
      <c r="C17" s="164" t="n">
        <v>356</v>
      </c>
      <c r="D17" s="161" t="n">
        <v>103.3</v>
      </c>
      <c r="E17" s="163" t="n">
        <v>31</v>
      </c>
      <c r="F17" s="161" t="n">
        <v>84.8</v>
      </c>
      <c r="G17" s="27" t="n">
        <v>26</v>
      </c>
      <c r="H17" s="164" t="n">
        <v>164</v>
      </c>
      <c r="I17" s="165" t="n">
        <v>35000</v>
      </c>
      <c r="J17" s="165" t="inlineStr">
        <is>
          <t>5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103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한국1차</t>
        </is>
      </c>
      <c r="B18" s="16" t="inlineStr">
        <is>
          <t>'94.08.</t>
        </is>
      </c>
      <c r="C18" s="164" t="n">
        <v>356</v>
      </c>
      <c r="D18" s="161" t="n">
        <v>151.6</v>
      </c>
      <c r="E18" s="163" t="n">
        <v>46</v>
      </c>
      <c r="F18" s="161" t="n">
        <v>130.1</v>
      </c>
      <c r="G18" s="27" t="n">
        <v>39</v>
      </c>
      <c r="H18" s="164" t="n">
        <v>44</v>
      </c>
      <c r="I18" s="165" t="n">
        <v>43000</v>
      </c>
      <c r="J18" s="165" t="inlineStr">
        <is>
          <t>13</t>
        </is>
      </c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151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06" dxfId="17">
      <formula>AV4="X"</formula>
    </cfRule>
    <cfRule type="expression" priority="207" dxfId="16">
      <formula>AV4="후보"</formula>
    </cfRule>
  </conditionalFormatting>
  <conditionalFormatting sqref="AC1:AC2 AC4:AC6 N4:N5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N1:N2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6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6">
    <cfRule type="expression" priority="195" dxfId="3">
      <formula>AND(IF(OR($Q6=1,$Q6=2),1,0),IF($X6&lt;=20,1,0))</formula>
    </cfRule>
    <cfRule type="expression" priority="196" dxfId="2">
      <formula>AND(IF($Q6=2,1,0),IF($X6&lt;30,1,0))</formula>
    </cfRule>
    <cfRule type="expression" priority="197" dxfId="1">
      <formula>AND(IF($Q6=3,1,0),IF($X6&lt;30,1,0))</formula>
    </cfRule>
    <cfRule type="expression" priority="198" dxfId="0">
      <formula>AND(IF($Q6=3,1,IF($Q6=4,1,0)),IF($F6&lt;=85,1,0))</formula>
    </cfRule>
  </conditionalFormatting>
  <conditionalFormatting sqref="X6">
    <cfRule type="expression" priority="191" dxfId="3">
      <formula>AND(IF(OR($Q6=1,$Q6=2),1,0),IF($X6&lt;=20,1,0))</formula>
    </cfRule>
    <cfRule type="expression" priority="192" dxfId="2">
      <formula>AND(IF($Q6=2,1,0),IF($X6&lt;30,1,0))</formula>
    </cfRule>
    <cfRule type="expression" priority="193" dxfId="1">
      <formula>AND(IF($Q6=3,1,0),IF($X6&lt;30,1,0))</formula>
    </cfRule>
    <cfRule type="expression" priority="194" dxfId="0">
      <formula>AND(IF($Q6=3,1,IF($Q6=4,1,0)),IF($F6&lt;=85,1,0))</formula>
    </cfRule>
  </conditionalFormatting>
  <conditionalFormatting sqref="AI6">
    <cfRule type="expression" priority="187" dxfId="3">
      <formula>AND(IF(OR($Q6=1,$Q6=2),1,0),IF($X6&lt;=20,1,0))</formula>
    </cfRule>
    <cfRule type="expression" priority="188" dxfId="2">
      <formula>AND(IF($Q6=2,1,0),IF($X6&lt;30,1,0))</formula>
    </cfRule>
    <cfRule type="expression" priority="189" dxfId="1">
      <formula>AND(IF($Q6=3,1,0),IF($X6&lt;30,1,0))</formula>
    </cfRule>
    <cfRule type="expression" priority="190" dxfId="0">
      <formula>AND(IF($Q6=3,1,IF($Q6=4,1,0)),IF($F6&lt;=85,1,0))</formula>
    </cfRule>
  </conditionalFormatting>
  <conditionalFormatting sqref="AV7">
    <cfRule type="expression" priority="185" dxfId="17">
      <formula>AV7="X"</formula>
    </cfRule>
    <cfRule type="expression" priority="186" dxfId="16">
      <formula>AV7="후보"</formula>
    </cfRule>
  </conditionalFormatting>
  <conditionalFormatting sqref="AC7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7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7">
    <cfRule type="expression" priority="176" dxfId="3">
      <formula>AND(IF(OR($Q7=1,$Q7=2),1,0),IF($X7&lt;=20,1,0))</formula>
    </cfRule>
    <cfRule type="expression" priority="177" dxfId="2">
      <formula>AND(IF($Q7=2,1,0),IF($X7&lt;30,1,0))</formula>
    </cfRule>
    <cfRule type="expression" priority="178" dxfId="1">
      <formula>AND(IF($Q7=3,1,0),IF($X7&lt;30,1,0))</formula>
    </cfRule>
    <cfRule type="expression" priority="179" dxfId="0">
      <formula>AND(IF($Q7=3,1,IF($Q7=4,1,0)),IF($F7&lt;=85,1,0))</formula>
    </cfRule>
  </conditionalFormatting>
  <conditionalFormatting sqref="X7">
    <cfRule type="expression" priority="172" dxfId="3">
      <formula>AND(IF(OR($Q7=1,$Q7=2),1,0),IF($X7&lt;=20,1,0))</formula>
    </cfRule>
    <cfRule type="expression" priority="173" dxfId="2">
      <formula>AND(IF($Q7=2,1,0),IF($X7&lt;30,1,0))</formula>
    </cfRule>
    <cfRule type="expression" priority="174" dxfId="1">
      <formula>AND(IF($Q7=3,1,0),IF($X7&lt;30,1,0))</formula>
    </cfRule>
    <cfRule type="expression" priority="175" dxfId="0">
      <formula>AND(IF($Q7=3,1,IF($Q7=4,1,0)),IF($F7&lt;=85,1,0))</formula>
    </cfRule>
  </conditionalFormatting>
  <conditionalFormatting sqref="AI7">
    <cfRule type="expression" priority="168" dxfId="3">
      <formula>AND(IF(OR($Q7=1,$Q7=2),1,0),IF($X7&lt;=20,1,0))</formula>
    </cfRule>
    <cfRule type="expression" priority="169" dxfId="2">
      <formula>AND(IF($Q7=2,1,0),IF($X7&lt;30,1,0))</formula>
    </cfRule>
    <cfRule type="expression" priority="170" dxfId="1">
      <formula>AND(IF($Q7=3,1,0),IF($X7&lt;30,1,0))</formula>
    </cfRule>
    <cfRule type="expression" priority="171" dxfId="0">
      <formula>AND(IF($Q7=3,1,IF($Q7=4,1,0)),IF($F7&lt;=85,1,0))</formula>
    </cfRule>
  </conditionalFormatting>
  <conditionalFormatting sqref="AV8">
    <cfRule type="expression" priority="166" dxfId="17">
      <formula>AV8="X"</formula>
    </cfRule>
    <cfRule type="expression" priority="167" dxfId="16">
      <formula>AV8="후보"</formula>
    </cfRule>
  </conditionalFormatting>
  <conditionalFormatting sqref="AC8 N8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9">
    <cfRule type="expression" priority="161" dxfId="17">
      <formula>AV9="X"</formula>
    </cfRule>
    <cfRule type="expression" priority="162" dxfId="16">
      <formula>AV9="후보"</formula>
    </cfRule>
  </conditionalFormatting>
  <conditionalFormatting sqref="AC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9">
    <cfRule type="expression" priority="152" dxfId="3">
      <formula>AND(IF(OR($Q9=1,$Q9=2),1,0),IF($X9&lt;=20,1,0))</formula>
    </cfRule>
    <cfRule type="expression" priority="153" dxfId="2">
      <formula>AND(IF($Q9=2,1,0),IF($X9&lt;30,1,0))</formula>
    </cfRule>
    <cfRule type="expression" priority="154" dxfId="1">
      <formula>AND(IF($Q9=3,1,0),IF($X9&lt;30,1,0))</formula>
    </cfRule>
    <cfRule type="expression" priority="155" dxfId="0">
      <formula>AND(IF($Q9=3,1,IF($Q9=4,1,0)),IF($F9&lt;=85,1,0))</formula>
    </cfRule>
  </conditionalFormatting>
  <conditionalFormatting sqref="X9">
    <cfRule type="expression" priority="148" dxfId="3">
      <formula>AND(IF(OR($Q9=1,$Q9=2),1,0),IF($X9&lt;=20,1,0))</formula>
    </cfRule>
    <cfRule type="expression" priority="149" dxfId="2">
      <formula>AND(IF($Q9=2,1,0),IF($X9&lt;30,1,0))</formula>
    </cfRule>
    <cfRule type="expression" priority="150" dxfId="1">
      <formula>AND(IF($Q9=3,1,0),IF($X9&lt;30,1,0))</formula>
    </cfRule>
    <cfRule type="expression" priority="151" dxfId="0">
      <formula>AND(IF($Q9=3,1,IF($Q9=4,1,0)),IF($F9&lt;=85,1,0))</formula>
    </cfRule>
  </conditionalFormatting>
  <conditionalFormatting sqref="AI9">
    <cfRule type="expression" priority="144" dxfId="3">
      <formula>AND(IF(OR($Q9=1,$Q9=2),1,0),IF($X9&lt;=20,1,0))</formula>
    </cfRule>
    <cfRule type="expression" priority="145" dxfId="2">
      <formula>AND(IF($Q9=2,1,0),IF($X9&lt;30,1,0))</formula>
    </cfRule>
    <cfRule type="expression" priority="146" dxfId="1">
      <formula>AND(IF($Q9=3,1,0),IF($X9&lt;30,1,0))</formula>
    </cfRule>
    <cfRule type="expression" priority="147" dxfId="0">
      <formula>AND(IF($Q9=3,1,IF($Q9=4,1,0)),IF($F9&lt;=85,1,0))</formula>
    </cfRule>
  </conditionalFormatting>
  <conditionalFormatting sqref="AV10">
    <cfRule type="expression" priority="142" dxfId="17">
      <formula>AV10="X"</formula>
    </cfRule>
    <cfRule type="expression" priority="143" dxfId="16">
      <formula>AV10="후보"</formula>
    </cfRule>
  </conditionalFormatting>
  <conditionalFormatting sqref="AC1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0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0">
    <cfRule type="expression" priority="133" dxfId="3">
      <formula>AND(IF(OR($Q10=1,$Q10=2),1,0),IF($X10&lt;=20,1,0))</formula>
    </cfRule>
    <cfRule type="expression" priority="134" dxfId="2">
      <formula>AND(IF($Q10=2,1,0),IF($X10&lt;30,1,0))</formula>
    </cfRule>
    <cfRule type="expression" priority="135" dxfId="1">
      <formula>AND(IF($Q10=3,1,0),IF($X10&lt;30,1,0))</formula>
    </cfRule>
    <cfRule type="expression" priority="136" dxfId="0">
      <formula>AND(IF($Q10=3,1,IF($Q10=4,1,0)),IF($F10&lt;=85,1,0))</formula>
    </cfRule>
  </conditionalFormatting>
  <conditionalFormatting sqref="X10">
    <cfRule type="expression" priority="129" dxfId="3">
      <formula>AND(IF(OR($Q10=1,$Q10=2),1,0),IF($X10&lt;=20,1,0))</formula>
    </cfRule>
    <cfRule type="expression" priority="130" dxfId="2">
      <formula>AND(IF($Q10=2,1,0),IF($X10&lt;30,1,0))</formula>
    </cfRule>
    <cfRule type="expression" priority="131" dxfId="1">
      <formula>AND(IF($Q10=3,1,0),IF($X10&lt;30,1,0))</formula>
    </cfRule>
    <cfRule type="expression" priority="132" dxfId="0">
      <formula>AND(IF($Q10=3,1,IF($Q10=4,1,0)),IF($F10&lt;=85,1,0))</formula>
    </cfRule>
  </conditionalFormatting>
  <conditionalFormatting sqref="AI10">
    <cfRule type="expression" priority="125" dxfId="3">
      <formula>AND(IF(OR($Q10=1,$Q10=2),1,0),IF($X10&lt;=20,1,0))</formula>
    </cfRule>
    <cfRule type="expression" priority="126" dxfId="2">
      <formula>AND(IF($Q10=2,1,0),IF($X10&lt;30,1,0))</formula>
    </cfRule>
    <cfRule type="expression" priority="127" dxfId="1">
      <formula>AND(IF($Q10=3,1,0),IF($X10&lt;30,1,0))</formula>
    </cfRule>
    <cfRule type="expression" priority="128" dxfId="0">
      <formula>AND(IF($Q10=3,1,IF($Q10=4,1,0)),IF($F10&lt;=85,1,0))</formula>
    </cfRule>
  </conditionalFormatting>
  <conditionalFormatting sqref="AV11">
    <cfRule type="expression" priority="123" dxfId="17">
      <formula>AV11="X"</formula>
    </cfRule>
    <cfRule type="expression" priority="124" dxfId="16">
      <formula>AV11="후보"</formula>
    </cfRule>
  </conditionalFormatting>
  <conditionalFormatting sqref="AC11 N11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12">
    <cfRule type="expression" priority="118" dxfId="17">
      <formula>AV12="X"</formula>
    </cfRule>
    <cfRule type="expression" priority="119" dxfId="16">
      <formula>AV12="후보"</formula>
    </cfRule>
  </conditionalFormatting>
  <conditionalFormatting sqref="AC1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2">
    <cfRule type="expression" priority="109" dxfId="3">
      <formula>AND(IF(OR($Q12=1,$Q12=2),1,0),IF($X12&lt;=20,1,0))</formula>
    </cfRule>
    <cfRule type="expression" priority="110" dxfId="2">
      <formula>AND(IF($Q12=2,1,0),IF($X12&lt;30,1,0))</formula>
    </cfRule>
    <cfRule type="expression" priority="111" dxfId="1">
      <formula>AND(IF($Q12=3,1,0),IF($X12&lt;30,1,0))</formula>
    </cfRule>
    <cfRule type="expression" priority="112" dxfId="0">
      <formula>AND(IF($Q12=3,1,IF($Q12=4,1,0)),IF($F12&lt;=85,1,0))</formula>
    </cfRule>
  </conditionalFormatting>
  <conditionalFormatting sqref="X12">
    <cfRule type="expression" priority="105" dxfId="3">
      <formula>AND(IF(OR($Q12=1,$Q12=2),1,0),IF($X12&lt;=20,1,0))</formula>
    </cfRule>
    <cfRule type="expression" priority="106" dxfId="2">
      <formula>AND(IF($Q12=2,1,0),IF($X12&lt;30,1,0))</formula>
    </cfRule>
    <cfRule type="expression" priority="107" dxfId="1">
      <formula>AND(IF($Q12=3,1,0),IF($X12&lt;30,1,0))</formula>
    </cfRule>
    <cfRule type="expression" priority="108" dxfId="0">
      <formula>AND(IF($Q12=3,1,IF($Q12=4,1,0)),IF($F12&lt;=85,1,0))</formula>
    </cfRule>
  </conditionalFormatting>
  <conditionalFormatting sqref="AI12">
    <cfRule type="expression" priority="101" dxfId="3">
      <formula>AND(IF(OR($Q12=1,$Q12=2),1,0),IF($X12&lt;=20,1,0))</formula>
    </cfRule>
    <cfRule type="expression" priority="102" dxfId="2">
      <formula>AND(IF($Q12=2,1,0),IF($X12&lt;30,1,0))</formula>
    </cfRule>
    <cfRule type="expression" priority="103" dxfId="1">
      <formula>AND(IF($Q12=3,1,0),IF($X12&lt;30,1,0))</formula>
    </cfRule>
    <cfRule type="expression" priority="104" dxfId="0">
      <formula>AND(IF($Q12=3,1,IF($Q12=4,1,0)),IF($F12&lt;=85,1,0))</formula>
    </cfRule>
  </conditionalFormatting>
  <conditionalFormatting sqref="AV13">
    <cfRule type="expression" priority="99" dxfId="17">
      <formula>AV13="X"</formula>
    </cfRule>
    <cfRule type="expression" priority="100" dxfId="16">
      <formula>AV13="후보"</formula>
    </cfRule>
  </conditionalFormatting>
  <conditionalFormatting sqref="AC1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3">
    <cfRule type="expression" priority="90" dxfId="3">
      <formula>AND(IF(OR($Q13=1,$Q13=2),1,0),IF($X13&lt;=20,1,0))</formula>
    </cfRule>
    <cfRule type="expression" priority="91" dxfId="2">
      <formula>AND(IF($Q13=2,1,0),IF($X13&lt;30,1,0))</formula>
    </cfRule>
    <cfRule type="expression" priority="92" dxfId="1">
      <formula>AND(IF($Q13=3,1,0),IF($X13&lt;30,1,0))</formula>
    </cfRule>
    <cfRule type="expression" priority="93" dxfId="0">
      <formula>AND(IF($Q13=3,1,IF($Q13=4,1,0)),IF($F13&lt;=85,1,0))</formula>
    </cfRule>
  </conditionalFormatting>
  <conditionalFormatting sqref="X13">
    <cfRule type="expression" priority="86" dxfId="3">
      <formula>AND(IF(OR($Q13=1,$Q13=2),1,0),IF($X13&lt;=20,1,0))</formula>
    </cfRule>
    <cfRule type="expression" priority="87" dxfId="2">
      <formula>AND(IF($Q13=2,1,0),IF($X13&lt;30,1,0))</formula>
    </cfRule>
    <cfRule type="expression" priority="88" dxfId="1">
      <formula>AND(IF($Q13=3,1,0),IF($X13&lt;30,1,0))</formula>
    </cfRule>
    <cfRule type="expression" priority="89" dxfId="0">
      <formula>AND(IF($Q13=3,1,IF($Q13=4,1,0)),IF($F13&lt;=85,1,0))</formula>
    </cfRule>
  </conditionalFormatting>
  <conditionalFormatting sqref="AI13">
    <cfRule type="expression" priority="82" dxfId="3">
      <formula>AND(IF(OR($Q13=1,$Q13=2),1,0),IF($X13&lt;=20,1,0))</formula>
    </cfRule>
    <cfRule type="expression" priority="83" dxfId="2">
      <formula>AND(IF($Q13=2,1,0),IF($X13&lt;30,1,0))</formula>
    </cfRule>
    <cfRule type="expression" priority="84" dxfId="1">
      <formula>AND(IF($Q13=3,1,0),IF($X13&lt;30,1,0))</formula>
    </cfRule>
    <cfRule type="expression" priority="85" dxfId="0">
      <formula>AND(IF($Q13=3,1,IF($Q13=4,1,0)),IF($F13&lt;=85,1,0))</formula>
    </cfRule>
  </conditionalFormatting>
  <conditionalFormatting sqref="AV14">
    <cfRule type="expression" priority="80" dxfId="17">
      <formula>AV14="X"</formula>
    </cfRule>
    <cfRule type="expression" priority="81" dxfId="16">
      <formula>AV14="후보"</formula>
    </cfRule>
  </conditionalFormatting>
  <conditionalFormatting sqref="AC14 N1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5">
    <cfRule type="expression" priority="75" dxfId="17">
      <formula>AV15="X"</formula>
    </cfRule>
    <cfRule type="expression" priority="76" dxfId="16">
      <formula>AV15="후보"</formula>
    </cfRule>
  </conditionalFormatting>
  <conditionalFormatting sqref="AC1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17">
      <formula>AV16="X"</formula>
    </cfRule>
    <cfRule type="expression" priority="57" dxfId="16">
      <formula>AV16="후보"</formula>
    </cfRule>
  </conditionalFormatting>
  <conditionalFormatting sqref="AC1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17">
      <formula>AV17="X"</formula>
    </cfRule>
    <cfRule type="expression" priority="38" dxfId="16">
      <formula>AV17="후보"</formula>
    </cfRule>
  </conditionalFormatting>
  <conditionalFormatting sqref="AC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17">
      <formula>AV18="X"</formula>
    </cfRule>
    <cfRule type="expression" priority="19" dxfId="16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3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4" sqref="A34:XFD34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오류동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인천검단힐스테이트3차1단지</t>
        </is>
      </c>
      <c r="B6" s="16" t="inlineStr">
        <is>
          <t>'10.12.</t>
        </is>
      </c>
      <c r="C6" s="164" t="n">
        <v>348</v>
      </c>
      <c r="D6" s="161" t="n">
        <v>109.9</v>
      </c>
      <c r="E6" s="163" t="n">
        <v>33</v>
      </c>
      <c r="F6" s="161" t="n">
        <v>84.90000000000001</v>
      </c>
      <c r="G6" s="27" t="n">
        <v>26</v>
      </c>
      <c r="H6" s="164" t="n">
        <v>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109D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인천검단힐스테이트3차1단지</t>
        </is>
      </c>
      <c r="B7" s="16" t="inlineStr">
        <is>
          <t>'10.12.</t>
        </is>
      </c>
      <c r="C7" s="164" t="n">
        <v>348</v>
      </c>
      <c r="D7" s="161" t="n">
        <v>110.2</v>
      </c>
      <c r="E7" s="163" t="n">
        <v>33</v>
      </c>
      <c r="F7" s="161" t="n">
        <v>85</v>
      </c>
      <c r="G7" s="27" t="n">
        <v>26</v>
      </c>
      <c r="H7" s="164" t="n">
        <v>56</v>
      </c>
      <c r="I7" s="165" t="n">
        <v>43000</v>
      </c>
      <c r="J7" s="165" t="inlineStr">
        <is>
          <t>14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110B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인천검단힐스테이트3차1단지</t>
        </is>
      </c>
      <c r="B8" s="16" t="inlineStr">
        <is>
          <t>'10.12.</t>
        </is>
      </c>
      <c r="C8" s="164" t="n">
        <v>348</v>
      </c>
      <c r="D8" s="161" t="n">
        <v>111</v>
      </c>
      <c r="E8" s="163" t="n">
        <v>34</v>
      </c>
      <c r="F8" s="161" t="n">
        <v>84.90000000000001</v>
      </c>
      <c r="G8" s="27" t="n">
        <v>26</v>
      </c>
      <c r="H8" s="164" t="n">
        <v>18</v>
      </c>
      <c r="I8" s="165" t="n">
        <v>42000</v>
      </c>
      <c r="J8" s="165" t="inlineStr">
        <is>
          <t>9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110C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인천검단힐스테이트3차1단지</t>
        </is>
      </c>
      <c r="B9" s="16" t="inlineStr">
        <is>
          <t>'10.12.</t>
        </is>
      </c>
      <c r="C9" s="164" t="n">
        <v>348</v>
      </c>
      <c r="D9" s="161" t="n">
        <v>111.2</v>
      </c>
      <c r="E9" s="163" t="n">
        <v>34</v>
      </c>
      <c r="F9" s="161" t="n">
        <v>84.90000000000001</v>
      </c>
      <c r="G9" s="27" t="n">
        <v>26</v>
      </c>
      <c r="H9" s="164" t="n">
        <v>80</v>
      </c>
      <c r="I9" s="165" t="n">
        <v>45000</v>
      </c>
      <c r="J9" s="165" t="inlineStr">
        <is>
          <t>13</t>
        </is>
      </c>
      <c r="K9" s="165" t="n">
        <v>32000</v>
      </c>
      <c r="L9" s="165" t="inlineStr">
        <is>
          <t>고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111A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인천검단힐스테이트3차1단지</t>
        </is>
      </c>
      <c r="B10" s="16" t="inlineStr">
        <is>
          <t>'10.12.</t>
        </is>
      </c>
      <c r="C10" s="164" t="n">
        <v>348</v>
      </c>
      <c r="D10" s="161" t="n">
        <v>130.3</v>
      </c>
      <c r="E10" s="163" t="n">
        <v>39</v>
      </c>
      <c r="F10" s="161" t="n">
        <v>104.7</v>
      </c>
      <c r="G10" s="27" t="n">
        <v>32</v>
      </c>
      <c r="H10" s="164" t="n">
        <v>40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130A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인천검단힐스테이트3차1단지</t>
        </is>
      </c>
      <c r="B11" s="16" t="inlineStr">
        <is>
          <t>'10.12.</t>
        </is>
      </c>
      <c r="C11" s="164" t="n">
        <v>348</v>
      </c>
      <c r="D11" s="161" t="n">
        <v>130.5</v>
      </c>
      <c r="E11" s="163" t="n">
        <v>39</v>
      </c>
      <c r="F11" s="161" t="n">
        <v>105.5</v>
      </c>
      <c r="G11" s="27" t="n">
        <v>32</v>
      </c>
      <c r="H11" s="164" t="n">
        <v>37</v>
      </c>
      <c r="I11" s="165" t="n">
        <v>50000</v>
      </c>
      <c r="J11" s="165" t="inlineStr">
        <is>
          <t>9</t>
        </is>
      </c>
      <c r="K11" s="165" t="n">
        <v>34000</v>
      </c>
      <c r="L11" s="165" t="inlineStr">
        <is>
          <t>고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130B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인천검단힐스테이트3차1단지</t>
        </is>
      </c>
      <c r="B12" s="16" t="inlineStr">
        <is>
          <t>'10.12.</t>
        </is>
      </c>
      <c r="C12" s="164" t="n">
        <v>348</v>
      </c>
      <c r="D12" s="161" t="n">
        <v>163.8</v>
      </c>
      <c r="E12" s="163" t="n">
        <v>50</v>
      </c>
      <c r="F12" s="161" t="n">
        <v>136.1</v>
      </c>
      <c r="G12" s="27" t="n">
        <v>41</v>
      </c>
      <c r="H12" s="164" t="n">
        <v>38</v>
      </c>
      <c r="I12" s="165" t="n">
        <v>55000</v>
      </c>
      <c r="J12" s="165" t="inlineStr">
        <is>
          <t>중</t>
        </is>
      </c>
      <c r="K12" s="165" t="n">
        <v>40000</v>
      </c>
      <c r="L12" s="165" t="inlineStr">
        <is>
          <t>14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inlineStr">
        <is>
          <t>163B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인천검단힐스테이트3차1단지</t>
        </is>
      </c>
      <c r="B13" s="16" t="inlineStr">
        <is>
          <t>'10.12.</t>
        </is>
      </c>
      <c r="C13" s="164" t="n">
        <v>348</v>
      </c>
      <c r="D13" s="161" t="n">
        <v>164.5</v>
      </c>
      <c r="E13" s="163" t="n">
        <v>50</v>
      </c>
      <c r="F13" s="161" t="n">
        <v>135.6</v>
      </c>
      <c r="G13" s="27" t="n">
        <v>41</v>
      </c>
      <c r="H13" s="164" t="n">
        <v>38</v>
      </c>
      <c r="I13" s="165" t="n">
        <v>55000</v>
      </c>
      <c r="J13" s="165" t="inlineStr">
        <is>
          <t>10</t>
        </is>
      </c>
      <c r="K13" s="165" t="n">
        <v>35000</v>
      </c>
      <c r="L13" s="165" t="inlineStr">
        <is>
          <t>12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inlineStr">
        <is>
          <t>164A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인천검단힐스테이트3차1단지</t>
        </is>
      </c>
      <c r="B14" s="16" t="inlineStr">
        <is>
          <t>'10.12.</t>
        </is>
      </c>
      <c r="C14" s="164" t="n">
        <v>348</v>
      </c>
      <c r="D14" s="161" t="n">
        <v>247.6</v>
      </c>
      <c r="E14" s="163" t="n">
        <v>75</v>
      </c>
      <c r="F14" s="161" t="n">
        <v>203.1</v>
      </c>
      <c r="G14" s="27" t="n">
        <v>61</v>
      </c>
      <c r="H14" s="164" t="n">
        <v>1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5</v>
      </c>
      <c r="R14" s="113" t="n">
        <v>2</v>
      </c>
      <c r="S14" s="113" t="inlineStr">
        <is>
          <t>계</t>
        </is>
      </c>
      <c r="T14" s="8" t="n">
        <v>247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검단오류풍림아이원</t>
        </is>
      </c>
      <c r="B16" s="16" t="inlineStr">
        <is>
          <t>'11.03.</t>
        </is>
      </c>
      <c r="C16" s="164" t="n">
        <v>207</v>
      </c>
      <c r="D16" s="161" t="n">
        <v>109.2</v>
      </c>
      <c r="E16" s="163" t="n">
        <v>33</v>
      </c>
      <c r="F16" s="161" t="n">
        <v>85</v>
      </c>
      <c r="G16" s="27" t="n">
        <v>26</v>
      </c>
      <c r="H16" s="164" t="n">
        <v>59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합</t>
        </is>
      </c>
      <c r="T16" s="8" t="inlineStr">
        <is>
          <t>109A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검단오류풍림아이원</t>
        </is>
      </c>
      <c r="B17" s="16" t="inlineStr">
        <is>
          <t>'11.03.</t>
        </is>
      </c>
      <c r="C17" s="164" t="n">
        <v>207</v>
      </c>
      <c r="D17" s="161" t="n">
        <v>109.7</v>
      </c>
      <c r="E17" s="163" t="n">
        <v>33</v>
      </c>
      <c r="F17" s="161" t="n">
        <v>84.59999999999999</v>
      </c>
      <c r="G17" s="27" t="n">
        <v>26</v>
      </c>
      <c r="H17" s="164" t="n">
        <v>56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합</t>
        </is>
      </c>
      <c r="T17" s="8" t="inlineStr">
        <is>
          <t>109C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검단오류풍림아이원</t>
        </is>
      </c>
      <c r="B18" s="16" t="inlineStr">
        <is>
          <t>'11.03.</t>
        </is>
      </c>
      <c r="C18" s="164" t="n">
        <v>207</v>
      </c>
      <c r="D18" s="161" t="n">
        <v>110.7</v>
      </c>
      <c r="E18" s="163" t="n">
        <v>33</v>
      </c>
      <c r="F18" s="161" t="n">
        <v>84.59999999999999</v>
      </c>
      <c r="G18" s="27" t="n">
        <v>26</v>
      </c>
      <c r="H18" s="164" t="n">
        <v>72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합</t>
        </is>
      </c>
      <c r="T18" s="8" t="inlineStr">
        <is>
          <t>110D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검단오류풍림아이원</t>
        </is>
      </c>
      <c r="B19" s="16" t="inlineStr">
        <is>
          <t>'11.03.</t>
        </is>
      </c>
      <c r="C19" s="164" t="n">
        <v>207</v>
      </c>
      <c r="D19" s="161" t="n">
        <v>110.4</v>
      </c>
      <c r="E19" s="163" t="n">
        <v>33</v>
      </c>
      <c r="F19" s="161" t="n">
        <v>84.8</v>
      </c>
      <c r="G19" s="27" t="n">
        <v>26</v>
      </c>
      <c r="H19" s="164" t="n">
        <v>20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합</t>
        </is>
      </c>
      <c r="T19" s="8" t="inlineStr">
        <is>
          <t>110B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검단오류역우방아이유쉘</t>
        </is>
      </c>
      <c r="B21" s="16" t="inlineStr">
        <is>
          <t>'21.04.</t>
        </is>
      </c>
      <c r="C21" s="164" t="n">
        <v>420</v>
      </c>
      <c r="D21" s="161" t="n">
        <v>87.90000000000001</v>
      </c>
      <c r="E21" s="163" t="n">
        <v>27</v>
      </c>
      <c r="F21" s="161" t="n">
        <v>66.5</v>
      </c>
      <c r="G21" s="27" t="n">
        <v>20</v>
      </c>
      <c r="H21" s="164" t="n">
        <v>250</v>
      </c>
      <c r="I21" s="165" t="n">
        <v>37000</v>
      </c>
      <c r="J21" s="165" t="inlineStr">
        <is>
          <t>고</t>
        </is>
      </c>
      <c r="K21" s="165" t="n">
        <v>30000</v>
      </c>
      <c r="L21" s="165" t="inlineStr">
        <is>
          <t>중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87A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검단오류역우방아이유쉘</t>
        </is>
      </c>
      <c r="B22" s="16" t="inlineStr">
        <is>
          <t>'21.04.</t>
        </is>
      </c>
      <c r="C22" s="164" t="n">
        <v>420</v>
      </c>
      <c r="D22" s="161" t="n">
        <v>87.40000000000001</v>
      </c>
      <c r="E22" s="163" t="n">
        <v>26</v>
      </c>
      <c r="F22" s="161" t="n">
        <v>66.3</v>
      </c>
      <c r="G22" s="27" t="n">
        <v>20</v>
      </c>
      <c r="H22" s="164" t="n">
        <v>71</v>
      </c>
      <c r="I22" s="165" t="n">
        <v>42000</v>
      </c>
      <c r="J22" s="165" t="inlineStr">
        <is>
          <t>고</t>
        </is>
      </c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87C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검단오류역우방아이유쉘</t>
        </is>
      </c>
      <c r="B23" s="16" t="inlineStr">
        <is>
          <t>'21.04.</t>
        </is>
      </c>
      <c r="C23" s="164" t="n">
        <v>420</v>
      </c>
      <c r="D23" s="161" t="n">
        <v>87.09999999999999</v>
      </c>
      <c r="E23" s="163" t="n">
        <v>26</v>
      </c>
      <c r="F23" s="161" t="n">
        <v>66.09999999999999</v>
      </c>
      <c r="G23" s="27" t="n">
        <v>20</v>
      </c>
      <c r="H23" s="164" t="n">
        <v>35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87D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검단오류역우방아이유쉘</t>
        </is>
      </c>
      <c r="B24" s="16" t="inlineStr">
        <is>
          <t>'21.04.</t>
        </is>
      </c>
      <c r="C24" s="164" t="n">
        <v>420</v>
      </c>
      <c r="D24" s="161" t="n">
        <v>87.40000000000001</v>
      </c>
      <c r="E24" s="163" t="n">
        <v>26</v>
      </c>
      <c r="F24" s="161" t="n">
        <v>66.3</v>
      </c>
      <c r="G24" s="27" t="n">
        <v>20</v>
      </c>
      <c r="H24" s="164" t="n">
        <v>16</v>
      </c>
      <c r="I24" s="165" t="n">
        <v>42000</v>
      </c>
      <c r="J24" s="165" t="inlineStr">
        <is>
          <t>고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87E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검단오류역우방아이유쉘</t>
        </is>
      </c>
      <c r="B25" s="16" t="inlineStr">
        <is>
          <t>'21.04.</t>
        </is>
      </c>
      <c r="C25" s="164" t="n">
        <v>420</v>
      </c>
      <c r="D25" s="161" t="n">
        <v>87.2</v>
      </c>
      <c r="E25" s="163" t="n">
        <v>26</v>
      </c>
      <c r="F25" s="161" t="n">
        <v>66.09999999999999</v>
      </c>
      <c r="G25" s="27" t="n">
        <v>20</v>
      </c>
      <c r="H25" s="164" t="n">
        <v>13</v>
      </c>
      <c r="I25" s="165" t="n">
        <v>42000</v>
      </c>
      <c r="J25" s="165" t="inlineStr">
        <is>
          <t>중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87F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검단오류역우방아이유쉘</t>
        </is>
      </c>
      <c r="B26" s="16" t="inlineStr">
        <is>
          <t>'21.04.</t>
        </is>
      </c>
      <c r="C26" s="164" t="n">
        <v>420</v>
      </c>
      <c r="D26" s="161" t="n">
        <v>88</v>
      </c>
      <c r="E26" s="163" t="n">
        <v>27</v>
      </c>
      <c r="F26" s="161" t="n">
        <v>66.5</v>
      </c>
      <c r="G26" s="27" t="n">
        <v>20</v>
      </c>
      <c r="H26" s="164" t="n">
        <v>35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88B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검단힐스테이트2단지</t>
        </is>
      </c>
      <c r="B28" s="16" t="inlineStr">
        <is>
          <t>'10.12.</t>
        </is>
      </c>
      <c r="C28" s="164" t="n">
        <v>303</v>
      </c>
      <c r="D28" s="161" t="n">
        <v>110.3</v>
      </c>
      <c r="E28" s="163" t="n">
        <v>33</v>
      </c>
      <c r="F28" s="161" t="n">
        <v>85</v>
      </c>
      <c r="G28" s="27" t="n">
        <v>26</v>
      </c>
      <c r="H28" s="164" t="n">
        <v>36</v>
      </c>
      <c r="I28" s="165" t="n">
        <v>46000</v>
      </c>
      <c r="J28" s="165" t="inlineStr">
        <is>
          <t>중</t>
        </is>
      </c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110B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검단힐스테이트2단지</t>
        </is>
      </c>
      <c r="B29" s="16" t="inlineStr">
        <is>
          <t>'10.12.</t>
        </is>
      </c>
      <c r="C29" s="164" t="n">
        <v>303</v>
      </c>
      <c r="D29" s="161" t="n">
        <v>111.4</v>
      </c>
      <c r="E29" s="163" t="n">
        <v>34</v>
      </c>
      <c r="F29" s="161" t="n">
        <v>84.90000000000001</v>
      </c>
      <c r="G29" s="27" t="n">
        <v>26</v>
      </c>
      <c r="H29" s="164" t="n">
        <v>40</v>
      </c>
      <c r="I29" s="165" t="n">
        <v>45000</v>
      </c>
      <c r="J29" s="165" t="inlineStr">
        <is>
          <t>중</t>
        </is>
      </c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111A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검단힐스테이트2단지</t>
        </is>
      </c>
      <c r="B30" s="16" t="inlineStr">
        <is>
          <t>'10.12.</t>
        </is>
      </c>
      <c r="C30" s="164" t="n">
        <v>303</v>
      </c>
      <c r="D30" s="161" t="n">
        <v>130.2</v>
      </c>
      <c r="E30" s="163" t="n">
        <v>39</v>
      </c>
      <c r="F30" s="161" t="n">
        <v>104.7</v>
      </c>
      <c r="G30" s="27" t="n">
        <v>32</v>
      </c>
      <c r="H30" s="164" t="n">
        <v>78</v>
      </c>
      <c r="I30" s="165" t="n">
        <v>48000</v>
      </c>
      <c r="J30" s="165" t="inlineStr">
        <is>
          <t>10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130A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검단힐스테이트2단지</t>
        </is>
      </c>
      <c r="B31" s="16" t="inlineStr">
        <is>
          <t>'10.12.</t>
        </is>
      </c>
      <c r="C31" s="164" t="n">
        <v>303</v>
      </c>
      <c r="D31" s="161" t="n">
        <v>130.5</v>
      </c>
      <c r="E31" s="163" t="n">
        <v>39</v>
      </c>
      <c r="F31" s="161" t="n">
        <v>105.5</v>
      </c>
      <c r="G31" s="27" t="n">
        <v>32</v>
      </c>
      <c r="H31" s="164" t="n">
        <v>72</v>
      </c>
      <c r="I31" s="165" t="n">
        <v>50000</v>
      </c>
      <c r="J31" s="165" t="inlineStr">
        <is>
          <t>중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130B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검단힐스테이트2단지</t>
        </is>
      </c>
      <c r="B32" s="16" t="inlineStr">
        <is>
          <t>'10.12.</t>
        </is>
      </c>
      <c r="C32" s="164" t="n">
        <v>303</v>
      </c>
      <c r="D32" s="161" t="n">
        <v>163.8</v>
      </c>
      <c r="E32" s="163" t="n">
        <v>50</v>
      </c>
      <c r="F32" s="161" t="n">
        <v>136.1</v>
      </c>
      <c r="G32" s="27" t="n">
        <v>41</v>
      </c>
      <c r="H32" s="164" t="n">
        <v>38</v>
      </c>
      <c r="I32" s="165" t="n">
        <v>57000</v>
      </c>
      <c r="J32" s="165" t="inlineStr">
        <is>
          <t>고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163B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검단힐스테이트2단지</t>
        </is>
      </c>
      <c r="B33" s="16" t="inlineStr">
        <is>
          <t>'10.12.</t>
        </is>
      </c>
      <c r="C33" s="164" t="n">
        <v>303</v>
      </c>
      <c r="D33" s="161" t="n">
        <v>164.5</v>
      </c>
      <c r="E33" s="163" t="n">
        <v>50</v>
      </c>
      <c r="F33" s="161" t="n">
        <v>135.6</v>
      </c>
      <c r="G33" s="27" t="n">
        <v>41</v>
      </c>
      <c r="H33" s="164" t="n">
        <v>38</v>
      </c>
      <c r="I33" s="165" t="n">
        <v>53000</v>
      </c>
      <c r="J33" s="165" t="inlineStr">
        <is>
          <t>중</t>
        </is>
      </c>
      <c r="K33" s="165" t="n">
        <v>35000</v>
      </c>
      <c r="L33" s="165" t="inlineStr">
        <is>
          <t>19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inlineStr">
        <is>
          <t>164A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검단힐스테이트2단지</t>
        </is>
      </c>
      <c r="B34" s="16" t="inlineStr">
        <is>
          <t>'10.12.</t>
        </is>
      </c>
      <c r="C34" s="164" t="n">
        <v>303</v>
      </c>
      <c r="D34" s="161" t="n">
        <v>247.6</v>
      </c>
      <c r="E34" s="163" t="n">
        <v>75</v>
      </c>
      <c r="F34" s="161" t="n">
        <v>203.1</v>
      </c>
      <c r="G34" s="27" t="n">
        <v>61</v>
      </c>
      <c r="H34" s="164" t="n">
        <v>1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6</v>
      </c>
      <c r="R34" s="113" t="n">
        <v>3</v>
      </c>
      <c r="S34" s="113" t="inlineStr">
        <is>
          <t>계</t>
        </is>
      </c>
      <c r="T34" s="8" t="n">
        <v>247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</sheetData>
  <mergeCells count="1">
    <mergeCell ref="AJ1:AN1"/>
  </mergeCells>
  <conditionalFormatting sqref="AV4:AV6">
    <cfRule type="expression" priority="510" dxfId="17">
      <formula>AV4="X"</formula>
    </cfRule>
    <cfRule type="expression" priority="511" dxfId="16">
      <formula>AV4="후보"</formula>
    </cfRule>
  </conditionalFormatting>
  <conditionalFormatting sqref="AC1:AC2 AC4:AC6 N4:N5">
    <cfRule type="cellIs" priority="507" operator="greaterThan" dxfId="13">
      <formula>0.9</formula>
    </cfRule>
    <cfRule type="cellIs" priority="508" operator="greaterThan" dxfId="12">
      <formula>0.85</formula>
    </cfRule>
  </conditionalFormatting>
  <conditionalFormatting sqref="N1:N2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6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6">
    <cfRule type="expression" priority="499" dxfId="3">
      <formula>AND(IF(OR($Q6=1,$Q6=2),1,0),IF($X6&lt;=20,1,0))</formula>
    </cfRule>
    <cfRule type="expression" priority="500" dxfId="2">
      <formula>AND(IF($Q6=2,1,0),IF($X6&lt;30,1,0))</formula>
    </cfRule>
    <cfRule type="expression" priority="501" dxfId="1">
      <formula>AND(IF($Q6=3,1,0),IF($X6&lt;30,1,0))</formula>
    </cfRule>
    <cfRule type="expression" priority="502" dxfId="0">
      <formula>AND(IF($Q6=3,1,IF($Q6=4,1,0)),IF($F6&lt;=85,1,0))</formula>
    </cfRule>
  </conditionalFormatting>
  <conditionalFormatting sqref="X6">
    <cfRule type="expression" priority="495" dxfId="3">
      <formula>AND(IF(OR($Q6=1,$Q6=2),1,0),IF($X6&lt;=20,1,0))</formula>
    </cfRule>
    <cfRule type="expression" priority="496" dxfId="2">
      <formula>AND(IF($Q6=2,1,0),IF($X6&lt;30,1,0))</formula>
    </cfRule>
    <cfRule type="expression" priority="497" dxfId="1">
      <formula>AND(IF($Q6=3,1,0),IF($X6&lt;30,1,0))</formula>
    </cfRule>
    <cfRule type="expression" priority="498" dxfId="0">
      <formula>AND(IF($Q6=3,1,IF($Q6=4,1,0)),IF($F6&lt;=85,1,0))</formula>
    </cfRule>
  </conditionalFormatting>
  <conditionalFormatting sqref="AI6">
    <cfRule type="expression" priority="491" dxfId="3">
      <formula>AND(IF(OR($Q6=1,$Q6=2),1,0),IF($X6&lt;=20,1,0))</formula>
    </cfRule>
    <cfRule type="expression" priority="492" dxfId="2">
      <formula>AND(IF($Q6=2,1,0),IF($X6&lt;30,1,0))</formula>
    </cfRule>
    <cfRule type="expression" priority="493" dxfId="1">
      <formula>AND(IF($Q6=3,1,0),IF($X6&lt;30,1,0))</formula>
    </cfRule>
    <cfRule type="expression" priority="494" dxfId="0">
      <formula>AND(IF($Q6=3,1,IF($Q6=4,1,0)),IF($F6&lt;=85,1,0))</formula>
    </cfRule>
  </conditionalFormatting>
  <conditionalFormatting sqref="AV7">
    <cfRule type="expression" priority="489" dxfId="17">
      <formula>AV7="X"</formula>
    </cfRule>
    <cfRule type="expression" priority="490" dxfId="16">
      <formula>AV7="후보"</formula>
    </cfRule>
  </conditionalFormatting>
  <conditionalFormatting sqref="AC7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7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7">
    <cfRule type="expression" priority="480" dxfId="3">
      <formula>AND(IF(OR($Q7=1,$Q7=2),1,0),IF($X7&lt;=20,1,0))</formula>
    </cfRule>
    <cfRule type="expression" priority="481" dxfId="2">
      <formula>AND(IF($Q7=2,1,0),IF($X7&lt;30,1,0))</formula>
    </cfRule>
    <cfRule type="expression" priority="482" dxfId="1">
      <formula>AND(IF($Q7=3,1,0),IF($X7&lt;30,1,0))</formula>
    </cfRule>
    <cfRule type="expression" priority="483" dxfId="0">
      <formula>AND(IF($Q7=3,1,IF($Q7=4,1,0)),IF($F7&lt;=85,1,0))</formula>
    </cfRule>
  </conditionalFormatting>
  <conditionalFormatting sqref="X7">
    <cfRule type="expression" priority="476" dxfId="3">
      <formula>AND(IF(OR($Q7=1,$Q7=2),1,0),IF($X7&lt;=20,1,0))</formula>
    </cfRule>
    <cfRule type="expression" priority="477" dxfId="2">
      <formula>AND(IF($Q7=2,1,0),IF($X7&lt;30,1,0))</formula>
    </cfRule>
    <cfRule type="expression" priority="478" dxfId="1">
      <formula>AND(IF($Q7=3,1,0),IF($X7&lt;30,1,0))</formula>
    </cfRule>
    <cfRule type="expression" priority="479" dxfId="0">
      <formula>AND(IF($Q7=3,1,IF($Q7=4,1,0)),IF($F7&lt;=85,1,0))</formula>
    </cfRule>
  </conditionalFormatting>
  <conditionalFormatting sqref="AI7">
    <cfRule type="expression" priority="472" dxfId="3">
      <formula>AND(IF(OR($Q7=1,$Q7=2),1,0),IF($X7&lt;=20,1,0))</formula>
    </cfRule>
    <cfRule type="expression" priority="473" dxfId="2">
      <formula>AND(IF($Q7=2,1,0),IF($X7&lt;30,1,0))</formula>
    </cfRule>
    <cfRule type="expression" priority="474" dxfId="1">
      <formula>AND(IF($Q7=3,1,0),IF($X7&lt;30,1,0))</formula>
    </cfRule>
    <cfRule type="expression" priority="475" dxfId="0">
      <formula>AND(IF($Q7=3,1,IF($Q7=4,1,0)),IF($F7&lt;=85,1,0))</formula>
    </cfRule>
  </conditionalFormatting>
  <conditionalFormatting sqref="AV8">
    <cfRule type="expression" priority="470" dxfId="17">
      <formula>AV8="X"</formula>
    </cfRule>
    <cfRule type="expression" priority="471" dxfId="16">
      <formula>AV8="후보"</formula>
    </cfRule>
  </conditionalFormatting>
  <conditionalFormatting sqref="AC8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8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8">
    <cfRule type="expression" priority="461" dxfId="3">
      <formula>AND(IF(OR($Q8=1,$Q8=2),1,0),IF($X8&lt;=20,1,0))</formula>
    </cfRule>
    <cfRule type="expression" priority="462" dxfId="2">
      <formula>AND(IF($Q8=2,1,0),IF($X8&lt;30,1,0))</formula>
    </cfRule>
    <cfRule type="expression" priority="463" dxfId="1">
      <formula>AND(IF($Q8=3,1,0),IF($X8&lt;30,1,0))</formula>
    </cfRule>
    <cfRule type="expression" priority="464" dxfId="0">
      <formula>AND(IF($Q8=3,1,IF($Q8=4,1,0)),IF($F8&lt;=85,1,0))</formula>
    </cfRule>
  </conditionalFormatting>
  <conditionalFormatting sqref="X8">
    <cfRule type="expression" priority="457" dxfId="3">
      <formula>AND(IF(OR($Q8=1,$Q8=2),1,0),IF($X8&lt;=20,1,0))</formula>
    </cfRule>
    <cfRule type="expression" priority="458" dxfId="2">
      <formula>AND(IF($Q8=2,1,0),IF($X8&lt;30,1,0))</formula>
    </cfRule>
    <cfRule type="expression" priority="459" dxfId="1">
      <formula>AND(IF($Q8=3,1,0),IF($X8&lt;30,1,0))</formula>
    </cfRule>
    <cfRule type="expression" priority="460" dxfId="0">
      <formula>AND(IF($Q8=3,1,IF($Q8=4,1,0)),IF($F8&lt;=85,1,0))</formula>
    </cfRule>
  </conditionalFormatting>
  <conditionalFormatting sqref="AI8">
    <cfRule type="expression" priority="453" dxfId="3">
      <formula>AND(IF(OR($Q8=1,$Q8=2),1,0),IF($X8&lt;=20,1,0))</formula>
    </cfRule>
    <cfRule type="expression" priority="454" dxfId="2">
      <formula>AND(IF($Q8=2,1,0),IF($X8&lt;30,1,0))</formula>
    </cfRule>
    <cfRule type="expression" priority="455" dxfId="1">
      <formula>AND(IF($Q8=3,1,0),IF($X8&lt;30,1,0))</formula>
    </cfRule>
    <cfRule type="expression" priority="456" dxfId="0">
      <formula>AND(IF($Q8=3,1,IF($Q8=4,1,0)),IF($F8&lt;=85,1,0))</formula>
    </cfRule>
  </conditionalFormatting>
  <conditionalFormatting sqref="AV9">
    <cfRule type="expression" priority="451" dxfId="17">
      <formula>AV9="X"</formula>
    </cfRule>
    <cfRule type="expression" priority="452" dxfId="16">
      <formula>AV9="후보"</formula>
    </cfRule>
  </conditionalFormatting>
  <conditionalFormatting sqref="AC9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9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9">
    <cfRule type="expression" priority="442" dxfId="3">
      <formula>AND(IF(OR($Q9=1,$Q9=2),1,0),IF($X9&lt;=20,1,0))</formula>
    </cfRule>
    <cfRule type="expression" priority="443" dxfId="2">
      <formula>AND(IF($Q9=2,1,0),IF($X9&lt;30,1,0))</formula>
    </cfRule>
    <cfRule type="expression" priority="444" dxfId="1">
      <formula>AND(IF($Q9=3,1,0),IF($X9&lt;30,1,0))</formula>
    </cfRule>
    <cfRule type="expression" priority="445" dxfId="0">
      <formula>AND(IF($Q9=3,1,IF($Q9=4,1,0)),IF($F9&lt;=85,1,0))</formula>
    </cfRule>
  </conditionalFormatting>
  <conditionalFormatting sqref="X9">
    <cfRule type="expression" priority="438" dxfId="3">
      <formula>AND(IF(OR($Q9=1,$Q9=2),1,0),IF($X9&lt;=20,1,0))</formula>
    </cfRule>
    <cfRule type="expression" priority="439" dxfId="2">
      <formula>AND(IF($Q9=2,1,0),IF($X9&lt;30,1,0))</formula>
    </cfRule>
    <cfRule type="expression" priority="440" dxfId="1">
      <formula>AND(IF($Q9=3,1,0),IF($X9&lt;30,1,0))</formula>
    </cfRule>
    <cfRule type="expression" priority="441" dxfId="0">
      <formula>AND(IF($Q9=3,1,IF($Q9=4,1,0)),IF($F9&lt;=85,1,0))</formula>
    </cfRule>
  </conditionalFormatting>
  <conditionalFormatting sqref="AI9">
    <cfRule type="expression" priority="434" dxfId="3">
      <formula>AND(IF(OR($Q9=1,$Q9=2),1,0),IF($X9&lt;=20,1,0))</formula>
    </cfRule>
    <cfRule type="expression" priority="435" dxfId="2">
      <formula>AND(IF($Q9=2,1,0),IF($X9&lt;30,1,0))</formula>
    </cfRule>
    <cfRule type="expression" priority="436" dxfId="1">
      <formula>AND(IF($Q9=3,1,0),IF($X9&lt;30,1,0))</formula>
    </cfRule>
    <cfRule type="expression" priority="437" dxfId="0">
      <formula>AND(IF($Q9=3,1,IF($Q9=4,1,0)),IF($F9&lt;=85,1,0))</formula>
    </cfRule>
  </conditionalFormatting>
  <conditionalFormatting sqref="AV10">
    <cfRule type="expression" priority="432" dxfId="17">
      <formula>AV10="X"</formula>
    </cfRule>
    <cfRule type="expression" priority="433" dxfId="16">
      <formula>AV10="후보"</formula>
    </cfRule>
  </conditionalFormatting>
  <conditionalFormatting sqref="AC10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0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0">
    <cfRule type="expression" priority="423" dxfId="3">
      <formula>AND(IF(OR($Q10=1,$Q10=2),1,0),IF($X10&lt;=20,1,0))</formula>
    </cfRule>
    <cfRule type="expression" priority="424" dxfId="2">
      <formula>AND(IF($Q10=2,1,0),IF($X10&lt;30,1,0))</formula>
    </cfRule>
    <cfRule type="expression" priority="425" dxfId="1">
      <formula>AND(IF($Q10=3,1,0),IF($X10&lt;30,1,0))</formula>
    </cfRule>
    <cfRule type="expression" priority="426" dxfId="0">
      <formula>AND(IF($Q10=3,1,IF($Q10=4,1,0)),IF($F10&lt;=85,1,0))</formula>
    </cfRule>
  </conditionalFormatting>
  <conditionalFormatting sqref="X10">
    <cfRule type="expression" priority="419" dxfId="3">
      <formula>AND(IF(OR($Q10=1,$Q10=2),1,0),IF($X10&lt;=20,1,0))</formula>
    </cfRule>
    <cfRule type="expression" priority="420" dxfId="2">
      <formula>AND(IF($Q10=2,1,0),IF($X10&lt;30,1,0))</formula>
    </cfRule>
    <cfRule type="expression" priority="421" dxfId="1">
      <formula>AND(IF($Q10=3,1,0),IF($X10&lt;30,1,0))</formula>
    </cfRule>
    <cfRule type="expression" priority="422" dxfId="0">
      <formula>AND(IF($Q10=3,1,IF($Q10=4,1,0)),IF($F10&lt;=85,1,0))</formula>
    </cfRule>
  </conditionalFormatting>
  <conditionalFormatting sqref="AI10">
    <cfRule type="expression" priority="415" dxfId="3">
      <formula>AND(IF(OR($Q10=1,$Q10=2),1,0),IF($X10&lt;=20,1,0))</formula>
    </cfRule>
    <cfRule type="expression" priority="416" dxfId="2">
      <formula>AND(IF($Q10=2,1,0),IF($X10&lt;30,1,0))</formula>
    </cfRule>
    <cfRule type="expression" priority="417" dxfId="1">
      <formula>AND(IF($Q10=3,1,0),IF($X10&lt;30,1,0))</formula>
    </cfRule>
    <cfRule type="expression" priority="418" dxfId="0">
      <formula>AND(IF($Q10=3,1,IF($Q10=4,1,0)),IF($F10&lt;=85,1,0))</formula>
    </cfRule>
  </conditionalFormatting>
  <conditionalFormatting sqref="AV11">
    <cfRule type="expression" priority="413" dxfId="17">
      <formula>AV11="X"</formula>
    </cfRule>
    <cfRule type="expression" priority="414" dxfId="16">
      <formula>AV11="후보"</formula>
    </cfRule>
  </conditionalFormatting>
  <conditionalFormatting sqref="AC11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11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11">
    <cfRule type="expression" priority="404" dxfId="3">
      <formula>AND(IF(OR($Q11=1,$Q11=2),1,0),IF($X11&lt;=20,1,0))</formula>
    </cfRule>
    <cfRule type="expression" priority="405" dxfId="2">
      <formula>AND(IF($Q11=2,1,0),IF($X11&lt;30,1,0))</formula>
    </cfRule>
    <cfRule type="expression" priority="406" dxfId="1">
      <formula>AND(IF($Q11=3,1,0),IF($X11&lt;30,1,0))</formula>
    </cfRule>
    <cfRule type="expression" priority="407" dxfId="0">
      <formula>AND(IF($Q11=3,1,IF($Q11=4,1,0)),IF($F11&lt;=85,1,0))</formula>
    </cfRule>
  </conditionalFormatting>
  <conditionalFormatting sqref="X11">
    <cfRule type="expression" priority="400" dxfId="3">
      <formula>AND(IF(OR($Q11=1,$Q11=2),1,0),IF($X11&lt;=20,1,0))</formula>
    </cfRule>
    <cfRule type="expression" priority="401" dxfId="2">
      <formula>AND(IF($Q11=2,1,0),IF($X11&lt;30,1,0))</formula>
    </cfRule>
    <cfRule type="expression" priority="402" dxfId="1">
      <formula>AND(IF($Q11=3,1,0),IF($X11&lt;30,1,0))</formula>
    </cfRule>
    <cfRule type="expression" priority="403" dxfId="0">
      <formula>AND(IF($Q11=3,1,IF($Q11=4,1,0)),IF($F11&lt;=85,1,0))</formula>
    </cfRule>
  </conditionalFormatting>
  <conditionalFormatting sqref="AI11">
    <cfRule type="expression" priority="396" dxfId="3">
      <formula>AND(IF(OR($Q11=1,$Q11=2),1,0),IF($X11&lt;=20,1,0))</formula>
    </cfRule>
    <cfRule type="expression" priority="397" dxfId="2">
      <formula>AND(IF($Q11=2,1,0),IF($X11&lt;30,1,0))</formula>
    </cfRule>
    <cfRule type="expression" priority="398" dxfId="1">
      <formula>AND(IF($Q11=3,1,0),IF($X11&lt;30,1,0))</formula>
    </cfRule>
    <cfRule type="expression" priority="399" dxfId="0">
      <formula>AND(IF($Q11=3,1,IF($Q11=4,1,0)),IF($F11&lt;=85,1,0))</formula>
    </cfRule>
  </conditionalFormatting>
  <conditionalFormatting sqref="AV12">
    <cfRule type="expression" priority="394" dxfId="17">
      <formula>AV12="X"</formula>
    </cfRule>
    <cfRule type="expression" priority="395" dxfId="16">
      <formula>AV12="후보"</formula>
    </cfRule>
  </conditionalFormatting>
  <conditionalFormatting sqref="AC12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12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12">
    <cfRule type="expression" priority="385" dxfId="3">
      <formula>AND(IF(OR($Q12=1,$Q12=2),1,0),IF($X12&lt;=20,1,0))</formula>
    </cfRule>
    <cfRule type="expression" priority="386" dxfId="2">
      <formula>AND(IF($Q12=2,1,0),IF($X12&lt;30,1,0))</formula>
    </cfRule>
    <cfRule type="expression" priority="387" dxfId="1">
      <formula>AND(IF($Q12=3,1,0),IF($X12&lt;30,1,0))</formula>
    </cfRule>
    <cfRule type="expression" priority="388" dxfId="0">
      <formula>AND(IF($Q12=3,1,IF($Q12=4,1,0)),IF($F12&lt;=85,1,0))</formula>
    </cfRule>
  </conditionalFormatting>
  <conditionalFormatting sqref="X12">
    <cfRule type="expression" priority="381" dxfId="3">
      <formula>AND(IF(OR($Q12=1,$Q12=2),1,0),IF($X12&lt;=20,1,0))</formula>
    </cfRule>
    <cfRule type="expression" priority="382" dxfId="2">
      <formula>AND(IF($Q12=2,1,0),IF($X12&lt;30,1,0))</formula>
    </cfRule>
    <cfRule type="expression" priority="383" dxfId="1">
      <formula>AND(IF($Q12=3,1,0),IF($X12&lt;30,1,0))</formula>
    </cfRule>
    <cfRule type="expression" priority="384" dxfId="0">
      <formula>AND(IF($Q12=3,1,IF($Q12=4,1,0)),IF($F12&lt;=85,1,0))</formula>
    </cfRule>
  </conditionalFormatting>
  <conditionalFormatting sqref="AI12">
    <cfRule type="expression" priority="377" dxfId="3">
      <formula>AND(IF(OR($Q12=1,$Q12=2),1,0),IF($X12&lt;=20,1,0))</formula>
    </cfRule>
    <cfRule type="expression" priority="378" dxfId="2">
      <formula>AND(IF($Q12=2,1,0),IF($X12&lt;30,1,0))</formula>
    </cfRule>
    <cfRule type="expression" priority="379" dxfId="1">
      <formula>AND(IF($Q12=3,1,0),IF($X12&lt;30,1,0))</formula>
    </cfRule>
    <cfRule type="expression" priority="380" dxfId="0">
      <formula>AND(IF($Q12=3,1,IF($Q12=4,1,0)),IF($F12&lt;=85,1,0))</formula>
    </cfRule>
  </conditionalFormatting>
  <conditionalFormatting sqref="AV13">
    <cfRule type="expression" priority="375" dxfId="17">
      <formula>AV13="X"</formula>
    </cfRule>
    <cfRule type="expression" priority="376" dxfId="16">
      <formula>AV13="후보"</formula>
    </cfRule>
  </conditionalFormatting>
  <conditionalFormatting sqref="AC13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13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13">
    <cfRule type="expression" priority="366" dxfId="3">
      <formula>AND(IF(OR($Q13=1,$Q13=2),1,0),IF($X13&lt;=20,1,0))</formula>
    </cfRule>
    <cfRule type="expression" priority="367" dxfId="2">
      <formula>AND(IF($Q13=2,1,0),IF($X13&lt;30,1,0))</formula>
    </cfRule>
    <cfRule type="expression" priority="368" dxfId="1">
      <formula>AND(IF($Q13=3,1,0),IF($X13&lt;30,1,0))</formula>
    </cfRule>
    <cfRule type="expression" priority="369" dxfId="0">
      <formula>AND(IF($Q13=3,1,IF($Q13=4,1,0)),IF($F13&lt;=85,1,0))</formula>
    </cfRule>
  </conditionalFormatting>
  <conditionalFormatting sqref="X13">
    <cfRule type="expression" priority="362" dxfId="3">
      <formula>AND(IF(OR($Q13=1,$Q13=2),1,0),IF($X13&lt;=20,1,0))</formula>
    </cfRule>
    <cfRule type="expression" priority="363" dxfId="2">
      <formula>AND(IF($Q13=2,1,0),IF($X13&lt;30,1,0))</formula>
    </cfRule>
    <cfRule type="expression" priority="364" dxfId="1">
      <formula>AND(IF($Q13=3,1,0),IF($X13&lt;30,1,0))</formula>
    </cfRule>
    <cfRule type="expression" priority="365" dxfId="0">
      <formula>AND(IF($Q13=3,1,IF($Q13=4,1,0)),IF($F13&lt;=85,1,0))</formula>
    </cfRule>
  </conditionalFormatting>
  <conditionalFormatting sqref="AI13">
    <cfRule type="expression" priority="358" dxfId="3">
      <formula>AND(IF(OR($Q13=1,$Q13=2),1,0),IF($X13&lt;=20,1,0))</formula>
    </cfRule>
    <cfRule type="expression" priority="359" dxfId="2">
      <formula>AND(IF($Q13=2,1,0),IF($X13&lt;30,1,0))</formula>
    </cfRule>
    <cfRule type="expression" priority="360" dxfId="1">
      <formula>AND(IF($Q13=3,1,0),IF($X13&lt;30,1,0))</formula>
    </cfRule>
    <cfRule type="expression" priority="361" dxfId="0">
      <formula>AND(IF($Q13=3,1,IF($Q13=4,1,0)),IF($F13&lt;=85,1,0))</formula>
    </cfRule>
  </conditionalFormatting>
  <conditionalFormatting sqref="AV14">
    <cfRule type="expression" priority="356" dxfId="17">
      <formula>AV14="X"</formula>
    </cfRule>
    <cfRule type="expression" priority="357" dxfId="16">
      <formula>AV14="후보"</formula>
    </cfRule>
  </conditionalFormatting>
  <conditionalFormatting sqref="AC14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14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14">
    <cfRule type="expression" priority="347" dxfId="3">
      <formula>AND(IF(OR($Q14=1,$Q14=2),1,0),IF($X14&lt;=20,1,0))</formula>
    </cfRule>
    <cfRule type="expression" priority="348" dxfId="2">
      <formula>AND(IF($Q14=2,1,0),IF($X14&lt;30,1,0))</formula>
    </cfRule>
    <cfRule type="expression" priority="349" dxfId="1">
      <formula>AND(IF($Q14=3,1,0),IF($X14&lt;30,1,0))</formula>
    </cfRule>
    <cfRule type="expression" priority="350" dxfId="0">
      <formula>AND(IF($Q14=3,1,IF($Q14=4,1,0)),IF($F14&lt;=85,1,0))</formula>
    </cfRule>
  </conditionalFormatting>
  <conditionalFormatting sqref="X14">
    <cfRule type="expression" priority="343" dxfId="3">
      <formula>AND(IF(OR($Q14=1,$Q14=2),1,0),IF($X14&lt;=20,1,0))</formula>
    </cfRule>
    <cfRule type="expression" priority="344" dxfId="2">
      <formula>AND(IF($Q14=2,1,0),IF($X14&lt;30,1,0))</formula>
    </cfRule>
    <cfRule type="expression" priority="345" dxfId="1">
      <formula>AND(IF($Q14=3,1,0),IF($X14&lt;30,1,0))</formula>
    </cfRule>
    <cfRule type="expression" priority="346" dxfId="0">
      <formula>AND(IF($Q14=3,1,IF($Q14=4,1,0)),IF($F14&lt;=85,1,0))</formula>
    </cfRule>
  </conditionalFormatting>
  <conditionalFormatting sqref="AI14">
    <cfRule type="expression" priority="339" dxfId="3">
      <formula>AND(IF(OR($Q14=1,$Q14=2),1,0),IF($X14&lt;=20,1,0))</formula>
    </cfRule>
    <cfRule type="expression" priority="340" dxfId="2">
      <formula>AND(IF($Q14=2,1,0),IF($X14&lt;30,1,0))</formula>
    </cfRule>
    <cfRule type="expression" priority="341" dxfId="1">
      <formula>AND(IF($Q14=3,1,0),IF($X14&lt;30,1,0))</formula>
    </cfRule>
    <cfRule type="expression" priority="342" dxfId="0">
      <formula>AND(IF($Q14=3,1,IF($Q14=4,1,0)),IF($F14&lt;=85,1,0))</formula>
    </cfRule>
  </conditionalFormatting>
  <conditionalFormatting sqref="AV15">
    <cfRule type="expression" priority="337" dxfId="17">
      <formula>AV15="X"</formula>
    </cfRule>
    <cfRule type="expression" priority="338" dxfId="16">
      <formula>AV15="후보"</formula>
    </cfRule>
  </conditionalFormatting>
  <conditionalFormatting sqref="AC15 N15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AV16">
    <cfRule type="expression" priority="332" dxfId="17">
      <formula>AV16="X"</formula>
    </cfRule>
    <cfRule type="expression" priority="333" dxfId="16">
      <formula>AV16="후보"</formula>
    </cfRule>
  </conditionalFormatting>
  <conditionalFormatting sqref="AC16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6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6">
    <cfRule type="expression" priority="323" dxfId="3">
      <formula>AND(IF(OR($Q16=1,$Q16=2),1,0),IF($X16&lt;=20,1,0))</formula>
    </cfRule>
    <cfRule type="expression" priority="324" dxfId="2">
      <formula>AND(IF($Q16=2,1,0),IF($X16&lt;30,1,0))</formula>
    </cfRule>
    <cfRule type="expression" priority="325" dxfId="1">
      <formula>AND(IF($Q16=3,1,0),IF($X16&lt;30,1,0))</formula>
    </cfRule>
    <cfRule type="expression" priority="326" dxfId="0">
      <formula>AND(IF($Q16=3,1,IF($Q16=4,1,0)),IF($F16&lt;=85,1,0))</formula>
    </cfRule>
  </conditionalFormatting>
  <conditionalFormatting sqref="X16">
    <cfRule type="expression" priority="319" dxfId="3">
      <formula>AND(IF(OR($Q16=1,$Q16=2),1,0),IF($X16&lt;=20,1,0))</formula>
    </cfRule>
    <cfRule type="expression" priority="320" dxfId="2">
      <formula>AND(IF($Q16=2,1,0),IF($X16&lt;30,1,0))</formula>
    </cfRule>
    <cfRule type="expression" priority="321" dxfId="1">
      <formula>AND(IF($Q16=3,1,0),IF($X16&lt;30,1,0))</formula>
    </cfRule>
    <cfRule type="expression" priority="322" dxfId="0">
      <formula>AND(IF($Q16=3,1,IF($Q16=4,1,0)),IF($F16&lt;=85,1,0))</formula>
    </cfRule>
  </conditionalFormatting>
  <conditionalFormatting sqref="AI16">
    <cfRule type="expression" priority="315" dxfId="3">
      <formula>AND(IF(OR($Q16=1,$Q16=2),1,0),IF($X16&lt;=20,1,0))</formula>
    </cfRule>
    <cfRule type="expression" priority="316" dxfId="2">
      <formula>AND(IF($Q16=2,1,0),IF($X16&lt;30,1,0))</formula>
    </cfRule>
    <cfRule type="expression" priority="317" dxfId="1">
      <formula>AND(IF($Q16=3,1,0),IF($X16&lt;30,1,0))</formula>
    </cfRule>
    <cfRule type="expression" priority="318" dxfId="0">
      <formula>AND(IF($Q16=3,1,IF($Q16=4,1,0)),IF($F16&lt;=85,1,0))</formula>
    </cfRule>
  </conditionalFormatting>
  <conditionalFormatting sqref="AV17">
    <cfRule type="expression" priority="313" dxfId="17">
      <formula>AV17="X"</formula>
    </cfRule>
    <cfRule type="expression" priority="314" dxfId="16">
      <formula>AV17="후보"</formula>
    </cfRule>
  </conditionalFormatting>
  <conditionalFormatting sqref="AC17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7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7">
    <cfRule type="expression" priority="304" dxfId="3">
      <formula>AND(IF(OR($Q17=1,$Q17=2),1,0),IF($X17&lt;=20,1,0))</formula>
    </cfRule>
    <cfRule type="expression" priority="305" dxfId="2">
      <formula>AND(IF($Q17=2,1,0),IF($X17&lt;30,1,0))</formula>
    </cfRule>
    <cfRule type="expression" priority="306" dxfId="1">
      <formula>AND(IF($Q17=3,1,0),IF($X17&lt;30,1,0))</formula>
    </cfRule>
    <cfRule type="expression" priority="307" dxfId="0">
      <formula>AND(IF($Q17=3,1,IF($Q17=4,1,0)),IF($F17&lt;=85,1,0))</formula>
    </cfRule>
  </conditionalFormatting>
  <conditionalFormatting sqref="X17">
    <cfRule type="expression" priority="300" dxfId="3">
      <formula>AND(IF(OR($Q17=1,$Q17=2),1,0),IF($X17&lt;=20,1,0))</formula>
    </cfRule>
    <cfRule type="expression" priority="301" dxfId="2">
      <formula>AND(IF($Q17=2,1,0),IF($X17&lt;30,1,0))</formula>
    </cfRule>
    <cfRule type="expression" priority="302" dxfId="1">
      <formula>AND(IF($Q17=3,1,0),IF($X17&lt;30,1,0))</formula>
    </cfRule>
    <cfRule type="expression" priority="303" dxfId="0">
      <formula>AND(IF($Q17=3,1,IF($Q17=4,1,0)),IF($F17&lt;=85,1,0))</formula>
    </cfRule>
  </conditionalFormatting>
  <conditionalFormatting sqref="AI17">
    <cfRule type="expression" priority="296" dxfId="3">
      <formula>AND(IF(OR($Q17=1,$Q17=2),1,0),IF($X17&lt;=20,1,0))</formula>
    </cfRule>
    <cfRule type="expression" priority="297" dxfId="2">
      <formula>AND(IF($Q17=2,1,0),IF($X17&lt;30,1,0))</formula>
    </cfRule>
    <cfRule type="expression" priority="298" dxfId="1">
      <formula>AND(IF($Q17=3,1,0),IF($X17&lt;30,1,0))</formula>
    </cfRule>
    <cfRule type="expression" priority="299" dxfId="0">
      <formula>AND(IF($Q17=3,1,IF($Q17=4,1,0)),IF($F17&lt;=85,1,0))</formula>
    </cfRule>
  </conditionalFormatting>
  <conditionalFormatting sqref="AV18">
    <cfRule type="expression" priority="294" dxfId="17">
      <formula>AV18="X"</formula>
    </cfRule>
    <cfRule type="expression" priority="295" dxfId="16">
      <formula>AV18="후보"</formula>
    </cfRule>
  </conditionalFormatting>
  <conditionalFormatting sqref="AC18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8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8">
    <cfRule type="expression" priority="285" dxfId="3">
      <formula>AND(IF(OR($Q18=1,$Q18=2),1,0),IF($X18&lt;=20,1,0))</formula>
    </cfRule>
    <cfRule type="expression" priority="286" dxfId="2">
      <formula>AND(IF($Q18=2,1,0),IF($X18&lt;30,1,0))</formula>
    </cfRule>
    <cfRule type="expression" priority="287" dxfId="1">
      <formula>AND(IF($Q18=3,1,0),IF($X18&lt;30,1,0))</formula>
    </cfRule>
    <cfRule type="expression" priority="288" dxfId="0">
      <formula>AND(IF($Q18=3,1,IF($Q18=4,1,0)),IF($F18&lt;=85,1,0))</formula>
    </cfRule>
  </conditionalFormatting>
  <conditionalFormatting sqref="X18">
    <cfRule type="expression" priority="281" dxfId="3">
      <formula>AND(IF(OR($Q18=1,$Q18=2),1,0),IF($X18&lt;=20,1,0))</formula>
    </cfRule>
    <cfRule type="expression" priority="282" dxfId="2">
      <formula>AND(IF($Q18=2,1,0),IF($X18&lt;30,1,0))</formula>
    </cfRule>
    <cfRule type="expression" priority="283" dxfId="1">
      <formula>AND(IF($Q18=3,1,0),IF($X18&lt;30,1,0))</formula>
    </cfRule>
    <cfRule type="expression" priority="284" dxfId="0">
      <formula>AND(IF($Q18=3,1,IF($Q18=4,1,0)),IF($F18&lt;=85,1,0))</formula>
    </cfRule>
  </conditionalFormatting>
  <conditionalFormatting sqref="AI18">
    <cfRule type="expression" priority="277" dxfId="3">
      <formula>AND(IF(OR($Q18=1,$Q18=2),1,0),IF($X18&lt;=20,1,0))</formula>
    </cfRule>
    <cfRule type="expression" priority="278" dxfId="2">
      <formula>AND(IF($Q18=2,1,0),IF($X18&lt;30,1,0))</formula>
    </cfRule>
    <cfRule type="expression" priority="279" dxfId="1">
      <formula>AND(IF($Q18=3,1,0),IF($X18&lt;30,1,0))</formula>
    </cfRule>
    <cfRule type="expression" priority="280" dxfId="0">
      <formula>AND(IF($Q18=3,1,IF($Q18=4,1,0)),IF($F18&lt;=85,1,0))</formula>
    </cfRule>
  </conditionalFormatting>
  <conditionalFormatting sqref="AV19">
    <cfRule type="expression" priority="275" dxfId="17">
      <formula>AV19="X"</formula>
    </cfRule>
    <cfRule type="expression" priority="276" dxfId="16">
      <formula>AV19="후보"</formula>
    </cfRule>
  </conditionalFormatting>
  <conditionalFormatting sqref="AC19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9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9">
    <cfRule type="expression" priority="266" dxfId="3">
      <formula>AND(IF(OR($Q19=1,$Q19=2),1,0),IF($X19&lt;=20,1,0))</formula>
    </cfRule>
    <cfRule type="expression" priority="267" dxfId="2">
      <formula>AND(IF($Q19=2,1,0),IF($X19&lt;30,1,0))</formula>
    </cfRule>
    <cfRule type="expression" priority="268" dxfId="1">
      <formula>AND(IF($Q19=3,1,0),IF($X19&lt;30,1,0))</formula>
    </cfRule>
    <cfRule type="expression" priority="269" dxfId="0">
      <formula>AND(IF($Q19=3,1,IF($Q19=4,1,0)),IF($F19&lt;=85,1,0))</formula>
    </cfRule>
  </conditionalFormatting>
  <conditionalFormatting sqref="X19">
    <cfRule type="expression" priority="262" dxfId="3">
      <formula>AND(IF(OR($Q19=1,$Q19=2),1,0),IF($X19&lt;=20,1,0))</formula>
    </cfRule>
    <cfRule type="expression" priority="263" dxfId="2">
      <formula>AND(IF($Q19=2,1,0),IF($X19&lt;30,1,0))</formula>
    </cfRule>
    <cfRule type="expression" priority="264" dxfId="1">
      <formula>AND(IF($Q19=3,1,0),IF($X19&lt;30,1,0))</formula>
    </cfRule>
    <cfRule type="expression" priority="265" dxfId="0">
      <formula>AND(IF($Q19=3,1,IF($Q19=4,1,0)),IF($F19&lt;=85,1,0))</formula>
    </cfRule>
  </conditionalFormatting>
  <conditionalFormatting sqref="AI19">
    <cfRule type="expression" priority="258" dxfId="3">
      <formula>AND(IF(OR($Q19=1,$Q19=2),1,0),IF($X19&lt;=20,1,0))</formula>
    </cfRule>
    <cfRule type="expression" priority="259" dxfId="2">
      <formula>AND(IF($Q19=2,1,0),IF($X19&lt;30,1,0))</formula>
    </cfRule>
    <cfRule type="expression" priority="260" dxfId="1">
      <formula>AND(IF($Q19=3,1,0),IF($X19&lt;30,1,0))</formula>
    </cfRule>
    <cfRule type="expression" priority="261" dxfId="0">
      <formula>AND(IF($Q19=3,1,IF($Q19=4,1,0)),IF($F19&lt;=85,1,0))</formula>
    </cfRule>
  </conditionalFormatting>
  <conditionalFormatting sqref="AV20">
    <cfRule type="expression" priority="256" dxfId="17">
      <formula>AV20="X"</formula>
    </cfRule>
    <cfRule type="expression" priority="257" dxfId="16">
      <formula>AV20="후보"</formula>
    </cfRule>
  </conditionalFormatting>
  <conditionalFormatting sqref="AC20 N20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21">
    <cfRule type="expression" priority="251" dxfId="17">
      <formula>AV21="X"</formula>
    </cfRule>
    <cfRule type="expression" priority="252" dxfId="16">
      <formula>AV21="후보"</formula>
    </cfRule>
  </conditionalFormatting>
  <conditionalFormatting sqref="AC21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21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21">
    <cfRule type="expression" priority="242" dxfId="3">
      <formula>AND(IF(OR($Q21=1,$Q21=2),1,0),IF($X21&lt;=20,1,0))</formula>
    </cfRule>
    <cfRule type="expression" priority="243" dxfId="2">
      <formula>AND(IF($Q21=2,1,0),IF($X21&lt;30,1,0))</formula>
    </cfRule>
    <cfRule type="expression" priority="244" dxfId="1">
      <formula>AND(IF($Q21=3,1,0),IF($X21&lt;30,1,0))</formula>
    </cfRule>
    <cfRule type="expression" priority="245" dxfId="0">
      <formula>AND(IF($Q21=3,1,IF($Q21=4,1,0)),IF($F21&lt;=85,1,0))</formula>
    </cfRule>
  </conditionalFormatting>
  <conditionalFormatting sqref="X21">
    <cfRule type="expression" priority="238" dxfId="3">
      <formula>AND(IF(OR($Q21=1,$Q21=2),1,0),IF($X21&lt;=20,1,0))</formula>
    </cfRule>
    <cfRule type="expression" priority="239" dxfId="2">
      <formula>AND(IF($Q21=2,1,0),IF($X21&lt;30,1,0))</formula>
    </cfRule>
    <cfRule type="expression" priority="240" dxfId="1">
      <formula>AND(IF($Q21=3,1,0),IF($X21&lt;30,1,0))</formula>
    </cfRule>
    <cfRule type="expression" priority="241" dxfId="0">
      <formula>AND(IF($Q21=3,1,IF($Q21=4,1,0)),IF($F21&lt;=85,1,0))</formula>
    </cfRule>
  </conditionalFormatting>
  <conditionalFormatting sqref="AI21">
    <cfRule type="expression" priority="234" dxfId="3">
      <formula>AND(IF(OR($Q21=1,$Q21=2),1,0),IF($X21&lt;=20,1,0))</formula>
    </cfRule>
    <cfRule type="expression" priority="235" dxfId="2">
      <formula>AND(IF($Q21=2,1,0),IF($X21&lt;30,1,0))</formula>
    </cfRule>
    <cfRule type="expression" priority="236" dxfId="1">
      <formula>AND(IF($Q21=3,1,0),IF($X21&lt;30,1,0))</formula>
    </cfRule>
    <cfRule type="expression" priority="237" dxfId="0">
      <formula>AND(IF($Q21=3,1,IF($Q21=4,1,0)),IF($F21&lt;=85,1,0))</formula>
    </cfRule>
  </conditionalFormatting>
  <conditionalFormatting sqref="AV22">
    <cfRule type="expression" priority="232" dxfId="17">
      <formula>AV22="X"</formula>
    </cfRule>
    <cfRule type="expression" priority="233" dxfId="16">
      <formula>AV22="후보"</formula>
    </cfRule>
  </conditionalFormatting>
  <conditionalFormatting sqref="AC22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2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2">
    <cfRule type="expression" priority="223" dxfId="3">
      <formula>AND(IF(OR($Q22=1,$Q22=2),1,0),IF($X22&lt;=20,1,0))</formula>
    </cfRule>
    <cfRule type="expression" priority="224" dxfId="2">
      <formula>AND(IF($Q22=2,1,0),IF($X22&lt;30,1,0))</formula>
    </cfRule>
    <cfRule type="expression" priority="225" dxfId="1">
      <formula>AND(IF($Q22=3,1,0),IF($X22&lt;30,1,0))</formula>
    </cfRule>
    <cfRule type="expression" priority="226" dxfId="0">
      <formula>AND(IF($Q22=3,1,IF($Q22=4,1,0)),IF($F22&lt;=85,1,0))</formula>
    </cfRule>
  </conditionalFormatting>
  <conditionalFormatting sqref="X22">
    <cfRule type="expression" priority="219" dxfId="3">
      <formula>AND(IF(OR($Q22=1,$Q22=2),1,0),IF($X22&lt;=20,1,0))</formula>
    </cfRule>
    <cfRule type="expression" priority="220" dxfId="2">
      <formula>AND(IF($Q22=2,1,0),IF($X22&lt;30,1,0))</formula>
    </cfRule>
    <cfRule type="expression" priority="221" dxfId="1">
      <formula>AND(IF($Q22=3,1,0),IF($X22&lt;30,1,0))</formula>
    </cfRule>
    <cfRule type="expression" priority="222" dxfId="0">
      <formula>AND(IF($Q22=3,1,IF($Q22=4,1,0)),IF($F22&lt;=85,1,0))</formula>
    </cfRule>
  </conditionalFormatting>
  <conditionalFormatting sqref="AI22">
    <cfRule type="expression" priority="215" dxfId="3">
      <formula>AND(IF(OR($Q22=1,$Q22=2),1,0),IF($X22&lt;=20,1,0))</formula>
    </cfRule>
    <cfRule type="expression" priority="216" dxfId="2">
      <formula>AND(IF($Q22=2,1,0),IF($X22&lt;30,1,0))</formula>
    </cfRule>
    <cfRule type="expression" priority="217" dxfId="1">
      <formula>AND(IF($Q22=3,1,0),IF($X22&lt;30,1,0))</formula>
    </cfRule>
    <cfRule type="expression" priority="218" dxfId="0">
      <formula>AND(IF($Q22=3,1,IF($Q22=4,1,0)),IF($F22&lt;=85,1,0))</formula>
    </cfRule>
  </conditionalFormatting>
  <conditionalFormatting sqref="AV23">
    <cfRule type="expression" priority="213" dxfId="17">
      <formula>AV23="X"</formula>
    </cfRule>
    <cfRule type="expression" priority="214" dxfId="16">
      <formula>AV23="후보"</formula>
    </cfRule>
  </conditionalFormatting>
  <conditionalFormatting sqref="AC23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23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23">
    <cfRule type="expression" priority="204" dxfId="3">
      <formula>AND(IF(OR($Q23=1,$Q23=2),1,0),IF($X23&lt;=20,1,0))</formula>
    </cfRule>
    <cfRule type="expression" priority="205" dxfId="2">
      <formula>AND(IF($Q23=2,1,0),IF($X23&lt;30,1,0))</formula>
    </cfRule>
    <cfRule type="expression" priority="206" dxfId="1">
      <formula>AND(IF($Q23=3,1,0),IF($X23&lt;30,1,0))</formula>
    </cfRule>
    <cfRule type="expression" priority="207" dxfId="0">
      <formula>AND(IF($Q23=3,1,IF($Q23=4,1,0)),IF($F23&lt;=85,1,0))</formula>
    </cfRule>
  </conditionalFormatting>
  <conditionalFormatting sqref="X23">
    <cfRule type="expression" priority="200" dxfId="3">
      <formula>AND(IF(OR($Q23=1,$Q23=2),1,0),IF($X23&lt;=20,1,0))</formula>
    </cfRule>
    <cfRule type="expression" priority="201" dxfId="2">
      <formula>AND(IF($Q23=2,1,0),IF($X23&lt;30,1,0))</formula>
    </cfRule>
    <cfRule type="expression" priority="202" dxfId="1">
      <formula>AND(IF($Q23=3,1,0),IF($X23&lt;30,1,0))</formula>
    </cfRule>
    <cfRule type="expression" priority="203" dxfId="0">
      <formula>AND(IF($Q23=3,1,IF($Q23=4,1,0)),IF($F23&lt;=85,1,0))</formula>
    </cfRule>
  </conditionalFormatting>
  <conditionalFormatting sqref="AI23">
    <cfRule type="expression" priority="196" dxfId="3">
      <formula>AND(IF(OR($Q23=1,$Q23=2),1,0),IF($X23&lt;=20,1,0))</formula>
    </cfRule>
    <cfRule type="expression" priority="197" dxfId="2">
      <formula>AND(IF($Q23=2,1,0),IF($X23&lt;30,1,0))</formula>
    </cfRule>
    <cfRule type="expression" priority="198" dxfId="1">
      <formula>AND(IF($Q23=3,1,0),IF($X23&lt;30,1,0))</formula>
    </cfRule>
    <cfRule type="expression" priority="199" dxfId="0">
      <formula>AND(IF($Q23=3,1,IF($Q23=4,1,0)),IF($F23&lt;=85,1,0))</formula>
    </cfRule>
  </conditionalFormatting>
  <conditionalFormatting sqref="AV24">
    <cfRule type="expression" priority="194" dxfId="17">
      <formula>AV24="X"</formula>
    </cfRule>
    <cfRule type="expression" priority="195" dxfId="16">
      <formula>AV24="후보"</formula>
    </cfRule>
  </conditionalFormatting>
  <conditionalFormatting sqref="AC24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4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4">
    <cfRule type="expression" priority="185" dxfId="3">
      <formula>AND(IF(OR($Q24=1,$Q24=2),1,0),IF($X24&lt;=20,1,0))</formula>
    </cfRule>
    <cfRule type="expression" priority="186" dxfId="2">
      <formula>AND(IF($Q24=2,1,0),IF($X24&lt;30,1,0))</formula>
    </cfRule>
    <cfRule type="expression" priority="187" dxfId="1">
      <formula>AND(IF($Q24=3,1,0),IF($X24&lt;30,1,0))</formula>
    </cfRule>
    <cfRule type="expression" priority="188" dxfId="0">
      <formula>AND(IF($Q24=3,1,IF($Q24=4,1,0)),IF($F24&lt;=85,1,0))</formula>
    </cfRule>
  </conditionalFormatting>
  <conditionalFormatting sqref="X24">
    <cfRule type="expression" priority="181" dxfId="3">
      <formula>AND(IF(OR($Q24=1,$Q24=2),1,0),IF($X24&lt;=20,1,0))</formula>
    </cfRule>
    <cfRule type="expression" priority="182" dxfId="2">
      <formula>AND(IF($Q24=2,1,0),IF($X24&lt;30,1,0))</formula>
    </cfRule>
    <cfRule type="expression" priority="183" dxfId="1">
      <formula>AND(IF($Q24=3,1,0),IF($X24&lt;30,1,0))</formula>
    </cfRule>
    <cfRule type="expression" priority="184" dxfId="0">
      <formula>AND(IF($Q24=3,1,IF($Q24=4,1,0)),IF($F24&lt;=85,1,0))</formula>
    </cfRule>
  </conditionalFormatting>
  <conditionalFormatting sqref="AI24">
    <cfRule type="expression" priority="177" dxfId="3">
      <formula>AND(IF(OR($Q24=1,$Q24=2),1,0),IF($X24&lt;=20,1,0))</formula>
    </cfRule>
    <cfRule type="expression" priority="178" dxfId="2">
      <formula>AND(IF($Q24=2,1,0),IF($X24&lt;30,1,0))</formula>
    </cfRule>
    <cfRule type="expression" priority="179" dxfId="1">
      <formula>AND(IF($Q24=3,1,0),IF($X24&lt;30,1,0))</formula>
    </cfRule>
    <cfRule type="expression" priority="180" dxfId="0">
      <formula>AND(IF($Q24=3,1,IF($Q24=4,1,0)),IF($F24&lt;=85,1,0))</formula>
    </cfRule>
  </conditionalFormatting>
  <conditionalFormatting sqref="AV25">
    <cfRule type="expression" priority="175" dxfId="17">
      <formula>AV25="X"</formula>
    </cfRule>
    <cfRule type="expression" priority="176" dxfId="16">
      <formula>AV25="후보"</formula>
    </cfRule>
  </conditionalFormatting>
  <conditionalFormatting sqref="AC25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5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5">
    <cfRule type="expression" priority="166" dxfId="3">
      <formula>AND(IF(OR($Q25=1,$Q25=2),1,0),IF($X25&lt;=20,1,0))</formula>
    </cfRule>
    <cfRule type="expression" priority="167" dxfId="2">
      <formula>AND(IF($Q25=2,1,0),IF($X25&lt;30,1,0))</formula>
    </cfRule>
    <cfRule type="expression" priority="168" dxfId="1">
      <formula>AND(IF($Q25=3,1,0),IF($X25&lt;30,1,0))</formula>
    </cfRule>
    <cfRule type="expression" priority="169" dxfId="0">
      <formula>AND(IF($Q25=3,1,IF($Q25=4,1,0)),IF($F25&lt;=85,1,0))</formula>
    </cfRule>
  </conditionalFormatting>
  <conditionalFormatting sqref="X25">
    <cfRule type="expression" priority="162" dxfId="3">
      <formula>AND(IF(OR($Q25=1,$Q25=2),1,0),IF($X25&lt;=20,1,0))</formula>
    </cfRule>
    <cfRule type="expression" priority="163" dxfId="2">
      <formula>AND(IF($Q25=2,1,0),IF($X25&lt;30,1,0))</formula>
    </cfRule>
    <cfRule type="expression" priority="164" dxfId="1">
      <formula>AND(IF($Q25=3,1,0),IF($X25&lt;30,1,0))</formula>
    </cfRule>
    <cfRule type="expression" priority="165" dxfId="0">
      <formula>AND(IF($Q25=3,1,IF($Q25=4,1,0)),IF($F25&lt;=85,1,0))</formula>
    </cfRule>
  </conditionalFormatting>
  <conditionalFormatting sqref="AI25">
    <cfRule type="expression" priority="158" dxfId="3">
      <formula>AND(IF(OR($Q25=1,$Q25=2),1,0),IF($X25&lt;=20,1,0))</formula>
    </cfRule>
    <cfRule type="expression" priority="159" dxfId="2">
      <formula>AND(IF($Q25=2,1,0),IF($X25&lt;30,1,0))</formula>
    </cfRule>
    <cfRule type="expression" priority="160" dxfId="1">
      <formula>AND(IF($Q25=3,1,0),IF($X25&lt;30,1,0))</formula>
    </cfRule>
    <cfRule type="expression" priority="161" dxfId="0">
      <formula>AND(IF($Q25=3,1,IF($Q25=4,1,0)),IF($F25&lt;=85,1,0))</formula>
    </cfRule>
  </conditionalFormatting>
  <conditionalFormatting sqref="AV26">
    <cfRule type="expression" priority="156" dxfId="17">
      <formula>AV26="X"</formula>
    </cfRule>
    <cfRule type="expression" priority="157" dxfId="16">
      <formula>AV26="후보"</formula>
    </cfRule>
  </conditionalFormatting>
  <conditionalFormatting sqref="AC26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6">
    <cfRule type="expression" priority="147" dxfId="3">
      <formula>AND(IF(OR($Q26=1,$Q26=2),1,0),IF($X26&lt;=20,1,0))</formula>
    </cfRule>
    <cfRule type="expression" priority="148" dxfId="2">
      <formula>AND(IF($Q26=2,1,0),IF($X26&lt;30,1,0))</formula>
    </cfRule>
    <cfRule type="expression" priority="149" dxfId="1">
      <formula>AND(IF($Q26=3,1,0),IF($X26&lt;30,1,0))</formula>
    </cfRule>
    <cfRule type="expression" priority="150" dxfId="0">
      <formula>AND(IF($Q26=3,1,IF($Q26=4,1,0)),IF($F26&lt;=85,1,0))</formula>
    </cfRule>
  </conditionalFormatting>
  <conditionalFormatting sqref="X26">
    <cfRule type="expression" priority="143" dxfId="3">
      <formula>AND(IF(OR($Q26=1,$Q26=2),1,0),IF($X26&lt;=20,1,0))</formula>
    </cfRule>
    <cfRule type="expression" priority="144" dxfId="2">
      <formula>AND(IF($Q26=2,1,0),IF($X26&lt;30,1,0))</formula>
    </cfRule>
    <cfRule type="expression" priority="145" dxfId="1">
      <formula>AND(IF($Q26=3,1,0),IF($X26&lt;30,1,0))</formula>
    </cfRule>
    <cfRule type="expression" priority="146" dxfId="0">
      <formula>AND(IF($Q26=3,1,IF($Q26=4,1,0)),IF($F26&lt;=85,1,0))</formula>
    </cfRule>
  </conditionalFormatting>
  <conditionalFormatting sqref="AI26">
    <cfRule type="expression" priority="139" dxfId="3">
      <formula>AND(IF(OR($Q26=1,$Q26=2),1,0),IF($X26&lt;=20,1,0))</formula>
    </cfRule>
    <cfRule type="expression" priority="140" dxfId="2">
      <formula>AND(IF($Q26=2,1,0),IF($X26&lt;30,1,0))</formula>
    </cfRule>
    <cfRule type="expression" priority="141" dxfId="1">
      <formula>AND(IF($Q26=3,1,0),IF($X26&lt;30,1,0))</formula>
    </cfRule>
    <cfRule type="expression" priority="142" dxfId="0">
      <formula>AND(IF($Q26=3,1,IF($Q26=4,1,0)),IF($F26&lt;=85,1,0))</formula>
    </cfRule>
  </conditionalFormatting>
  <conditionalFormatting sqref="AV27">
    <cfRule type="expression" priority="137" dxfId="17">
      <formula>AV27="X"</formula>
    </cfRule>
    <cfRule type="expression" priority="138" dxfId="16">
      <formula>AV27="후보"</formula>
    </cfRule>
  </conditionalFormatting>
  <conditionalFormatting sqref="AC27 N2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28">
    <cfRule type="expression" priority="132" dxfId="17">
      <formula>AV28="X"</formula>
    </cfRule>
    <cfRule type="expression" priority="133" dxfId="16">
      <formula>AV28="후보"</formula>
    </cfRule>
  </conditionalFormatting>
  <conditionalFormatting sqref="AC28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8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8">
    <cfRule type="expression" priority="123" dxfId="3">
      <formula>AND(IF(OR($Q28=1,$Q28=2),1,0),IF($X28&lt;=20,1,0))</formula>
    </cfRule>
    <cfRule type="expression" priority="124" dxfId="2">
      <formula>AND(IF($Q28=2,1,0),IF($X28&lt;30,1,0))</formula>
    </cfRule>
    <cfRule type="expression" priority="125" dxfId="1">
      <formula>AND(IF($Q28=3,1,0),IF($X28&lt;30,1,0))</formula>
    </cfRule>
    <cfRule type="expression" priority="126" dxfId="0">
      <formula>AND(IF($Q28=3,1,IF($Q28=4,1,0)),IF($F28&lt;=85,1,0))</formula>
    </cfRule>
  </conditionalFormatting>
  <conditionalFormatting sqref="X28">
    <cfRule type="expression" priority="119" dxfId="3">
      <formula>AND(IF(OR($Q28=1,$Q28=2),1,0),IF($X28&lt;=20,1,0))</formula>
    </cfRule>
    <cfRule type="expression" priority="120" dxfId="2">
      <formula>AND(IF($Q28=2,1,0),IF($X28&lt;30,1,0))</formula>
    </cfRule>
    <cfRule type="expression" priority="121" dxfId="1">
      <formula>AND(IF($Q28=3,1,0),IF($X28&lt;30,1,0))</formula>
    </cfRule>
    <cfRule type="expression" priority="122" dxfId="0">
      <formula>AND(IF($Q28=3,1,IF($Q28=4,1,0)),IF($F28&lt;=85,1,0))</formula>
    </cfRule>
  </conditionalFormatting>
  <conditionalFormatting sqref="AI28">
    <cfRule type="expression" priority="115" dxfId="3">
      <formula>AND(IF(OR($Q28=1,$Q28=2),1,0),IF($X28&lt;=20,1,0))</formula>
    </cfRule>
    <cfRule type="expression" priority="116" dxfId="2">
      <formula>AND(IF($Q28=2,1,0),IF($X28&lt;30,1,0))</formula>
    </cfRule>
    <cfRule type="expression" priority="117" dxfId="1">
      <formula>AND(IF($Q28=3,1,0),IF($X28&lt;30,1,0))</formula>
    </cfRule>
    <cfRule type="expression" priority="118" dxfId="0">
      <formula>AND(IF($Q28=3,1,IF($Q28=4,1,0)),IF($F28&lt;=85,1,0))</formula>
    </cfRule>
  </conditionalFormatting>
  <conditionalFormatting sqref="AV29">
    <cfRule type="expression" priority="113" dxfId="17">
      <formula>AV29="X"</formula>
    </cfRule>
    <cfRule type="expression" priority="114" dxfId="16">
      <formula>AV29="후보"</formula>
    </cfRule>
  </conditionalFormatting>
  <conditionalFormatting sqref="AC29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9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9">
    <cfRule type="expression" priority="104" dxfId="3">
      <formula>AND(IF(OR($Q29=1,$Q29=2),1,0),IF($X29&lt;=20,1,0))</formula>
    </cfRule>
    <cfRule type="expression" priority="105" dxfId="2">
      <formula>AND(IF($Q29=2,1,0),IF($X29&lt;30,1,0))</formula>
    </cfRule>
    <cfRule type="expression" priority="106" dxfId="1">
      <formula>AND(IF($Q29=3,1,0),IF($X29&lt;30,1,0))</formula>
    </cfRule>
    <cfRule type="expression" priority="107" dxfId="0">
      <formula>AND(IF($Q29=3,1,IF($Q29=4,1,0)),IF($F29&lt;=85,1,0))</formula>
    </cfRule>
  </conditionalFormatting>
  <conditionalFormatting sqref="X29">
    <cfRule type="expression" priority="100" dxfId="3">
      <formula>AND(IF(OR($Q29=1,$Q29=2),1,0),IF($X29&lt;=20,1,0))</formula>
    </cfRule>
    <cfRule type="expression" priority="101" dxfId="2">
      <formula>AND(IF($Q29=2,1,0),IF($X29&lt;30,1,0))</formula>
    </cfRule>
    <cfRule type="expression" priority="102" dxfId="1">
      <formula>AND(IF($Q29=3,1,0),IF($X29&lt;30,1,0))</formula>
    </cfRule>
    <cfRule type="expression" priority="103" dxfId="0">
      <formula>AND(IF($Q29=3,1,IF($Q29=4,1,0)),IF($F29&lt;=85,1,0))</formula>
    </cfRule>
  </conditionalFormatting>
  <conditionalFormatting sqref="AI29">
    <cfRule type="expression" priority="96" dxfId="3">
      <formula>AND(IF(OR($Q29=1,$Q29=2),1,0),IF($X29&lt;=20,1,0))</formula>
    </cfRule>
    <cfRule type="expression" priority="97" dxfId="2">
      <formula>AND(IF($Q29=2,1,0),IF($X29&lt;30,1,0))</formula>
    </cfRule>
    <cfRule type="expression" priority="98" dxfId="1">
      <formula>AND(IF($Q29=3,1,0),IF($X29&lt;30,1,0))</formula>
    </cfRule>
    <cfRule type="expression" priority="99" dxfId="0">
      <formula>AND(IF($Q29=3,1,IF($Q29=4,1,0)),IF($F29&lt;=85,1,0))</formula>
    </cfRule>
  </conditionalFormatting>
  <conditionalFormatting sqref="AV30">
    <cfRule type="expression" priority="94" dxfId="17">
      <formula>AV30="X"</formula>
    </cfRule>
    <cfRule type="expression" priority="95" dxfId="16">
      <formula>AV30="후보"</formula>
    </cfRule>
  </conditionalFormatting>
  <conditionalFormatting sqref="AC3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0">
    <cfRule type="expression" priority="85" dxfId="3">
      <formula>AND(IF(OR($Q30=1,$Q30=2),1,0),IF($X30&lt;=20,1,0))</formula>
    </cfRule>
    <cfRule type="expression" priority="86" dxfId="2">
      <formula>AND(IF($Q30=2,1,0),IF($X30&lt;30,1,0))</formula>
    </cfRule>
    <cfRule type="expression" priority="87" dxfId="1">
      <formula>AND(IF($Q30=3,1,0),IF($X30&lt;30,1,0))</formula>
    </cfRule>
    <cfRule type="expression" priority="88" dxfId="0">
      <formula>AND(IF($Q30=3,1,IF($Q30=4,1,0)),IF($F30&lt;=85,1,0))</formula>
    </cfRule>
  </conditionalFormatting>
  <conditionalFormatting sqref="X30">
    <cfRule type="expression" priority="81" dxfId="3">
      <formula>AND(IF(OR($Q30=1,$Q30=2),1,0),IF($X30&lt;=20,1,0))</formula>
    </cfRule>
    <cfRule type="expression" priority="82" dxfId="2">
      <formula>AND(IF($Q30=2,1,0),IF($X30&lt;30,1,0))</formula>
    </cfRule>
    <cfRule type="expression" priority="83" dxfId="1">
      <formula>AND(IF($Q30=3,1,0),IF($X30&lt;30,1,0))</formula>
    </cfRule>
    <cfRule type="expression" priority="84" dxfId="0">
      <formula>AND(IF($Q30=3,1,IF($Q30=4,1,0)),IF($F30&lt;=85,1,0))</formula>
    </cfRule>
  </conditionalFormatting>
  <conditionalFormatting sqref="AI30">
    <cfRule type="expression" priority="77" dxfId="3">
      <formula>AND(IF(OR($Q30=1,$Q30=2),1,0),IF($X30&lt;=20,1,0))</formula>
    </cfRule>
    <cfRule type="expression" priority="78" dxfId="2">
      <formula>AND(IF($Q30=2,1,0),IF($X30&lt;30,1,0))</formula>
    </cfRule>
    <cfRule type="expression" priority="79" dxfId="1">
      <formula>AND(IF($Q30=3,1,0),IF($X30&lt;30,1,0))</formula>
    </cfRule>
    <cfRule type="expression" priority="80" dxfId="0">
      <formula>AND(IF($Q30=3,1,IF($Q30=4,1,0)),IF($F30&lt;=85,1,0))</formula>
    </cfRule>
  </conditionalFormatting>
  <conditionalFormatting sqref="AV31">
    <cfRule type="expression" priority="75" dxfId="17">
      <formula>AV31="X"</formula>
    </cfRule>
    <cfRule type="expression" priority="76" dxfId="16">
      <formula>AV31="후보"</formula>
    </cfRule>
  </conditionalFormatting>
  <conditionalFormatting sqref="AC3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1">
    <cfRule type="expression" priority="66" dxfId="3">
      <formula>AND(IF(OR($Q31=1,$Q31=2),1,0),IF($X31&lt;=20,1,0))</formula>
    </cfRule>
    <cfRule type="expression" priority="67" dxfId="2">
      <formula>AND(IF($Q31=2,1,0),IF($X31&lt;30,1,0))</formula>
    </cfRule>
    <cfRule type="expression" priority="68" dxfId="1">
      <formula>AND(IF($Q31=3,1,0),IF($X31&lt;30,1,0))</formula>
    </cfRule>
    <cfRule type="expression" priority="69" dxfId="0">
      <formula>AND(IF($Q31=3,1,IF($Q31=4,1,0)),IF($F31&lt;=85,1,0))</formula>
    </cfRule>
  </conditionalFormatting>
  <conditionalFormatting sqref="X31">
    <cfRule type="expression" priority="62" dxfId="3">
      <formula>AND(IF(OR($Q31=1,$Q31=2),1,0),IF($X31&lt;=20,1,0))</formula>
    </cfRule>
    <cfRule type="expression" priority="63" dxfId="2">
      <formula>AND(IF($Q31=2,1,0),IF($X31&lt;30,1,0))</formula>
    </cfRule>
    <cfRule type="expression" priority="64" dxfId="1">
      <formula>AND(IF($Q31=3,1,0),IF($X31&lt;30,1,0))</formula>
    </cfRule>
    <cfRule type="expression" priority="65" dxfId="0">
      <formula>AND(IF($Q31=3,1,IF($Q31=4,1,0)),IF($F31&lt;=85,1,0))</formula>
    </cfRule>
  </conditionalFormatting>
  <conditionalFormatting sqref="AI31">
    <cfRule type="expression" priority="58" dxfId="3">
      <formula>AND(IF(OR($Q31=1,$Q31=2),1,0),IF($X31&lt;=20,1,0))</formula>
    </cfRule>
    <cfRule type="expression" priority="59" dxfId="2">
      <formula>AND(IF($Q31=2,1,0),IF($X31&lt;30,1,0))</formula>
    </cfRule>
    <cfRule type="expression" priority="60" dxfId="1">
      <formula>AND(IF($Q31=3,1,0),IF($X31&lt;30,1,0))</formula>
    </cfRule>
    <cfRule type="expression" priority="61" dxfId="0">
      <formula>AND(IF($Q31=3,1,IF($Q31=4,1,0)),IF($F31&lt;=85,1,0))</formula>
    </cfRule>
  </conditionalFormatting>
  <conditionalFormatting sqref="AV32">
    <cfRule type="expression" priority="56" dxfId="17">
      <formula>AV32="X"</formula>
    </cfRule>
    <cfRule type="expression" priority="57" dxfId="16">
      <formula>AV32="후보"</formula>
    </cfRule>
  </conditionalFormatting>
  <conditionalFormatting sqref="AC3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2">
    <cfRule type="expression" priority="47" dxfId="3">
      <formula>AND(IF(OR($Q32=1,$Q32=2),1,0),IF($X32&lt;=20,1,0))</formula>
    </cfRule>
    <cfRule type="expression" priority="48" dxfId="2">
      <formula>AND(IF($Q32=2,1,0),IF($X32&lt;30,1,0))</formula>
    </cfRule>
    <cfRule type="expression" priority="49" dxfId="1">
      <formula>AND(IF($Q32=3,1,0),IF($X32&lt;30,1,0))</formula>
    </cfRule>
    <cfRule type="expression" priority="50" dxfId="0">
      <formula>AND(IF($Q32=3,1,IF($Q32=4,1,0)),IF($F32&lt;=85,1,0))</formula>
    </cfRule>
  </conditionalFormatting>
  <conditionalFormatting sqref="X32">
    <cfRule type="expression" priority="43" dxfId="3">
      <formula>AND(IF(OR($Q32=1,$Q32=2),1,0),IF($X32&lt;=20,1,0))</formula>
    </cfRule>
    <cfRule type="expression" priority="44" dxfId="2">
      <formula>AND(IF($Q32=2,1,0),IF($X32&lt;30,1,0))</formula>
    </cfRule>
    <cfRule type="expression" priority="45" dxfId="1">
      <formula>AND(IF($Q32=3,1,0),IF($X32&lt;30,1,0))</formula>
    </cfRule>
    <cfRule type="expression" priority="46" dxfId="0">
      <formula>AND(IF($Q32=3,1,IF($Q32=4,1,0)),IF($F32&lt;=85,1,0))</formula>
    </cfRule>
  </conditionalFormatting>
  <conditionalFormatting sqref="AI32">
    <cfRule type="expression" priority="39" dxfId="3">
      <formula>AND(IF(OR($Q32=1,$Q32=2),1,0),IF($X32&lt;=20,1,0))</formula>
    </cfRule>
    <cfRule type="expression" priority="40" dxfId="2">
      <formula>AND(IF($Q32=2,1,0),IF($X32&lt;30,1,0))</formula>
    </cfRule>
    <cfRule type="expression" priority="41" dxfId="1">
      <formula>AND(IF($Q32=3,1,0),IF($X32&lt;30,1,0))</formula>
    </cfRule>
    <cfRule type="expression" priority="42" dxfId="0">
      <formula>AND(IF($Q32=3,1,IF($Q32=4,1,0)),IF($F32&lt;=85,1,0))</formula>
    </cfRule>
  </conditionalFormatting>
  <conditionalFormatting sqref="AV33">
    <cfRule type="expression" priority="37" dxfId="17">
      <formula>AV33="X"</formula>
    </cfRule>
    <cfRule type="expression" priority="38" dxfId="16">
      <formula>AV33="후보"</formula>
    </cfRule>
  </conditionalFormatting>
  <conditionalFormatting sqref="AC3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3">
    <cfRule type="expression" priority="28" dxfId="3">
      <formula>AND(IF(OR($Q33=1,$Q33=2),1,0),IF($X33&lt;=20,1,0))</formula>
    </cfRule>
    <cfRule type="expression" priority="29" dxfId="2">
      <formula>AND(IF($Q33=2,1,0),IF($X33&lt;30,1,0))</formula>
    </cfRule>
    <cfRule type="expression" priority="30" dxfId="1">
      <formula>AND(IF($Q33=3,1,0),IF($X33&lt;30,1,0))</formula>
    </cfRule>
    <cfRule type="expression" priority="31" dxfId="0">
      <formula>AND(IF($Q33=3,1,IF($Q33=4,1,0)),IF($F33&lt;=85,1,0))</formula>
    </cfRule>
  </conditionalFormatting>
  <conditionalFormatting sqref="X33">
    <cfRule type="expression" priority="24" dxfId="3">
      <formula>AND(IF(OR($Q33=1,$Q33=2),1,0),IF($X33&lt;=20,1,0))</formula>
    </cfRule>
    <cfRule type="expression" priority="25" dxfId="2">
      <formula>AND(IF($Q33=2,1,0),IF($X33&lt;30,1,0))</formula>
    </cfRule>
    <cfRule type="expression" priority="26" dxfId="1">
      <formula>AND(IF($Q33=3,1,0),IF($X33&lt;30,1,0))</formula>
    </cfRule>
    <cfRule type="expression" priority="27" dxfId="0">
      <formula>AND(IF($Q33=3,1,IF($Q33=4,1,0)),IF($F33&lt;=85,1,0))</formula>
    </cfRule>
  </conditionalFormatting>
  <conditionalFormatting sqref="AI33">
    <cfRule type="expression" priority="20" dxfId="3">
      <formula>AND(IF(OR($Q33=1,$Q33=2),1,0),IF($X33&lt;=20,1,0))</formula>
    </cfRule>
    <cfRule type="expression" priority="21" dxfId="2">
      <formula>AND(IF($Q33=2,1,0),IF($X33&lt;30,1,0))</formula>
    </cfRule>
    <cfRule type="expression" priority="22" dxfId="1">
      <formula>AND(IF($Q33=3,1,0),IF($X33&lt;30,1,0))</formula>
    </cfRule>
    <cfRule type="expression" priority="23" dxfId="0">
      <formula>AND(IF($Q33=3,1,IF($Q33=4,1,0)),IF($F33&lt;=85,1,0))</formula>
    </cfRule>
  </conditionalFormatting>
  <conditionalFormatting sqref="AV34">
    <cfRule type="expression" priority="18" dxfId="17">
      <formula>AV34="X"</formula>
    </cfRule>
    <cfRule type="expression" priority="19" dxfId="16">
      <formula>AV34="후보"</formula>
    </cfRule>
  </conditionalFormatting>
  <conditionalFormatting sqref="AC3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4">
    <cfRule type="expression" priority="9" dxfId="3">
      <formula>AND(IF(OR($Q34=1,$Q34=2),1,0),IF($X34&lt;=20,1,0))</formula>
    </cfRule>
    <cfRule type="expression" priority="10" dxfId="2">
      <formula>AND(IF($Q34=2,1,0),IF($X34&lt;30,1,0))</formula>
    </cfRule>
    <cfRule type="expression" priority="11" dxfId="1">
      <formula>AND(IF($Q34=3,1,0),IF($X34&lt;30,1,0))</formula>
    </cfRule>
    <cfRule type="expression" priority="12" dxfId="0">
      <formula>AND(IF($Q34=3,1,IF($Q34=4,1,0)),IF($F34&lt;=85,1,0))</formula>
    </cfRule>
  </conditionalFormatting>
  <conditionalFormatting sqref="X34">
    <cfRule type="expression" priority="5" dxfId="3">
      <formula>AND(IF(OR($Q34=1,$Q34=2),1,0),IF($X34&lt;=20,1,0))</formula>
    </cfRule>
    <cfRule type="expression" priority="6" dxfId="2">
      <formula>AND(IF($Q34=2,1,0),IF($X34&lt;30,1,0))</formula>
    </cfRule>
    <cfRule type="expression" priority="7" dxfId="1">
      <formula>AND(IF($Q34=3,1,0),IF($X34&lt;30,1,0))</formula>
    </cfRule>
    <cfRule type="expression" priority="8" dxfId="0">
      <formula>AND(IF($Q34=3,1,IF($Q34=4,1,0)),IF($F34&lt;=85,1,0))</formula>
    </cfRule>
  </conditionalFormatting>
  <conditionalFormatting sqref="AI34">
    <cfRule type="expression" priority="1" dxfId="3">
      <formula>AND(IF(OR($Q34=1,$Q34=2),1,0),IF($X34&lt;=20,1,0))</formula>
    </cfRule>
    <cfRule type="expression" priority="2" dxfId="2">
      <formula>AND(IF($Q34=2,1,0),IF($X34&lt;30,1,0))</formula>
    </cfRule>
    <cfRule type="expression" priority="3" dxfId="1">
      <formula>AND(IF($Q34=3,1,0),IF($X34&lt;30,1,0))</formula>
    </cfRule>
    <cfRule type="expression" priority="4" dxfId="0">
      <formula>AND(IF($Q34=3,1,IF($Q34=4,1,0)),IF($F34&lt;=85,1,0))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4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9" sqref="A49:XFD4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왕길동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동남디아망</t>
        </is>
      </c>
      <c r="B6" s="16" t="inlineStr">
        <is>
          <t>'06.05.</t>
        </is>
      </c>
      <c r="C6" s="164" t="n">
        <v>308</v>
      </c>
      <c r="D6" s="161" t="n">
        <v>112.9</v>
      </c>
      <c r="E6" s="163" t="n">
        <v>34</v>
      </c>
      <c r="F6" s="161" t="n">
        <v>85</v>
      </c>
      <c r="G6" s="27" t="n">
        <v>26</v>
      </c>
      <c r="H6" s="164" t="n">
        <v>308</v>
      </c>
      <c r="I6" s="165" t="n">
        <v>37000</v>
      </c>
      <c r="J6" s="165" t="inlineStr">
        <is>
          <t>6</t>
        </is>
      </c>
      <c r="K6" s="165" t="n">
        <v>25000</v>
      </c>
      <c r="L6" s="165" t="inlineStr">
        <is>
          <t>고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112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1" t="n"/>
      <c r="G7" s="13" t="n"/>
      <c r="H7" s="13" t="n"/>
      <c r="I7" s="13" t="n"/>
      <c r="J7" s="13" t="n"/>
      <c r="K7" s="13" t="n"/>
      <c r="L7" s="13" t="n"/>
      <c r="M7" s="13" t="n"/>
      <c r="N7" s="13" t="n"/>
      <c r="O7" s="162" t="n"/>
      <c r="P7" s="162" t="n"/>
      <c r="Q7" s="163" t="n"/>
      <c r="R7" s="163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0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검단e-편한세상</t>
        </is>
      </c>
      <c r="B8" s="16" t="inlineStr">
        <is>
          <t>'07.06.</t>
        </is>
      </c>
      <c r="C8" s="164" t="n">
        <v>1003</v>
      </c>
      <c r="D8" s="161" t="n">
        <v>109.6</v>
      </c>
      <c r="E8" s="163" t="n">
        <v>33</v>
      </c>
      <c r="F8" s="161" t="n">
        <v>84.90000000000001</v>
      </c>
      <c r="G8" s="27" t="n">
        <v>26</v>
      </c>
      <c r="H8" s="164" t="n">
        <v>716</v>
      </c>
      <c r="I8" s="165" t="n">
        <v>43000</v>
      </c>
      <c r="J8" s="165" t="inlineStr">
        <is>
          <t>6</t>
        </is>
      </c>
      <c r="K8" s="165" t="n">
        <v>27000</v>
      </c>
      <c r="L8" s="165" t="inlineStr">
        <is>
          <t>고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109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검단e-편한세상</t>
        </is>
      </c>
      <c r="B9" s="16" t="inlineStr">
        <is>
          <t>'07.06.</t>
        </is>
      </c>
      <c r="C9" s="164" t="n">
        <v>1003</v>
      </c>
      <c r="D9" s="161" t="n">
        <v>142.6</v>
      </c>
      <c r="E9" s="163" t="n">
        <v>43</v>
      </c>
      <c r="F9" s="161" t="n">
        <v>120.1</v>
      </c>
      <c r="G9" s="27" t="n">
        <v>36</v>
      </c>
      <c r="H9" s="164" t="n">
        <v>146</v>
      </c>
      <c r="I9" s="165" t="n">
        <v>51000</v>
      </c>
      <c r="J9" s="165" t="inlineStr">
        <is>
          <t>5</t>
        </is>
      </c>
      <c r="K9" s="165" t="n">
        <v>38000</v>
      </c>
      <c r="L9" s="165" t="inlineStr">
        <is>
          <t>중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n">
        <v>142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검단e-편한세상</t>
        </is>
      </c>
      <c r="B10" s="16" t="inlineStr">
        <is>
          <t>'07.06.</t>
        </is>
      </c>
      <c r="C10" s="164" t="n">
        <v>1003</v>
      </c>
      <c r="D10" s="161" t="n">
        <v>158.8</v>
      </c>
      <c r="E10" s="163" t="n">
        <v>48</v>
      </c>
      <c r="F10" s="161" t="n">
        <v>132.7</v>
      </c>
      <c r="G10" s="27" t="n">
        <v>40</v>
      </c>
      <c r="H10" s="164" t="n">
        <v>83</v>
      </c>
      <c r="I10" s="165" t="n">
        <v>52000</v>
      </c>
      <c r="J10" s="165" t="inlineStr">
        <is>
          <t>5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n">
        <v>158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검단e-편한세상</t>
        </is>
      </c>
      <c r="B11" s="16" t="inlineStr">
        <is>
          <t>'07.06.</t>
        </is>
      </c>
      <c r="C11" s="164" t="n">
        <v>1003</v>
      </c>
      <c r="D11" s="161" t="n">
        <v>180.8</v>
      </c>
      <c r="E11" s="163" t="n">
        <v>55</v>
      </c>
      <c r="F11" s="161" t="n">
        <v>153.7</v>
      </c>
      <c r="G11" s="27" t="n">
        <v>46</v>
      </c>
      <c r="H11" s="164" t="n">
        <v>58</v>
      </c>
      <c r="I11" s="165" t="n">
        <v>65000</v>
      </c>
      <c r="J11" s="165" t="inlineStr">
        <is>
          <t>15</t>
        </is>
      </c>
      <c r="K11" s="165" t="n">
        <v>45000</v>
      </c>
      <c r="L11" s="165" t="inlineStr">
        <is>
          <t>고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180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드림파크어울림2단지</t>
        </is>
      </c>
      <c r="B13" s="16" t="inlineStr">
        <is>
          <t>'10.12.</t>
        </is>
      </c>
      <c r="C13" s="164" t="n">
        <v>203</v>
      </c>
      <c r="D13" s="161" t="n">
        <v>111.9</v>
      </c>
      <c r="E13" s="163" t="n">
        <v>34</v>
      </c>
      <c r="F13" s="161" t="n">
        <v>84.90000000000001</v>
      </c>
      <c r="G13" s="27" t="n">
        <v>26</v>
      </c>
      <c r="H13" s="164" t="n">
        <v>90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111B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드림파크어울림2단지</t>
        </is>
      </c>
      <c r="B14" s="16" t="inlineStr">
        <is>
          <t>'10.12.</t>
        </is>
      </c>
      <c r="C14" s="164" t="n">
        <v>203</v>
      </c>
      <c r="D14" s="161" t="n">
        <v>111.8</v>
      </c>
      <c r="E14" s="163" t="n">
        <v>34</v>
      </c>
      <c r="F14" s="161" t="n">
        <v>84.8</v>
      </c>
      <c r="G14" s="27" t="n">
        <v>26</v>
      </c>
      <c r="H14" s="164" t="n">
        <v>75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111A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드림파크어울림2단지</t>
        </is>
      </c>
      <c r="B15" s="16" t="inlineStr">
        <is>
          <t>'10.12.</t>
        </is>
      </c>
      <c r="C15" s="164" t="n">
        <v>203</v>
      </c>
      <c r="D15" s="161" t="n">
        <v>112.1</v>
      </c>
      <c r="E15" s="163" t="n">
        <v>34</v>
      </c>
      <c r="F15" s="161" t="n">
        <v>84.8</v>
      </c>
      <c r="G15" s="27" t="n">
        <v>26</v>
      </c>
      <c r="H15" s="164" t="n">
        <v>13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112C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드림파크어울림2단지</t>
        </is>
      </c>
      <c r="B16" s="16" t="inlineStr">
        <is>
          <t>'10.12.</t>
        </is>
      </c>
      <c r="C16" s="164" t="n">
        <v>203</v>
      </c>
      <c r="D16" s="161" t="n">
        <v>133.9</v>
      </c>
      <c r="E16" s="163" t="n">
        <v>40</v>
      </c>
      <c r="F16" s="161" t="n">
        <v>102</v>
      </c>
      <c r="G16" s="27" t="n">
        <v>31</v>
      </c>
      <c r="H16" s="164" t="n">
        <v>25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n">
        <v>133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유승</t>
        </is>
      </c>
      <c r="B18" s="16" t="inlineStr">
        <is>
          <t>'00.04.</t>
        </is>
      </c>
      <c r="C18" s="164" t="n">
        <v>608</v>
      </c>
      <c r="D18" s="161" t="n">
        <v>76.7</v>
      </c>
      <c r="E18" s="163" t="n">
        <v>23</v>
      </c>
      <c r="F18" s="161" t="n">
        <v>59.8</v>
      </c>
      <c r="G18" s="27" t="n">
        <v>18</v>
      </c>
      <c r="H18" s="164" t="n">
        <v>256</v>
      </c>
      <c r="I18" s="165" t="n">
        <v>26500</v>
      </c>
      <c r="J18" s="165" t="inlineStr">
        <is>
          <t>12</t>
        </is>
      </c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1</v>
      </c>
      <c r="S18" s="113" t="inlineStr">
        <is>
          <t>계</t>
        </is>
      </c>
      <c r="T18" s="8" t="n">
        <v>76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유승</t>
        </is>
      </c>
      <c r="B19" s="16" t="inlineStr">
        <is>
          <t>'00.04.</t>
        </is>
      </c>
      <c r="C19" s="164" t="n">
        <v>608</v>
      </c>
      <c r="D19" s="161" t="n">
        <v>109</v>
      </c>
      <c r="E19" s="163" t="n">
        <v>33</v>
      </c>
      <c r="F19" s="161" t="n">
        <v>85</v>
      </c>
      <c r="G19" s="27" t="n">
        <v>26</v>
      </c>
      <c r="H19" s="164" t="n">
        <v>352</v>
      </c>
      <c r="I19" s="165" t="n">
        <v>28000</v>
      </c>
      <c r="J19" s="165" t="inlineStr">
        <is>
          <t>14</t>
        </is>
      </c>
      <c r="K19" s="165" t="n">
        <v>25000</v>
      </c>
      <c r="L19" s="165" t="inlineStr">
        <is>
          <t>11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109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검단자이1단지</t>
        </is>
      </c>
      <c r="B21" s="16" t="inlineStr">
        <is>
          <t>'10.12.</t>
        </is>
      </c>
      <c r="C21" s="164" t="n">
        <v>418</v>
      </c>
      <c r="D21" s="161" t="n">
        <v>113.6</v>
      </c>
      <c r="E21" s="163" t="n">
        <v>34</v>
      </c>
      <c r="F21" s="161" t="n">
        <v>84.7</v>
      </c>
      <c r="G21" s="27" t="n">
        <v>26</v>
      </c>
      <c r="H21" s="164" t="n">
        <v>118</v>
      </c>
      <c r="I21" s="165" t="n">
        <v>43000</v>
      </c>
      <c r="J21" s="165" t="inlineStr">
        <is>
          <t>고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113A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검단자이1단지</t>
        </is>
      </c>
      <c r="B22" s="16" t="inlineStr">
        <is>
          <t>'10.12.</t>
        </is>
      </c>
      <c r="C22" s="164" t="n">
        <v>418</v>
      </c>
      <c r="D22" s="161" t="n">
        <v>113.3</v>
      </c>
      <c r="E22" s="163" t="n">
        <v>34</v>
      </c>
      <c r="F22" s="161" t="n">
        <v>84.3</v>
      </c>
      <c r="G22" s="27" t="n">
        <v>26</v>
      </c>
      <c r="H22" s="164" t="n">
        <v>114</v>
      </c>
      <c r="I22" s="165" t="n">
        <v>52000</v>
      </c>
      <c r="J22" s="165" t="inlineStr">
        <is>
          <t>고</t>
        </is>
      </c>
      <c r="K22" s="165" t="n">
        <v>25000</v>
      </c>
      <c r="L22" s="165" t="inlineStr">
        <is>
          <t>8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113B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검단자이1단지</t>
        </is>
      </c>
      <c r="B23" s="16" t="inlineStr">
        <is>
          <t>'10.12.</t>
        </is>
      </c>
      <c r="C23" s="164" t="n">
        <v>418</v>
      </c>
      <c r="D23" s="161" t="n">
        <v>115</v>
      </c>
      <c r="E23" s="163" t="n">
        <v>35</v>
      </c>
      <c r="F23" s="161" t="n">
        <v>84.8</v>
      </c>
      <c r="G23" s="27" t="n">
        <v>26</v>
      </c>
      <c r="H23" s="164" t="n">
        <v>70</v>
      </c>
      <c r="I23" s="165" t="n">
        <v>47000</v>
      </c>
      <c r="J23" s="165" t="inlineStr">
        <is>
          <t>9</t>
        </is>
      </c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115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검단자이1단지</t>
        </is>
      </c>
      <c r="B24" s="16" t="inlineStr">
        <is>
          <t>'10.12.</t>
        </is>
      </c>
      <c r="C24" s="164" t="n">
        <v>418</v>
      </c>
      <c r="D24" s="161" t="n">
        <v>162.4</v>
      </c>
      <c r="E24" s="163" t="n">
        <v>49</v>
      </c>
      <c r="F24" s="161" t="n">
        <v>123.5</v>
      </c>
      <c r="G24" s="27" t="n">
        <v>37</v>
      </c>
      <c r="H24" s="164" t="n">
        <v>30</v>
      </c>
      <c r="I24" s="165" t="n">
        <v>75000</v>
      </c>
      <c r="J24" s="165" t="inlineStr">
        <is>
          <t>고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162A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검단자이1단지</t>
        </is>
      </c>
      <c r="B25" s="16" t="inlineStr">
        <is>
          <t>'10.12.</t>
        </is>
      </c>
      <c r="C25" s="164" t="n">
        <v>418</v>
      </c>
      <c r="D25" s="161" t="n">
        <v>163.6</v>
      </c>
      <c r="E25" s="163" t="n">
        <v>49</v>
      </c>
      <c r="F25" s="161" t="n">
        <v>123.5</v>
      </c>
      <c r="G25" s="27" t="n">
        <v>37</v>
      </c>
      <c r="H25" s="164" t="n">
        <v>56</v>
      </c>
      <c r="I25" s="165" t="n">
        <v>53500</v>
      </c>
      <c r="J25" s="165" t="inlineStr">
        <is>
          <t>5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inlineStr">
        <is>
          <t>163B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검단자이1단지</t>
        </is>
      </c>
      <c r="B26" s="16" t="inlineStr">
        <is>
          <t>'10.12.</t>
        </is>
      </c>
      <c r="C26" s="164" t="n">
        <v>418</v>
      </c>
      <c r="D26" s="161" t="n">
        <v>164</v>
      </c>
      <c r="E26" s="163" t="n">
        <v>50</v>
      </c>
      <c r="F26" s="161" t="n">
        <v>123.2</v>
      </c>
      <c r="G26" s="27" t="n">
        <v>37</v>
      </c>
      <c r="H26" s="164" t="n">
        <v>30</v>
      </c>
      <c r="I26" s="165" t="n">
        <v>57000</v>
      </c>
      <c r="J26" s="165" t="inlineStr">
        <is>
          <t>고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164C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검단자이2단지</t>
        </is>
      </c>
      <c r="B28" s="16" t="inlineStr">
        <is>
          <t>'10.12.</t>
        </is>
      </c>
      <c r="C28" s="164" t="n">
        <v>413</v>
      </c>
      <c r="D28" s="161" t="n">
        <v>111.9</v>
      </c>
      <c r="E28" s="163" t="n">
        <v>34</v>
      </c>
      <c r="F28" s="161" t="n">
        <v>84.7</v>
      </c>
      <c r="G28" s="27" t="n">
        <v>26</v>
      </c>
      <c r="H28" s="164" t="n">
        <v>150</v>
      </c>
      <c r="I28" s="165" t="n">
        <v>40000</v>
      </c>
      <c r="J28" s="165" t="inlineStr">
        <is>
          <t>9</t>
        </is>
      </c>
      <c r="K28" s="165" t="n">
        <v>32000</v>
      </c>
      <c r="L28" s="165" t="inlineStr">
        <is>
          <t>15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111A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검단자이2단지</t>
        </is>
      </c>
      <c r="B29" s="16" t="inlineStr">
        <is>
          <t>'10.12.</t>
        </is>
      </c>
      <c r="C29" s="164" t="n">
        <v>413</v>
      </c>
      <c r="D29" s="161" t="n">
        <v>111.7</v>
      </c>
      <c r="E29" s="163" t="n">
        <v>34</v>
      </c>
      <c r="F29" s="161" t="n">
        <v>84.3</v>
      </c>
      <c r="G29" s="27" t="n">
        <v>26</v>
      </c>
      <c r="H29" s="164" t="n">
        <v>26</v>
      </c>
      <c r="I29" s="165" t="n">
        <v>47000</v>
      </c>
      <c r="J29" s="165" t="inlineStr">
        <is>
          <t>중</t>
        </is>
      </c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111B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검단자이2단지</t>
        </is>
      </c>
      <c r="B30" s="16" t="inlineStr">
        <is>
          <t>'10.12.</t>
        </is>
      </c>
      <c r="C30" s="164" t="n">
        <v>413</v>
      </c>
      <c r="D30" s="161" t="n">
        <v>113.4</v>
      </c>
      <c r="E30" s="163" t="n">
        <v>34</v>
      </c>
      <c r="F30" s="161" t="n">
        <v>84.8</v>
      </c>
      <c r="G30" s="27" t="n">
        <v>26</v>
      </c>
      <c r="H30" s="164" t="n">
        <v>125</v>
      </c>
      <c r="I30" s="165" t="n">
        <v>39000</v>
      </c>
      <c r="J30" s="165" t="inlineStr">
        <is>
          <t>6</t>
        </is>
      </c>
      <c r="K30" s="165" t="n">
        <v>32000</v>
      </c>
      <c r="L30" s="165" t="inlineStr">
        <is>
          <t>중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113C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검단자이2단지</t>
        </is>
      </c>
      <c r="B31" s="16" t="inlineStr">
        <is>
          <t>'10.12.</t>
        </is>
      </c>
      <c r="C31" s="164" t="n">
        <v>413</v>
      </c>
      <c r="D31" s="161" t="n">
        <v>161.6</v>
      </c>
      <c r="E31" s="163" t="n">
        <v>49</v>
      </c>
      <c r="F31" s="161" t="n">
        <v>123.2</v>
      </c>
      <c r="G31" s="27" t="n">
        <v>37</v>
      </c>
      <c r="H31" s="164" t="n">
        <v>56</v>
      </c>
      <c r="I31" s="165" t="n">
        <v>60000</v>
      </c>
      <c r="J31" s="165" t="inlineStr">
        <is>
          <t>고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161A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검단자이2단지</t>
        </is>
      </c>
      <c r="B32" s="16" t="inlineStr">
        <is>
          <t>'10.12.</t>
        </is>
      </c>
      <c r="C32" s="164" t="n">
        <v>413</v>
      </c>
      <c r="D32" s="161" t="n">
        <v>161.2</v>
      </c>
      <c r="E32" s="163" t="n">
        <v>49</v>
      </c>
      <c r="F32" s="161" t="n">
        <v>123.5</v>
      </c>
      <c r="G32" s="27" t="n">
        <v>37</v>
      </c>
      <c r="H32" s="164" t="n">
        <v>56</v>
      </c>
      <c r="I32" s="165" t="n">
        <v>56000</v>
      </c>
      <c r="J32" s="165" t="inlineStr">
        <is>
          <t>중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161B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검단풍림아이원</t>
        </is>
      </c>
      <c r="B34" s="16" t="inlineStr">
        <is>
          <t>'04.10.</t>
        </is>
      </c>
      <c r="C34" s="164" t="n">
        <v>318</v>
      </c>
      <c r="D34" s="161" t="n">
        <v>81.59999999999999</v>
      </c>
      <c r="E34" s="163" t="n">
        <v>25</v>
      </c>
      <c r="F34" s="161" t="n">
        <v>59.7</v>
      </c>
      <c r="G34" s="27" t="n">
        <v>18</v>
      </c>
      <c r="H34" s="164" t="n">
        <v>48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n">
        <v>81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검단풍림아이원</t>
        </is>
      </c>
      <c r="B35" s="16" t="inlineStr">
        <is>
          <t>'04.10.</t>
        </is>
      </c>
      <c r="C35" s="164" t="n">
        <v>318</v>
      </c>
      <c r="D35" s="161" t="n">
        <v>109.1</v>
      </c>
      <c r="E35" s="163" t="n">
        <v>33</v>
      </c>
      <c r="F35" s="161" t="n">
        <v>84.90000000000001</v>
      </c>
      <c r="G35" s="27" t="n">
        <v>26</v>
      </c>
      <c r="H35" s="164" t="n">
        <v>270</v>
      </c>
      <c r="I35" s="165" t="n">
        <v>35000</v>
      </c>
      <c r="J35" s="165" t="inlineStr">
        <is>
          <t>고</t>
        </is>
      </c>
      <c r="K35" s="165" t="n">
        <v>25000</v>
      </c>
      <c r="L35" s="165" t="inlineStr">
        <is>
          <t>고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109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1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2" t="n"/>
      <c r="P36" s="162" t="n"/>
      <c r="Q36" s="163" t="n"/>
      <c r="R36" s="163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0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드림파크어울림1단지</t>
        </is>
      </c>
      <c r="B37" s="16" t="inlineStr">
        <is>
          <t>'10.12.</t>
        </is>
      </c>
      <c r="C37" s="164" t="n">
        <v>731</v>
      </c>
      <c r="D37" s="161" t="n">
        <v>111.1</v>
      </c>
      <c r="E37" s="163" t="n">
        <v>34</v>
      </c>
      <c r="F37" s="161" t="n">
        <v>84.90000000000001</v>
      </c>
      <c r="G37" s="27" t="n">
        <v>26</v>
      </c>
      <c r="H37" s="164" t="n">
        <v>237</v>
      </c>
      <c r="I37" s="165" t="n">
        <v>41000</v>
      </c>
      <c r="J37" s="165" t="inlineStr">
        <is>
          <t>7</t>
        </is>
      </c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합</t>
        </is>
      </c>
      <c r="T37" s="8" t="inlineStr">
        <is>
          <t>111A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드림파크어울림1단지</t>
        </is>
      </c>
      <c r="B38" s="16" t="inlineStr">
        <is>
          <t>'10.12.</t>
        </is>
      </c>
      <c r="C38" s="164" t="n">
        <v>731</v>
      </c>
      <c r="D38" s="161" t="n">
        <v>112.3</v>
      </c>
      <c r="E38" s="163" t="n">
        <v>34</v>
      </c>
      <c r="F38" s="161" t="n">
        <v>84.90000000000001</v>
      </c>
      <c r="G38" s="27" t="n">
        <v>26</v>
      </c>
      <c r="H38" s="164" t="n">
        <v>74</v>
      </c>
      <c r="I38" s="165" t="n">
        <v>40000</v>
      </c>
      <c r="J38" s="165" t="inlineStr">
        <is>
          <t>중</t>
        </is>
      </c>
      <c r="K38" s="165" t="n">
        <v>30000</v>
      </c>
      <c r="L38" s="165" t="inlineStr">
        <is>
          <t>중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합</t>
        </is>
      </c>
      <c r="T38" s="8" t="inlineStr">
        <is>
          <t>112B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드림파크어울림1단지</t>
        </is>
      </c>
      <c r="B39" s="16" t="inlineStr">
        <is>
          <t>'10.12.</t>
        </is>
      </c>
      <c r="C39" s="164" t="n">
        <v>731</v>
      </c>
      <c r="D39" s="161" t="n">
        <v>132.5</v>
      </c>
      <c r="E39" s="163" t="n">
        <v>40</v>
      </c>
      <c r="F39" s="161" t="n">
        <v>102</v>
      </c>
      <c r="G39" s="27" t="n">
        <v>31</v>
      </c>
      <c r="H39" s="164" t="n">
        <v>195</v>
      </c>
      <c r="I39" s="165" t="n">
        <v>43000</v>
      </c>
      <c r="J39" s="165" t="inlineStr">
        <is>
          <t>중</t>
        </is>
      </c>
      <c r="K39" s="165" t="n">
        <v>25000</v>
      </c>
      <c r="L39" s="165" t="inlineStr">
        <is>
          <t>11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4</v>
      </c>
      <c r="R39" s="113" t="n">
        <v>2</v>
      </c>
      <c r="S39" s="113" t="inlineStr">
        <is>
          <t>합</t>
        </is>
      </c>
      <c r="T39" s="8" t="inlineStr">
        <is>
          <t>132A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드림파크어울림1단지</t>
        </is>
      </c>
      <c r="B40" s="16" t="inlineStr">
        <is>
          <t>'10.12.</t>
        </is>
      </c>
      <c r="C40" s="164" t="n">
        <v>731</v>
      </c>
      <c r="D40" s="161" t="n">
        <v>133.5</v>
      </c>
      <c r="E40" s="163" t="n">
        <v>40</v>
      </c>
      <c r="F40" s="161" t="n">
        <v>102</v>
      </c>
      <c r="G40" s="27" t="n">
        <v>31</v>
      </c>
      <c r="H40" s="164" t="n">
        <v>45</v>
      </c>
      <c r="I40" s="165" t="n">
        <v>46000</v>
      </c>
      <c r="J40" s="165" t="inlineStr">
        <is>
          <t>고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4</v>
      </c>
      <c r="R40" s="113" t="n">
        <v>2</v>
      </c>
      <c r="S40" s="113" t="inlineStr">
        <is>
          <t>합</t>
        </is>
      </c>
      <c r="T40" s="8" t="inlineStr">
        <is>
          <t>133B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드림파크어울림1단지</t>
        </is>
      </c>
      <c r="B41" s="16" t="inlineStr">
        <is>
          <t>'10.12.</t>
        </is>
      </c>
      <c r="C41" s="164" t="n">
        <v>731</v>
      </c>
      <c r="D41" s="161" t="n">
        <v>164.2</v>
      </c>
      <c r="E41" s="163" t="n">
        <v>50</v>
      </c>
      <c r="F41" s="161" t="n">
        <v>131.3</v>
      </c>
      <c r="G41" s="27" t="n">
        <v>40</v>
      </c>
      <c r="H41" s="164" t="n">
        <v>165</v>
      </c>
      <c r="I41" s="165" t="n">
        <v>50000</v>
      </c>
      <c r="J41" s="165" t="inlineStr">
        <is>
          <t>중</t>
        </is>
      </c>
      <c r="K41" s="165" t="n">
        <v>38000</v>
      </c>
      <c r="L41" s="165" t="inlineStr">
        <is>
          <t>13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4</v>
      </c>
      <c r="R41" s="113" t="n">
        <v>2</v>
      </c>
      <c r="S41" s="113" t="inlineStr">
        <is>
          <t>합</t>
        </is>
      </c>
      <c r="T41" s="8" t="inlineStr">
        <is>
          <t>164A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드림파크어울림1단지</t>
        </is>
      </c>
      <c r="B42" s="16" t="inlineStr">
        <is>
          <t>'10.12.</t>
        </is>
      </c>
      <c r="C42" s="164" t="n">
        <v>731</v>
      </c>
      <c r="D42" s="161" t="n">
        <v>164.6</v>
      </c>
      <c r="E42" s="163" t="n">
        <v>50</v>
      </c>
      <c r="F42" s="161" t="n">
        <v>131.2</v>
      </c>
      <c r="G42" s="27" t="n">
        <v>40</v>
      </c>
      <c r="H42" s="164" t="n">
        <v>15</v>
      </c>
      <c r="I42" s="165" t="n">
        <v>48000</v>
      </c>
      <c r="J42" s="165" t="inlineStr">
        <is>
          <t>5</t>
        </is>
      </c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4</v>
      </c>
      <c r="R42" s="113" t="n">
        <v>2</v>
      </c>
      <c r="S42" s="113" t="inlineStr">
        <is>
          <t>합</t>
        </is>
      </c>
      <c r="T42" s="8" t="inlineStr">
        <is>
          <t>164B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1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2" t="n"/>
      <c r="P43" s="162" t="n"/>
      <c r="Q43" s="163" t="n"/>
      <c r="R43" s="163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0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원흥</t>
        </is>
      </c>
      <c r="B44" s="16" t="inlineStr">
        <is>
          <t>'93.07.</t>
        </is>
      </c>
      <c r="C44" s="164" t="n">
        <v>354</v>
      </c>
      <c r="D44" s="161" t="n">
        <v>76.2</v>
      </c>
      <c r="E44" s="163" t="n">
        <v>23</v>
      </c>
      <c r="F44" s="161" t="n">
        <v>59.8</v>
      </c>
      <c r="G44" s="27" t="n">
        <v>18</v>
      </c>
      <c r="H44" s="164" t="n">
        <v>168</v>
      </c>
      <c r="I44" s="165" t="n">
        <v>18000</v>
      </c>
      <c r="J44" s="165" t="inlineStr">
        <is>
          <t>5</t>
        </is>
      </c>
      <c r="K44" s="165" t="n">
        <v>12000</v>
      </c>
      <c r="L44" s="165" t="inlineStr">
        <is>
          <t>6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1</v>
      </c>
      <c r="S44" s="113" t="inlineStr">
        <is>
          <t>복</t>
        </is>
      </c>
      <c r="T44" s="8" t="n">
        <v>76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원흥</t>
        </is>
      </c>
      <c r="B45" s="16" t="inlineStr">
        <is>
          <t>'93.07.</t>
        </is>
      </c>
      <c r="C45" s="164" t="n">
        <v>354</v>
      </c>
      <c r="D45" s="161" t="n">
        <v>88</v>
      </c>
      <c r="E45" s="163" t="n">
        <v>27</v>
      </c>
      <c r="F45" s="161" t="n">
        <v>69.90000000000001</v>
      </c>
      <c r="G45" s="27" t="n">
        <v>21</v>
      </c>
      <c r="H45" s="164" t="n">
        <v>60</v>
      </c>
      <c r="I45" s="165" t="n"/>
      <c r="J45" s="165" t="n"/>
      <c r="K45" s="165" t="n">
        <v>15000</v>
      </c>
      <c r="L45" s="165" t="inlineStr">
        <is>
          <t>6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1</v>
      </c>
      <c r="S45" s="113" t="inlineStr">
        <is>
          <t>계</t>
        </is>
      </c>
      <c r="T45" s="8" t="n">
        <v>88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원흥</t>
        </is>
      </c>
      <c r="B46" s="16" t="inlineStr">
        <is>
          <t>'93.07.</t>
        </is>
      </c>
      <c r="C46" s="164" t="n">
        <v>354</v>
      </c>
      <c r="D46" s="161" t="n">
        <v>105.7</v>
      </c>
      <c r="E46" s="163" t="n">
        <v>32</v>
      </c>
      <c r="F46" s="161" t="n">
        <v>85</v>
      </c>
      <c r="G46" s="27" t="n">
        <v>26</v>
      </c>
      <c r="H46" s="164" t="n">
        <v>114</v>
      </c>
      <c r="I46" s="165" t="n">
        <v>24000</v>
      </c>
      <c r="J46" s="165" t="inlineStr">
        <is>
          <t>6</t>
        </is>
      </c>
      <c r="K46" s="165" t="n">
        <v>17000</v>
      </c>
      <c r="L46" s="165" t="inlineStr">
        <is>
          <t>6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n">
        <v>105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원흥</t>
        </is>
      </c>
      <c r="B47" s="16" t="inlineStr">
        <is>
          <t>'93.07.</t>
        </is>
      </c>
      <c r="C47" s="164" t="n">
        <v>354</v>
      </c>
      <c r="D47" s="161" t="n">
        <v>164</v>
      </c>
      <c r="E47" s="163" t="n">
        <v>50</v>
      </c>
      <c r="F47" s="161" t="n">
        <v>134.8</v>
      </c>
      <c r="G47" s="27" t="n">
        <v>41</v>
      </c>
      <c r="H47" s="164" t="n">
        <v>12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n">
        <v>164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n"/>
      <c r="B48" s="113" t="n"/>
      <c r="C48" s="10" t="n"/>
      <c r="D48" s="13" t="n"/>
      <c r="E48" s="20" t="n"/>
      <c r="F48" s="161" t="n"/>
      <c r="G48" s="13" t="n"/>
      <c r="H48" s="13" t="n"/>
      <c r="I48" s="13" t="n"/>
      <c r="J48" s="13" t="n"/>
      <c r="K48" s="13" t="n"/>
      <c r="L48" s="13" t="n"/>
      <c r="M48" s="13" t="n"/>
      <c r="N48" s="13" t="n"/>
      <c r="O48" s="162" t="n"/>
      <c r="P48" s="162" t="n"/>
      <c r="Q48" s="163" t="n"/>
      <c r="R48" s="163" t="n"/>
      <c r="S48" s="13" t="n"/>
      <c r="T48" s="70" t="n"/>
      <c r="U48" s="13" t="n"/>
      <c r="W48" s="107">
        <f>$A$4&amp;" "&amp;A49&amp;"("&amp;B49&amp;","&amp;C49&amp;"^)"</f>
        <v/>
      </c>
      <c r="X48" s="108" t="n"/>
      <c r="Y48" s="108" t="n"/>
      <c r="Z48" s="108" t="n"/>
      <c r="AA48" s="108" t="n"/>
      <c r="AB48" s="108" t="n"/>
      <c r="AC48" s="108" t="n"/>
      <c r="AD48" s="108" t="n"/>
      <c r="AE48" s="108" t="n"/>
      <c r="AF48" s="109" t="n"/>
      <c r="AH48" s="36">
        <f>IF(A48="","",A48)</f>
        <v/>
      </c>
      <c r="AI48" s="160">
        <f>IF(E48="","",E48)</f>
        <v/>
      </c>
      <c r="AJ48" s="113" t="n"/>
      <c r="AK48" s="113" t="n"/>
      <c r="AL48" s="113" t="n"/>
      <c r="AM48" s="113" t="n"/>
      <c r="AN48" s="113" t="n"/>
      <c r="AO48" s="113" t="n"/>
      <c r="AP48" s="113" t="n"/>
      <c r="AQ48" s="113" t="n"/>
      <c r="AR48" s="113" t="n"/>
      <c r="AS48" s="113" t="n"/>
      <c r="AT48" s="113" t="n"/>
      <c r="AU48" s="113" t="n"/>
      <c r="AV48" s="113" t="n"/>
    </row>
    <row r="49">
      <c r="A49" s="13" t="inlineStr">
        <is>
          <t>신명스카이뷰드림</t>
        </is>
      </c>
      <c r="B49" s="16" t="inlineStr">
        <is>
          <t>'04.12.</t>
        </is>
      </c>
      <c r="C49" s="164" t="n">
        <v>390</v>
      </c>
      <c r="D49" s="161" t="n">
        <v>127</v>
      </c>
      <c r="E49" s="163" t="n">
        <v>38</v>
      </c>
      <c r="F49" s="161" t="n">
        <v>84.90000000000001</v>
      </c>
      <c r="G49" s="27" t="n">
        <v>26</v>
      </c>
      <c r="H49" s="164" t="n">
        <v>390</v>
      </c>
      <c r="I49" s="165" t="n">
        <v>36000</v>
      </c>
      <c r="J49" s="165" t="inlineStr">
        <is>
          <t>고</t>
        </is>
      </c>
      <c r="K49" s="165" t="n">
        <v>32000</v>
      </c>
      <c r="L49" s="165" t="inlineStr">
        <is>
          <t>6</t>
        </is>
      </c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n">
        <v>127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</sheetData>
  <mergeCells count="1">
    <mergeCell ref="AJ1:AN1"/>
  </mergeCells>
  <conditionalFormatting sqref="AV4:AV6">
    <cfRule type="expression" priority="711" dxfId="17">
      <formula>AV4="X"</formula>
    </cfRule>
    <cfRule type="expression" priority="712" dxfId="16">
      <formula>AV4="후보"</formula>
    </cfRule>
  </conditionalFormatting>
  <conditionalFormatting sqref="AC1:AC2 AC4:AC6 N4:N5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N1:N2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6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6">
    <cfRule type="expression" priority="700" dxfId="3">
      <formula>AND(IF(OR($Q6=1,$Q6=2),1,0),IF($X6&lt;=20,1,0))</formula>
    </cfRule>
    <cfRule type="expression" priority="701" dxfId="2">
      <formula>AND(IF($Q6=2,1,0),IF($X6&lt;30,1,0))</formula>
    </cfRule>
    <cfRule type="expression" priority="702" dxfId="1">
      <formula>AND(IF($Q6=3,1,0),IF($X6&lt;30,1,0))</formula>
    </cfRule>
    <cfRule type="expression" priority="703" dxfId="0">
      <formula>AND(IF($Q6=3,1,IF($Q6=4,1,0)),IF($F6&lt;=85,1,0))</formula>
    </cfRule>
  </conditionalFormatting>
  <conditionalFormatting sqref="X6">
    <cfRule type="expression" priority="696" dxfId="3">
      <formula>AND(IF(OR($Q6=1,$Q6=2),1,0),IF($X6&lt;=20,1,0))</formula>
    </cfRule>
    <cfRule type="expression" priority="697" dxfId="2">
      <formula>AND(IF($Q6=2,1,0),IF($X6&lt;30,1,0))</formula>
    </cfRule>
    <cfRule type="expression" priority="698" dxfId="1">
      <formula>AND(IF($Q6=3,1,0),IF($X6&lt;30,1,0))</formula>
    </cfRule>
    <cfRule type="expression" priority="699" dxfId="0">
      <formula>AND(IF($Q6=3,1,IF($Q6=4,1,0)),IF($F6&lt;=85,1,0))</formula>
    </cfRule>
  </conditionalFormatting>
  <conditionalFormatting sqref="AI6">
    <cfRule type="expression" priority="692" dxfId="3">
      <formula>AND(IF(OR($Q6=1,$Q6=2),1,0),IF($X6&lt;=20,1,0))</formula>
    </cfRule>
    <cfRule type="expression" priority="693" dxfId="2">
      <formula>AND(IF($Q6=2,1,0),IF($X6&lt;30,1,0))</formula>
    </cfRule>
    <cfRule type="expression" priority="694" dxfId="1">
      <formula>AND(IF($Q6=3,1,0),IF($X6&lt;30,1,0))</formula>
    </cfRule>
    <cfRule type="expression" priority="695" dxfId="0">
      <formula>AND(IF($Q6=3,1,IF($Q6=4,1,0)),IF($F6&lt;=85,1,0))</formula>
    </cfRule>
  </conditionalFormatting>
  <conditionalFormatting sqref="AV7">
    <cfRule type="expression" priority="690" dxfId="17">
      <formula>AV7="X"</formula>
    </cfRule>
    <cfRule type="expression" priority="691" dxfId="16">
      <formula>AV7="후보"</formula>
    </cfRule>
  </conditionalFormatting>
  <conditionalFormatting sqref="AC7 N7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AV8">
    <cfRule type="expression" priority="685" dxfId="17">
      <formula>AV8="X"</formula>
    </cfRule>
    <cfRule type="expression" priority="686" dxfId="16">
      <formula>AV8="후보"</formula>
    </cfRule>
  </conditionalFormatting>
  <conditionalFormatting sqref="AC8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8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8">
    <cfRule type="expression" priority="676" dxfId="3">
      <formula>AND(IF(OR($Q8=1,$Q8=2),1,0),IF($X8&lt;=20,1,0))</formula>
    </cfRule>
    <cfRule type="expression" priority="677" dxfId="2">
      <formula>AND(IF($Q8=2,1,0),IF($X8&lt;30,1,0))</formula>
    </cfRule>
    <cfRule type="expression" priority="678" dxfId="1">
      <formula>AND(IF($Q8=3,1,0),IF($X8&lt;30,1,0))</formula>
    </cfRule>
    <cfRule type="expression" priority="679" dxfId="0">
      <formula>AND(IF($Q8=3,1,IF($Q8=4,1,0)),IF($F8&lt;=85,1,0))</formula>
    </cfRule>
  </conditionalFormatting>
  <conditionalFormatting sqref="X8">
    <cfRule type="expression" priority="672" dxfId="3">
      <formula>AND(IF(OR($Q8=1,$Q8=2),1,0),IF($X8&lt;=20,1,0))</formula>
    </cfRule>
    <cfRule type="expression" priority="673" dxfId="2">
      <formula>AND(IF($Q8=2,1,0),IF($X8&lt;30,1,0))</formula>
    </cfRule>
    <cfRule type="expression" priority="674" dxfId="1">
      <formula>AND(IF($Q8=3,1,0),IF($X8&lt;30,1,0))</formula>
    </cfRule>
    <cfRule type="expression" priority="675" dxfId="0">
      <formula>AND(IF($Q8=3,1,IF($Q8=4,1,0)),IF($F8&lt;=85,1,0))</formula>
    </cfRule>
  </conditionalFormatting>
  <conditionalFormatting sqref="AI8">
    <cfRule type="expression" priority="668" dxfId="3">
      <formula>AND(IF(OR($Q8=1,$Q8=2),1,0),IF($X8&lt;=20,1,0))</formula>
    </cfRule>
    <cfRule type="expression" priority="669" dxfId="2">
      <formula>AND(IF($Q8=2,1,0),IF($X8&lt;30,1,0))</formula>
    </cfRule>
    <cfRule type="expression" priority="670" dxfId="1">
      <formula>AND(IF($Q8=3,1,0),IF($X8&lt;30,1,0))</formula>
    </cfRule>
    <cfRule type="expression" priority="671" dxfId="0">
      <formula>AND(IF($Q8=3,1,IF($Q8=4,1,0)),IF($F8&lt;=85,1,0))</formula>
    </cfRule>
  </conditionalFormatting>
  <conditionalFormatting sqref="AV9">
    <cfRule type="expression" priority="666" dxfId="17">
      <formula>AV9="X"</formula>
    </cfRule>
    <cfRule type="expression" priority="667" dxfId="16">
      <formula>AV9="후보"</formula>
    </cfRule>
  </conditionalFormatting>
  <conditionalFormatting sqref="AC9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9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9">
    <cfRule type="expression" priority="657" dxfId="3">
      <formula>AND(IF(OR($Q9=1,$Q9=2),1,0),IF($X9&lt;=20,1,0))</formula>
    </cfRule>
    <cfRule type="expression" priority="658" dxfId="2">
      <formula>AND(IF($Q9=2,1,0),IF($X9&lt;30,1,0))</formula>
    </cfRule>
    <cfRule type="expression" priority="659" dxfId="1">
      <formula>AND(IF($Q9=3,1,0),IF($X9&lt;30,1,0))</formula>
    </cfRule>
    <cfRule type="expression" priority="660" dxfId="0">
      <formula>AND(IF($Q9=3,1,IF($Q9=4,1,0)),IF($F9&lt;=85,1,0))</formula>
    </cfRule>
  </conditionalFormatting>
  <conditionalFormatting sqref="X9">
    <cfRule type="expression" priority="653" dxfId="3">
      <formula>AND(IF(OR($Q9=1,$Q9=2),1,0),IF($X9&lt;=20,1,0))</formula>
    </cfRule>
    <cfRule type="expression" priority="654" dxfId="2">
      <formula>AND(IF($Q9=2,1,0),IF($X9&lt;30,1,0))</formula>
    </cfRule>
    <cfRule type="expression" priority="655" dxfId="1">
      <formula>AND(IF($Q9=3,1,0),IF($X9&lt;30,1,0))</formula>
    </cfRule>
    <cfRule type="expression" priority="656" dxfId="0">
      <formula>AND(IF($Q9=3,1,IF($Q9=4,1,0)),IF($F9&lt;=85,1,0))</formula>
    </cfRule>
  </conditionalFormatting>
  <conditionalFormatting sqref="AI9">
    <cfRule type="expression" priority="649" dxfId="3">
      <formula>AND(IF(OR($Q9=1,$Q9=2),1,0),IF($X9&lt;=20,1,0))</formula>
    </cfRule>
    <cfRule type="expression" priority="650" dxfId="2">
      <formula>AND(IF($Q9=2,1,0),IF($X9&lt;30,1,0))</formula>
    </cfRule>
    <cfRule type="expression" priority="651" dxfId="1">
      <formula>AND(IF($Q9=3,1,0),IF($X9&lt;30,1,0))</formula>
    </cfRule>
    <cfRule type="expression" priority="652" dxfId="0">
      <formula>AND(IF($Q9=3,1,IF($Q9=4,1,0)),IF($F9&lt;=85,1,0))</formula>
    </cfRule>
  </conditionalFormatting>
  <conditionalFormatting sqref="AV10">
    <cfRule type="expression" priority="647" dxfId="17">
      <formula>AV10="X"</formula>
    </cfRule>
    <cfRule type="expression" priority="648" dxfId="16">
      <formula>AV10="후보"</formula>
    </cfRule>
  </conditionalFormatting>
  <conditionalFormatting sqref="AC10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10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10">
    <cfRule type="expression" priority="638" dxfId="3">
      <formula>AND(IF(OR($Q10=1,$Q10=2),1,0),IF($X10&lt;=20,1,0))</formula>
    </cfRule>
    <cfRule type="expression" priority="639" dxfId="2">
      <formula>AND(IF($Q10=2,1,0),IF($X10&lt;30,1,0))</formula>
    </cfRule>
    <cfRule type="expression" priority="640" dxfId="1">
      <formula>AND(IF($Q10=3,1,0),IF($X10&lt;30,1,0))</formula>
    </cfRule>
    <cfRule type="expression" priority="641" dxfId="0">
      <formula>AND(IF($Q10=3,1,IF($Q10=4,1,0)),IF($F10&lt;=85,1,0))</formula>
    </cfRule>
  </conditionalFormatting>
  <conditionalFormatting sqref="X10">
    <cfRule type="expression" priority="634" dxfId="3">
      <formula>AND(IF(OR($Q10=1,$Q10=2),1,0),IF($X10&lt;=20,1,0))</formula>
    </cfRule>
    <cfRule type="expression" priority="635" dxfId="2">
      <formula>AND(IF($Q10=2,1,0),IF($X10&lt;30,1,0))</formula>
    </cfRule>
    <cfRule type="expression" priority="636" dxfId="1">
      <formula>AND(IF($Q10=3,1,0),IF($X10&lt;30,1,0))</formula>
    </cfRule>
    <cfRule type="expression" priority="637" dxfId="0">
      <formula>AND(IF($Q10=3,1,IF($Q10=4,1,0)),IF($F10&lt;=85,1,0))</formula>
    </cfRule>
  </conditionalFormatting>
  <conditionalFormatting sqref="AI10">
    <cfRule type="expression" priority="630" dxfId="3">
      <formula>AND(IF(OR($Q10=1,$Q10=2),1,0),IF($X10&lt;=20,1,0))</formula>
    </cfRule>
    <cfRule type="expression" priority="631" dxfId="2">
      <formula>AND(IF($Q10=2,1,0),IF($X10&lt;30,1,0))</formula>
    </cfRule>
    <cfRule type="expression" priority="632" dxfId="1">
      <formula>AND(IF($Q10=3,1,0),IF($X10&lt;30,1,0))</formula>
    </cfRule>
    <cfRule type="expression" priority="633" dxfId="0">
      <formula>AND(IF($Q10=3,1,IF($Q10=4,1,0)),IF($F10&lt;=85,1,0))</formula>
    </cfRule>
  </conditionalFormatting>
  <conditionalFormatting sqref="AV11">
    <cfRule type="expression" priority="628" dxfId="17">
      <formula>AV11="X"</formula>
    </cfRule>
    <cfRule type="expression" priority="629" dxfId="16">
      <formula>AV11="후보"</formula>
    </cfRule>
  </conditionalFormatting>
  <conditionalFormatting sqref="AC11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11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11">
    <cfRule type="expression" priority="619" dxfId="3">
      <formula>AND(IF(OR($Q11=1,$Q11=2),1,0),IF($X11&lt;=20,1,0))</formula>
    </cfRule>
    <cfRule type="expression" priority="620" dxfId="2">
      <formula>AND(IF($Q11=2,1,0),IF($X11&lt;30,1,0))</formula>
    </cfRule>
    <cfRule type="expression" priority="621" dxfId="1">
      <formula>AND(IF($Q11=3,1,0),IF($X11&lt;30,1,0))</formula>
    </cfRule>
    <cfRule type="expression" priority="622" dxfId="0">
      <formula>AND(IF($Q11=3,1,IF($Q11=4,1,0)),IF($F11&lt;=85,1,0))</formula>
    </cfRule>
  </conditionalFormatting>
  <conditionalFormatting sqref="X11">
    <cfRule type="expression" priority="615" dxfId="3">
      <formula>AND(IF(OR($Q11=1,$Q11=2),1,0),IF($X11&lt;=20,1,0))</formula>
    </cfRule>
    <cfRule type="expression" priority="616" dxfId="2">
      <formula>AND(IF($Q11=2,1,0),IF($X11&lt;30,1,0))</formula>
    </cfRule>
    <cfRule type="expression" priority="617" dxfId="1">
      <formula>AND(IF($Q11=3,1,0),IF($X11&lt;30,1,0))</formula>
    </cfRule>
    <cfRule type="expression" priority="618" dxfId="0">
      <formula>AND(IF($Q11=3,1,IF($Q11=4,1,0)),IF($F11&lt;=85,1,0))</formula>
    </cfRule>
  </conditionalFormatting>
  <conditionalFormatting sqref="AI11">
    <cfRule type="expression" priority="611" dxfId="3">
      <formula>AND(IF(OR($Q11=1,$Q11=2),1,0),IF($X11&lt;=20,1,0))</formula>
    </cfRule>
    <cfRule type="expression" priority="612" dxfId="2">
      <formula>AND(IF($Q11=2,1,0),IF($X11&lt;30,1,0))</formula>
    </cfRule>
    <cfRule type="expression" priority="613" dxfId="1">
      <formula>AND(IF($Q11=3,1,0),IF($X11&lt;30,1,0))</formula>
    </cfRule>
    <cfRule type="expression" priority="614" dxfId="0">
      <formula>AND(IF($Q11=3,1,IF($Q11=4,1,0)),IF($F11&lt;=85,1,0))</formula>
    </cfRule>
  </conditionalFormatting>
  <conditionalFormatting sqref="AV12">
    <cfRule type="expression" priority="609" dxfId="17">
      <formula>AV12="X"</formula>
    </cfRule>
    <cfRule type="expression" priority="610" dxfId="16">
      <formula>AV12="후보"</formula>
    </cfRule>
  </conditionalFormatting>
  <conditionalFormatting sqref="AC12 N12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AV13">
    <cfRule type="expression" priority="604" dxfId="17">
      <formula>AV13="X"</formula>
    </cfRule>
    <cfRule type="expression" priority="605" dxfId="16">
      <formula>AV13="후보"</formula>
    </cfRule>
  </conditionalFormatting>
  <conditionalFormatting sqref="AC13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13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13">
    <cfRule type="expression" priority="595" dxfId="3">
      <formula>AND(IF(OR($Q13=1,$Q13=2),1,0),IF($X13&lt;=20,1,0))</formula>
    </cfRule>
    <cfRule type="expression" priority="596" dxfId="2">
      <formula>AND(IF($Q13=2,1,0),IF($X13&lt;30,1,0))</formula>
    </cfRule>
    <cfRule type="expression" priority="597" dxfId="1">
      <formula>AND(IF($Q13=3,1,0),IF($X13&lt;30,1,0))</formula>
    </cfRule>
    <cfRule type="expression" priority="598" dxfId="0">
      <formula>AND(IF($Q13=3,1,IF($Q13=4,1,0)),IF($F13&lt;=85,1,0))</formula>
    </cfRule>
  </conditionalFormatting>
  <conditionalFormatting sqref="X13">
    <cfRule type="expression" priority="591" dxfId="3">
      <formula>AND(IF(OR($Q13=1,$Q13=2),1,0),IF($X13&lt;=20,1,0))</formula>
    </cfRule>
    <cfRule type="expression" priority="592" dxfId="2">
      <formula>AND(IF($Q13=2,1,0),IF($X13&lt;30,1,0))</formula>
    </cfRule>
    <cfRule type="expression" priority="593" dxfId="1">
      <formula>AND(IF($Q13=3,1,0),IF($X13&lt;30,1,0))</formula>
    </cfRule>
    <cfRule type="expression" priority="594" dxfId="0">
      <formula>AND(IF($Q13=3,1,IF($Q13=4,1,0)),IF($F13&lt;=85,1,0))</formula>
    </cfRule>
  </conditionalFormatting>
  <conditionalFormatting sqref="AI13">
    <cfRule type="expression" priority="587" dxfId="3">
      <formula>AND(IF(OR($Q13=1,$Q13=2),1,0),IF($X13&lt;=20,1,0))</formula>
    </cfRule>
    <cfRule type="expression" priority="588" dxfId="2">
      <formula>AND(IF($Q13=2,1,0),IF($X13&lt;30,1,0))</formula>
    </cfRule>
    <cfRule type="expression" priority="589" dxfId="1">
      <formula>AND(IF($Q13=3,1,0),IF($X13&lt;30,1,0))</formula>
    </cfRule>
    <cfRule type="expression" priority="590" dxfId="0">
      <formula>AND(IF($Q13=3,1,IF($Q13=4,1,0)),IF($F13&lt;=85,1,0))</formula>
    </cfRule>
  </conditionalFormatting>
  <conditionalFormatting sqref="AV14">
    <cfRule type="expression" priority="585" dxfId="17">
      <formula>AV14="X"</formula>
    </cfRule>
    <cfRule type="expression" priority="586" dxfId="16">
      <formula>AV14="후보"</formula>
    </cfRule>
  </conditionalFormatting>
  <conditionalFormatting sqref="AC14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14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14">
    <cfRule type="expression" priority="576" dxfId="3">
      <formula>AND(IF(OR($Q14=1,$Q14=2),1,0),IF($X14&lt;=20,1,0))</formula>
    </cfRule>
    <cfRule type="expression" priority="577" dxfId="2">
      <formula>AND(IF($Q14=2,1,0),IF($X14&lt;30,1,0))</formula>
    </cfRule>
    <cfRule type="expression" priority="578" dxfId="1">
      <formula>AND(IF($Q14=3,1,0),IF($X14&lt;30,1,0))</formula>
    </cfRule>
    <cfRule type="expression" priority="579" dxfId="0">
      <formula>AND(IF($Q14=3,1,IF($Q14=4,1,0)),IF($F14&lt;=85,1,0))</formula>
    </cfRule>
  </conditionalFormatting>
  <conditionalFormatting sqref="X14">
    <cfRule type="expression" priority="572" dxfId="3">
      <formula>AND(IF(OR($Q14=1,$Q14=2),1,0),IF($X14&lt;=20,1,0))</formula>
    </cfRule>
    <cfRule type="expression" priority="573" dxfId="2">
      <formula>AND(IF($Q14=2,1,0),IF($X14&lt;30,1,0))</formula>
    </cfRule>
    <cfRule type="expression" priority="574" dxfId="1">
      <formula>AND(IF($Q14=3,1,0),IF($X14&lt;30,1,0))</formula>
    </cfRule>
    <cfRule type="expression" priority="575" dxfId="0">
      <formula>AND(IF($Q14=3,1,IF($Q14=4,1,0)),IF($F14&lt;=85,1,0))</formula>
    </cfRule>
  </conditionalFormatting>
  <conditionalFormatting sqref="AI14">
    <cfRule type="expression" priority="568" dxfId="3">
      <formula>AND(IF(OR($Q14=1,$Q14=2),1,0),IF($X14&lt;=20,1,0))</formula>
    </cfRule>
    <cfRule type="expression" priority="569" dxfId="2">
      <formula>AND(IF($Q14=2,1,0),IF($X14&lt;30,1,0))</formula>
    </cfRule>
    <cfRule type="expression" priority="570" dxfId="1">
      <formula>AND(IF($Q14=3,1,0),IF($X14&lt;30,1,0))</formula>
    </cfRule>
    <cfRule type="expression" priority="571" dxfId="0">
      <formula>AND(IF($Q14=3,1,IF($Q14=4,1,0)),IF($F14&lt;=85,1,0))</formula>
    </cfRule>
  </conditionalFormatting>
  <conditionalFormatting sqref="AV15">
    <cfRule type="expression" priority="566" dxfId="17">
      <formula>AV15="X"</formula>
    </cfRule>
    <cfRule type="expression" priority="567" dxfId="16">
      <formula>AV15="후보"</formula>
    </cfRule>
  </conditionalFormatting>
  <conditionalFormatting sqref="AC15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15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15">
    <cfRule type="expression" priority="557" dxfId="3">
      <formula>AND(IF(OR($Q15=1,$Q15=2),1,0),IF($X15&lt;=20,1,0))</formula>
    </cfRule>
    <cfRule type="expression" priority="558" dxfId="2">
      <formula>AND(IF($Q15=2,1,0),IF($X15&lt;30,1,0))</formula>
    </cfRule>
    <cfRule type="expression" priority="559" dxfId="1">
      <formula>AND(IF($Q15=3,1,0),IF($X15&lt;30,1,0))</formula>
    </cfRule>
    <cfRule type="expression" priority="560" dxfId="0">
      <formula>AND(IF($Q15=3,1,IF($Q15=4,1,0)),IF($F15&lt;=85,1,0))</formula>
    </cfRule>
  </conditionalFormatting>
  <conditionalFormatting sqref="X15">
    <cfRule type="expression" priority="553" dxfId="3">
      <formula>AND(IF(OR($Q15=1,$Q15=2),1,0),IF($X15&lt;=20,1,0))</formula>
    </cfRule>
    <cfRule type="expression" priority="554" dxfId="2">
      <formula>AND(IF($Q15=2,1,0),IF($X15&lt;30,1,0))</formula>
    </cfRule>
    <cfRule type="expression" priority="555" dxfId="1">
      <formula>AND(IF($Q15=3,1,0),IF($X15&lt;30,1,0))</formula>
    </cfRule>
    <cfRule type="expression" priority="556" dxfId="0">
      <formula>AND(IF($Q15=3,1,IF($Q15=4,1,0)),IF($F15&lt;=85,1,0))</formula>
    </cfRule>
  </conditionalFormatting>
  <conditionalFormatting sqref="AI15">
    <cfRule type="expression" priority="549" dxfId="3">
      <formula>AND(IF(OR($Q15=1,$Q15=2),1,0),IF($X15&lt;=20,1,0))</formula>
    </cfRule>
    <cfRule type="expression" priority="550" dxfId="2">
      <formula>AND(IF($Q15=2,1,0),IF($X15&lt;30,1,0))</formula>
    </cfRule>
    <cfRule type="expression" priority="551" dxfId="1">
      <formula>AND(IF($Q15=3,1,0),IF($X15&lt;30,1,0))</formula>
    </cfRule>
    <cfRule type="expression" priority="552" dxfId="0">
      <formula>AND(IF($Q15=3,1,IF($Q15=4,1,0)),IF($F15&lt;=85,1,0))</formula>
    </cfRule>
  </conditionalFormatting>
  <conditionalFormatting sqref="AV16">
    <cfRule type="expression" priority="547" dxfId="17">
      <formula>AV16="X"</formula>
    </cfRule>
    <cfRule type="expression" priority="548" dxfId="16">
      <formula>AV16="후보"</formula>
    </cfRule>
  </conditionalFormatting>
  <conditionalFormatting sqref="AC16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16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16">
    <cfRule type="expression" priority="538" dxfId="3">
      <formula>AND(IF(OR($Q16=1,$Q16=2),1,0),IF($X16&lt;=20,1,0))</formula>
    </cfRule>
    <cfRule type="expression" priority="539" dxfId="2">
      <formula>AND(IF($Q16=2,1,0),IF($X16&lt;30,1,0))</formula>
    </cfRule>
    <cfRule type="expression" priority="540" dxfId="1">
      <formula>AND(IF($Q16=3,1,0),IF($X16&lt;30,1,0))</formula>
    </cfRule>
    <cfRule type="expression" priority="541" dxfId="0">
      <formula>AND(IF($Q16=3,1,IF($Q16=4,1,0)),IF($F16&lt;=85,1,0))</formula>
    </cfRule>
  </conditionalFormatting>
  <conditionalFormatting sqref="X16">
    <cfRule type="expression" priority="534" dxfId="3">
      <formula>AND(IF(OR($Q16=1,$Q16=2),1,0),IF($X16&lt;=20,1,0))</formula>
    </cfRule>
    <cfRule type="expression" priority="535" dxfId="2">
      <formula>AND(IF($Q16=2,1,0),IF($X16&lt;30,1,0))</formula>
    </cfRule>
    <cfRule type="expression" priority="536" dxfId="1">
      <formula>AND(IF($Q16=3,1,0),IF($X16&lt;30,1,0))</formula>
    </cfRule>
    <cfRule type="expression" priority="537" dxfId="0">
      <formula>AND(IF($Q16=3,1,IF($Q16=4,1,0)),IF($F16&lt;=85,1,0))</formula>
    </cfRule>
  </conditionalFormatting>
  <conditionalFormatting sqref="AI16">
    <cfRule type="expression" priority="530" dxfId="3">
      <formula>AND(IF(OR($Q16=1,$Q16=2),1,0),IF($X16&lt;=20,1,0))</formula>
    </cfRule>
    <cfRule type="expression" priority="531" dxfId="2">
      <formula>AND(IF($Q16=2,1,0),IF($X16&lt;30,1,0))</formula>
    </cfRule>
    <cfRule type="expression" priority="532" dxfId="1">
      <formula>AND(IF($Q16=3,1,0),IF($X16&lt;30,1,0))</formula>
    </cfRule>
    <cfRule type="expression" priority="533" dxfId="0">
      <formula>AND(IF($Q16=3,1,IF($Q16=4,1,0)),IF($F16&lt;=85,1,0))</formula>
    </cfRule>
  </conditionalFormatting>
  <conditionalFormatting sqref="AV17">
    <cfRule type="expression" priority="528" dxfId="17">
      <formula>AV17="X"</formula>
    </cfRule>
    <cfRule type="expression" priority="529" dxfId="16">
      <formula>AV17="후보"</formula>
    </cfRule>
  </conditionalFormatting>
  <conditionalFormatting sqref="AC17 N17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AV18">
    <cfRule type="expression" priority="523" dxfId="17">
      <formula>AV18="X"</formula>
    </cfRule>
    <cfRule type="expression" priority="524" dxfId="16">
      <formula>AV18="후보"</formula>
    </cfRule>
  </conditionalFormatting>
  <conditionalFormatting sqref="AC18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18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18">
    <cfRule type="expression" priority="514" dxfId="3">
      <formula>AND(IF(OR($Q18=1,$Q18=2),1,0),IF($X18&lt;=20,1,0))</formula>
    </cfRule>
    <cfRule type="expression" priority="515" dxfId="2">
      <formula>AND(IF($Q18=2,1,0),IF($X18&lt;30,1,0))</formula>
    </cfRule>
    <cfRule type="expression" priority="516" dxfId="1">
      <formula>AND(IF($Q18=3,1,0),IF($X18&lt;30,1,0))</formula>
    </cfRule>
    <cfRule type="expression" priority="517" dxfId="0">
      <formula>AND(IF($Q18=3,1,IF($Q18=4,1,0)),IF($F18&lt;=85,1,0))</formula>
    </cfRule>
  </conditionalFormatting>
  <conditionalFormatting sqref="X18">
    <cfRule type="expression" priority="510" dxfId="3">
      <formula>AND(IF(OR($Q18=1,$Q18=2),1,0),IF($X18&lt;=20,1,0))</formula>
    </cfRule>
    <cfRule type="expression" priority="511" dxfId="2">
      <formula>AND(IF($Q18=2,1,0),IF($X18&lt;30,1,0))</formula>
    </cfRule>
    <cfRule type="expression" priority="512" dxfId="1">
      <formula>AND(IF($Q18=3,1,0),IF($X18&lt;30,1,0))</formula>
    </cfRule>
    <cfRule type="expression" priority="513" dxfId="0">
      <formula>AND(IF($Q18=3,1,IF($Q18=4,1,0)),IF($F18&lt;=85,1,0))</formula>
    </cfRule>
  </conditionalFormatting>
  <conditionalFormatting sqref="AI18">
    <cfRule type="expression" priority="506" dxfId="3">
      <formula>AND(IF(OR($Q18=1,$Q18=2),1,0),IF($X18&lt;=20,1,0))</formula>
    </cfRule>
    <cfRule type="expression" priority="507" dxfId="2">
      <formula>AND(IF($Q18=2,1,0),IF($X18&lt;30,1,0))</formula>
    </cfRule>
    <cfRule type="expression" priority="508" dxfId="1">
      <formula>AND(IF($Q18=3,1,0),IF($X18&lt;30,1,0))</formula>
    </cfRule>
    <cfRule type="expression" priority="509" dxfId="0">
      <formula>AND(IF($Q18=3,1,IF($Q18=4,1,0)),IF($F18&lt;=85,1,0))</formula>
    </cfRule>
  </conditionalFormatting>
  <conditionalFormatting sqref="AV19">
    <cfRule type="expression" priority="504" dxfId="17">
      <formula>AV19="X"</formula>
    </cfRule>
    <cfRule type="expression" priority="505" dxfId="16">
      <formula>AV19="후보"</formula>
    </cfRule>
  </conditionalFormatting>
  <conditionalFormatting sqref="AC19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19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19">
    <cfRule type="expression" priority="495" dxfId="3">
      <formula>AND(IF(OR($Q19=1,$Q19=2),1,0),IF($X19&lt;=20,1,0))</formula>
    </cfRule>
    <cfRule type="expression" priority="496" dxfId="2">
      <formula>AND(IF($Q19=2,1,0),IF($X19&lt;30,1,0))</formula>
    </cfRule>
    <cfRule type="expression" priority="497" dxfId="1">
      <formula>AND(IF($Q19=3,1,0),IF($X19&lt;30,1,0))</formula>
    </cfRule>
    <cfRule type="expression" priority="498" dxfId="0">
      <formula>AND(IF($Q19=3,1,IF($Q19=4,1,0)),IF($F19&lt;=85,1,0))</formula>
    </cfRule>
  </conditionalFormatting>
  <conditionalFormatting sqref="X19">
    <cfRule type="expression" priority="491" dxfId="3">
      <formula>AND(IF(OR($Q19=1,$Q19=2),1,0),IF($X19&lt;=20,1,0))</formula>
    </cfRule>
    <cfRule type="expression" priority="492" dxfId="2">
      <formula>AND(IF($Q19=2,1,0),IF($X19&lt;30,1,0))</formula>
    </cfRule>
    <cfRule type="expression" priority="493" dxfId="1">
      <formula>AND(IF($Q19=3,1,0),IF($X19&lt;30,1,0))</formula>
    </cfRule>
    <cfRule type="expression" priority="494" dxfId="0">
      <formula>AND(IF($Q19=3,1,IF($Q19=4,1,0)),IF($F19&lt;=85,1,0))</formula>
    </cfRule>
  </conditionalFormatting>
  <conditionalFormatting sqref="AI19">
    <cfRule type="expression" priority="487" dxfId="3">
      <formula>AND(IF(OR($Q19=1,$Q19=2),1,0),IF($X19&lt;=20,1,0))</formula>
    </cfRule>
    <cfRule type="expression" priority="488" dxfId="2">
      <formula>AND(IF($Q19=2,1,0),IF($X19&lt;30,1,0))</formula>
    </cfRule>
    <cfRule type="expression" priority="489" dxfId="1">
      <formula>AND(IF($Q19=3,1,0),IF($X19&lt;30,1,0))</formula>
    </cfRule>
    <cfRule type="expression" priority="490" dxfId="0">
      <formula>AND(IF($Q19=3,1,IF($Q19=4,1,0)),IF($F19&lt;=85,1,0))</formula>
    </cfRule>
  </conditionalFormatting>
  <conditionalFormatting sqref="AV20">
    <cfRule type="expression" priority="485" dxfId="17">
      <formula>AV20="X"</formula>
    </cfRule>
    <cfRule type="expression" priority="486" dxfId="16">
      <formula>AV20="후보"</formula>
    </cfRule>
  </conditionalFormatting>
  <conditionalFormatting sqref="AC20 N20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AV21">
    <cfRule type="expression" priority="480" dxfId="17">
      <formula>AV21="X"</formula>
    </cfRule>
    <cfRule type="expression" priority="481" dxfId="16">
      <formula>AV21="후보"</formula>
    </cfRule>
  </conditionalFormatting>
  <conditionalFormatting sqref="AC21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21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21">
    <cfRule type="expression" priority="471" dxfId="3">
      <formula>AND(IF(OR($Q21=1,$Q21=2),1,0),IF($X21&lt;=20,1,0))</formula>
    </cfRule>
    <cfRule type="expression" priority="472" dxfId="2">
      <formula>AND(IF($Q21=2,1,0),IF($X21&lt;30,1,0))</formula>
    </cfRule>
    <cfRule type="expression" priority="473" dxfId="1">
      <formula>AND(IF($Q21=3,1,0),IF($X21&lt;30,1,0))</formula>
    </cfRule>
    <cfRule type="expression" priority="474" dxfId="0">
      <formula>AND(IF($Q21=3,1,IF($Q21=4,1,0)),IF($F21&lt;=85,1,0))</formula>
    </cfRule>
  </conditionalFormatting>
  <conditionalFormatting sqref="X21">
    <cfRule type="expression" priority="467" dxfId="3">
      <formula>AND(IF(OR($Q21=1,$Q21=2),1,0),IF($X21&lt;=20,1,0))</formula>
    </cfRule>
    <cfRule type="expression" priority="468" dxfId="2">
      <formula>AND(IF($Q21=2,1,0),IF($X21&lt;30,1,0))</formula>
    </cfRule>
    <cfRule type="expression" priority="469" dxfId="1">
      <formula>AND(IF($Q21=3,1,0),IF($X21&lt;30,1,0))</formula>
    </cfRule>
    <cfRule type="expression" priority="470" dxfId="0">
      <formula>AND(IF($Q21=3,1,IF($Q21=4,1,0)),IF($F21&lt;=85,1,0))</formula>
    </cfRule>
  </conditionalFormatting>
  <conditionalFormatting sqref="AI21">
    <cfRule type="expression" priority="463" dxfId="3">
      <formula>AND(IF(OR($Q21=1,$Q21=2),1,0),IF($X21&lt;=20,1,0))</formula>
    </cfRule>
    <cfRule type="expression" priority="464" dxfId="2">
      <formula>AND(IF($Q21=2,1,0),IF($X21&lt;30,1,0))</formula>
    </cfRule>
    <cfRule type="expression" priority="465" dxfId="1">
      <formula>AND(IF($Q21=3,1,0),IF($X21&lt;30,1,0))</formula>
    </cfRule>
    <cfRule type="expression" priority="466" dxfId="0">
      <formula>AND(IF($Q21=3,1,IF($Q21=4,1,0)),IF($F21&lt;=85,1,0))</formula>
    </cfRule>
  </conditionalFormatting>
  <conditionalFormatting sqref="AV22">
    <cfRule type="expression" priority="461" dxfId="17">
      <formula>AV22="X"</formula>
    </cfRule>
    <cfRule type="expression" priority="462" dxfId="16">
      <formula>AV22="후보"</formula>
    </cfRule>
  </conditionalFormatting>
  <conditionalFormatting sqref="AC22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22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22">
    <cfRule type="expression" priority="452" dxfId="3">
      <formula>AND(IF(OR($Q22=1,$Q22=2),1,0),IF($X22&lt;=20,1,0))</formula>
    </cfRule>
    <cfRule type="expression" priority="453" dxfId="2">
      <formula>AND(IF($Q22=2,1,0),IF($X22&lt;30,1,0))</formula>
    </cfRule>
    <cfRule type="expression" priority="454" dxfId="1">
      <formula>AND(IF($Q22=3,1,0),IF($X22&lt;30,1,0))</formula>
    </cfRule>
    <cfRule type="expression" priority="455" dxfId="0">
      <formula>AND(IF($Q22=3,1,IF($Q22=4,1,0)),IF($F22&lt;=85,1,0))</formula>
    </cfRule>
  </conditionalFormatting>
  <conditionalFormatting sqref="X22">
    <cfRule type="expression" priority="448" dxfId="3">
      <formula>AND(IF(OR($Q22=1,$Q22=2),1,0),IF($X22&lt;=20,1,0))</formula>
    </cfRule>
    <cfRule type="expression" priority="449" dxfId="2">
      <formula>AND(IF($Q22=2,1,0),IF($X22&lt;30,1,0))</formula>
    </cfRule>
    <cfRule type="expression" priority="450" dxfId="1">
      <formula>AND(IF($Q22=3,1,0),IF($X22&lt;30,1,0))</formula>
    </cfRule>
    <cfRule type="expression" priority="451" dxfId="0">
      <formula>AND(IF($Q22=3,1,IF($Q22=4,1,0)),IF($F22&lt;=85,1,0))</formula>
    </cfRule>
  </conditionalFormatting>
  <conditionalFormatting sqref="AI22">
    <cfRule type="expression" priority="444" dxfId="3">
      <formula>AND(IF(OR($Q22=1,$Q22=2),1,0),IF($X22&lt;=20,1,0))</formula>
    </cfRule>
    <cfRule type="expression" priority="445" dxfId="2">
      <formula>AND(IF($Q22=2,1,0),IF($X22&lt;30,1,0))</formula>
    </cfRule>
    <cfRule type="expression" priority="446" dxfId="1">
      <formula>AND(IF($Q22=3,1,0),IF($X22&lt;30,1,0))</formula>
    </cfRule>
    <cfRule type="expression" priority="447" dxfId="0">
      <formula>AND(IF($Q22=3,1,IF($Q22=4,1,0)),IF($F22&lt;=85,1,0))</formula>
    </cfRule>
  </conditionalFormatting>
  <conditionalFormatting sqref="AV23">
    <cfRule type="expression" priority="442" dxfId="17">
      <formula>AV23="X"</formula>
    </cfRule>
    <cfRule type="expression" priority="443" dxfId="16">
      <formula>AV23="후보"</formula>
    </cfRule>
  </conditionalFormatting>
  <conditionalFormatting sqref="AC23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23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23">
    <cfRule type="expression" priority="433" dxfId="3">
      <formula>AND(IF(OR($Q23=1,$Q23=2),1,0),IF($X23&lt;=20,1,0))</formula>
    </cfRule>
    <cfRule type="expression" priority="434" dxfId="2">
      <formula>AND(IF($Q23=2,1,0),IF($X23&lt;30,1,0))</formula>
    </cfRule>
    <cfRule type="expression" priority="435" dxfId="1">
      <formula>AND(IF($Q23=3,1,0),IF($X23&lt;30,1,0))</formula>
    </cfRule>
    <cfRule type="expression" priority="436" dxfId="0">
      <formula>AND(IF($Q23=3,1,IF($Q23=4,1,0)),IF($F23&lt;=85,1,0))</formula>
    </cfRule>
  </conditionalFormatting>
  <conditionalFormatting sqref="X23">
    <cfRule type="expression" priority="429" dxfId="3">
      <formula>AND(IF(OR($Q23=1,$Q23=2),1,0),IF($X23&lt;=20,1,0))</formula>
    </cfRule>
    <cfRule type="expression" priority="430" dxfId="2">
      <formula>AND(IF($Q23=2,1,0),IF($X23&lt;30,1,0))</formula>
    </cfRule>
    <cfRule type="expression" priority="431" dxfId="1">
      <formula>AND(IF($Q23=3,1,0),IF($X23&lt;30,1,0))</formula>
    </cfRule>
    <cfRule type="expression" priority="432" dxfId="0">
      <formula>AND(IF($Q23=3,1,IF($Q23=4,1,0)),IF($F23&lt;=85,1,0))</formula>
    </cfRule>
  </conditionalFormatting>
  <conditionalFormatting sqref="AI23">
    <cfRule type="expression" priority="425" dxfId="3">
      <formula>AND(IF(OR($Q23=1,$Q23=2),1,0),IF($X23&lt;=20,1,0))</formula>
    </cfRule>
    <cfRule type="expression" priority="426" dxfId="2">
      <formula>AND(IF($Q23=2,1,0),IF($X23&lt;30,1,0))</formula>
    </cfRule>
    <cfRule type="expression" priority="427" dxfId="1">
      <formula>AND(IF($Q23=3,1,0),IF($X23&lt;30,1,0))</formula>
    </cfRule>
    <cfRule type="expression" priority="428" dxfId="0">
      <formula>AND(IF($Q23=3,1,IF($Q23=4,1,0)),IF($F23&lt;=85,1,0))</formula>
    </cfRule>
  </conditionalFormatting>
  <conditionalFormatting sqref="AV24">
    <cfRule type="expression" priority="423" dxfId="17">
      <formula>AV24="X"</formula>
    </cfRule>
    <cfRule type="expression" priority="424" dxfId="16">
      <formula>AV24="후보"</formula>
    </cfRule>
  </conditionalFormatting>
  <conditionalFormatting sqref="AC24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4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4">
    <cfRule type="expression" priority="414" dxfId="3">
      <formula>AND(IF(OR($Q24=1,$Q24=2),1,0),IF($X24&lt;=20,1,0))</formula>
    </cfRule>
    <cfRule type="expression" priority="415" dxfId="2">
      <formula>AND(IF($Q24=2,1,0),IF($X24&lt;30,1,0))</formula>
    </cfRule>
    <cfRule type="expression" priority="416" dxfId="1">
      <formula>AND(IF($Q24=3,1,0),IF($X24&lt;30,1,0))</formula>
    </cfRule>
    <cfRule type="expression" priority="417" dxfId="0">
      <formula>AND(IF($Q24=3,1,IF($Q24=4,1,0)),IF($F24&lt;=85,1,0))</formula>
    </cfRule>
  </conditionalFormatting>
  <conditionalFormatting sqref="X24">
    <cfRule type="expression" priority="410" dxfId="3">
      <formula>AND(IF(OR($Q24=1,$Q24=2),1,0),IF($X24&lt;=20,1,0))</formula>
    </cfRule>
    <cfRule type="expression" priority="411" dxfId="2">
      <formula>AND(IF($Q24=2,1,0),IF($X24&lt;30,1,0))</formula>
    </cfRule>
    <cfRule type="expression" priority="412" dxfId="1">
      <formula>AND(IF($Q24=3,1,0),IF($X24&lt;30,1,0))</formula>
    </cfRule>
    <cfRule type="expression" priority="413" dxfId="0">
      <formula>AND(IF($Q24=3,1,IF($Q24=4,1,0)),IF($F24&lt;=85,1,0))</formula>
    </cfRule>
  </conditionalFormatting>
  <conditionalFormatting sqref="AI24">
    <cfRule type="expression" priority="406" dxfId="3">
      <formula>AND(IF(OR($Q24=1,$Q24=2),1,0),IF($X24&lt;=20,1,0))</formula>
    </cfRule>
    <cfRule type="expression" priority="407" dxfId="2">
      <formula>AND(IF($Q24=2,1,0),IF($X24&lt;30,1,0))</formula>
    </cfRule>
    <cfRule type="expression" priority="408" dxfId="1">
      <formula>AND(IF($Q24=3,1,0),IF($X24&lt;30,1,0))</formula>
    </cfRule>
    <cfRule type="expression" priority="409" dxfId="0">
      <formula>AND(IF($Q24=3,1,IF($Q24=4,1,0)),IF($F24&lt;=85,1,0))</formula>
    </cfRule>
  </conditionalFormatting>
  <conditionalFormatting sqref="AV25">
    <cfRule type="expression" priority="404" dxfId="17">
      <formula>AV25="X"</formula>
    </cfRule>
    <cfRule type="expression" priority="405" dxfId="16">
      <formula>AV25="후보"</formula>
    </cfRule>
  </conditionalFormatting>
  <conditionalFormatting sqref="AC25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5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5">
    <cfRule type="expression" priority="395" dxfId="3">
      <formula>AND(IF(OR($Q25=1,$Q25=2),1,0),IF($X25&lt;=20,1,0))</formula>
    </cfRule>
    <cfRule type="expression" priority="396" dxfId="2">
      <formula>AND(IF($Q25=2,1,0),IF($X25&lt;30,1,0))</formula>
    </cfRule>
    <cfRule type="expression" priority="397" dxfId="1">
      <formula>AND(IF($Q25=3,1,0),IF($X25&lt;30,1,0))</formula>
    </cfRule>
    <cfRule type="expression" priority="398" dxfId="0">
      <formula>AND(IF($Q25=3,1,IF($Q25=4,1,0)),IF($F25&lt;=85,1,0))</formula>
    </cfRule>
  </conditionalFormatting>
  <conditionalFormatting sqref="X25">
    <cfRule type="expression" priority="391" dxfId="3">
      <formula>AND(IF(OR($Q25=1,$Q25=2),1,0),IF($X25&lt;=20,1,0))</formula>
    </cfRule>
    <cfRule type="expression" priority="392" dxfId="2">
      <formula>AND(IF($Q25=2,1,0),IF($X25&lt;30,1,0))</formula>
    </cfRule>
    <cfRule type="expression" priority="393" dxfId="1">
      <formula>AND(IF($Q25=3,1,0),IF($X25&lt;30,1,0))</formula>
    </cfRule>
    <cfRule type="expression" priority="394" dxfId="0">
      <formula>AND(IF($Q25=3,1,IF($Q25=4,1,0)),IF($F25&lt;=85,1,0))</formula>
    </cfRule>
  </conditionalFormatting>
  <conditionalFormatting sqref="AI25">
    <cfRule type="expression" priority="387" dxfId="3">
      <formula>AND(IF(OR($Q25=1,$Q25=2),1,0),IF($X25&lt;=20,1,0))</formula>
    </cfRule>
    <cfRule type="expression" priority="388" dxfId="2">
      <formula>AND(IF($Q25=2,1,0),IF($X25&lt;30,1,0))</formula>
    </cfRule>
    <cfRule type="expression" priority="389" dxfId="1">
      <formula>AND(IF($Q25=3,1,0),IF($X25&lt;30,1,0))</formula>
    </cfRule>
    <cfRule type="expression" priority="390" dxfId="0">
      <formula>AND(IF($Q25=3,1,IF($Q25=4,1,0)),IF($F25&lt;=85,1,0))</formula>
    </cfRule>
  </conditionalFormatting>
  <conditionalFormatting sqref="AV26">
    <cfRule type="expression" priority="385" dxfId="17">
      <formula>AV26="X"</formula>
    </cfRule>
    <cfRule type="expression" priority="386" dxfId="16">
      <formula>AV26="후보"</formula>
    </cfRule>
  </conditionalFormatting>
  <conditionalFormatting sqref="AC26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6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6">
    <cfRule type="expression" priority="376" dxfId="3">
      <formula>AND(IF(OR($Q26=1,$Q26=2),1,0),IF($X26&lt;=20,1,0))</formula>
    </cfRule>
    <cfRule type="expression" priority="377" dxfId="2">
      <formula>AND(IF($Q26=2,1,0),IF($X26&lt;30,1,0))</formula>
    </cfRule>
    <cfRule type="expression" priority="378" dxfId="1">
      <formula>AND(IF($Q26=3,1,0),IF($X26&lt;30,1,0))</formula>
    </cfRule>
    <cfRule type="expression" priority="379" dxfId="0">
      <formula>AND(IF($Q26=3,1,IF($Q26=4,1,0)),IF($F26&lt;=85,1,0))</formula>
    </cfRule>
  </conditionalFormatting>
  <conditionalFormatting sqref="X26">
    <cfRule type="expression" priority="372" dxfId="3">
      <formula>AND(IF(OR($Q26=1,$Q26=2),1,0),IF($X26&lt;=20,1,0))</formula>
    </cfRule>
    <cfRule type="expression" priority="373" dxfId="2">
      <formula>AND(IF($Q26=2,1,0),IF($X26&lt;30,1,0))</formula>
    </cfRule>
    <cfRule type="expression" priority="374" dxfId="1">
      <formula>AND(IF($Q26=3,1,0),IF($X26&lt;30,1,0))</formula>
    </cfRule>
    <cfRule type="expression" priority="375" dxfId="0">
      <formula>AND(IF($Q26=3,1,IF($Q26=4,1,0)),IF($F26&lt;=85,1,0))</formula>
    </cfRule>
  </conditionalFormatting>
  <conditionalFormatting sqref="AI26">
    <cfRule type="expression" priority="368" dxfId="3">
      <formula>AND(IF(OR($Q26=1,$Q26=2),1,0),IF($X26&lt;=20,1,0))</formula>
    </cfRule>
    <cfRule type="expression" priority="369" dxfId="2">
      <formula>AND(IF($Q26=2,1,0),IF($X26&lt;30,1,0))</formula>
    </cfRule>
    <cfRule type="expression" priority="370" dxfId="1">
      <formula>AND(IF($Q26=3,1,0),IF($X26&lt;30,1,0))</formula>
    </cfRule>
    <cfRule type="expression" priority="371" dxfId="0">
      <formula>AND(IF($Q26=3,1,IF($Q26=4,1,0)),IF($F26&lt;=85,1,0))</formula>
    </cfRule>
  </conditionalFormatting>
  <conditionalFormatting sqref="AV27">
    <cfRule type="expression" priority="366" dxfId="17">
      <formula>AV27="X"</formula>
    </cfRule>
    <cfRule type="expression" priority="367" dxfId="16">
      <formula>AV27="후보"</formula>
    </cfRule>
  </conditionalFormatting>
  <conditionalFormatting sqref="AC27 N27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AV28">
    <cfRule type="expression" priority="361" dxfId="17">
      <formula>AV28="X"</formula>
    </cfRule>
    <cfRule type="expression" priority="362" dxfId="16">
      <formula>AV28="후보"</formula>
    </cfRule>
  </conditionalFormatting>
  <conditionalFormatting sqref="AC28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28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28">
    <cfRule type="expression" priority="352" dxfId="3">
      <formula>AND(IF(OR($Q28=1,$Q28=2),1,0),IF($X28&lt;=20,1,0))</formula>
    </cfRule>
    <cfRule type="expression" priority="353" dxfId="2">
      <formula>AND(IF($Q28=2,1,0),IF($X28&lt;30,1,0))</formula>
    </cfRule>
    <cfRule type="expression" priority="354" dxfId="1">
      <formula>AND(IF($Q28=3,1,0),IF($X28&lt;30,1,0))</formula>
    </cfRule>
    <cfRule type="expression" priority="355" dxfId="0">
      <formula>AND(IF($Q28=3,1,IF($Q28=4,1,0)),IF($F28&lt;=85,1,0))</formula>
    </cfRule>
  </conditionalFormatting>
  <conditionalFormatting sqref="X28">
    <cfRule type="expression" priority="348" dxfId="3">
      <formula>AND(IF(OR($Q28=1,$Q28=2),1,0),IF($X28&lt;=20,1,0))</formula>
    </cfRule>
    <cfRule type="expression" priority="349" dxfId="2">
      <formula>AND(IF($Q28=2,1,0),IF($X28&lt;30,1,0))</formula>
    </cfRule>
    <cfRule type="expression" priority="350" dxfId="1">
      <formula>AND(IF($Q28=3,1,0),IF($X28&lt;30,1,0))</formula>
    </cfRule>
    <cfRule type="expression" priority="351" dxfId="0">
      <formula>AND(IF($Q28=3,1,IF($Q28=4,1,0)),IF($F28&lt;=85,1,0))</formula>
    </cfRule>
  </conditionalFormatting>
  <conditionalFormatting sqref="AI28">
    <cfRule type="expression" priority="344" dxfId="3">
      <formula>AND(IF(OR($Q28=1,$Q28=2),1,0),IF($X28&lt;=20,1,0))</formula>
    </cfRule>
    <cfRule type="expression" priority="345" dxfId="2">
      <formula>AND(IF($Q28=2,1,0),IF($X28&lt;30,1,0))</formula>
    </cfRule>
    <cfRule type="expression" priority="346" dxfId="1">
      <formula>AND(IF($Q28=3,1,0),IF($X28&lt;30,1,0))</formula>
    </cfRule>
    <cfRule type="expression" priority="347" dxfId="0">
      <formula>AND(IF($Q28=3,1,IF($Q28=4,1,0)),IF($F28&lt;=85,1,0))</formula>
    </cfRule>
  </conditionalFormatting>
  <conditionalFormatting sqref="AV29">
    <cfRule type="expression" priority="342" dxfId="17">
      <formula>AV29="X"</formula>
    </cfRule>
    <cfRule type="expression" priority="343" dxfId="16">
      <formula>AV29="후보"</formula>
    </cfRule>
  </conditionalFormatting>
  <conditionalFormatting sqref="AC29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29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29">
    <cfRule type="expression" priority="333" dxfId="3">
      <formula>AND(IF(OR($Q29=1,$Q29=2),1,0),IF($X29&lt;=20,1,0))</formula>
    </cfRule>
    <cfRule type="expression" priority="334" dxfId="2">
      <formula>AND(IF($Q29=2,1,0),IF($X29&lt;30,1,0))</formula>
    </cfRule>
    <cfRule type="expression" priority="335" dxfId="1">
      <formula>AND(IF($Q29=3,1,0),IF($X29&lt;30,1,0))</formula>
    </cfRule>
    <cfRule type="expression" priority="336" dxfId="0">
      <formula>AND(IF($Q29=3,1,IF($Q29=4,1,0)),IF($F29&lt;=85,1,0))</formula>
    </cfRule>
  </conditionalFormatting>
  <conditionalFormatting sqref="X29">
    <cfRule type="expression" priority="329" dxfId="3">
      <formula>AND(IF(OR($Q29=1,$Q29=2),1,0),IF($X29&lt;=20,1,0))</formula>
    </cfRule>
    <cfRule type="expression" priority="330" dxfId="2">
      <formula>AND(IF($Q29=2,1,0),IF($X29&lt;30,1,0))</formula>
    </cfRule>
    <cfRule type="expression" priority="331" dxfId="1">
      <formula>AND(IF($Q29=3,1,0),IF($X29&lt;30,1,0))</formula>
    </cfRule>
    <cfRule type="expression" priority="332" dxfId="0">
      <formula>AND(IF($Q29=3,1,IF($Q29=4,1,0)),IF($F29&lt;=85,1,0))</formula>
    </cfRule>
  </conditionalFormatting>
  <conditionalFormatting sqref="AI29">
    <cfRule type="expression" priority="325" dxfId="3">
      <formula>AND(IF(OR($Q29=1,$Q29=2),1,0),IF($X29&lt;=20,1,0))</formula>
    </cfRule>
    <cfRule type="expression" priority="326" dxfId="2">
      <formula>AND(IF($Q29=2,1,0),IF($X29&lt;30,1,0))</formula>
    </cfRule>
    <cfRule type="expression" priority="327" dxfId="1">
      <formula>AND(IF($Q29=3,1,0),IF($X29&lt;30,1,0))</formula>
    </cfRule>
    <cfRule type="expression" priority="328" dxfId="0">
      <formula>AND(IF($Q29=3,1,IF($Q29=4,1,0)),IF($F29&lt;=85,1,0))</formula>
    </cfRule>
  </conditionalFormatting>
  <conditionalFormatting sqref="AV30">
    <cfRule type="expression" priority="323" dxfId="17">
      <formula>AV30="X"</formula>
    </cfRule>
    <cfRule type="expression" priority="324" dxfId="16">
      <formula>AV30="후보"</formula>
    </cfRule>
  </conditionalFormatting>
  <conditionalFormatting sqref="AC30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30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30">
    <cfRule type="expression" priority="314" dxfId="3">
      <formula>AND(IF(OR($Q30=1,$Q30=2),1,0),IF($X30&lt;=20,1,0))</formula>
    </cfRule>
    <cfRule type="expression" priority="315" dxfId="2">
      <formula>AND(IF($Q30=2,1,0),IF($X30&lt;30,1,0))</formula>
    </cfRule>
    <cfRule type="expression" priority="316" dxfId="1">
      <formula>AND(IF($Q30=3,1,0),IF($X30&lt;30,1,0))</formula>
    </cfRule>
    <cfRule type="expression" priority="317" dxfId="0">
      <formula>AND(IF($Q30=3,1,IF($Q30=4,1,0)),IF($F30&lt;=85,1,0))</formula>
    </cfRule>
  </conditionalFormatting>
  <conditionalFormatting sqref="X30">
    <cfRule type="expression" priority="310" dxfId="3">
      <formula>AND(IF(OR($Q30=1,$Q30=2),1,0),IF($X30&lt;=20,1,0))</formula>
    </cfRule>
    <cfRule type="expression" priority="311" dxfId="2">
      <formula>AND(IF($Q30=2,1,0),IF($X30&lt;30,1,0))</formula>
    </cfRule>
    <cfRule type="expression" priority="312" dxfId="1">
      <formula>AND(IF($Q30=3,1,0),IF($X30&lt;30,1,0))</formula>
    </cfRule>
    <cfRule type="expression" priority="313" dxfId="0">
      <formula>AND(IF($Q30=3,1,IF($Q30=4,1,0)),IF($F30&lt;=85,1,0))</formula>
    </cfRule>
  </conditionalFormatting>
  <conditionalFormatting sqref="AI30">
    <cfRule type="expression" priority="306" dxfId="3">
      <formula>AND(IF(OR($Q30=1,$Q30=2),1,0),IF($X30&lt;=20,1,0))</formula>
    </cfRule>
    <cfRule type="expression" priority="307" dxfId="2">
      <formula>AND(IF($Q30=2,1,0),IF($X30&lt;30,1,0))</formula>
    </cfRule>
    <cfRule type="expression" priority="308" dxfId="1">
      <formula>AND(IF($Q30=3,1,0),IF($X30&lt;30,1,0))</formula>
    </cfRule>
    <cfRule type="expression" priority="309" dxfId="0">
      <formula>AND(IF($Q30=3,1,IF($Q30=4,1,0)),IF($F30&lt;=85,1,0))</formula>
    </cfRule>
  </conditionalFormatting>
  <conditionalFormatting sqref="AV31">
    <cfRule type="expression" priority="304" dxfId="17">
      <formula>AV31="X"</formula>
    </cfRule>
    <cfRule type="expression" priority="305" dxfId="16">
      <formula>AV31="후보"</formula>
    </cfRule>
  </conditionalFormatting>
  <conditionalFormatting sqref="AC31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31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31">
    <cfRule type="expression" priority="295" dxfId="3">
      <formula>AND(IF(OR($Q31=1,$Q31=2),1,0),IF($X31&lt;=20,1,0))</formula>
    </cfRule>
    <cfRule type="expression" priority="296" dxfId="2">
      <formula>AND(IF($Q31=2,1,0),IF($X31&lt;30,1,0))</formula>
    </cfRule>
    <cfRule type="expression" priority="297" dxfId="1">
      <formula>AND(IF($Q31=3,1,0),IF($X31&lt;30,1,0))</formula>
    </cfRule>
    <cfRule type="expression" priority="298" dxfId="0">
      <formula>AND(IF($Q31=3,1,IF($Q31=4,1,0)),IF($F31&lt;=85,1,0))</formula>
    </cfRule>
  </conditionalFormatting>
  <conditionalFormatting sqref="X31">
    <cfRule type="expression" priority="291" dxfId="3">
      <formula>AND(IF(OR($Q31=1,$Q31=2),1,0),IF($X31&lt;=20,1,0))</formula>
    </cfRule>
    <cfRule type="expression" priority="292" dxfId="2">
      <formula>AND(IF($Q31=2,1,0),IF($X31&lt;30,1,0))</formula>
    </cfRule>
    <cfRule type="expression" priority="293" dxfId="1">
      <formula>AND(IF($Q31=3,1,0),IF($X31&lt;30,1,0))</formula>
    </cfRule>
    <cfRule type="expression" priority="294" dxfId="0">
      <formula>AND(IF($Q31=3,1,IF($Q31=4,1,0)),IF($F31&lt;=85,1,0))</formula>
    </cfRule>
  </conditionalFormatting>
  <conditionalFormatting sqref="AI31">
    <cfRule type="expression" priority="287" dxfId="3">
      <formula>AND(IF(OR($Q31=1,$Q31=2),1,0),IF($X31&lt;=20,1,0))</formula>
    </cfRule>
    <cfRule type="expression" priority="288" dxfId="2">
      <formula>AND(IF($Q31=2,1,0),IF($X31&lt;30,1,0))</formula>
    </cfRule>
    <cfRule type="expression" priority="289" dxfId="1">
      <formula>AND(IF($Q31=3,1,0),IF($X31&lt;30,1,0))</formula>
    </cfRule>
    <cfRule type="expression" priority="290" dxfId="0">
      <formula>AND(IF($Q31=3,1,IF($Q31=4,1,0)),IF($F31&lt;=85,1,0))</formula>
    </cfRule>
  </conditionalFormatting>
  <conditionalFormatting sqref="AV32">
    <cfRule type="expression" priority="285" dxfId="17">
      <formula>AV32="X"</formula>
    </cfRule>
    <cfRule type="expression" priority="286" dxfId="16">
      <formula>AV32="후보"</formula>
    </cfRule>
  </conditionalFormatting>
  <conditionalFormatting sqref="AC32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32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32">
    <cfRule type="expression" priority="276" dxfId="3">
      <formula>AND(IF(OR($Q32=1,$Q32=2),1,0),IF($X32&lt;=20,1,0))</formula>
    </cfRule>
    <cfRule type="expression" priority="277" dxfId="2">
      <formula>AND(IF($Q32=2,1,0),IF($X32&lt;30,1,0))</formula>
    </cfRule>
    <cfRule type="expression" priority="278" dxfId="1">
      <formula>AND(IF($Q32=3,1,0),IF($X32&lt;30,1,0))</formula>
    </cfRule>
    <cfRule type="expression" priority="279" dxfId="0">
      <formula>AND(IF($Q32=3,1,IF($Q32=4,1,0)),IF($F32&lt;=85,1,0))</formula>
    </cfRule>
  </conditionalFormatting>
  <conditionalFormatting sqref="X32">
    <cfRule type="expression" priority="272" dxfId="3">
      <formula>AND(IF(OR($Q32=1,$Q32=2),1,0),IF($X32&lt;=20,1,0))</formula>
    </cfRule>
    <cfRule type="expression" priority="273" dxfId="2">
      <formula>AND(IF($Q32=2,1,0),IF($X32&lt;30,1,0))</formula>
    </cfRule>
    <cfRule type="expression" priority="274" dxfId="1">
      <formula>AND(IF($Q32=3,1,0),IF($X32&lt;30,1,0))</formula>
    </cfRule>
    <cfRule type="expression" priority="275" dxfId="0">
      <formula>AND(IF($Q32=3,1,IF($Q32=4,1,0)),IF($F32&lt;=85,1,0))</formula>
    </cfRule>
  </conditionalFormatting>
  <conditionalFormatting sqref="AI32">
    <cfRule type="expression" priority="268" dxfId="3">
      <formula>AND(IF(OR($Q32=1,$Q32=2),1,0),IF($X32&lt;=20,1,0))</formula>
    </cfRule>
    <cfRule type="expression" priority="269" dxfId="2">
      <formula>AND(IF($Q32=2,1,0),IF($X32&lt;30,1,0))</formula>
    </cfRule>
    <cfRule type="expression" priority="270" dxfId="1">
      <formula>AND(IF($Q32=3,1,0),IF($X32&lt;30,1,0))</formula>
    </cfRule>
    <cfRule type="expression" priority="271" dxfId="0">
      <formula>AND(IF($Q32=3,1,IF($Q32=4,1,0)),IF($F32&lt;=85,1,0))</formula>
    </cfRule>
  </conditionalFormatting>
  <conditionalFormatting sqref="AV33">
    <cfRule type="expression" priority="266" dxfId="17">
      <formula>AV33="X"</formula>
    </cfRule>
    <cfRule type="expression" priority="267" dxfId="16">
      <formula>AV33="후보"</formula>
    </cfRule>
  </conditionalFormatting>
  <conditionalFormatting sqref="AC33 N33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34">
    <cfRule type="expression" priority="261" dxfId="17">
      <formula>AV34="X"</formula>
    </cfRule>
    <cfRule type="expression" priority="262" dxfId="16">
      <formula>AV34="후보"</formula>
    </cfRule>
  </conditionalFormatting>
  <conditionalFormatting sqref="AC34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34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34">
    <cfRule type="expression" priority="252" dxfId="3">
      <formula>AND(IF(OR($Q34=1,$Q34=2),1,0),IF($X34&lt;=20,1,0))</formula>
    </cfRule>
    <cfRule type="expression" priority="253" dxfId="2">
      <formula>AND(IF($Q34=2,1,0),IF($X34&lt;30,1,0))</formula>
    </cfRule>
    <cfRule type="expression" priority="254" dxfId="1">
      <formula>AND(IF($Q34=3,1,0),IF($X34&lt;30,1,0))</formula>
    </cfRule>
    <cfRule type="expression" priority="255" dxfId="0">
      <formula>AND(IF($Q34=3,1,IF($Q34=4,1,0)),IF($F34&lt;=85,1,0))</formula>
    </cfRule>
  </conditionalFormatting>
  <conditionalFormatting sqref="X34">
    <cfRule type="expression" priority="248" dxfId="3">
      <formula>AND(IF(OR($Q34=1,$Q34=2),1,0),IF($X34&lt;=20,1,0))</formula>
    </cfRule>
    <cfRule type="expression" priority="249" dxfId="2">
      <formula>AND(IF($Q34=2,1,0),IF($X34&lt;30,1,0))</formula>
    </cfRule>
    <cfRule type="expression" priority="250" dxfId="1">
      <formula>AND(IF($Q34=3,1,0),IF($X34&lt;30,1,0))</formula>
    </cfRule>
    <cfRule type="expression" priority="251" dxfId="0">
      <formula>AND(IF($Q34=3,1,IF($Q34=4,1,0)),IF($F34&lt;=85,1,0))</formula>
    </cfRule>
  </conditionalFormatting>
  <conditionalFormatting sqref="AI34">
    <cfRule type="expression" priority="244" dxfId="3">
      <formula>AND(IF(OR($Q34=1,$Q34=2),1,0),IF($X34&lt;=20,1,0))</formula>
    </cfRule>
    <cfRule type="expression" priority="245" dxfId="2">
      <formula>AND(IF($Q34=2,1,0),IF($X34&lt;30,1,0))</formula>
    </cfRule>
    <cfRule type="expression" priority="246" dxfId="1">
      <formula>AND(IF($Q34=3,1,0),IF($X34&lt;30,1,0))</formula>
    </cfRule>
    <cfRule type="expression" priority="247" dxfId="0">
      <formula>AND(IF($Q34=3,1,IF($Q34=4,1,0)),IF($F34&lt;=85,1,0))</formula>
    </cfRule>
  </conditionalFormatting>
  <conditionalFormatting sqref="AV35">
    <cfRule type="expression" priority="242" dxfId="17">
      <formula>AV35="X"</formula>
    </cfRule>
    <cfRule type="expression" priority="243" dxfId="16">
      <formula>AV35="후보"</formula>
    </cfRule>
  </conditionalFormatting>
  <conditionalFormatting sqref="AC35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35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35">
    <cfRule type="expression" priority="233" dxfId="3">
      <formula>AND(IF(OR($Q35=1,$Q35=2),1,0),IF($X35&lt;=20,1,0))</formula>
    </cfRule>
    <cfRule type="expression" priority="234" dxfId="2">
      <formula>AND(IF($Q35=2,1,0),IF($X35&lt;30,1,0))</formula>
    </cfRule>
    <cfRule type="expression" priority="235" dxfId="1">
      <formula>AND(IF($Q35=3,1,0),IF($X35&lt;30,1,0))</formula>
    </cfRule>
    <cfRule type="expression" priority="236" dxfId="0">
      <formula>AND(IF($Q35=3,1,IF($Q35=4,1,0)),IF($F35&lt;=85,1,0))</formula>
    </cfRule>
  </conditionalFormatting>
  <conditionalFormatting sqref="X35">
    <cfRule type="expression" priority="229" dxfId="3">
      <formula>AND(IF(OR($Q35=1,$Q35=2),1,0),IF($X35&lt;=20,1,0))</formula>
    </cfRule>
    <cfRule type="expression" priority="230" dxfId="2">
      <formula>AND(IF($Q35=2,1,0),IF($X35&lt;30,1,0))</formula>
    </cfRule>
    <cfRule type="expression" priority="231" dxfId="1">
      <formula>AND(IF($Q35=3,1,0),IF($X35&lt;30,1,0))</formula>
    </cfRule>
    <cfRule type="expression" priority="232" dxfId="0">
      <formula>AND(IF($Q35=3,1,IF($Q35=4,1,0)),IF($F35&lt;=85,1,0))</formula>
    </cfRule>
  </conditionalFormatting>
  <conditionalFormatting sqref="AI35">
    <cfRule type="expression" priority="225" dxfId="3">
      <formula>AND(IF(OR($Q35=1,$Q35=2),1,0),IF($X35&lt;=20,1,0))</formula>
    </cfRule>
    <cfRule type="expression" priority="226" dxfId="2">
      <formula>AND(IF($Q35=2,1,0),IF($X35&lt;30,1,0))</formula>
    </cfRule>
    <cfRule type="expression" priority="227" dxfId="1">
      <formula>AND(IF($Q35=3,1,0),IF($X35&lt;30,1,0))</formula>
    </cfRule>
    <cfRule type="expression" priority="228" dxfId="0">
      <formula>AND(IF($Q35=3,1,IF($Q35=4,1,0)),IF($F35&lt;=85,1,0))</formula>
    </cfRule>
  </conditionalFormatting>
  <conditionalFormatting sqref="AV36">
    <cfRule type="expression" priority="223" dxfId="17">
      <formula>AV36="X"</formula>
    </cfRule>
    <cfRule type="expression" priority="224" dxfId="16">
      <formula>AV36="후보"</formula>
    </cfRule>
  </conditionalFormatting>
  <conditionalFormatting sqref="AC36 N36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37">
    <cfRule type="expression" priority="218" dxfId="17">
      <formula>AV37="X"</formula>
    </cfRule>
    <cfRule type="expression" priority="219" dxfId="16">
      <formula>AV37="후보"</formula>
    </cfRule>
  </conditionalFormatting>
  <conditionalFormatting sqref="AC3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7">
    <cfRule type="expression" priority="209" dxfId="3">
      <formula>AND(IF(OR($Q37=1,$Q37=2),1,0),IF($X37&lt;=20,1,0))</formula>
    </cfRule>
    <cfRule type="expression" priority="210" dxfId="2">
      <formula>AND(IF($Q37=2,1,0),IF($X37&lt;30,1,0))</formula>
    </cfRule>
    <cfRule type="expression" priority="211" dxfId="1">
      <formula>AND(IF($Q37=3,1,0),IF($X37&lt;30,1,0))</formula>
    </cfRule>
    <cfRule type="expression" priority="212" dxfId="0">
      <formula>AND(IF($Q37=3,1,IF($Q37=4,1,0)),IF($F37&lt;=85,1,0))</formula>
    </cfRule>
  </conditionalFormatting>
  <conditionalFormatting sqref="X37">
    <cfRule type="expression" priority="205" dxfId="3">
      <formula>AND(IF(OR($Q37=1,$Q37=2),1,0),IF($X37&lt;=20,1,0))</formula>
    </cfRule>
    <cfRule type="expression" priority="206" dxfId="2">
      <formula>AND(IF($Q37=2,1,0),IF($X37&lt;30,1,0))</formula>
    </cfRule>
    <cfRule type="expression" priority="207" dxfId="1">
      <formula>AND(IF($Q37=3,1,0),IF($X37&lt;30,1,0))</formula>
    </cfRule>
    <cfRule type="expression" priority="208" dxfId="0">
      <formula>AND(IF($Q37=3,1,IF($Q37=4,1,0)),IF($F37&lt;=85,1,0))</formula>
    </cfRule>
  </conditionalFormatting>
  <conditionalFormatting sqref="AI37">
    <cfRule type="expression" priority="201" dxfId="3">
      <formula>AND(IF(OR($Q37=1,$Q37=2),1,0),IF($X37&lt;=20,1,0))</formula>
    </cfRule>
    <cfRule type="expression" priority="202" dxfId="2">
      <formula>AND(IF($Q37=2,1,0),IF($X37&lt;30,1,0))</formula>
    </cfRule>
    <cfRule type="expression" priority="203" dxfId="1">
      <formula>AND(IF($Q37=3,1,0),IF($X37&lt;30,1,0))</formula>
    </cfRule>
    <cfRule type="expression" priority="204" dxfId="0">
      <formula>AND(IF($Q37=3,1,IF($Q37=4,1,0)),IF($F37&lt;=85,1,0))</formula>
    </cfRule>
  </conditionalFormatting>
  <conditionalFormatting sqref="AV38">
    <cfRule type="expression" priority="199" dxfId="17">
      <formula>AV38="X"</formula>
    </cfRule>
    <cfRule type="expression" priority="200" dxfId="16">
      <formula>AV38="후보"</formula>
    </cfRule>
  </conditionalFormatting>
  <conditionalFormatting sqref="AC3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8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8">
    <cfRule type="expression" priority="190" dxfId="3">
      <formula>AND(IF(OR($Q38=1,$Q38=2),1,0),IF($X38&lt;=20,1,0))</formula>
    </cfRule>
    <cfRule type="expression" priority="191" dxfId="2">
      <formula>AND(IF($Q38=2,1,0),IF($X38&lt;30,1,0))</formula>
    </cfRule>
    <cfRule type="expression" priority="192" dxfId="1">
      <formula>AND(IF($Q38=3,1,0),IF($X38&lt;30,1,0))</formula>
    </cfRule>
    <cfRule type="expression" priority="193" dxfId="0">
      <formula>AND(IF($Q38=3,1,IF($Q38=4,1,0)),IF($F38&lt;=85,1,0))</formula>
    </cfRule>
  </conditionalFormatting>
  <conditionalFormatting sqref="X38">
    <cfRule type="expression" priority="186" dxfId="3">
      <formula>AND(IF(OR($Q38=1,$Q38=2),1,0),IF($X38&lt;=20,1,0))</formula>
    </cfRule>
    <cfRule type="expression" priority="187" dxfId="2">
      <formula>AND(IF($Q38=2,1,0),IF($X38&lt;30,1,0))</formula>
    </cfRule>
    <cfRule type="expression" priority="188" dxfId="1">
      <formula>AND(IF($Q38=3,1,0),IF($X38&lt;30,1,0))</formula>
    </cfRule>
    <cfRule type="expression" priority="189" dxfId="0">
      <formula>AND(IF($Q38=3,1,IF($Q38=4,1,0)),IF($F38&lt;=85,1,0))</formula>
    </cfRule>
  </conditionalFormatting>
  <conditionalFormatting sqref="AI38">
    <cfRule type="expression" priority="182" dxfId="3">
      <formula>AND(IF(OR($Q38=1,$Q38=2),1,0),IF($X38&lt;=20,1,0))</formula>
    </cfRule>
    <cfRule type="expression" priority="183" dxfId="2">
      <formula>AND(IF($Q38=2,1,0),IF($X38&lt;30,1,0))</formula>
    </cfRule>
    <cfRule type="expression" priority="184" dxfId="1">
      <formula>AND(IF($Q38=3,1,0),IF($X38&lt;30,1,0))</formula>
    </cfRule>
    <cfRule type="expression" priority="185" dxfId="0">
      <formula>AND(IF($Q38=3,1,IF($Q38=4,1,0)),IF($F38&lt;=85,1,0))</formula>
    </cfRule>
  </conditionalFormatting>
  <conditionalFormatting sqref="AV39">
    <cfRule type="expression" priority="180" dxfId="17">
      <formula>AV39="X"</formula>
    </cfRule>
    <cfRule type="expression" priority="181" dxfId="16">
      <formula>AV39="후보"</formula>
    </cfRule>
  </conditionalFormatting>
  <conditionalFormatting sqref="AC3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9">
    <cfRule type="expression" priority="171" dxfId="3">
      <formula>AND(IF(OR($Q39=1,$Q39=2),1,0),IF($X39&lt;=20,1,0))</formula>
    </cfRule>
    <cfRule type="expression" priority="172" dxfId="2">
      <formula>AND(IF($Q39=2,1,0),IF($X39&lt;30,1,0))</formula>
    </cfRule>
    <cfRule type="expression" priority="173" dxfId="1">
      <formula>AND(IF($Q39=3,1,0),IF($X39&lt;30,1,0))</formula>
    </cfRule>
    <cfRule type="expression" priority="174" dxfId="0">
      <formula>AND(IF($Q39=3,1,IF($Q39=4,1,0)),IF($F39&lt;=85,1,0))</formula>
    </cfRule>
  </conditionalFormatting>
  <conditionalFormatting sqref="X39">
    <cfRule type="expression" priority="167" dxfId="3">
      <formula>AND(IF(OR($Q39=1,$Q39=2),1,0),IF($X39&lt;=20,1,0))</formula>
    </cfRule>
    <cfRule type="expression" priority="168" dxfId="2">
      <formula>AND(IF($Q39=2,1,0),IF($X39&lt;30,1,0))</formula>
    </cfRule>
    <cfRule type="expression" priority="169" dxfId="1">
      <formula>AND(IF($Q39=3,1,0),IF($X39&lt;30,1,0))</formula>
    </cfRule>
    <cfRule type="expression" priority="170" dxfId="0">
      <formula>AND(IF($Q39=3,1,IF($Q39=4,1,0)),IF($F39&lt;=85,1,0))</formula>
    </cfRule>
  </conditionalFormatting>
  <conditionalFormatting sqref="AI39">
    <cfRule type="expression" priority="163" dxfId="3">
      <formula>AND(IF(OR($Q39=1,$Q39=2),1,0),IF($X39&lt;=20,1,0))</formula>
    </cfRule>
    <cfRule type="expression" priority="164" dxfId="2">
      <formula>AND(IF($Q39=2,1,0),IF($X39&lt;30,1,0))</formula>
    </cfRule>
    <cfRule type="expression" priority="165" dxfId="1">
      <formula>AND(IF($Q39=3,1,0),IF($X39&lt;30,1,0))</formula>
    </cfRule>
    <cfRule type="expression" priority="166" dxfId="0">
      <formula>AND(IF($Q39=3,1,IF($Q39=4,1,0)),IF($F39&lt;=85,1,0))</formula>
    </cfRule>
  </conditionalFormatting>
  <conditionalFormatting sqref="AV40">
    <cfRule type="expression" priority="161" dxfId="17">
      <formula>AV40="X"</formula>
    </cfRule>
    <cfRule type="expression" priority="162" dxfId="16">
      <formula>AV40="후보"</formula>
    </cfRule>
  </conditionalFormatting>
  <conditionalFormatting sqref="AC4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40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40">
    <cfRule type="expression" priority="152" dxfId="3">
      <formula>AND(IF(OR($Q40=1,$Q40=2),1,0),IF($X40&lt;=20,1,0))</formula>
    </cfRule>
    <cfRule type="expression" priority="153" dxfId="2">
      <formula>AND(IF($Q40=2,1,0),IF($X40&lt;30,1,0))</formula>
    </cfRule>
    <cfRule type="expression" priority="154" dxfId="1">
      <formula>AND(IF($Q40=3,1,0),IF($X40&lt;30,1,0))</formula>
    </cfRule>
    <cfRule type="expression" priority="155" dxfId="0">
      <formula>AND(IF($Q40=3,1,IF($Q40=4,1,0)),IF($F40&lt;=85,1,0))</formula>
    </cfRule>
  </conditionalFormatting>
  <conditionalFormatting sqref="X40">
    <cfRule type="expression" priority="148" dxfId="3">
      <formula>AND(IF(OR($Q40=1,$Q40=2),1,0),IF($X40&lt;=20,1,0))</formula>
    </cfRule>
    <cfRule type="expression" priority="149" dxfId="2">
      <formula>AND(IF($Q40=2,1,0),IF($X40&lt;30,1,0))</formula>
    </cfRule>
    <cfRule type="expression" priority="150" dxfId="1">
      <formula>AND(IF($Q40=3,1,0),IF($X40&lt;30,1,0))</formula>
    </cfRule>
    <cfRule type="expression" priority="151" dxfId="0">
      <formula>AND(IF($Q40=3,1,IF($Q40=4,1,0)),IF($F40&lt;=85,1,0))</formula>
    </cfRule>
  </conditionalFormatting>
  <conditionalFormatting sqref="AI40">
    <cfRule type="expression" priority="144" dxfId="3">
      <formula>AND(IF(OR($Q40=1,$Q40=2),1,0),IF($X40&lt;=20,1,0))</formula>
    </cfRule>
    <cfRule type="expression" priority="145" dxfId="2">
      <formula>AND(IF($Q40=2,1,0),IF($X40&lt;30,1,0))</formula>
    </cfRule>
    <cfRule type="expression" priority="146" dxfId="1">
      <formula>AND(IF($Q40=3,1,0),IF($X40&lt;30,1,0))</formula>
    </cfRule>
    <cfRule type="expression" priority="147" dxfId="0">
      <formula>AND(IF($Q40=3,1,IF($Q40=4,1,0)),IF($F40&lt;=85,1,0))</formula>
    </cfRule>
  </conditionalFormatting>
  <conditionalFormatting sqref="AV41">
    <cfRule type="expression" priority="142" dxfId="17">
      <formula>AV41="X"</formula>
    </cfRule>
    <cfRule type="expression" priority="143" dxfId="16">
      <formula>AV41="후보"</formula>
    </cfRule>
  </conditionalFormatting>
  <conditionalFormatting sqref="AC4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41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41">
    <cfRule type="expression" priority="133" dxfId="3">
      <formula>AND(IF(OR($Q41=1,$Q41=2),1,0),IF($X41&lt;=20,1,0))</formula>
    </cfRule>
    <cfRule type="expression" priority="134" dxfId="2">
      <formula>AND(IF($Q41=2,1,0),IF($X41&lt;30,1,0))</formula>
    </cfRule>
    <cfRule type="expression" priority="135" dxfId="1">
      <formula>AND(IF($Q41=3,1,0),IF($X41&lt;30,1,0))</formula>
    </cfRule>
    <cfRule type="expression" priority="136" dxfId="0">
      <formula>AND(IF($Q41=3,1,IF($Q41=4,1,0)),IF($F41&lt;=85,1,0))</formula>
    </cfRule>
  </conditionalFormatting>
  <conditionalFormatting sqref="X41">
    <cfRule type="expression" priority="129" dxfId="3">
      <formula>AND(IF(OR($Q41=1,$Q41=2),1,0),IF($X41&lt;=20,1,0))</formula>
    </cfRule>
    <cfRule type="expression" priority="130" dxfId="2">
      <formula>AND(IF($Q41=2,1,0),IF($X41&lt;30,1,0))</formula>
    </cfRule>
    <cfRule type="expression" priority="131" dxfId="1">
      <formula>AND(IF($Q41=3,1,0),IF($X41&lt;30,1,0))</formula>
    </cfRule>
    <cfRule type="expression" priority="132" dxfId="0">
      <formula>AND(IF($Q41=3,1,IF($Q41=4,1,0)),IF($F41&lt;=85,1,0))</formula>
    </cfRule>
  </conditionalFormatting>
  <conditionalFormatting sqref="AI41">
    <cfRule type="expression" priority="125" dxfId="3">
      <formula>AND(IF(OR($Q41=1,$Q41=2),1,0),IF($X41&lt;=20,1,0))</formula>
    </cfRule>
    <cfRule type="expression" priority="126" dxfId="2">
      <formula>AND(IF($Q41=2,1,0),IF($X41&lt;30,1,0))</formula>
    </cfRule>
    <cfRule type="expression" priority="127" dxfId="1">
      <formula>AND(IF($Q41=3,1,0),IF($X41&lt;30,1,0))</formula>
    </cfRule>
    <cfRule type="expression" priority="128" dxfId="0">
      <formula>AND(IF($Q41=3,1,IF($Q41=4,1,0)),IF($F41&lt;=85,1,0))</formula>
    </cfRule>
  </conditionalFormatting>
  <conditionalFormatting sqref="AV42">
    <cfRule type="expression" priority="123" dxfId="17">
      <formula>AV42="X"</formula>
    </cfRule>
    <cfRule type="expression" priority="124" dxfId="16">
      <formula>AV42="후보"</formula>
    </cfRule>
  </conditionalFormatting>
  <conditionalFormatting sqref="AC42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42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42">
    <cfRule type="expression" priority="114" dxfId="3">
      <formula>AND(IF(OR($Q42=1,$Q42=2),1,0),IF($X42&lt;=20,1,0))</formula>
    </cfRule>
    <cfRule type="expression" priority="115" dxfId="2">
      <formula>AND(IF($Q42=2,1,0),IF($X42&lt;30,1,0))</formula>
    </cfRule>
    <cfRule type="expression" priority="116" dxfId="1">
      <formula>AND(IF($Q42=3,1,0),IF($X42&lt;30,1,0))</formula>
    </cfRule>
    <cfRule type="expression" priority="117" dxfId="0">
      <formula>AND(IF($Q42=3,1,IF($Q42=4,1,0)),IF($F42&lt;=85,1,0))</formula>
    </cfRule>
  </conditionalFormatting>
  <conditionalFormatting sqref="X42">
    <cfRule type="expression" priority="110" dxfId="3">
      <formula>AND(IF(OR($Q42=1,$Q42=2),1,0),IF($X42&lt;=20,1,0))</formula>
    </cfRule>
    <cfRule type="expression" priority="111" dxfId="2">
      <formula>AND(IF($Q42=2,1,0),IF($X42&lt;30,1,0))</formula>
    </cfRule>
    <cfRule type="expression" priority="112" dxfId="1">
      <formula>AND(IF($Q42=3,1,0),IF($X42&lt;30,1,0))</formula>
    </cfRule>
    <cfRule type="expression" priority="113" dxfId="0">
      <formula>AND(IF($Q42=3,1,IF($Q42=4,1,0)),IF($F42&lt;=85,1,0))</formula>
    </cfRule>
  </conditionalFormatting>
  <conditionalFormatting sqref="AI42">
    <cfRule type="expression" priority="106" dxfId="3">
      <formula>AND(IF(OR($Q42=1,$Q42=2),1,0),IF($X42&lt;=20,1,0))</formula>
    </cfRule>
    <cfRule type="expression" priority="107" dxfId="2">
      <formula>AND(IF($Q42=2,1,0),IF($X42&lt;30,1,0))</formula>
    </cfRule>
    <cfRule type="expression" priority="108" dxfId="1">
      <formula>AND(IF($Q42=3,1,0),IF($X42&lt;30,1,0))</formula>
    </cfRule>
    <cfRule type="expression" priority="109" dxfId="0">
      <formula>AND(IF($Q42=3,1,IF($Q42=4,1,0)),IF($F42&lt;=85,1,0))</formula>
    </cfRule>
  </conditionalFormatting>
  <conditionalFormatting sqref="AV43">
    <cfRule type="expression" priority="104" dxfId="17">
      <formula>AV43="X"</formula>
    </cfRule>
    <cfRule type="expression" priority="105" dxfId="16">
      <formula>AV43="후보"</formula>
    </cfRule>
  </conditionalFormatting>
  <conditionalFormatting sqref="AC43 N43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44">
    <cfRule type="expression" priority="99" dxfId="17">
      <formula>AV44="X"</formula>
    </cfRule>
    <cfRule type="expression" priority="100" dxfId="16">
      <formula>AV44="후보"</formula>
    </cfRule>
  </conditionalFormatting>
  <conditionalFormatting sqref="AC4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4">
    <cfRule type="expression" priority="90" dxfId="3">
      <formula>AND(IF(OR($Q44=1,$Q44=2),1,0),IF($X44&lt;=20,1,0))</formula>
    </cfRule>
    <cfRule type="expression" priority="91" dxfId="2">
      <formula>AND(IF($Q44=2,1,0),IF($X44&lt;30,1,0))</formula>
    </cfRule>
    <cfRule type="expression" priority="92" dxfId="1">
      <formula>AND(IF($Q44=3,1,0),IF($X44&lt;30,1,0))</formula>
    </cfRule>
    <cfRule type="expression" priority="93" dxfId="0">
      <formula>AND(IF($Q44=3,1,IF($Q44=4,1,0)),IF($F44&lt;=85,1,0))</formula>
    </cfRule>
  </conditionalFormatting>
  <conditionalFormatting sqref="X44">
    <cfRule type="expression" priority="86" dxfId="3">
      <formula>AND(IF(OR($Q44=1,$Q44=2),1,0),IF($X44&lt;=20,1,0))</formula>
    </cfRule>
    <cfRule type="expression" priority="87" dxfId="2">
      <formula>AND(IF($Q44=2,1,0),IF($X44&lt;30,1,0))</formula>
    </cfRule>
    <cfRule type="expression" priority="88" dxfId="1">
      <formula>AND(IF($Q44=3,1,0),IF($X44&lt;30,1,0))</formula>
    </cfRule>
    <cfRule type="expression" priority="89" dxfId="0">
      <formula>AND(IF($Q44=3,1,IF($Q44=4,1,0)),IF($F44&lt;=85,1,0))</formula>
    </cfRule>
  </conditionalFormatting>
  <conditionalFormatting sqref="AI44">
    <cfRule type="expression" priority="82" dxfId="3">
      <formula>AND(IF(OR($Q44=1,$Q44=2),1,0),IF($X44&lt;=20,1,0))</formula>
    </cfRule>
    <cfRule type="expression" priority="83" dxfId="2">
      <formula>AND(IF($Q44=2,1,0),IF($X44&lt;30,1,0))</formula>
    </cfRule>
    <cfRule type="expression" priority="84" dxfId="1">
      <formula>AND(IF($Q44=3,1,0),IF($X44&lt;30,1,0))</formula>
    </cfRule>
    <cfRule type="expression" priority="85" dxfId="0">
      <formula>AND(IF($Q44=3,1,IF($Q44=4,1,0)),IF($F44&lt;=85,1,0))</formula>
    </cfRule>
  </conditionalFormatting>
  <conditionalFormatting sqref="AV45">
    <cfRule type="expression" priority="80" dxfId="17">
      <formula>AV45="X"</formula>
    </cfRule>
    <cfRule type="expression" priority="81" dxfId="16">
      <formula>AV45="후보"</formula>
    </cfRule>
  </conditionalFormatting>
  <conditionalFormatting sqref="AC4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5">
    <cfRule type="expression" priority="71" dxfId="3">
      <formula>AND(IF(OR($Q45=1,$Q45=2),1,0),IF($X45&lt;=20,1,0))</formula>
    </cfRule>
    <cfRule type="expression" priority="72" dxfId="2">
      <formula>AND(IF($Q45=2,1,0),IF($X45&lt;30,1,0))</formula>
    </cfRule>
    <cfRule type="expression" priority="73" dxfId="1">
      <formula>AND(IF($Q45=3,1,0),IF($X45&lt;30,1,0))</formula>
    </cfRule>
    <cfRule type="expression" priority="74" dxfId="0">
      <formula>AND(IF($Q45=3,1,IF($Q45=4,1,0)),IF($F45&lt;=85,1,0))</formula>
    </cfRule>
  </conditionalFormatting>
  <conditionalFormatting sqref="X45">
    <cfRule type="expression" priority="67" dxfId="3">
      <formula>AND(IF(OR($Q45=1,$Q45=2),1,0),IF($X45&lt;=20,1,0))</formula>
    </cfRule>
    <cfRule type="expression" priority="68" dxfId="2">
      <formula>AND(IF($Q45=2,1,0),IF($X45&lt;30,1,0))</formula>
    </cfRule>
    <cfRule type="expression" priority="69" dxfId="1">
      <formula>AND(IF($Q45=3,1,0),IF($X45&lt;30,1,0))</formula>
    </cfRule>
    <cfRule type="expression" priority="70" dxfId="0">
      <formula>AND(IF($Q45=3,1,IF($Q45=4,1,0)),IF($F45&lt;=85,1,0))</formula>
    </cfRule>
  </conditionalFormatting>
  <conditionalFormatting sqref="AI45">
    <cfRule type="expression" priority="63" dxfId="3">
      <formula>AND(IF(OR($Q45=1,$Q45=2),1,0),IF($X45&lt;=20,1,0))</formula>
    </cfRule>
    <cfRule type="expression" priority="64" dxfId="2">
      <formula>AND(IF($Q45=2,1,0),IF($X45&lt;30,1,0))</formula>
    </cfRule>
    <cfRule type="expression" priority="65" dxfId="1">
      <formula>AND(IF($Q45=3,1,0),IF($X45&lt;30,1,0))</formula>
    </cfRule>
    <cfRule type="expression" priority="66" dxfId="0">
      <formula>AND(IF($Q45=3,1,IF($Q45=4,1,0)),IF($F45&lt;=85,1,0))</formula>
    </cfRule>
  </conditionalFormatting>
  <conditionalFormatting sqref="AV46">
    <cfRule type="expression" priority="61" dxfId="17">
      <formula>AV46="X"</formula>
    </cfRule>
    <cfRule type="expression" priority="62" dxfId="16">
      <formula>AV46="후보"</formula>
    </cfRule>
  </conditionalFormatting>
  <conditionalFormatting sqref="AC4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46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46">
    <cfRule type="expression" priority="52" dxfId="3">
      <formula>AND(IF(OR($Q46=1,$Q46=2),1,0),IF($X46&lt;=20,1,0))</formula>
    </cfRule>
    <cfRule type="expression" priority="53" dxfId="2">
      <formula>AND(IF($Q46=2,1,0),IF($X46&lt;30,1,0))</formula>
    </cfRule>
    <cfRule type="expression" priority="54" dxfId="1">
      <formula>AND(IF($Q46=3,1,0),IF($X46&lt;30,1,0))</formula>
    </cfRule>
    <cfRule type="expression" priority="55" dxfId="0">
      <formula>AND(IF($Q46=3,1,IF($Q46=4,1,0)),IF($F46&lt;=85,1,0))</formula>
    </cfRule>
  </conditionalFormatting>
  <conditionalFormatting sqref="X46">
    <cfRule type="expression" priority="48" dxfId="3">
      <formula>AND(IF(OR($Q46=1,$Q46=2),1,0),IF($X46&lt;=20,1,0))</formula>
    </cfRule>
    <cfRule type="expression" priority="49" dxfId="2">
      <formula>AND(IF($Q46=2,1,0),IF($X46&lt;30,1,0))</formula>
    </cfRule>
    <cfRule type="expression" priority="50" dxfId="1">
      <formula>AND(IF($Q46=3,1,0),IF($X46&lt;30,1,0))</formula>
    </cfRule>
    <cfRule type="expression" priority="51" dxfId="0">
      <formula>AND(IF($Q46=3,1,IF($Q46=4,1,0)),IF($F46&lt;=85,1,0))</formula>
    </cfRule>
  </conditionalFormatting>
  <conditionalFormatting sqref="AI46">
    <cfRule type="expression" priority="44" dxfId="3">
      <formula>AND(IF(OR($Q46=1,$Q46=2),1,0),IF($X46&lt;=20,1,0))</formula>
    </cfRule>
    <cfRule type="expression" priority="45" dxfId="2">
      <formula>AND(IF($Q46=2,1,0),IF($X46&lt;30,1,0))</formula>
    </cfRule>
    <cfRule type="expression" priority="46" dxfId="1">
      <formula>AND(IF($Q46=3,1,0),IF($X46&lt;30,1,0))</formula>
    </cfRule>
    <cfRule type="expression" priority="47" dxfId="0">
      <formula>AND(IF($Q46=3,1,IF($Q46=4,1,0)),IF($F46&lt;=85,1,0))</formula>
    </cfRule>
  </conditionalFormatting>
  <conditionalFormatting sqref="AV47">
    <cfRule type="expression" priority="42" dxfId="17">
      <formula>AV47="X"</formula>
    </cfRule>
    <cfRule type="expression" priority="43" dxfId="16">
      <formula>AV47="후보"</formula>
    </cfRule>
  </conditionalFormatting>
  <conditionalFormatting sqref="AC47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47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47">
    <cfRule type="expression" priority="33" dxfId="3">
      <formula>AND(IF(OR($Q47=1,$Q47=2),1,0),IF($X47&lt;=20,1,0))</formula>
    </cfRule>
    <cfRule type="expression" priority="34" dxfId="2">
      <formula>AND(IF($Q47=2,1,0),IF($X47&lt;30,1,0))</formula>
    </cfRule>
    <cfRule type="expression" priority="35" dxfId="1">
      <formula>AND(IF($Q47=3,1,0),IF($X47&lt;30,1,0))</formula>
    </cfRule>
    <cfRule type="expression" priority="36" dxfId="0">
      <formula>AND(IF($Q47=3,1,IF($Q47=4,1,0)),IF($F47&lt;=85,1,0))</formula>
    </cfRule>
  </conditionalFormatting>
  <conditionalFormatting sqref="X47">
    <cfRule type="expression" priority="29" dxfId="3">
      <formula>AND(IF(OR($Q47=1,$Q47=2),1,0),IF($X47&lt;=20,1,0))</formula>
    </cfRule>
    <cfRule type="expression" priority="30" dxfId="2">
      <formula>AND(IF($Q47=2,1,0),IF($X47&lt;30,1,0))</formula>
    </cfRule>
    <cfRule type="expression" priority="31" dxfId="1">
      <formula>AND(IF($Q47=3,1,0),IF($X47&lt;30,1,0))</formula>
    </cfRule>
    <cfRule type="expression" priority="32" dxfId="0">
      <formula>AND(IF($Q47=3,1,IF($Q47=4,1,0)),IF($F47&lt;=85,1,0))</formula>
    </cfRule>
  </conditionalFormatting>
  <conditionalFormatting sqref="AI47">
    <cfRule type="expression" priority="25" dxfId="3">
      <formula>AND(IF(OR($Q47=1,$Q47=2),1,0),IF($X47&lt;=20,1,0))</formula>
    </cfRule>
    <cfRule type="expression" priority="26" dxfId="2">
      <formula>AND(IF($Q47=2,1,0),IF($X47&lt;30,1,0))</formula>
    </cfRule>
    <cfRule type="expression" priority="27" dxfId="1">
      <formula>AND(IF($Q47=3,1,0),IF($X47&lt;30,1,0))</formula>
    </cfRule>
    <cfRule type="expression" priority="28" dxfId="0">
      <formula>AND(IF($Q47=3,1,IF($Q47=4,1,0)),IF($F47&lt;=85,1,0))</formula>
    </cfRule>
  </conditionalFormatting>
  <conditionalFormatting sqref="AV48">
    <cfRule type="expression" priority="23" dxfId="17">
      <formula>AV48="X"</formula>
    </cfRule>
    <cfRule type="expression" priority="24" dxfId="16">
      <formula>AV48="후보"</formula>
    </cfRule>
  </conditionalFormatting>
  <conditionalFormatting sqref="AC48 N48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49">
    <cfRule type="expression" priority="18" dxfId="17">
      <formula>AV49="X"</formula>
    </cfRule>
    <cfRule type="expression" priority="19" dxfId="16">
      <formula>AV49="후보"</formula>
    </cfRule>
  </conditionalFormatting>
  <conditionalFormatting sqref="AC4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9">
    <cfRule type="expression" priority="9" dxfId="3">
      <formula>AND(IF(OR($Q49=1,$Q49=2),1,0),IF($X49&lt;=20,1,0))</formula>
    </cfRule>
    <cfRule type="expression" priority="10" dxfId="2">
      <formula>AND(IF($Q49=2,1,0),IF($X49&lt;30,1,0))</formula>
    </cfRule>
    <cfRule type="expression" priority="11" dxfId="1">
      <formula>AND(IF($Q49=3,1,0),IF($X49&lt;30,1,0))</formula>
    </cfRule>
    <cfRule type="expression" priority="12" dxfId="0">
      <formula>AND(IF($Q49=3,1,IF($Q49=4,1,0)),IF($F49&lt;=85,1,0))</formula>
    </cfRule>
  </conditionalFormatting>
  <conditionalFormatting sqref="X49">
    <cfRule type="expression" priority="5" dxfId="3">
      <formula>AND(IF(OR($Q49=1,$Q49=2),1,0),IF($X49&lt;=20,1,0))</formula>
    </cfRule>
    <cfRule type="expression" priority="6" dxfId="2">
      <formula>AND(IF($Q49=2,1,0),IF($X49&lt;30,1,0))</formula>
    </cfRule>
    <cfRule type="expression" priority="7" dxfId="1">
      <formula>AND(IF($Q49=3,1,0),IF($X49&lt;30,1,0))</formula>
    </cfRule>
    <cfRule type="expression" priority="8" dxfId="0">
      <formula>AND(IF($Q49=3,1,IF($Q49=4,1,0)),IF($F49&lt;=85,1,0))</formula>
    </cfRule>
  </conditionalFormatting>
  <conditionalFormatting sqref="AI49">
    <cfRule type="expression" priority="1" dxfId="3">
      <formula>AND(IF(OR($Q49=1,$Q49=2),1,0),IF($X49&lt;=20,1,0))</formula>
    </cfRule>
    <cfRule type="expression" priority="2" dxfId="2">
      <formula>AND(IF($Q49=2,1,0),IF($X49&lt;30,1,0))</formula>
    </cfRule>
    <cfRule type="expression" priority="3" dxfId="1">
      <formula>AND(IF($Q49=3,1,0),IF($X49&lt;30,1,0))</formula>
    </cfRule>
    <cfRule type="expression" priority="4" dxfId="0">
      <formula>AND(IF($Q49=3,1,IF($Q49=4,1,0)),IF($F49&lt;=85,1,0))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10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0" sqref="A100:XFD10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원당동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검단파라곤보타닉파크</t>
        </is>
      </c>
      <c r="B6" s="16" t="inlineStr">
        <is>
          <t>'22.05.</t>
        </is>
      </c>
      <c r="C6" s="164" t="n">
        <v>887</v>
      </c>
      <c r="D6" s="161" t="n">
        <v>112.1</v>
      </c>
      <c r="E6" s="163" t="n">
        <v>34</v>
      </c>
      <c r="F6" s="161" t="n">
        <v>85</v>
      </c>
      <c r="G6" s="27" t="n">
        <v>26</v>
      </c>
      <c r="H6" s="164" t="n">
        <v>553</v>
      </c>
      <c r="I6" s="165" t="n">
        <v>53300</v>
      </c>
      <c r="J6" s="165" t="inlineStr">
        <is>
          <t>6</t>
        </is>
      </c>
      <c r="K6" s="165" t="n">
        <v>27000</v>
      </c>
      <c r="L6" s="165" t="inlineStr">
        <is>
          <t>고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112A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검단파라곤보타닉파크</t>
        </is>
      </c>
      <c r="B7" s="16" t="inlineStr">
        <is>
          <t>'22.05.</t>
        </is>
      </c>
      <c r="C7" s="164" t="n">
        <v>887</v>
      </c>
      <c r="D7" s="161" t="n">
        <v>112.1</v>
      </c>
      <c r="E7" s="163" t="n">
        <v>34</v>
      </c>
      <c r="F7" s="161" t="n">
        <v>84.3</v>
      </c>
      <c r="G7" s="27" t="n">
        <v>26</v>
      </c>
      <c r="H7" s="164" t="n">
        <v>334</v>
      </c>
      <c r="I7" s="165" t="n">
        <v>53300</v>
      </c>
      <c r="J7" s="165" t="inlineStr">
        <is>
          <t>중</t>
        </is>
      </c>
      <c r="K7" s="165" t="n">
        <v>26000</v>
      </c>
      <c r="L7" s="165" t="inlineStr">
        <is>
          <t>중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112B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검단신도시 예미지 트리플에듀</t>
        </is>
      </c>
      <c r="B9" s="16" t="inlineStr">
        <is>
          <t>'22.06.</t>
        </is>
      </c>
      <c r="C9" s="164" t="n">
        <v>1249</v>
      </c>
      <c r="D9" s="161" t="n">
        <v>102.5</v>
      </c>
      <c r="E9" s="163" t="n">
        <v>31</v>
      </c>
      <c r="F9" s="161" t="n">
        <v>76.59999999999999</v>
      </c>
      <c r="G9" s="27" t="n">
        <v>23</v>
      </c>
      <c r="H9" s="164" t="n">
        <v>137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102A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검단신도시 예미지 트리플에듀</t>
        </is>
      </c>
      <c r="B10" s="16" t="inlineStr">
        <is>
          <t>'22.06.</t>
        </is>
      </c>
      <c r="C10" s="164" t="n">
        <v>1249</v>
      </c>
      <c r="D10" s="161" t="n">
        <v>102.5</v>
      </c>
      <c r="E10" s="163" t="n">
        <v>31</v>
      </c>
      <c r="F10" s="161" t="n">
        <v>76.40000000000001</v>
      </c>
      <c r="G10" s="27" t="n">
        <v>23</v>
      </c>
      <c r="H10" s="164" t="n">
        <v>99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102B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검단신도시 예미지 트리플에듀</t>
        </is>
      </c>
      <c r="B11" s="16" t="inlineStr">
        <is>
          <t>'22.06.</t>
        </is>
      </c>
      <c r="C11" s="164" t="n">
        <v>1249</v>
      </c>
      <c r="D11" s="161" t="n">
        <v>109.9</v>
      </c>
      <c r="E11" s="163" t="n">
        <v>33</v>
      </c>
      <c r="F11" s="161" t="n">
        <v>84.90000000000001</v>
      </c>
      <c r="G11" s="27" t="n">
        <v>26</v>
      </c>
      <c r="H11" s="164" t="n">
        <v>285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109A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검단신도시 예미지 트리플에듀</t>
        </is>
      </c>
      <c r="B12" s="16" t="inlineStr">
        <is>
          <t>'22.06.</t>
        </is>
      </c>
      <c r="C12" s="164" t="n">
        <v>1249</v>
      </c>
      <c r="D12" s="161" t="n">
        <v>110.5</v>
      </c>
      <c r="E12" s="163" t="n">
        <v>33</v>
      </c>
      <c r="F12" s="161" t="n">
        <v>84.5</v>
      </c>
      <c r="G12" s="27" t="n">
        <v>26</v>
      </c>
      <c r="H12" s="164" t="n">
        <v>297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110B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검단신도시 예미지 트리플에듀</t>
        </is>
      </c>
      <c r="B13" s="16" t="inlineStr">
        <is>
          <t>'22.06.</t>
        </is>
      </c>
      <c r="C13" s="164" t="n">
        <v>1249</v>
      </c>
      <c r="D13" s="161" t="n">
        <v>110.3</v>
      </c>
      <c r="E13" s="163" t="n">
        <v>33</v>
      </c>
      <c r="F13" s="161" t="n">
        <v>84.90000000000001</v>
      </c>
      <c r="G13" s="27" t="n">
        <v>26</v>
      </c>
      <c r="H13" s="164" t="n">
        <v>50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110C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검단신도시 예미지 트리플에듀</t>
        </is>
      </c>
      <c r="B14" s="16" t="inlineStr">
        <is>
          <t>'22.06.</t>
        </is>
      </c>
      <c r="C14" s="164" t="n">
        <v>1249</v>
      </c>
      <c r="D14" s="161" t="n">
        <v>124.8</v>
      </c>
      <c r="E14" s="163" t="n">
        <v>38</v>
      </c>
      <c r="F14" s="161" t="n">
        <v>98.5</v>
      </c>
      <c r="G14" s="27" t="n">
        <v>30</v>
      </c>
      <c r="H14" s="164" t="n">
        <v>183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124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검단신도시 예미지 트리플에듀</t>
        </is>
      </c>
      <c r="B15" s="16" t="inlineStr">
        <is>
          <t>'22.06.</t>
        </is>
      </c>
      <c r="C15" s="164" t="n">
        <v>1249</v>
      </c>
      <c r="D15" s="161" t="n">
        <v>130.7</v>
      </c>
      <c r="E15" s="163" t="n">
        <v>40</v>
      </c>
      <c r="F15" s="161" t="n">
        <v>102.9</v>
      </c>
      <c r="G15" s="27" t="n">
        <v>31</v>
      </c>
      <c r="H15" s="164" t="n">
        <v>198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130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검단신도시푸르지오더베뉴</t>
        </is>
      </c>
      <c r="B17" s="16" t="inlineStr">
        <is>
          <t>'21.08.</t>
        </is>
      </c>
      <c r="C17" s="164" t="n">
        <v>1540</v>
      </c>
      <c r="D17" s="161" t="n">
        <v>99.09999999999999</v>
      </c>
      <c r="E17" s="163" t="n">
        <v>30</v>
      </c>
      <c r="F17" s="161" t="n">
        <v>75.8</v>
      </c>
      <c r="G17" s="27" t="n">
        <v>23</v>
      </c>
      <c r="H17" s="164" t="n">
        <v>172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99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검단신도시푸르지오더베뉴</t>
        </is>
      </c>
      <c r="B18" s="16" t="inlineStr">
        <is>
          <t>'21.08.</t>
        </is>
      </c>
      <c r="C18" s="164" t="n">
        <v>1540</v>
      </c>
      <c r="D18" s="161" t="n">
        <v>109.7</v>
      </c>
      <c r="E18" s="163" t="n">
        <v>33</v>
      </c>
      <c r="F18" s="161" t="n">
        <v>84.90000000000001</v>
      </c>
      <c r="G18" s="27" t="n">
        <v>26</v>
      </c>
      <c r="H18" s="164" t="n">
        <v>642</v>
      </c>
      <c r="I18" s="165" t="n">
        <v>90000</v>
      </c>
      <c r="J18" s="165" t="inlineStr">
        <is>
          <t>18</t>
        </is>
      </c>
      <c r="K18" s="165" t="n">
        <v>35000</v>
      </c>
      <c r="L18" s="165" t="inlineStr">
        <is>
          <t>중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inlineStr">
        <is>
          <t>109A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검단신도시푸르지오더베뉴</t>
        </is>
      </c>
      <c r="B19" s="16" t="inlineStr">
        <is>
          <t>'21.08.</t>
        </is>
      </c>
      <c r="C19" s="164" t="n">
        <v>1540</v>
      </c>
      <c r="D19" s="161" t="n">
        <v>110.6</v>
      </c>
      <c r="E19" s="163" t="n">
        <v>33</v>
      </c>
      <c r="F19" s="161" t="n">
        <v>85</v>
      </c>
      <c r="G19" s="27" t="n">
        <v>26</v>
      </c>
      <c r="H19" s="164" t="n">
        <v>234</v>
      </c>
      <c r="I19" s="165" t="n">
        <v>95000</v>
      </c>
      <c r="J19" s="165" t="inlineStr">
        <is>
          <t>고</t>
        </is>
      </c>
      <c r="K19" s="165" t="n">
        <v>32000</v>
      </c>
      <c r="L19" s="165" t="inlineStr">
        <is>
          <t>29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110B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검단신도시푸르지오더베뉴</t>
        </is>
      </c>
      <c r="B20" s="16" t="inlineStr">
        <is>
          <t>'21.08.</t>
        </is>
      </c>
      <c r="C20" s="164" t="n">
        <v>1540</v>
      </c>
      <c r="D20" s="161" t="n">
        <v>110.2</v>
      </c>
      <c r="E20" s="163" t="n">
        <v>33</v>
      </c>
      <c r="F20" s="161" t="n">
        <v>84.90000000000001</v>
      </c>
      <c r="G20" s="27" t="n">
        <v>26</v>
      </c>
      <c r="H20" s="164" t="n">
        <v>166</v>
      </c>
      <c r="I20" s="165" t="n">
        <v>90000</v>
      </c>
      <c r="J20" s="165" t="inlineStr">
        <is>
          <t>고</t>
        </is>
      </c>
      <c r="K20" s="165" t="n">
        <v>40000</v>
      </c>
      <c r="L20" s="165" t="inlineStr">
        <is>
          <t>24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110C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검단신도시푸르지오더베뉴</t>
        </is>
      </c>
      <c r="B21" s="16" t="inlineStr">
        <is>
          <t>'21.08.</t>
        </is>
      </c>
      <c r="C21" s="164" t="n">
        <v>1540</v>
      </c>
      <c r="D21" s="161" t="n">
        <v>136.1</v>
      </c>
      <c r="E21" s="163" t="n">
        <v>41</v>
      </c>
      <c r="F21" s="161" t="n">
        <v>105.5</v>
      </c>
      <c r="G21" s="27" t="n">
        <v>32</v>
      </c>
      <c r="H21" s="164" t="n">
        <v>326</v>
      </c>
      <c r="I21" s="165" t="n"/>
      <c r="J21" s="165" t="n"/>
      <c r="K21" s="165" t="n">
        <v>55000</v>
      </c>
      <c r="L21" s="165" t="inlineStr">
        <is>
          <t>중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4</v>
      </c>
      <c r="R21" s="113" t="n">
        <v>2</v>
      </c>
      <c r="S21" s="113" t="inlineStr">
        <is>
          <t>계</t>
        </is>
      </c>
      <c r="T21" s="8" t="n">
        <v>136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검단신도시대광로제비앙</t>
        </is>
      </c>
      <c r="B23" s="16" t="inlineStr">
        <is>
          <t>'22.07.</t>
        </is>
      </c>
      <c r="C23" s="164" t="n">
        <v>735</v>
      </c>
      <c r="D23" s="161" t="n">
        <v>99.3</v>
      </c>
      <c r="E23" s="163" t="n">
        <v>30</v>
      </c>
      <c r="F23" s="161" t="n">
        <v>79</v>
      </c>
      <c r="G23" s="27" t="n">
        <v>24</v>
      </c>
      <c r="H23" s="164" t="n">
        <v>139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99A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검단신도시대광로제비앙</t>
        </is>
      </c>
      <c r="B24" s="16" t="inlineStr">
        <is>
          <t>'22.07.</t>
        </is>
      </c>
      <c r="C24" s="164" t="n">
        <v>735</v>
      </c>
      <c r="D24" s="161" t="n">
        <v>99.3</v>
      </c>
      <c r="E24" s="163" t="n">
        <v>30</v>
      </c>
      <c r="F24" s="161" t="n">
        <v>79.40000000000001</v>
      </c>
      <c r="G24" s="27" t="n">
        <v>24</v>
      </c>
      <c r="H24" s="164" t="n">
        <v>100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99B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검단신도시대광로제비앙</t>
        </is>
      </c>
      <c r="B25" s="16" t="inlineStr">
        <is>
          <t>'22.07.</t>
        </is>
      </c>
      <c r="C25" s="164" t="n">
        <v>735</v>
      </c>
      <c r="D25" s="161" t="n">
        <v>106</v>
      </c>
      <c r="E25" s="163" t="n">
        <v>32</v>
      </c>
      <c r="F25" s="161" t="n">
        <v>84.40000000000001</v>
      </c>
      <c r="G25" s="27" t="n">
        <v>26</v>
      </c>
      <c r="H25" s="164" t="n">
        <v>316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inlineStr">
        <is>
          <t>105A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검단신도시대광로제비앙</t>
        </is>
      </c>
      <c r="B26" s="16" t="inlineStr">
        <is>
          <t>'22.07.</t>
        </is>
      </c>
      <c r="C26" s="164" t="n">
        <v>735</v>
      </c>
      <c r="D26" s="161" t="n">
        <v>108.2</v>
      </c>
      <c r="E26" s="163" t="n">
        <v>33</v>
      </c>
      <c r="F26" s="161" t="n">
        <v>84.8</v>
      </c>
      <c r="G26" s="27" t="n">
        <v>26</v>
      </c>
      <c r="H26" s="164" t="n">
        <v>180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108B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인천검단AA13-1블록</t>
        </is>
      </c>
      <c r="B28" s="16" t="inlineStr">
        <is>
          <t>'23.12.</t>
        </is>
      </c>
      <c r="C28" s="164" t="n">
        <v>702</v>
      </c>
      <c r="D28" s="161" t="n">
        <v>95.5</v>
      </c>
      <c r="E28" s="163" t="n">
        <v>29</v>
      </c>
      <c r="F28" s="161" t="n">
        <v>74.8</v>
      </c>
      <c r="G28" s="27" t="n">
        <v>23</v>
      </c>
      <c r="H28" s="164" t="n">
        <v>265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95A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인천검단AA13-1블록</t>
        </is>
      </c>
      <c r="B29" s="16" t="inlineStr">
        <is>
          <t>'23.12.</t>
        </is>
      </c>
      <c r="C29" s="164" t="n">
        <v>702</v>
      </c>
      <c r="D29" s="161" t="n">
        <v>108.5</v>
      </c>
      <c r="E29" s="163" t="n">
        <v>33</v>
      </c>
      <c r="F29" s="161" t="n">
        <v>84.90000000000001</v>
      </c>
      <c r="G29" s="27" t="n">
        <v>26</v>
      </c>
      <c r="H29" s="164" t="n">
        <v>170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108B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인천검단AA13-1블록</t>
        </is>
      </c>
      <c r="B30" s="16" t="inlineStr">
        <is>
          <t>'23.12.</t>
        </is>
      </c>
      <c r="C30" s="164" t="n">
        <v>702</v>
      </c>
      <c r="D30" s="161" t="n">
        <v>108.3</v>
      </c>
      <c r="E30" s="163" t="n">
        <v>33</v>
      </c>
      <c r="F30" s="161" t="n">
        <v>84.8</v>
      </c>
      <c r="G30" s="27" t="n">
        <v>26</v>
      </c>
      <c r="H30" s="164" t="n">
        <v>143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108C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인천검단AA13-1블록</t>
        </is>
      </c>
      <c r="B31" s="16" t="inlineStr">
        <is>
          <t>'23.12.</t>
        </is>
      </c>
      <c r="C31" s="164" t="n">
        <v>702</v>
      </c>
      <c r="D31" s="161" t="n">
        <v>108.2</v>
      </c>
      <c r="E31" s="163" t="n">
        <v>33</v>
      </c>
      <c r="F31" s="161" t="n">
        <v>84.7</v>
      </c>
      <c r="G31" s="27" t="n">
        <v>26</v>
      </c>
      <c r="H31" s="164" t="n">
        <v>124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108A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1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2" t="n"/>
      <c r="P32" s="162" t="n"/>
      <c r="Q32" s="163" t="n"/>
      <c r="R32" s="163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0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호반써밋1차</t>
        </is>
      </c>
      <c r="B33" s="16" t="inlineStr">
        <is>
          <t>'21.06.</t>
        </is>
      </c>
      <c r="C33" s="164" t="n">
        <v>1168</v>
      </c>
      <c r="D33" s="161" t="n">
        <v>96.40000000000001</v>
      </c>
      <c r="E33" s="163" t="n">
        <v>29</v>
      </c>
      <c r="F33" s="161" t="n">
        <v>72.5</v>
      </c>
      <c r="G33" s="27" t="n">
        <v>22</v>
      </c>
      <c r="H33" s="164" t="n">
        <v>205</v>
      </c>
      <c r="I33" s="165" t="n">
        <v>100000</v>
      </c>
      <c r="J33" s="165" t="inlineStr">
        <is>
          <t>중</t>
        </is>
      </c>
      <c r="K33" s="165" t="n">
        <v>35000</v>
      </c>
      <c r="L33" s="165" t="inlineStr">
        <is>
          <t>중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96A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호반써밋1차</t>
        </is>
      </c>
      <c r="B34" s="16" t="inlineStr">
        <is>
          <t>'21.06.</t>
        </is>
      </c>
      <c r="C34" s="164" t="n">
        <v>1168</v>
      </c>
      <c r="D34" s="161" t="n">
        <v>96.8</v>
      </c>
      <c r="E34" s="163" t="n">
        <v>29</v>
      </c>
      <c r="F34" s="161" t="n">
        <v>72.2</v>
      </c>
      <c r="G34" s="27" t="n">
        <v>22</v>
      </c>
      <c r="H34" s="164" t="n">
        <v>205</v>
      </c>
      <c r="I34" s="165" t="n">
        <v>85000</v>
      </c>
      <c r="J34" s="165" t="inlineStr">
        <is>
          <t>고</t>
        </is>
      </c>
      <c r="K34" s="165" t="n">
        <v>32000</v>
      </c>
      <c r="L34" s="165" t="inlineStr">
        <is>
          <t>고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96B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호반써밋1차</t>
        </is>
      </c>
      <c r="B35" s="16" t="inlineStr">
        <is>
          <t>'21.06.</t>
        </is>
      </c>
      <c r="C35" s="164" t="n">
        <v>1168</v>
      </c>
      <c r="D35" s="161" t="n">
        <v>110.8</v>
      </c>
      <c r="E35" s="163" t="n">
        <v>34</v>
      </c>
      <c r="F35" s="161" t="n">
        <v>84.90000000000001</v>
      </c>
      <c r="G35" s="27" t="n">
        <v>26</v>
      </c>
      <c r="H35" s="164" t="n">
        <v>559</v>
      </c>
      <c r="I35" s="165" t="n">
        <v>89000</v>
      </c>
      <c r="J35" s="165" t="inlineStr">
        <is>
          <t>6</t>
        </is>
      </c>
      <c r="K35" s="165" t="n">
        <v>36000</v>
      </c>
      <c r="L35" s="165" t="inlineStr">
        <is>
          <t>17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inlineStr">
        <is>
          <t>110A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호반써밋1차</t>
        </is>
      </c>
      <c r="B36" s="16" t="inlineStr">
        <is>
          <t>'21.06.</t>
        </is>
      </c>
      <c r="C36" s="164" t="n">
        <v>1168</v>
      </c>
      <c r="D36" s="161" t="n">
        <v>111</v>
      </c>
      <c r="E36" s="163" t="n">
        <v>34</v>
      </c>
      <c r="F36" s="161" t="n">
        <v>84.90000000000001</v>
      </c>
      <c r="G36" s="27" t="n">
        <v>26</v>
      </c>
      <c r="H36" s="164" t="n">
        <v>199</v>
      </c>
      <c r="I36" s="165" t="n"/>
      <c r="J36" s="165" t="n"/>
      <c r="K36" s="165" t="n">
        <v>35000</v>
      </c>
      <c r="L36" s="165" t="inlineStr">
        <is>
          <t>고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inlineStr">
        <is>
          <t>110B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검단역금강펜테리움더시글로(주)</t>
        </is>
      </c>
      <c r="B38" s="16" t="inlineStr">
        <is>
          <t>'24.01.</t>
        </is>
      </c>
      <c r="C38" s="164" t="n">
        <v>447</v>
      </c>
      <c r="D38" s="161" t="n">
        <v>115.2</v>
      </c>
      <c r="E38" s="163" t="n">
        <v>35</v>
      </c>
      <c r="F38" s="161" t="n">
        <v>85</v>
      </c>
      <c r="G38" s="27" t="n">
        <v>26</v>
      </c>
      <c r="H38" s="164" t="n">
        <v>195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115C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검단역금강펜테리움더시글로(주)</t>
        </is>
      </c>
      <c r="B39" s="16" t="inlineStr">
        <is>
          <t>'24.01.</t>
        </is>
      </c>
      <c r="C39" s="164" t="n">
        <v>447</v>
      </c>
      <c r="D39" s="161" t="n">
        <v>115.5</v>
      </c>
      <c r="E39" s="163" t="n">
        <v>35</v>
      </c>
      <c r="F39" s="161" t="n">
        <v>84.90000000000001</v>
      </c>
      <c r="G39" s="27" t="n">
        <v>26</v>
      </c>
      <c r="H39" s="164" t="n">
        <v>129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115B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검단역금강펜테리움더시글로(주)</t>
        </is>
      </c>
      <c r="B40" s="16" t="inlineStr">
        <is>
          <t>'24.01.</t>
        </is>
      </c>
      <c r="C40" s="164" t="n">
        <v>447</v>
      </c>
      <c r="D40" s="161" t="n">
        <v>115.5</v>
      </c>
      <c r="E40" s="163" t="n">
        <v>35</v>
      </c>
      <c r="F40" s="161" t="n">
        <v>85</v>
      </c>
      <c r="G40" s="27" t="n">
        <v>26</v>
      </c>
      <c r="H40" s="164" t="n">
        <v>67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115A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검단역금강펜테리움더시글로(주)</t>
        </is>
      </c>
      <c r="B41" s="16" t="inlineStr">
        <is>
          <t>'24.01.</t>
        </is>
      </c>
      <c r="C41" s="164" t="n">
        <v>447</v>
      </c>
      <c r="D41" s="161" t="n">
        <v>115.6</v>
      </c>
      <c r="E41" s="163" t="n">
        <v>35</v>
      </c>
      <c r="F41" s="161" t="n">
        <v>85</v>
      </c>
      <c r="G41" s="27" t="n">
        <v>26</v>
      </c>
      <c r="H41" s="164" t="n">
        <v>28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115D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검단역금강펜테리움더시글로(주)</t>
        </is>
      </c>
      <c r="B42" s="16" t="inlineStr">
        <is>
          <t>'24.01.</t>
        </is>
      </c>
      <c r="C42" s="164" t="n">
        <v>447</v>
      </c>
      <c r="D42" s="161" t="n">
        <v>115.8</v>
      </c>
      <c r="E42" s="163" t="n">
        <v>35</v>
      </c>
      <c r="F42" s="161" t="n">
        <v>85</v>
      </c>
      <c r="G42" s="27" t="n">
        <v>26</v>
      </c>
      <c r="H42" s="164" t="n">
        <v>28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115E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1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2" t="n"/>
      <c r="P43" s="162" t="n"/>
      <c r="Q43" s="163" t="n"/>
      <c r="R43" s="163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0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우미린더시그니처</t>
        </is>
      </c>
      <c r="B44" s="16" t="inlineStr">
        <is>
          <t>'22.01.</t>
        </is>
      </c>
      <c r="C44" s="164" t="n">
        <v>1268</v>
      </c>
      <c r="D44" s="161" t="n">
        <v>98.90000000000001</v>
      </c>
      <c r="E44" s="163" t="n">
        <v>30</v>
      </c>
      <c r="F44" s="161" t="n">
        <v>74.3</v>
      </c>
      <c r="G44" s="27" t="n">
        <v>22</v>
      </c>
      <c r="H44" s="164" t="n">
        <v>288</v>
      </c>
      <c r="I44" s="165" t="n">
        <v>67200</v>
      </c>
      <c r="J44" s="165" t="inlineStr">
        <is>
          <t>10</t>
        </is>
      </c>
      <c r="K44" s="165" t="n">
        <v>31000</v>
      </c>
      <c r="L44" s="165" t="inlineStr">
        <is>
          <t>중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98A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우미린더시그니처</t>
        </is>
      </c>
      <c r="B45" s="16" t="inlineStr">
        <is>
          <t>'22.01.</t>
        </is>
      </c>
      <c r="C45" s="164" t="n">
        <v>1268</v>
      </c>
      <c r="D45" s="161" t="n">
        <v>99.2</v>
      </c>
      <c r="E45" s="163" t="n">
        <v>30</v>
      </c>
      <c r="F45" s="161" t="n">
        <v>74.09999999999999</v>
      </c>
      <c r="G45" s="27" t="n">
        <v>22</v>
      </c>
      <c r="H45" s="164" t="n">
        <v>308</v>
      </c>
      <c r="I45" s="165" t="n">
        <v>66030</v>
      </c>
      <c r="J45" s="165" t="inlineStr">
        <is>
          <t>고</t>
        </is>
      </c>
      <c r="K45" s="165" t="n">
        <v>27500</v>
      </c>
      <c r="L45" s="165" t="inlineStr">
        <is>
          <t>29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99B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우미린더시그니처</t>
        </is>
      </c>
      <c r="B46" s="16" t="inlineStr">
        <is>
          <t>'22.01.</t>
        </is>
      </c>
      <c r="C46" s="164" t="n">
        <v>1268</v>
      </c>
      <c r="D46" s="161" t="n">
        <v>112.6</v>
      </c>
      <c r="E46" s="163" t="n">
        <v>34</v>
      </c>
      <c r="F46" s="161" t="n">
        <v>85</v>
      </c>
      <c r="G46" s="27" t="n">
        <v>26</v>
      </c>
      <c r="H46" s="164" t="n">
        <v>584</v>
      </c>
      <c r="I46" s="165" t="n">
        <v>72000</v>
      </c>
      <c r="J46" s="165" t="inlineStr">
        <is>
          <t>5</t>
        </is>
      </c>
      <c r="K46" s="165" t="n">
        <v>32000</v>
      </c>
      <c r="L46" s="165" t="inlineStr">
        <is>
          <t>중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112A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우미린더시그니처</t>
        </is>
      </c>
      <c r="B47" s="16" t="inlineStr">
        <is>
          <t>'22.01.</t>
        </is>
      </c>
      <c r="C47" s="164" t="n">
        <v>1268</v>
      </c>
      <c r="D47" s="161" t="n">
        <v>112.6</v>
      </c>
      <c r="E47" s="163" t="n">
        <v>34</v>
      </c>
      <c r="F47" s="161" t="n">
        <v>84.90000000000001</v>
      </c>
      <c r="G47" s="27" t="n">
        <v>26</v>
      </c>
      <c r="H47" s="164" t="n">
        <v>88</v>
      </c>
      <c r="I47" s="165" t="n"/>
      <c r="J47" s="165" t="n"/>
      <c r="K47" s="165" t="n">
        <v>35000</v>
      </c>
      <c r="L47" s="165" t="inlineStr">
        <is>
          <t>중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112B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n"/>
      <c r="B48" s="113" t="n"/>
      <c r="C48" s="10" t="n"/>
      <c r="D48" s="13" t="n"/>
      <c r="E48" s="20" t="n"/>
      <c r="F48" s="161" t="n"/>
      <c r="G48" s="13" t="n"/>
      <c r="H48" s="13" t="n"/>
      <c r="I48" s="13" t="n"/>
      <c r="J48" s="13" t="n"/>
      <c r="K48" s="13" t="n"/>
      <c r="L48" s="13" t="n"/>
      <c r="M48" s="13" t="n"/>
      <c r="N48" s="13" t="n"/>
      <c r="O48" s="162" t="n"/>
      <c r="P48" s="162" t="n"/>
      <c r="Q48" s="163" t="n"/>
      <c r="R48" s="163" t="n"/>
      <c r="S48" s="13" t="n"/>
      <c r="T48" s="70" t="n"/>
      <c r="U48" s="13" t="n"/>
      <c r="W48" s="107">
        <f>$A$4&amp;" "&amp;A49&amp;"("&amp;B49&amp;","&amp;C49&amp;"^)"</f>
        <v/>
      </c>
      <c r="X48" s="108" t="n"/>
      <c r="Y48" s="108" t="n"/>
      <c r="Z48" s="108" t="n"/>
      <c r="AA48" s="108" t="n"/>
      <c r="AB48" s="108" t="n"/>
      <c r="AC48" s="108" t="n"/>
      <c r="AD48" s="108" t="n"/>
      <c r="AE48" s="108" t="n"/>
      <c r="AF48" s="109" t="n"/>
      <c r="AH48" s="36">
        <f>IF(A48="","",A48)</f>
        <v/>
      </c>
      <c r="AI48" s="160">
        <f>IF(E48="","",E48)</f>
        <v/>
      </c>
      <c r="AJ48" s="113" t="n"/>
      <c r="AK48" s="113" t="n"/>
      <c r="AL48" s="113" t="n"/>
      <c r="AM48" s="113" t="n"/>
      <c r="AN48" s="113" t="n"/>
      <c r="AO48" s="113" t="n"/>
      <c r="AP48" s="113" t="n"/>
      <c r="AQ48" s="113" t="n"/>
      <c r="AR48" s="113" t="n"/>
      <c r="AS48" s="113" t="n"/>
      <c r="AT48" s="113" t="n"/>
      <c r="AU48" s="113" t="n"/>
      <c r="AV48" s="113" t="n"/>
    </row>
    <row r="49">
      <c r="A49" s="13" t="inlineStr">
        <is>
          <t>인천검단AA13-2블록</t>
        </is>
      </c>
      <c r="B49" s="16" t="inlineStr">
        <is>
          <t>'23.12.</t>
        </is>
      </c>
      <c r="C49" s="164" t="n">
        <v>964</v>
      </c>
      <c r="D49" s="161" t="n">
        <v>96.09999999999999</v>
      </c>
      <c r="E49" s="163" t="n">
        <v>29</v>
      </c>
      <c r="F49" s="161" t="n">
        <v>74.8</v>
      </c>
      <c r="G49" s="27" t="n">
        <v>23</v>
      </c>
      <c r="H49" s="164" t="n">
        <v>364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96A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인천검단AA13-2블록</t>
        </is>
      </c>
      <c r="B50" s="16" t="inlineStr">
        <is>
          <t>'23.12.</t>
        </is>
      </c>
      <c r="C50" s="164" t="n">
        <v>964</v>
      </c>
      <c r="D50" s="161" t="n">
        <v>108.4</v>
      </c>
      <c r="E50" s="163" t="n">
        <v>33</v>
      </c>
      <c r="F50" s="161" t="n">
        <v>84.7</v>
      </c>
      <c r="G50" s="27" t="n">
        <v>26</v>
      </c>
      <c r="H50" s="164" t="n">
        <v>353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108A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인천검단AA13-2블록</t>
        </is>
      </c>
      <c r="B51" s="16" t="inlineStr">
        <is>
          <t>'23.12.</t>
        </is>
      </c>
      <c r="C51" s="164" t="n">
        <v>964</v>
      </c>
      <c r="D51" s="161" t="n">
        <v>108.1</v>
      </c>
      <c r="E51" s="163" t="n">
        <v>33</v>
      </c>
      <c r="F51" s="161" t="n">
        <v>84.90000000000001</v>
      </c>
      <c r="G51" s="27" t="n">
        <v>26</v>
      </c>
      <c r="H51" s="164" t="n">
        <v>12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108T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인천검단AA13-2블록</t>
        </is>
      </c>
      <c r="B52" s="16" t="inlineStr">
        <is>
          <t>'23.12.</t>
        </is>
      </c>
      <c r="C52" s="164" t="n">
        <v>964</v>
      </c>
      <c r="D52" s="161" t="n">
        <v>110.3</v>
      </c>
      <c r="E52" s="163" t="n">
        <v>33</v>
      </c>
      <c r="F52" s="161" t="n">
        <v>84.90000000000001</v>
      </c>
      <c r="G52" s="27" t="n">
        <v>26</v>
      </c>
      <c r="H52" s="164" t="n">
        <v>235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110B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n"/>
      <c r="B53" s="113" t="n"/>
      <c r="C53" s="10" t="n"/>
      <c r="D53" s="13" t="n"/>
      <c r="E53" s="20" t="n"/>
      <c r="F53" s="161" t="n"/>
      <c r="G53" s="13" t="n"/>
      <c r="H53" s="13" t="n"/>
      <c r="I53" s="13" t="n"/>
      <c r="J53" s="13" t="n"/>
      <c r="K53" s="13" t="n"/>
      <c r="L53" s="13" t="n"/>
      <c r="M53" s="13" t="n"/>
      <c r="N53" s="13" t="n"/>
      <c r="O53" s="162" t="n"/>
      <c r="P53" s="162" t="n"/>
      <c r="Q53" s="163" t="n"/>
      <c r="R53" s="163" t="n"/>
      <c r="S53" s="13" t="n"/>
      <c r="T53" s="70" t="n"/>
      <c r="U53" s="13" t="n"/>
      <c r="W53" s="107">
        <f>$A$4&amp;" "&amp;A54&amp;"("&amp;B54&amp;","&amp;C54&amp;"^)"</f>
        <v/>
      </c>
      <c r="X53" s="108" t="n"/>
      <c r="Y53" s="108" t="n"/>
      <c r="Z53" s="108" t="n"/>
      <c r="AA53" s="108" t="n"/>
      <c r="AB53" s="108" t="n"/>
      <c r="AC53" s="108" t="n"/>
      <c r="AD53" s="108" t="n"/>
      <c r="AE53" s="108" t="n"/>
      <c r="AF53" s="109" t="n"/>
      <c r="AH53" s="36">
        <f>IF(A53="","",A53)</f>
        <v/>
      </c>
      <c r="AI53" s="160">
        <f>IF(E53="","",E53)</f>
        <v/>
      </c>
      <c r="AJ53" s="113" t="n"/>
      <c r="AK53" s="113" t="n"/>
      <c r="AL53" s="113" t="n"/>
      <c r="AM53" s="113" t="n"/>
      <c r="AN53" s="113" t="n"/>
      <c r="AO53" s="113" t="n"/>
      <c r="AP53" s="113" t="n"/>
      <c r="AQ53" s="113" t="n"/>
      <c r="AR53" s="113" t="n"/>
      <c r="AS53" s="113" t="n"/>
      <c r="AT53" s="113" t="n"/>
      <c r="AU53" s="113" t="n"/>
      <c r="AV53" s="113" t="n"/>
    </row>
    <row r="54">
      <c r="A54" s="13" t="inlineStr">
        <is>
          <t>검단신도시3차노블랜드리버파크</t>
        </is>
      </c>
      <c r="B54" s="16" t="inlineStr">
        <is>
          <t>'22.10.</t>
        </is>
      </c>
      <c r="C54" s="164" t="n">
        <v>722</v>
      </c>
      <c r="D54" s="161" t="n">
        <v>82.7</v>
      </c>
      <c r="E54" s="163" t="n">
        <v>25</v>
      </c>
      <c r="F54" s="161" t="n">
        <v>60</v>
      </c>
      <c r="G54" s="27" t="n">
        <v>18</v>
      </c>
      <c r="H54" s="164" t="n">
        <v>248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82C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검단신도시3차노블랜드리버파크</t>
        </is>
      </c>
      <c r="B55" s="16" t="inlineStr">
        <is>
          <t>'22.10.</t>
        </is>
      </c>
      <c r="C55" s="164" t="n">
        <v>722</v>
      </c>
      <c r="D55" s="161" t="n">
        <v>82.7</v>
      </c>
      <c r="E55" s="163" t="n">
        <v>25</v>
      </c>
      <c r="F55" s="161" t="n">
        <v>60</v>
      </c>
      <c r="G55" s="27" t="n">
        <v>18</v>
      </c>
      <c r="H55" s="164" t="n">
        <v>132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82B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검단신도시3차노블랜드리버파크</t>
        </is>
      </c>
      <c r="B56" s="16" t="inlineStr">
        <is>
          <t>'22.10.</t>
        </is>
      </c>
      <c r="C56" s="164" t="n">
        <v>722</v>
      </c>
      <c r="D56" s="161" t="n">
        <v>83.09999999999999</v>
      </c>
      <c r="E56" s="163" t="n">
        <v>25</v>
      </c>
      <c r="F56" s="161" t="n">
        <v>59.9</v>
      </c>
      <c r="G56" s="27" t="n">
        <v>18</v>
      </c>
      <c r="H56" s="164" t="n">
        <v>112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83A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검단신도시3차노블랜드리버파크</t>
        </is>
      </c>
      <c r="B57" s="16" t="inlineStr">
        <is>
          <t>'22.10.</t>
        </is>
      </c>
      <c r="C57" s="164" t="n">
        <v>722</v>
      </c>
      <c r="D57" s="161" t="n">
        <v>110.5</v>
      </c>
      <c r="E57" s="163" t="n">
        <v>33</v>
      </c>
      <c r="F57" s="161" t="n">
        <v>85</v>
      </c>
      <c r="G57" s="27" t="n">
        <v>26</v>
      </c>
      <c r="H57" s="164" t="n">
        <v>56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110B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검단신도시3차노블랜드리버파크</t>
        </is>
      </c>
      <c r="B58" s="16" t="inlineStr">
        <is>
          <t>'22.10.</t>
        </is>
      </c>
      <c r="C58" s="164" t="n">
        <v>722</v>
      </c>
      <c r="D58" s="161" t="n">
        <v>111</v>
      </c>
      <c r="E58" s="163" t="n">
        <v>34</v>
      </c>
      <c r="F58" s="161" t="n">
        <v>85</v>
      </c>
      <c r="G58" s="27" t="n">
        <v>26</v>
      </c>
      <c r="H58" s="164" t="n">
        <v>116</v>
      </c>
      <c r="I58" s="165" t="n"/>
      <c r="J58" s="165" t="n"/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111C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검단신도시3차노블랜드리버파크</t>
        </is>
      </c>
      <c r="B59" s="16" t="inlineStr">
        <is>
          <t>'22.10.</t>
        </is>
      </c>
      <c r="C59" s="164" t="n">
        <v>722</v>
      </c>
      <c r="D59" s="161" t="n">
        <v>111</v>
      </c>
      <c r="E59" s="163" t="n">
        <v>34</v>
      </c>
      <c r="F59" s="161" t="n">
        <v>85</v>
      </c>
      <c r="G59" s="27" t="n">
        <v>26</v>
      </c>
      <c r="H59" s="164" t="n">
        <v>58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111A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n"/>
      <c r="B60" s="113" t="n"/>
      <c r="C60" s="10" t="n"/>
      <c r="D60" s="13" t="n"/>
      <c r="E60" s="20" t="n"/>
      <c r="F60" s="161" t="n"/>
      <c r="G60" s="13" t="n"/>
      <c r="H60" s="13" t="n"/>
      <c r="I60" s="13" t="n"/>
      <c r="J60" s="13" t="n"/>
      <c r="K60" s="13" t="n"/>
      <c r="L60" s="13" t="n"/>
      <c r="M60" s="13" t="n"/>
      <c r="N60" s="13" t="n"/>
      <c r="O60" s="162" t="n"/>
      <c r="P60" s="162" t="n"/>
      <c r="Q60" s="163" t="n"/>
      <c r="R60" s="163" t="n"/>
      <c r="S60" s="13" t="n"/>
      <c r="T60" s="70" t="n"/>
      <c r="U60" s="13" t="n"/>
      <c r="W60" s="107">
        <f>$A$4&amp;" "&amp;A61&amp;"("&amp;B61&amp;","&amp;C61&amp;"^)"</f>
        <v/>
      </c>
      <c r="X60" s="108" t="n"/>
      <c r="Y60" s="108" t="n"/>
      <c r="Z60" s="108" t="n"/>
      <c r="AA60" s="108" t="n"/>
      <c r="AB60" s="108" t="n"/>
      <c r="AC60" s="108" t="n"/>
      <c r="AD60" s="108" t="n"/>
      <c r="AE60" s="108" t="n"/>
      <c r="AF60" s="109" t="n"/>
      <c r="AH60" s="36">
        <f>IF(A60="","",A60)</f>
        <v/>
      </c>
      <c r="AI60" s="160">
        <f>IF(E60="","",E60)</f>
        <v/>
      </c>
      <c r="AJ60" s="113" t="n"/>
      <c r="AK60" s="113" t="n"/>
      <c r="AL60" s="113" t="n"/>
      <c r="AM60" s="113" t="n"/>
      <c r="AN60" s="113" t="n"/>
      <c r="AO60" s="113" t="n"/>
      <c r="AP60" s="113" t="n"/>
      <c r="AQ60" s="113" t="n"/>
      <c r="AR60" s="113" t="n"/>
      <c r="AS60" s="113" t="n"/>
      <c r="AT60" s="113" t="n"/>
      <c r="AU60" s="113" t="n"/>
      <c r="AV60" s="113" t="n"/>
    </row>
    <row r="61">
      <c r="A61" s="13" t="inlineStr">
        <is>
          <t>검단금호어울림센트럴(AB14BL)</t>
        </is>
      </c>
      <c r="B61" s="16" t="inlineStr">
        <is>
          <t>'21.07.</t>
        </is>
      </c>
      <c r="C61" s="164" t="n">
        <v>1452</v>
      </c>
      <c r="D61" s="161" t="n">
        <v>99.3</v>
      </c>
      <c r="E61" s="163" t="n">
        <v>30</v>
      </c>
      <c r="F61" s="161" t="n">
        <v>74.90000000000001</v>
      </c>
      <c r="G61" s="27" t="n">
        <v>23</v>
      </c>
      <c r="H61" s="164" t="n">
        <v>318</v>
      </c>
      <c r="I61" s="165" t="n">
        <v>90000</v>
      </c>
      <c r="J61" s="165" t="inlineStr">
        <is>
          <t>고</t>
        </is>
      </c>
      <c r="K61" s="165" t="n">
        <v>32000</v>
      </c>
      <c r="L61" s="165" t="inlineStr">
        <is>
          <t>10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4</v>
      </c>
      <c r="R61" s="113" t="n">
        <v>2</v>
      </c>
      <c r="S61" s="113" t="inlineStr">
        <is>
          <t>계</t>
        </is>
      </c>
      <c r="T61" s="8" t="inlineStr">
        <is>
          <t>99A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검단금호어울림센트럴(AB14BL)</t>
        </is>
      </c>
      <c r="B62" s="16" t="inlineStr">
        <is>
          <t>'21.07.</t>
        </is>
      </c>
      <c r="C62" s="164" t="n">
        <v>1452</v>
      </c>
      <c r="D62" s="161" t="n">
        <v>100.2</v>
      </c>
      <c r="E62" s="163" t="n">
        <v>30</v>
      </c>
      <c r="F62" s="161" t="n">
        <v>74.8</v>
      </c>
      <c r="G62" s="27" t="n">
        <v>23</v>
      </c>
      <c r="H62" s="164" t="n">
        <v>362</v>
      </c>
      <c r="I62" s="165" t="n">
        <v>85000</v>
      </c>
      <c r="J62" s="165" t="inlineStr">
        <is>
          <t>29</t>
        </is>
      </c>
      <c r="K62" s="165" t="n">
        <v>33000</v>
      </c>
      <c r="L62" s="165" t="inlineStr">
        <is>
          <t>중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100B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검단금호어울림센트럴(AB14BL)</t>
        </is>
      </c>
      <c r="B63" s="16" t="inlineStr">
        <is>
          <t>'21.07.</t>
        </is>
      </c>
      <c r="C63" s="164" t="n">
        <v>1452</v>
      </c>
      <c r="D63" s="161" t="n">
        <v>111.7</v>
      </c>
      <c r="E63" s="163" t="n">
        <v>34</v>
      </c>
      <c r="F63" s="161" t="n">
        <v>84.5</v>
      </c>
      <c r="G63" s="27" t="n">
        <v>26</v>
      </c>
      <c r="H63" s="164" t="n">
        <v>772</v>
      </c>
      <c r="I63" s="165" t="n">
        <v>95000</v>
      </c>
      <c r="J63" s="165" t="inlineStr">
        <is>
          <t>중</t>
        </is>
      </c>
      <c r="K63" s="165" t="n">
        <v>32000</v>
      </c>
      <c r="L63" s="165" t="inlineStr">
        <is>
          <t>18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4</v>
      </c>
      <c r="R63" s="113" t="n">
        <v>2</v>
      </c>
      <c r="S63" s="113" t="inlineStr">
        <is>
          <t>계</t>
        </is>
      </c>
      <c r="T63" s="8" t="inlineStr">
        <is>
          <t>111A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1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2" t="n"/>
      <c r="P64" s="162" t="n"/>
      <c r="Q64" s="163" t="n"/>
      <c r="R64" s="163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0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검단신도시모아엘가그랑데</t>
        </is>
      </c>
      <c r="B65" s="16" t="inlineStr">
        <is>
          <t>'23.01.</t>
        </is>
      </c>
      <c r="C65" s="164" t="n">
        <v>510</v>
      </c>
      <c r="D65" s="161" t="n">
        <v>79.3</v>
      </c>
      <c r="E65" s="163" t="n">
        <v>24</v>
      </c>
      <c r="F65" s="161" t="n">
        <v>59.5</v>
      </c>
      <c r="G65" s="27" t="n">
        <v>18</v>
      </c>
      <c r="H65" s="164" t="n">
        <v>286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79A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검단신도시모아엘가그랑데</t>
        </is>
      </c>
      <c r="B66" s="16" t="inlineStr">
        <is>
          <t>'23.01.</t>
        </is>
      </c>
      <c r="C66" s="164" t="n">
        <v>510</v>
      </c>
      <c r="D66" s="161" t="n">
        <v>80.09999999999999</v>
      </c>
      <c r="E66" s="163" t="n">
        <v>24</v>
      </c>
      <c r="F66" s="161" t="n">
        <v>59.6</v>
      </c>
      <c r="G66" s="27" t="n">
        <v>18</v>
      </c>
      <c r="H66" s="164" t="n">
        <v>56</v>
      </c>
      <c r="I66" s="165" t="n"/>
      <c r="J66" s="165" t="n"/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80B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검단신도시모아엘가그랑데</t>
        </is>
      </c>
      <c r="B67" s="16" t="inlineStr">
        <is>
          <t>'23.01.</t>
        </is>
      </c>
      <c r="C67" s="164" t="n">
        <v>510</v>
      </c>
      <c r="D67" s="161" t="n">
        <v>93.3</v>
      </c>
      <c r="E67" s="163" t="n">
        <v>28</v>
      </c>
      <c r="F67" s="161" t="n">
        <v>70</v>
      </c>
      <c r="G67" s="27" t="n">
        <v>21</v>
      </c>
      <c r="H67" s="164" t="n">
        <v>8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93T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검단신도시모아엘가그랑데</t>
        </is>
      </c>
      <c r="B68" s="16" t="inlineStr">
        <is>
          <t>'23.01.</t>
        </is>
      </c>
      <c r="C68" s="164" t="n">
        <v>510</v>
      </c>
      <c r="D68" s="161" t="n">
        <v>108.9</v>
      </c>
      <c r="E68" s="163" t="n">
        <v>33</v>
      </c>
      <c r="F68" s="161" t="n">
        <v>82.90000000000001</v>
      </c>
      <c r="G68" s="27" t="n">
        <v>25</v>
      </c>
      <c r="H68" s="164" t="n">
        <v>8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108T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검단신도시모아엘가그랑데</t>
        </is>
      </c>
      <c r="B69" s="16" t="inlineStr">
        <is>
          <t>'23.01.</t>
        </is>
      </c>
      <c r="C69" s="164" t="n">
        <v>510</v>
      </c>
      <c r="D69" s="161" t="n">
        <v>112.9</v>
      </c>
      <c r="E69" s="163" t="n">
        <v>34</v>
      </c>
      <c r="F69" s="161" t="n">
        <v>84.59999999999999</v>
      </c>
      <c r="G69" s="27" t="n">
        <v>26</v>
      </c>
      <c r="H69" s="164" t="n">
        <v>56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112B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검단신도시모아엘가그랑데</t>
        </is>
      </c>
      <c r="B70" s="16" t="inlineStr">
        <is>
          <t>'23.01.</t>
        </is>
      </c>
      <c r="C70" s="164" t="n">
        <v>510</v>
      </c>
      <c r="D70" s="161" t="n">
        <v>113.1</v>
      </c>
      <c r="E70" s="163" t="n">
        <v>34</v>
      </c>
      <c r="F70" s="161" t="n">
        <v>84.7</v>
      </c>
      <c r="G70" s="27" t="n">
        <v>26</v>
      </c>
      <c r="H70" s="164" t="n">
        <v>96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113A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n"/>
      <c r="B71" s="113" t="n"/>
      <c r="C71" s="10" t="n"/>
      <c r="D71" s="13" t="n"/>
      <c r="E71" s="20" t="n"/>
      <c r="F71" s="161" t="n"/>
      <c r="G71" s="13" t="n"/>
      <c r="H71" s="13" t="n"/>
      <c r="I71" s="13" t="n"/>
      <c r="J71" s="13" t="n"/>
      <c r="K71" s="13" t="n"/>
      <c r="L71" s="13" t="n"/>
      <c r="M71" s="13" t="n"/>
      <c r="N71" s="13" t="n"/>
      <c r="O71" s="162" t="n"/>
      <c r="P71" s="162" t="n"/>
      <c r="Q71" s="163" t="n"/>
      <c r="R71" s="163" t="n"/>
      <c r="S71" s="13" t="n"/>
      <c r="T71" s="70" t="n"/>
      <c r="U71" s="13" t="n"/>
      <c r="W71" s="107">
        <f>$A$4&amp;" "&amp;A72&amp;"("&amp;B72&amp;","&amp;C72&amp;"^)"</f>
        <v/>
      </c>
      <c r="X71" s="108" t="n"/>
      <c r="Y71" s="108" t="n"/>
      <c r="Z71" s="108" t="n"/>
      <c r="AA71" s="108" t="n"/>
      <c r="AB71" s="108" t="n"/>
      <c r="AC71" s="108" t="n"/>
      <c r="AD71" s="108" t="n"/>
      <c r="AE71" s="108" t="n"/>
      <c r="AF71" s="109" t="n"/>
      <c r="AH71" s="36">
        <f>IF(A71="","",A71)</f>
        <v/>
      </c>
      <c r="AI71" s="160">
        <f>IF(E71="","",E71)</f>
        <v/>
      </c>
      <c r="AJ71" s="113" t="n"/>
      <c r="AK71" s="113" t="n"/>
      <c r="AL71" s="113" t="n"/>
      <c r="AM71" s="113" t="n"/>
      <c r="AN71" s="113" t="n"/>
      <c r="AO71" s="113" t="n"/>
      <c r="AP71" s="113" t="n"/>
      <c r="AQ71" s="113" t="n"/>
      <c r="AR71" s="113" t="n"/>
      <c r="AS71" s="113" t="n"/>
      <c r="AT71" s="113" t="n"/>
      <c r="AU71" s="113" t="n"/>
      <c r="AV71" s="113" t="n"/>
    </row>
    <row r="72">
      <c r="A72" s="13" t="inlineStr">
        <is>
          <t>검단신도시2차노블랜드에듀포레힐</t>
        </is>
      </c>
      <c r="B72" s="16" t="inlineStr">
        <is>
          <t>'22.09.</t>
        </is>
      </c>
      <c r="C72" s="164" t="n">
        <v>1417</v>
      </c>
      <c r="D72" s="161" t="n">
        <v>99.3</v>
      </c>
      <c r="E72" s="163" t="n">
        <v>30</v>
      </c>
      <c r="F72" s="161" t="n">
        <v>76.09999999999999</v>
      </c>
      <c r="G72" s="27" t="n">
        <v>23</v>
      </c>
      <c r="H72" s="164" t="n">
        <v>314</v>
      </c>
      <c r="I72" s="165" t="n"/>
      <c r="J72" s="165" t="n"/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99A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검단신도시2차노블랜드에듀포레힐</t>
        </is>
      </c>
      <c r="B73" s="16" t="inlineStr">
        <is>
          <t>'22.09.</t>
        </is>
      </c>
      <c r="C73" s="164" t="n">
        <v>1417</v>
      </c>
      <c r="D73" s="161" t="n">
        <v>99.2</v>
      </c>
      <c r="E73" s="163" t="n">
        <v>30</v>
      </c>
      <c r="F73" s="161" t="n">
        <v>75.8</v>
      </c>
      <c r="G73" s="27" t="n">
        <v>23</v>
      </c>
      <c r="H73" s="164" t="n">
        <v>160</v>
      </c>
      <c r="I73" s="165" t="n"/>
      <c r="J73" s="165" t="n"/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99B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검단신도시2차노블랜드에듀포레힐</t>
        </is>
      </c>
      <c r="B74" s="16" t="inlineStr">
        <is>
          <t>'22.09.</t>
        </is>
      </c>
      <c r="C74" s="164" t="n">
        <v>1417</v>
      </c>
      <c r="D74" s="161" t="n">
        <v>109.6</v>
      </c>
      <c r="E74" s="163" t="n">
        <v>33</v>
      </c>
      <c r="F74" s="161" t="n">
        <v>84.7</v>
      </c>
      <c r="G74" s="27" t="n">
        <v>26</v>
      </c>
      <c r="H74" s="164" t="n">
        <v>320</v>
      </c>
      <c r="I74" s="165" t="n"/>
      <c r="J74" s="165" t="n"/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109C</t>
        </is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검단신도시2차노블랜드에듀포레힐</t>
        </is>
      </c>
      <c r="B75" s="16" t="inlineStr">
        <is>
          <t>'22.09.</t>
        </is>
      </c>
      <c r="C75" s="164" t="n">
        <v>1417</v>
      </c>
      <c r="D75" s="161" t="n">
        <v>109.3</v>
      </c>
      <c r="E75" s="163" t="n">
        <v>33</v>
      </c>
      <c r="F75" s="161" t="n">
        <v>85</v>
      </c>
      <c r="G75" s="27" t="n">
        <v>26</v>
      </c>
      <c r="H75" s="164" t="n">
        <v>193</v>
      </c>
      <c r="I75" s="165" t="n"/>
      <c r="J75" s="165" t="n"/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109B</t>
        </is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검단신도시2차노블랜드에듀포레힐</t>
        </is>
      </c>
      <c r="B76" s="16" t="inlineStr">
        <is>
          <t>'22.09.</t>
        </is>
      </c>
      <c r="C76" s="164" t="n">
        <v>1417</v>
      </c>
      <c r="D76" s="161" t="n">
        <v>109.7</v>
      </c>
      <c r="E76" s="163" t="n">
        <v>33</v>
      </c>
      <c r="F76" s="161" t="n">
        <v>84.90000000000001</v>
      </c>
      <c r="G76" s="27" t="n">
        <v>26</v>
      </c>
      <c r="H76" s="164" t="n">
        <v>60</v>
      </c>
      <c r="I76" s="165" t="n"/>
      <c r="J76" s="165" t="n"/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109A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검단신도시2차노블랜드에듀포레힐</t>
        </is>
      </c>
      <c r="B77" s="16" t="inlineStr">
        <is>
          <t>'22.09.</t>
        </is>
      </c>
      <c r="C77" s="164" t="n">
        <v>1417</v>
      </c>
      <c r="D77" s="161" t="n">
        <v>132.4</v>
      </c>
      <c r="E77" s="163" t="n">
        <v>40</v>
      </c>
      <c r="F77" s="161" t="n">
        <v>109.4</v>
      </c>
      <c r="G77" s="27" t="n">
        <v>33</v>
      </c>
      <c r="H77" s="164" t="n">
        <v>196</v>
      </c>
      <c r="I77" s="165" t="n"/>
      <c r="J77" s="165" t="n"/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4</v>
      </c>
      <c r="R77" s="113" t="n">
        <v>2</v>
      </c>
      <c r="S77" s="113" t="inlineStr">
        <is>
          <t>계</t>
        </is>
      </c>
      <c r="T77" s="8" t="inlineStr">
        <is>
          <t>132B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검단신도시2차노블랜드에듀포레힐</t>
        </is>
      </c>
      <c r="B78" s="16" t="inlineStr">
        <is>
          <t>'22.09.</t>
        </is>
      </c>
      <c r="C78" s="164" t="n">
        <v>1417</v>
      </c>
      <c r="D78" s="161" t="n">
        <v>132.3</v>
      </c>
      <c r="E78" s="163" t="n">
        <v>40</v>
      </c>
      <c r="F78" s="161" t="n">
        <v>108.5</v>
      </c>
      <c r="G78" s="27" t="n">
        <v>33</v>
      </c>
      <c r="H78" s="164" t="n">
        <v>174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4</v>
      </c>
      <c r="R78" s="113" t="n">
        <v>2</v>
      </c>
      <c r="S78" s="113" t="inlineStr">
        <is>
          <t>계</t>
        </is>
      </c>
      <c r="T78" s="8" t="inlineStr">
        <is>
          <t>132A</t>
        </is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n"/>
      <c r="B79" s="113" t="n"/>
      <c r="C79" s="10" t="n"/>
      <c r="D79" s="13" t="n"/>
      <c r="E79" s="20" t="n"/>
      <c r="F79" s="161" t="n"/>
      <c r="G79" s="13" t="n"/>
      <c r="H79" s="13" t="n"/>
      <c r="I79" s="13" t="n"/>
      <c r="J79" s="13" t="n"/>
      <c r="K79" s="13" t="n"/>
      <c r="L79" s="13" t="n"/>
      <c r="M79" s="13" t="n"/>
      <c r="N79" s="13" t="n"/>
      <c r="O79" s="162" t="n"/>
      <c r="P79" s="162" t="n"/>
      <c r="Q79" s="163" t="n"/>
      <c r="R79" s="163" t="n"/>
      <c r="S79" s="13" t="n"/>
      <c r="T79" s="70" t="n"/>
      <c r="U79" s="13" t="n"/>
      <c r="W79" s="107">
        <f>$A$4&amp;" "&amp;A80&amp;"("&amp;B80&amp;","&amp;C80&amp;"^)"</f>
        <v/>
      </c>
      <c r="X79" s="108" t="n"/>
      <c r="Y79" s="108" t="n"/>
      <c r="Z79" s="108" t="n"/>
      <c r="AA79" s="108" t="n"/>
      <c r="AB79" s="108" t="n"/>
      <c r="AC79" s="108" t="n"/>
      <c r="AD79" s="108" t="n"/>
      <c r="AE79" s="108" t="n"/>
      <c r="AF79" s="109" t="n"/>
      <c r="AH79" s="36">
        <f>IF(A79="","",A79)</f>
        <v/>
      </c>
      <c r="AI79" s="160">
        <f>IF(E79="","",E79)</f>
        <v/>
      </c>
      <c r="AJ79" s="113" t="n"/>
      <c r="AK79" s="113" t="n"/>
      <c r="AL79" s="113" t="n"/>
      <c r="AM79" s="113" t="n"/>
      <c r="AN79" s="113" t="n"/>
      <c r="AO79" s="113" t="n"/>
      <c r="AP79" s="113" t="n"/>
      <c r="AQ79" s="113" t="n"/>
      <c r="AR79" s="113" t="n"/>
      <c r="AS79" s="113" t="n"/>
      <c r="AT79" s="113" t="n"/>
      <c r="AU79" s="113" t="n"/>
      <c r="AV79" s="113" t="n"/>
    </row>
    <row r="80">
      <c r="A80" s="13" t="inlineStr">
        <is>
          <t>원당금호어울림</t>
        </is>
      </c>
      <c r="B80" s="16" t="inlineStr">
        <is>
          <t>'05.01.</t>
        </is>
      </c>
      <c r="C80" s="164" t="n">
        <v>269</v>
      </c>
      <c r="D80" s="161" t="n">
        <v>106.4</v>
      </c>
      <c r="E80" s="163" t="n">
        <v>32</v>
      </c>
      <c r="F80" s="161" t="n">
        <v>85</v>
      </c>
      <c r="G80" s="27" t="n">
        <v>26</v>
      </c>
      <c r="H80" s="164" t="n">
        <v>209</v>
      </c>
      <c r="I80" s="165" t="n"/>
      <c r="J80" s="165" t="n"/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n">
        <v>106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원당금호어울림</t>
        </is>
      </c>
      <c r="B81" s="16" t="inlineStr">
        <is>
          <t>'05.01.</t>
        </is>
      </c>
      <c r="C81" s="164" t="n">
        <v>269</v>
      </c>
      <c r="D81" s="161" t="n">
        <v>131</v>
      </c>
      <c r="E81" s="163" t="n">
        <v>40</v>
      </c>
      <c r="F81" s="161" t="n">
        <v>107.6</v>
      </c>
      <c r="G81" s="27" t="n">
        <v>33</v>
      </c>
      <c r="H81" s="164" t="n">
        <v>60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n">
        <v>130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n"/>
      <c r="B82" s="113" t="n"/>
      <c r="C82" s="10" t="n"/>
      <c r="D82" s="13" t="n"/>
      <c r="E82" s="20" t="n"/>
      <c r="F82" s="161" t="n"/>
      <c r="G82" s="13" t="n"/>
      <c r="H82" s="13" t="n"/>
      <c r="I82" s="13" t="n"/>
      <c r="J82" s="13" t="n"/>
      <c r="K82" s="13" t="n"/>
      <c r="L82" s="13" t="n"/>
      <c r="M82" s="13" t="n"/>
      <c r="N82" s="13" t="n"/>
      <c r="O82" s="162" t="n"/>
      <c r="P82" s="162" t="n"/>
      <c r="Q82" s="163" t="n"/>
      <c r="R82" s="163" t="n"/>
      <c r="S82" s="13" t="n"/>
      <c r="T82" s="70" t="n"/>
      <c r="U82" s="13" t="n"/>
      <c r="W82" s="107">
        <f>$A$4&amp;" "&amp;A83&amp;"("&amp;B83&amp;","&amp;C83&amp;"^)"</f>
        <v/>
      </c>
      <c r="X82" s="108" t="n"/>
      <c r="Y82" s="108" t="n"/>
      <c r="Z82" s="108" t="n"/>
      <c r="AA82" s="108" t="n"/>
      <c r="AB82" s="108" t="n"/>
      <c r="AC82" s="108" t="n"/>
      <c r="AD82" s="108" t="n"/>
      <c r="AE82" s="108" t="n"/>
      <c r="AF82" s="109" t="n"/>
      <c r="AH82" s="36">
        <f>IF(A82="","",A82)</f>
        <v/>
      </c>
      <c r="AI82" s="160">
        <f>IF(E82="","",E82)</f>
        <v/>
      </c>
      <c r="AJ82" s="113" t="n"/>
      <c r="AK82" s="113" t="n"/>
      <c r="AL82" s="113" t="n"/>
      <c r="AM82" s="113" t="n"/>
      <c r="AN82" s="113" t="n"/>
      <c r="AO82" s="113" t="n"/>
      <c r="AP82" s="113" t="n"/>
      <c r="AQ82" s="113" t="n"/>
      <c r="AR82" s="113" t="n"/>
      <c r="AS82" s="113" t="n"/>
      <c r="AT82" s="113" t="n"/>
      <c r="AU82" s="113" t="n"/>
      <c r="AV82" s="113" t="n"/>
    </row>
    <row r="83">
      <c r="A83" s="13" t="inlineStr">
        <is>
          <t>원당e-편한세상</t>
        </is>
      </c>
      <c r="B83" s="16" t="inlineStr">
        <is>
          <t>'04.08.</t>
        </is>
      </c>
      <c r="C83" s="164" t="n">
        <v>449</v>
      </c>
      <c r="D83" s="161" t="n">
        <v>86.09999999999999</v>
      </c>
      <c r="E83" s="163" t="n">
        <v>26</v>
      </c>
      <c r="F83" s="161" t="n">
        <v>60</v>
      </c>
      <c r="G83" s="27" t="n">
        <v>18</v>
      </c>
      <c r="H83" s="164" t="n">
        <v>119</v>
      </c>
      <c r="I83" s="165" t="n">
        <v>33000</v>
      </c>
      <c r="J83" s="165" t="inlineStr">
        <is>
          <t>5</t>
        </is>
      </c>
      <c r="K83" s="165" t="n">
        <v>23000</v>
      </c>
      <c r="L83" s="165" t="inlineStr">
        <is>
          <t>고</t>
        </is>
      </c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n">
        <v>86</v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원당e-편한세상</t>
        </is>
      </c>
      <c r="B84" s="16" t="inlineStr">
        <is>
          <t>'04.08.</t>
        </is>
      </c>
      <c r="C84" s="164" t="n">
        <v>449</v>
      </c>
      <c r="D84" s="161" t="n">
        <v>113.4</v>
      </c>
      <c r="E84" s="163" t="n">
        <v>34</v>
      </c>
      <c r="F84" s="161" t="n">
        <v>85</v>
      </c>
      <c r="G84" s="27" t="n">
        <v>26</v>
      </c>
      <c r="H84" s="164" t="n">
        <v>330</v>
      </c>
      <c r="I84" s="165" t="n">
        <v>40000</v>
      </c>
      <c r="J84" s="165" t="inlineStr">
        <is>
          <t>15</t>
        </is>
      </c>
      <c r="K84" s="165" t="n">
        <v>25000</v>
      </c>
      <c r="L84" s="165" t="inlineStr">
        <is>
          <t>6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n">
        <v>113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1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2" t="n"/>
      <c r="P85" s="162" t="n"/>
      <c r="Q85" s="163" t="n"/>
      <c r="R85" s="163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0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검단신도시우미린에코뷰</t>
        </is>
      </c>
      <c r="B86" s="16" t="inlineStr">
        <is>
          <t>'22.10.</t>
        </is>
      </c>
      <c r="C86" s="164" t="n">
        <v>437</v>
      </c>
      <c r="D86" s="161" t="n">
        <v>81.90000000000001</v>
      </c>
      <c r="E86" s="163" t="n">
        <v>25</v>
      </c>
      <c r="F86" s="161" t="n">
        <v>59.8</v>
      </c>
      <c r="G86" s="27" t="n">
        <v>18</v>
      </c>
      <c r="H86" s="164" t="n">
        <v>186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81A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검단신도시우미린에코뷰</t>
        </is>
      </c>
      <c r="B87" s="16" t="inlineStr">
        <is>
          <t>'22.10.</t>
        </is>
      </c>
      <c r="C87" s="164" t="n">
        <v>437</v>
      </c>
      <c r="D87" s="161" t="n">
        <v>82.09999999999999</v>
      </c>
      <c r="E87" s="163" t="n">
        <v>25</v>
      </c>
      <c r="F87" s="161" t="n">
        <v>59.9</v>
      </c>
      <c r="G87" s="27" t="n">
        <v>18</v>
      </c>
      <c r="H87" s="164" t="n">
        <v>81</v>
      </c>
      <c r="I87" s="165" t="n"/>
      <c r="J87" s="165" t="n"/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inlineStr">
        <is>
          <t>82B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검단신도시우미린에코뷰</t>
        </is>
      </c>
      <c r="B88" s="16" t="inlineStr">
        <is>
          <t>'22.10.</t>
        </is>
      </c>
      <c r="C88" s="164" t="n">
        <v>437</v>
      </c>
      <c r="D88" s="161" t="n">
        <v>82.3</v>
      </c>
      <c r="E88" s="163" t="n">
        <v>25</v>
      </c>
      <c r="F88" s="161" t="n">
        <v>59.8</v>
      </c>
      <c r="G88" s="27" t="n">
        <v>18</v>
      </c>
      <c r="H88" s="164" t="n">
        <v>26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82C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검단신도시우미린에코뷰</t>
        </is>
      </c>
      <c r="B89" s="16" t="inlineStr">
        <is>
          <t>'22.10.</t>
        </is>
      </c>
      <c r="C89" s="164" t="n">
        <v>437</v>
      </c>
      <c r="D89" s="161" t="n">
        <v>114.4</v>
      </c>
      <c r="E89" s="163" t="n">
        <v>35</v>
      </c>
      <c r="F89" s="161" t="n">
        <v>84.90000000000001</v>
      </c>
      <c r="G89" s="27" t="n">
        <v>26</v>
      </c>
      <c r="H89" s="164" t="n">
        <v>115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114A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검단신도시우미린에코뷰</t>
        </is>
      </c>
      <c r="B90" s="16" t="inlineStr">
        <is>
          <t>'22.10.</t>
        </is>
      </c>
      <c r="C90" s="164" t="n">
        <v>437</v>
      </c>
      <c r="D90" s="161" t="n">
        <v>114.6</v>
      </c>
      <c r="E90" s="163" t="n">
        <v>35</v>
      </c>
      <c r="F90" s="161" t="n">
        <v>84.59999999999999</v>
      </c>
      <c r="G90" s="27" t="n">
        <v>26</v>
      </c>
      <c r="H90" s="164" t="n">
        <v>29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114B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n"/>
      <c r="B91" s="113" t="n"/>
      <c r="C91" s="10" t="n"/>
      <c r="D91" s="13" t="n"/>
      <c r="E91" s="20" t="n"/>
      <c r="F91" s="161" t="n"/>
      <c r="G91" s="13" t="n"/>
      <c r="H91" s="13" t="n"/>
      <c r="I91" s="13" t="n"/>
      <c r="J91" s="13" t="n"/>
      <c r="K91" s="13" t="n"/>
      <c r="L91" s="13" t="n"/>
      <c r="M91" s="13" t="n"/>
      <c r="N91" s="13" t="n"/>
      <c r="O91" s="162" t="n"/>
      <c r="P91" s="162" t="n"/>
      <c r="Q91" s="163" t="n"/>
      <c r="R91" s="163" t="n"/>
      <c r="S91" s="13" t="n"/>
      <c r="T91" s="70" t="n"/>
      <c r="U91" s="13" t="n"/>
      <c r="W91" s="107">
        <f>$A$4&amp;" "&amp;A92&amp;"("&amp;B92&amp;","&amp;C92&amp;"^)"</f>
        <v/>
      </c>
      <c r="X91" s="108" t="n"/>
      <c r="Y91" s="108" t="n"/>
      <c r="Z91" s="108" t="n"/>
      <c r="AA91" s="108" t="n"/>
      <c r="AB91" s="108" t="n"/>
      <c r="AC91" s="108" t="n"/>
      <c r="AD91" s="108" t="n"/>
      <c r="AE91" s="108" t="n"/>
      <c r="AF91" s="109" t="n"/>
      <c r="AH91" s="36">
        <f>IF(A91="","",A91)</f>
        <v/>
      </c>
      <c r="AI91" s="160">
        <f>IF(E91="","",E91)</f>
        <v/>
      </c>
      <c r="AJ91" s="113" t="n"/>
      <c r="AK91" s="113" t="n"/>
      <c r="AL91" s="113" t="n"/>
      <c r="AM91" s="113" t="n"/>
      <c r="AN91" s="113" t="n"/>
      <c r="AO91" s="113" t="n"/>
      <c r="AP91" s="113" t="n"/>
      <c r="AQ91" s="113" t="n"/>
      <c r="AR91" s="113" t="n"/>
      <c r="AS91" s="113" t="n"/>
      <c r="AT91" s="113" t="n"/>
      <c r="AU91" s="113" t="n"/>
      <c r="AV91" s="113" t="n"/>
    </row>
    <row r="92">
      <c r="A92" s="13" t="inlineStr">
        <is>
          <t>원당LG자이</t>
        </is>
      </c>
      <c r="B92" s="16" t="inlineStr">
        <is>
          <t>'04.06.</t>
        </is>
      </c>
      <c r="C92" s="164" t="n">
        <v>938</v>
      </c>
      <c r="D92" s="161" t="n">
        <v>85.5</v>
      </c>
      <c r="E92" s="163" t="n">
        <v>26</v>
      </c>
      <c r="F92" s="161" t="n">
        <v>59.9</v>
      </c>
      <c r="G92" s="27" t="n">
        <v>18</v>
      </c>
      <c r="H92" s="164" t="n">
        <v>125</v>
      </c>
      <c r="I92" s="165" t="n">
        <v>36000</v>
      </c>
      <c r="J92" s="165" t="inlineStr">
        <is>
          <t>고</t>
        </is>
      </c>
      <c r="K92" s="165" t="n">
        <v>24000</v>
      </c>
      <c r="L92" s="165" t="inlineStr">
        <is>
          <t>10</t>
        </is>
      </c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n">
        <v>85</v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원당LG자이</t>
        </is>
      </c>
      <c r="B93" s="16" t="inlineStr">
        <is>
          <t>'04.06.</t>
        </is>
      </c>
      <c r="C93" s="164" t="n">
        <v>938</v>
      </c>
      <c r="D93" s="161" t="n">
        <v>112.3</v>
      </c>
      <c r="E93" s="163" t="n">
        <v>34</v>
      </c>
      <c r="F93" s="161" t="n">
        <v>85</v>
      </c>
      <c r="G93" s="27" t="n">
        <v>26</v>
      </c>
      <c r="H93" s="164" t="n">
        <v>719</v>
      </c>
      <c r="I93" s="165" t="n">
        <v>42000</v>
      </c>
      <c r="J93" s="165" t="inlineStr">
        <is>
          <t>9</t>
        </is>
      </c>
      <c r="K93" s="165" t="n">
        <v>24000</v>
      </c>
      <c r="L93" s="165" t="inlineStr">
        <is>
          <t>6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n">
        <v>112</v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원당LG자이</t>
        </is>
      </c>
      <c r="B94" s="16" t="inlineStr">
        <is>
          <t>'04.06.</t>
        </is>
      </c>
      <c r="C94" s="164" t="n">
        <v>938</v>
      </c>
      <c r="D94" s="161" t="n">
        <v>137.3</v>
      </c>
      <c r="E94" s="163" t="n">
        <v>42</v>
      </c>
      <c r="F94" s="161" t="n">
        <v>108.1</v>
      </c>
      <c r="G94" s="27" t="n">
        <v>33</v>
      </c>
      <c r="H94" s="164" t="n">
        <v>94</v>
      </c>
      <c r="I94" s="165" t="n">
        <v>65000</v>
      </c>
      <c r="J94" s="165" t="inlineStr">
        <is>
          <t>8</t>
        </is>
      </c>
      <c r="K94" s="165" t="n">
        <v>30000</v>
      </c>
      <c r="L94" s="165" t="inlineStr">
        <is>
          <t>6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n">
        <v>137</v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n"/>
      <c r="B95" s="113" t="n"/>
      <c r="C95" s="10" t="n"/>
      <c r="D95" s="13" t="n"/>
      <c r="E95" s="20" t="n"/>
      <c r="F95" s="161" t="n"/>
      <c r="G95" s="13" t="n"/>
      <c r="H95" s="13" t="n"/>
      <c r="I95" s="13" t="n"/>
      <c r="J95" s="13" t="n"/>
      <c r="K95" s="13" t="n"/>
      <c r="L95" s="13" t="n"/>
      <c r="M95" s="13" t="n"/>
      <c r="N95" s="13" t="n"/>
      <c r="O95" s="162" t="n"/>
      <c r="P95" s="162" t="n"/>
      <c r="Q95" s="163" t="n"/>
      <c r="R95" s="163" t="n"/>
      <c r="S95" s="13" t="n"/>
      <c r="T95" s="70" t="n"/>
      <c r="U95" s="13" t="n"/>
      <c r="W95" s="107">
        <f>$A$4&amp;" "&amp;A96&amp;"("&amp;B96&amp;","&amp;C96&amp;"^)"</f>
        <v/>
      </c>
      <c r="X95" s="108" t="n"/>
      <c r="Y95" s="108" t="n"/>
      <c r="Z95" s="108" t="n"/>
      <c r="AA95" s="108" t="n"/>
      <c r="AB95" s="108" t="n"/>
      <c r="AC95" s="108" t="n"/>
      <c r="AD95" s="108" t="n"/>
      <c r="AE95" s="108" t="n"/>
      <c r="AF95" s="109" t="n"/>
      <c r="AH95" s="36">
        <f>IF(A95="","",A95)</f>
        <v/>
      </c>
      <c r="AI95" s="160">
        <f>IF(E95="","",E95)</f>
        <v/>
      </c>
      <c r="AJ95" s="113" t="n"/>
      <c r="AK95" s="113" t="n"/>
      <c r="AL95" s="113" t="n"/>
      <c r="AM95" s="113" t="n"/>
      <c r="AN95" s="113" t="n"/>
      <c r="AO95" s="113" t="n"/>
      <c r="AP95" s="113" t="n"/>
      <c r="AQ95" s="113" t="n"/>
      <c r="AR95" s="113" t="n"/>
      <c r="AS95" s="113" t="n"/>
      <c r="AT95" s="113" t="n"/>
      <c r="AU95" s="113" t="n"/>
      <c r="AV95" s="113" t="n"/>
    </row>
    <row r="96">
      <c r="A96" s="13" t="inlineStr">
        <is>
          <t>검단신도시AB3-2블록예미지퍼스트포레</t>
        </is>
      </c>
      <c r="B96" s="16" t="inlineStr">
        <is>
          <t>'23.10.</t>
        </is>
      </c>
      <c r="C96" s="164" t="n">
        <v>1172</v>
      </c>
      <c r="D96" s="161" t="n">
        <v>101.3</v>
      </c>
      <c r="E96" s="163" t="n">
        <v>31</v>
      </c>
      <c r="F96" s="161" t="n">
        <v>76.90000000000001</v>
      </c>
      <c r="G96" s="27" t="n">
        <v>23</v>
      </c>
      <c r="H96" s="164" t="n">
        <v>214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n">
        <v>101</v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검단신도시AB3-2블록예미지퍼스트포레</t>
        </is>
      </c>
      <c r="B97" s="16" t="inlineStr">
        <is>
          <t>'23.10.</t>
        </is>
      </c>
      <c r="C97" s="164" t="n">
        <v>1172</v>
      </c>
      <c r="D97" s="161" t="n">
        <v>111.1</v>
      </c>
      <c r="E97" s="163" t="n">
        <v>34</v>
      </c>
      <c r="F97" s="161" t="n">
        <v>85</v>
      </c>
      <c r="G97" s="27" t="n">
        <v>26</v>
      </c>
      <c r="H97" s="164" t="n">
        <v>510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111A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검단신도시AB3-2블록예미지퍼스트포레</t>
        </is>
      </c>
      <c r="B98" s="16" t="inlineStr">
        <is>
          <t>'23.10.</t>
        </is>
      </c>
      <c r="C98" s="164" t="n">
        <v>1172</v>
      </c>
      <c r="D98" s="161" t="n">
        <v>111.3</v>
      </c>
      <c r="E98" s="163" t="n">
        <v>34</v>
      </c>
      <c r="F98" s="161" t="n">
        <v>85</v>
      </c>
      <c r="G98" s="27" t="n">
        <v>26</v>
      </c>
      <c r="H98" s="164" t="n">
        <v>75</v>
      </c>
      <c r="I98" s="165" t="n"/>
      <c r="J98" s="165" t="n"/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inlineStr">
        <is>
          <t>111B</t>
        </is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검단신도시AB3-2블록예미지퍼스트포레</t>
        </is>
      </c>
      <c r="B99" s="16" t="inlineStr">
        <is>
          <t>'23.10.</t>
        </is>
      </c>
      <c r="C99" s="164" t="n">
        <v>1172</v>
      </c>
      <c r="D99" s="161" t="n">
        <v>133.3</v>
      </c>
      <c r="E99" s="163" t="n">
        <v>40</v>
      </c>
      <c r="F99" s="161" t="n">
        <v>102.8</v>
      </c>
      <c r="G99" s="27" t="n">
        <v>31</v>
      </c>
      <c r="H99" s="164" t="n">
        <v>224</v>
      </c>
      <c r="I99" s="165" t="n"/>
      <c r="J99" s="165" t="n"/>
      <c r="K99" s="165" t="n"/>
      <c r="L99" s="165" t="n"/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133A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검단신도시AB3-2블록예미지퍼스트포레</t>
        </is>
      </c>
      <c r="B100" s="16" t="inlineStr">
        <is>
          <t>'23.10.</t>
        </is>
      </c>
      <c r="C100" s="164" t="n">
        <v>1172</v>
      </c>
      <c r="D100" s="161" t="n">
        <v>135</v>
      </c>
      <c r="E100" s="163" t="n">
        <v>41</v>
      </c>
      <c r="F100" s="161" t="n">
        <v>102.7</v>
      </c>
      <c r="G100" s="27" t="n">
        <v>31</v>
      </c>
      <c r="H100" s="164" t="n">
        <v>149</v>
      </c>
      <c r="I100" s="165" t="n"/>
      <c r="J100" s="165" t="n"/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inlineStr">
        <is>
          <t>134B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</sheetData>
  <mergeCells count="1">
    <mergeCell ref="AJ1:AN1"/>
  </mergeCells>
  <conditionalFormatting sqref="AV4:AV6">
    <cfRule type="expression" priority="1568" dxfId="17">
      <formula>AV4="X"</formula>
    </cfRule>
    <cfRule type="expression" priority="1569" dxfId="16">
      <formula>AV4="후보"</formula>
    </cfRule>
  </conditionalFormatting>
  <conditionalFormatting sqref="AC1:AC2 AC4:AC6 N4:N5">
    <cfRule type="cellIs" priority="1565" operator="greaterThan" dxfId="13">
      <formula>0.9</formula>
    </cfRule>
    <cfRule type="cellIs" priority="1566" operator="greaterThan" dxfId="12">
      <formula>0.85</formula>
    </cfRule>
  </conditionalFormatting>
  <conditionalFormatting sqref="N1:N2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6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6">
    <cfRule type="expression" priority="1557" dxfId="3">
      <formula>AND(IF(OR($Q6=1,$Q6=2),1,0),IF($X6&lt;=20,1,0))</formula>
    </cfRule>
    <cfRule type="expression" priority="1558" dxfId="2">
      <formula>AND(IF($Q6=2,1,0),IF($X6&lt;30,1,0))</formula>
    </cfRule>
    <cfRule type="expression" priority="1559" dxfId="1">
      <formula>AND(IF($Q6=3,1,0),IF($X6&lt;30,1,0))</formula>
    </cfRule>
    <cfRule type="expression" priority="1560" dxfId="0">
      <formula>AND(IF($Q6=3,1,IF($Q6=4,1,0)),IF($F6&lt;=85,1,0))</formula>
    </cfRule>
  </conditionalFormatting>
  <conditionalFormatting sqref="X6">
    <cfRule type="expression" priority="1553" dxfId="3">
      <formula>AND(IF(OR($Q6=1,$Q6=2),1,0),IF($X6&lt;=20,1,0))</formula>
    </cfRule>
    <cfRule type="expression" priority="1554" dxfId="2">
      <formula>AND(IF($Q6=2,1,0),IF($X6&lt;30,1,0))</formula>
    </cfRule>
    <cfRule type="expression" priority="1555" dxfId="1">
      <formula>AND(IF($Q6=3,1,0),IF($X6&lt;30,1,0))</formula>
    </cfRule>
    <cfRule type="expression" priority="1556" dxfId="0">
      <formula>AND(IF($Q6=3,1,IF($Q6=4,1,0)),IF($F6&lt;=85,1,0))</formula>
    </cfRule>
  </conditionalFormatting>
  <conditionalFormatting sqref="AI6">
    <cfRule type="expression" priority="1549" dxfId="3">
      <formula>AND(IF(OR($Q6=1,$Q6=2),1,0),IF($X6&lt;=20,1,0))</formula>
    </cfRule>
    <cfRule type="expression" priority="1550" dxfId="2">
      <formula>AND(IF($Q6=2,1,0),IF($X6&lt;30,1,0))</formula>
    </cfRule>
    <cfRule type="expression" priority="1551" dxfId="1">
      <formula>AND(IF($Q6=3,1,0),IF($X6&lt;30,1,0))</formula>
    </cfRule>
    <cfRule type="expression" priority="1552" dxfId="0">
      <formula>AND(IF($Q6=3,1,IF($Q6=4,1,0)),IF($F6&lt;=85,1,0))</formula>
    </cfRule>
  </conditionalFormatting>
  <conditionalFormatting sqref="AV7">
    <cfRule type="expression" priority="1547" dxfId="17">
      <formula>AV7="X"</formula>
    </cfRule>
    <cfRule type="expression" priority="1548" dxfId="16">
      <formula>AV7="후보"</formula>
    </cfRule>
  </conditionalFormatting>
  <conditionalFormatting sqref="AC7">
    <cfRule type="cellIs" priority="1544" operator="greaterThan" dxfId="13">
      <formula>0.9</formula>
    </cfRule>
    <cfRule type="cellIs" priority="1545" operator="greaterThan" dxfId="12">
      <formula>0.85</formula>
    </cfRule>
  </conditionalFormatting>
  <conditionalFormatting sqref="N7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E7">
    <cfRule type="expression" priority="1538" dxfId="3">
      <formula>AND(IF(OR($Q7=1,$Q7=2),1,0),IF($X7&lt;=20,1,0))</formula>
    </cfRule>
    <cfRule type="expression" priority="1539" dxfId="2">
      <formula>AND(IF($Q7=2,1,0),IF($X7&lt;30,1,0))</formula>
    </cfRule>
    <cfRule type="expression" priority="1540" dxfId="1">
      <formula>AND(IF($Q7=3,1,0),IF($X7&lt;30,1,0))</formula>
    </cfRule>
    <cfRule type="expression" priority="1541" dxfId="0">
      <formula>AND(IF($Q7=3,1,IF($Q7=4,1,0)),IF($F7&lt;=85,1,0))</formula>
    </cfRule>
  </conditionalFormatting>
  <conditionalFormatting sqref="X7">
    <cfRule type="expression" priority="1534" dxfId="3">
      <formula>AND(IF(OR($Q7=1,$Q7=2),1,0),IF($X7&lt;=20,1,0))</formula>
    </cfRule>
    <cfRule type="expression" priority="1535" dxfId="2">
      <formula>AND(IF($Q7=2,1,0),IF($X7&lt;30,1,0))</formula>
    </cfRule>
    <cfRule type="expression" priority="1536" dxfId="1">
      <formula>AND(IF($Q7=3,1,0),IF($X7&lt;30,1,0))</formula>
    </cfRule>
    <cfRule type="expression" priority="1537" dxfId="0">
      <formula>AND(IF($Q7=3,1,IF($Q7=4,1,0)),IF($F7&lt;=85,1,0))</formula>
    </cfRule>
  </conditionalFormatting>
  <conditionalFormatting sqref="AI7">
    <cfRule type="expression" priority="1530" dxfId="3">
      <formula>AND(IF(OR($Q7=1,$Q7=2),1,0),IF($X7&lt;=20,1,0))</formula>
    </cfRule>
    <cfRule type="expression" priority="1531" dxfId="2">
      <formula>AND(IF($Q7=2,1,0),IF($X7&lt;30,1,0))</formula>
    </cfRule>
    <cfRule type="expression" priority="1532" dxfId="1">
      <formula>AND(IF($Q7=3,1,0),IF($X7&lt;30,1,0))</formula>
    </cfRule>
    <cfRule type="expression" priority="1533" dxfId="0">
      <formula>AND(IF($Q7=3,1,IF($Q7=4,1,0)),IF($F7&lt;=85,1,0))</formula>
    </cfRule>
  </conditionalFormatting>
  <conditionalFormatting sqref="AV8">
    <cfRule type="expression" priority="1528" dxfId="17">
      <formula>AV8="X"</formula>
    </cfRule>
    <cfRule type="expression" priority="1529" dxfId="16">
      <formula>AV8="후보"</formula>
    </cfRule>
  </conditionalFormatting>
  <conditionalFormatting sqref="AC8 N8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AV9">
    <cfRule type="expression" priority="1523" dxfId="17">
      <formula>AV9="X"</formula>
    </cfRule>
    <cfRule type="expression" priority="1524" dxfId="16">
      <formula>AV9="후보"</formula>
    </cfRule>
  </conditionalFormatting>
  <conditionalFormatting sqref="AC9">
    <cfRule type="cellIs" priority="1520" operator="greaterThan" dxfId="13">
      <formula>0.9</formula>
    </cfRule>
    <cfRule type="cellIs" priority="1521" operator="greaterThan" dxfId="12">
      <formula>0.85</formula>
    </cfRule>
  </conditionalFormatting>
  <conditionalFormatting sqref="N9">
    <cfRule type="cellIs" priority="1518" operator="greaterThan" dxfId="13">
      <formula>0.9</formula>
    </cfRule>
    <cfRule type="cellIs" priority="1519" operator="greaterThan" dxfId="12">
      <formula>0.85</formula>
    </cfRule>
  </conditionalFormatting>
  <conditionalFormatting sqref="E9">
    <cfRule type="expression" priority="1514" dxfId="3">
      <formula>AND(IF(OR($Q9=1,$Q9=2),1,0),IF($X9&lt;=20,1,0))</formula>
    </cfRule>
    <cfRule type="expression" priority="1515" dxfId="2">
      <formula>AND(IF($Q9=2,1,0),IF($X9&lt;30,1,0))</formula>
    </cfRule>
    <cfRule type="expression" priority="1516" dxfId="1">
      <formula>AND(IF($Q9=3,1,0),IF($X9&lt;30,1,0))</formula>
    </cfRule>
    <cfRule type="expression" priority="1517" dxfId="0">
      <formula>AND(IF($Q9=3,1,IF($Q9=4,1,0)),IF($F9&lt;=85,1,0))</formula>
    </cfRule>
  </conditionalFormatting>
  <conditionalFormatting sqref="X9">
    <cfRule type="expression" priority="1510" dxfId="3">
      <formula>AND(IF(OR($Q9=1,$Q9=2),1,0),IF($X9&lt;=20,1,0))</formula>
    </cfRule>
    <cfRule type="expression" priority="1511" dxfId="2">
      <formula>AND(IF($Q9=2,1,0),IF($X9&lt;30,1,0))</formula>
    </cfRule>
    <cfRule type="expression" priority="1512" dxfId="1">
      <formula>AND(IF($Q9=3,1,0),IF($X9&lt;30,1,0))</formula>
    </cfRule>
    <cfRule type="expression" priority="1513" dxfId="0">
      <formula>AND(IF($Q9=3,1,IF($Q9=4,1,0)),IF($F9&lt;=85,1,0))</formula>
    </cfRule>
  </conditionalFormatting>
  <conditionalFormatting sqref="AI9">
    <cfRule type="expression" priority="1506" dxfId="3">
      <formula>AND(IF(OR($Q9=1,$Q9=2),1,0),IF($X9&lt;=20,1,0))</formula>
    </cfRule>
    <cfRule type="expression" priority="1507" dxfId="2">
      <formula>AND(IF($Q9=2,1,0),IF($X9&lt;30,1,0))</formula>
    </cfRule>
    <cfRule type="expression" priority="1508" dxfId="1">
      <formula>AND(IF($Q9=3,1,0),IF($X9&lt;30,1,0))</formula>
    </cfRule>
    <cfRule type="expression" priority="1509" dxfId="0">
      <formula>AND(IF($Q9=3,1,IF($Q9=4,1,0)),IF($F9&lt;=85,1,0))</formula>
    </cfRule>
  </conditionalFormatting>
  <conditionalFormatting sqref="AV10">
    <cfRule type="expression" priority="1504" dxfId="17">
      <formula>AV10="X"</formula>
    </cfRule>
    <cfRule type="expression" priority="1505" dxfId="16">
      <formula>AV10="후보"</formula>
    </cfRule>
  </conditionalFormatting>
  <conditionalFormatting sqref="AC10">
    <cfRule type="cellIs" priority="1501" operator="greaterThan" dxfId="13">
      <formula>0.9</formula>
    </cfRule>
    <cfRule type="cellIs" priority="1502" operator="greaterThan" dxfId="12">
      <formula>0.85</formula>
    </cfRule>
  </conditionalFormatting>
  <conditionalFormatting sqref="N10">
    <cfRule type="cellIs" priority="1499" operator="greaterThan" dxfId="13">
      <formula>0.9</formula>
    </cfRule>
    <cfRule type="cellIs" priority="1500" operator="greaterThan" dxfId="12">
      <formula>0.85</formula>
    </cfRule>
  </conditionalFormatting>
  <conditionalFormatting sqref="E10">
    <cfRule type="expression" priority="1495" dxfId="3">
      <formula>AND(IF(OR($Q10=1,$Q10=2),1,0),IF($X10&lt;=20,1,0))</formula>
    </cfRule>
    <cfRule type="expression" priority="1496" dxfId="2">
      <formula>AND(IF($Q10=2,1,0),IF($X10&lt;30,1,0))</formula>
    </cfRule>
    <cfRule type="expression" priority="1497" dxfId="1">
      <formula>AND(IF($Q10=3,1,0),IF($X10&lt;30,1,0))</formula>
    </cfRule>
    <cfRule type="expression" priority="1498" dxfId="0">
      <formula>AND(IF($Q10=3,1,IF($Q10=4,1,0)),IF($F10&lt;=85,1,0))</formula>
    </cfRule>
  </conditionalFormatting>
  <conditionalFormatting sqref="X10">
    <cfRule type="expression" priority="1491" dxfId="3">
      <formula>AND(IF(OR($Q10=1,$Q10=2),1,0),IF($X10&lt;=20,1,0))</formula>
    </cfRule>
    <cfRule type="expression" priority="1492" dxfId="2">
      <formula>AND(IF($Q10=2,1,0),IF($X10&lt;30,1,0))</formula>
    </cfRule>
    <cfRule type="expression" priority="1493" dxfId="1">
      <formula>AND(IF($Q10=3,1,0),IF($X10&lt;30,1,0))</formula>
    </cfRule>
    <cfRule type="expression" priority="1494" dxfId="0">
      <formula>AND(IF($Q10=3,1,IF($Q10=4,1,0)),IF($F10&lt;=85,1,0))</formula>
    </cfRule>
  </conditionalFormatting>
  <conditionalFormatting sqref="AI10">
    <cfRule type="expression" priority="1487" dxfId="3">
      <formula>AND(IF(OR($Q10=1,$Q10=2),1,0),IF($X10&lt;=20,1,0))</formula>
    </cfRule>
    <cfRule type="expression" priority="1488" dxfId="2">
      <formula>AND(IF($Q10=2,1,0),IF($X10&lt;30,1,0))</formula>
    </cfRule>
    <cfRule type="expression" priority="1489" dxfId="1">
      <formula>AND(IF($Q10=3,1,0),IF($X10&lt;30,1,0))</formula>
    </cfRule>
    <cfRule type="expression" priority="1490" dxfId="0">
      <formula>AND(IF($Q10=3,1,IF($Q10=4,1,0)),IF($F10&lt;=85,1,0))</formula>
    </cfRule>
  </conditionalFormatting>
  <conditionalFormatting sqref="AV11">
    <cfRule type="expression" priority="1485" dxfId="17">
      <formula>AV11="X"</formula>
    </cfRule>
    <cfRule type="expression" priority="1486" dxfId="16">
      <formula>AV11="후보"</formula>
    </cfRule>
  </conditionalFormatting>
  <conditionalFormatting sqref="AC11">
    <cfRule type="cellIs" priority="1482" operator="greaterThan" dxfId="13">
      <formula>0.9</formula>
    </cfRule>
    <cfRule type="cellIs" priority="1483" operator="greaterThan" dxfId="12">
      <formula>0.85</formula>
    </cfRule>
  </conditionalFormatting>
  <conditionalFormatting sqref="N11">
    <cfRule type="cellIs" priority="1480" operator="greaterThan" dxfId="13">
      <formula>0.9</formula>
    </cfRule>
    <cfRule type="cellIs" priority="1481" operator="greaterThan" dxfId="12">
      <formula>0.85</formula>
    </cfRule>
  </conditionalFormatting>
  <conditionalFormatting sqref="E11">
    <cfRule type="expression" priority="1476" dxfId="3">
      <formula>AND(IF(OR($Q11=1,$Q11=2),1,0),IF($X11&lt;=20,1,0))</formula>
    </cfRule>
    <cfRule type="expression" priority="1477" dxfId="2">
      <formula>AND(IF($Q11=2,1,0),IF($X11&lt;30,1,0))</formula>
    </cfRule>
    <cfRule type="expression" priority="1478" dxfId="1">
      <formula>AND(IF($Q11=3,1,0),IF($X11&lt;30,1,0))</formula>
    </cfRule>
    <cfRule type="expression" priority="1479" dxfId="0">
      <formula>AND(IF($Q11=3,1,IF($Q11=4,1,0)),IF($F11&lt;=85,1,0))</formula>
    </cfRule>
  </conditionalFormatting>
  <conditionalFormatting sqref="X11">
    <cfRule type="expression" priority="1472" dxfId="3">
      <formula>AND(IF(OR($Q11=1,$Q11=2),1,0),IF($X11&lt;=20,1,0))</formula>
    </cfRule>
    <cfRule type="expression" priority="1473" dxfId="2">
      <formula>AND(IF($Q11=2,1,0),IF($X11&lt;30,1,0))</formula>
    </cfRule>
    <cfRule type="expression" priority="1474" dxfId="1">
      <formula>AND(IF($Q11=3,1,0),IF($X11&lt;30,1,0))</formula>
    </cfRule>
    <cfRule type="expression" priority="1475" dxfId="0">
      <formula>AND(IF($Q11=3,1,IF($Q11=4,1,0)),IF($F11&lt;=85,1,0))</formula>
    </cfRule>
  </conditionalFormatting>
  <conditionalFormatting sqref="AI11">
    <cfRule type="expression" priority="1468" dxfId="3">
      <formula>AND(IF(OR($Q11=1,$Q11=2),1,0),IF($X11&lt;=20,1,0))</formula>
    </cfRule>
    <cfRule type="expression" priority="1469" dxfId="2">
      <formula>AND(IF($Q11=2,1,0),IF($X11&lt;30,1,0))</formula>
    </cfRule>
    <cfRule type="expression" priority="1470" dxfId="1">
      <formula>AND(IF($Q11=3,1,0),IF($X11&lt;30,1,0))</formula>
    </cfRule>
    <cfRule type="expression" priority="1471" dxfId="0">
      <formula>AND(IF($Q11=3,1,IF($Q11=4,1,0)),IF($F11&lt;=85,1,0))</formula>
    </cfRule>
  </conditionalFormatting>
  <conditionalFormatting sqref="AV12">
    <cfRule type="expression" priority="1466" dxfId="17">
      <formula>AV12="X"</formula>
    </cfRule>
    <cfRule type="expression" priority="1467" dxfId="16">
      <formula>AV12="후보"</formula>
    </cfRule>
  </conditionalFormatting>
  <conditionalFormatting sqref="AC12">
    <cfRule type="cellIs" priority="1463" operator="greaterThan" dxfId="13">
      <formula>0.9</formula>
    </cfRule>
    <cfRule type="cellIs" priority="1464" operator="greaterThan" dxfId="12">
      <formula>0.85</formula>
    </cfRule>
  </conditionalFormatting>
  <conditionalFormatting sqref="N12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E12">
    <cfRule type="expression" priority="1457" dxfId="3">
      <formula>AND(IF(OR($Q12=1,$Q12=2),1,0),IF($X12&lt;=20,1,0))</formula>
    </cfRule>
    <cfRule type="expression" priority="1458" dxfId="2">
      <formula>AND(IF($Q12=2,1,0),IF($X12&lt;30,1,0))</formula>
    </cfRule>
    <cfRule type="expression" priority="1459" dxfId="1">
      <formula>AND(IF($Q12=3,1,0),IF($X12&lt;30,1,0))</formula>
    </cfRule>
    <cfRule type="expression" priority="1460" dxfId="0">
      <formula>AND(IF($Q12=3,1,IF($Q12=4,1,0)),IF($F12&lt;=85,1,0))</formula>
    </cfRule>
  </conditionalFormatting>
  <conditionalFormatting sqref="X12">
    <cfRule type="expression" priority="1453" dxfId="3">
      <formula>AND(IF(OR($Q12=1,$Q12=2),1,0),IF($X12&lt;=20,1,0))</formula>
    </cfRule>
    <cfRule type="expression" priority="1454" dxfId="2">
      <formula>AND(IF($Q12=2,1,0),IF($X12&lt;30,1,0))</formula>
    </cfRule>
    <cfRule type="expression" priority="1455" dxfId="1">
      <formula>AND(IF($Q12=3,1,0),IF($X12&lt;30,1,0))</formula>
    </cfRule>
    <cfRule type="expression" priority="1456" dxfId="0">
      <formula>AND(IF($Q12=3,1,IF($Q12=4,1,0)),IF($F12&lt;=85,1,0))</formula>
    </cfRule>
  </conditionalFormatting>
  <conditionalFormatting sqref="AI12">
    <cfRule type="expression" priority="1449" dxfId="3">
      <formula>AND(IF(OR($Q12=1,$Q12=2),1,0),IF($X12&lt;=20,1,0))</formula>
    </cfRule>
    <cfRule type="expression" priority="1450" dxfId="2">
      <formula>AND(IF($Q12=2,1,0),IF($X12&lt;30,1,0))</formula>
    </cfRule>
    <cfRule type="expression" priority="1451" dxfId="1">
      <formula>AND(IF($Q12=3,1,0),IF($X12&lt;30,1,0))</formula>
    </cfRule>
    <cfRule type="expression" priority="1452" dxfId="0">
      <formula>AND(IF($Q12=3,1,IF($Q12=4,1,0)),IF($F12&lt;=85,1,0))</formula>
    </cfRule>
  </conditionalFormatting>
  <conditionalFormatting sqref="AV13">
    <cfRule type="expression" priority="1447" dxfId="17">
      <formula>AV13="X"</formula>
    </cfRule>
    <cfRule type="expression" priority="1448" dxfId="16">
      <formula>AV13="후보"</formula>
    </cfRule>
  </conditionalFormatting>
  <conditionalFormatting sqref="AC13">
    <cfRule type="cellIs" priority="1444" operator="greaterThan" dxfId="13">
      <formula>0.9</formula>
    </cfRule>
    <cfRule type="cellIs" priority="1445" operator="greaterThan" dxfId="12">
      <formula>0.85</formula>
    </cfRule>
  </conditionalFormatting>
  <conditionalFormatting sqref="N13">
    <cfRule type="cellIs" priority="1442" operator="greaterThan" dxfId="13">
      <formula>0.9</formula>
    </cfRule>
    <cfRule type="cellIs" priority="1443" operator="greaterThan" dxfId="12">
      <formula>0.85</formula>
    </cfRule>
  </conditionalFormatting>
  <conditionalFormatting sqref="E13">
    <cfRule type="expression" priority="1438" dxfId="3">
      <formula>AND(IF(OR($Q13=1,$Q13=2),1,0),IF($X13&lt;=20,1,0))</formula>
    </cfRule>
    <cfRule type="expression" priority="1439" dxfId="2">
      <formula>AND(IF($Q13=2,1,0),IF($X13&lt;30,1,0))</formula>
    </cfRule>
    <cfRule type="expression" priority="1440" dxfId="1">
      <formula>AND(IF($Q13=3,1,0),IF($X13&lt;30,1,0))</formula>
    </cfRule>
    <cfRule type="expression" priority="1441" dxfId="0">
      <formula>AND(IF($Q13=3,1,IF($Q13=4,1,0)),IF($F13&lt;=85,1,0))</formula>
    </cfRule>
  </conditionalFormatting>
  <conditionalFormatting sqref="X13">
    <cfRule type="expression" priority="1434" dxfId="3">
      <formula>AND(IF(OR($Q13=1,$Q13=2),1,0),IF($X13&lt;=20,1,0))</formula>
    </cfRule>
    <cfRule type="expression" priority="1435" dxfId="2">
      <formula>AND(IF($Q13=2,1,0),IF($X13&lt;30,1,0))</formula>
    </cfRule>
    <cfRule type="expression" priority="1436" dxfId="1">
      <formula>AND(IF($Q13=3,1,0),IF($X13&lt;30,1,0))</formula>
    </cfRule>
    <cfRule type="expression" priority="1437" dxfId="0">
      <formula>AND(IF($Q13=3,1,IF($Q13=4,1,0)),IF($F13&lt;=85,1,0))</formula>
    </cfRule>
  </conditionalFormatting>
  <conditionalFormatting sqref="AI13">
    <cfRule type="expression" priority="1430" dxfId="3">
      <formula>AND(IF(OR($Q13=1,$Q13=2),1,0),IF($X13&lt;=20,1,0))</formula>
    </cfRule>
    <cfRule type="expression" priority="1431" dxfId="2">
      <formula>AND(IF($Q13=2,1,0),IF($X13&lt;30,1,0))</formula>
    </cfRule>
    <cfRule type="expression" priority="1432" dxfId="1">
      <formula>AND(IF($Q13=3,1,0),IF($X13&lt;30,1,0))</formula>
    </cfRule>
    <cfRule type="expression" priority="1433" dxfId="0">
      <formula>AND(IF($Q13=3,1,IF($Q13=4,1,0)),IF($F13&lt;=85,1,0))</formula>
    </cfRule>
  </conditionalFormatting>
  <conditionalFormatting sqref="AV14">
    <cfRule type="expression" priority="1428" dxfId="17">
      <formula>AV14="X"</formula>
    </cfRule>
    <cfRule type="expression" priority="1429" dxfId="16">
      <formula>AV14="후보"</formula>
    </cfRule>
  </conditionalFormatting>
  <conditionalFormatting sqref="AC14">
    <cfRule type="cellIs" priority="1425" operator="greaterThan" dxfId="13">
      <formula>0.9</formula>
    </cfRule>
    <cfRule type="cellIs" priority="1426" operator="greaterThan" dxfId="12">
      <formula>0.85</formula>
    </cfRule>
  </conditionalFormatting>
  <conditionalFormatting sqref="N14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E14">
    <cfRule type="expression" priority="1419" dxfId="3">
      <formula>AND(IF(OR($Q14=1,$Q14=2),1,0),IF($X14&lt;=20,1,0))</formula>
    </cfRule>
    <cfRule type="expression" priority="1420" dxfId="2">
      <formula>AND(IF($Q14=2,1,0),IF($X14&lt;30,1,0))</formula>
    </cfRule>
    <cfRule type="expression" priority="1421" dxfId="1">
      <formula>AND(IF($Q14=3,1,0),IF($X14&lt;30,1,0))</formula>
    </cfRule>
    <cfRule type="expression" priority="1422" dxfId="0">
      <formula>AND(IF($Q14=3,1,IF($Q14=4,1,0)),IF($F14&lt;=85,1,0))</formula>
    </cfRule>
  </conditionalFormatting>
  <conditionalFormatting sqref="X14">
    <cfRule type="expression" priority="1415" dxfId="3">
      <formula>AND(IF(OR($Q14=1,$Q14=2),1,0),IF($X14&lt;=20,1,0))</formula>
    </cfRule>
    <cfRule type="expression" priority="1416" dxfId="2">
      <formula>AND(IF($Q14=2,1,0),IF($X14&lt;30,1,0))</formula>
    </cfRule>
    <cfRule type="expression" priority="1417" dxfId="1">
      <formula>AND(IF($Q14=3,1,0),IF($X14&lt;30,1,0))</formula>
    </cfRule>
    <cfRule type="expression" priority="1418" dxfId="0">
      <formula>AND(IF($Q14=3,1,IF($Q14=4,1,0)),IF($F14&lt;=85,1,0))</formula>
    </cfRule>
  </conditionalFormatting>
  <conditionalFormatting sqref="AI14">
    <cfRule type="expression" priority="1411" dxfId="3">
      <formula>AND(IF(OR($Q14=1,$Q14=2),1,0),IF($X14&lt;=20,1,0))</formula>
    </cfRule>
    <cfRule type="expression" priority="1412" dxfId="2">
      <formula>AND(IF($Q14=2,1,0),IF($X14&lt;30,1,0))</formula>
    </cfRule>
    <cfRule type="expression" priority="1413" dxfId="1">
      <formula>AND(IF($Q14=3,1,0),IF($X14&lt;30,1,0))</formula>
    </cfRule>
    <cfRule type="expression" priority="1414" dxfId="0">
      <formula>AND(IF($Q14=3,1,IF($Q14=4,1,0)),IF($F14&lt;=85,1,0))</formula>
    </cfRule>
  </conditionalFormatting>
  <conditionalFormatting sqref="AV15">
    <cfRule type="expression" priority="1409" dxfId="17">
      <formula>AV15="X"</formula>
    </cfRule>
    <cfRule type="expression" priority="1410" dxfId="16">
      <formula>AV15="후보"</formula>
    </cfRule>
  </conditionalFormatting>
  <conditionalFormatting sqref="AC15">
    <cfRule type="cellIs" priority="1406" operator="greaterThan" dxfId="13">
      <formula>0.9</formula>
    </cfRule>
    <cfRule type="cellIs" priority="1407" operator="greaterThan" dxfId="12">
      <formula>0.85</formula>
    </cfRule>
  </conditionalFormatting>
  <conditionalFormatting sqref="N15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E15">
    <cfRule type="expression" priority="1400" dxfId="3">
      <formula>AND(IF(OR($Q15=1,$Q15=2),1,0),IF($X15&lt;=20,1,0))</formula>
    </cfRule>
    <cfRule type="expression" priority="1401" dxfId="2">
      <formula>AND(IF($Q15=2,1,0),IF($X15&lt;30,1,0))</formula>
    </cfRule>
    <cfRule type="expression" priority="1402" dxfId="1">
      <formula>AND(IF($Q15=3,1,0),IF($X15&lt;30,1,0))</formula>
    </cfRule>
    <cfRule type="expression" priority="1403" dxfId="0">
      <formula>AND(IF($Q15=3,1,IF($Q15=4,1,0)),IF($F15&lt;=85,1,0))</formula>
    </cfRule>
  </conditionalFormatting>
  <conditionalFormatting sqref="X15">
    <cfRule type="expression" priority="1396" dxfId="3">
      <formula>AND(IF(OR($Q15=1,$Q15=2),1,0),IF($X15&lt;=20,1,0))</formula>
    </cfRule>
    <cfRule type="expression" priority="1397" dxfId="2">
      <formula>AND(IF($Q15=2,1,0),IF($X15&lt;30,1,0))</formula>
    </cfRule>
    <cfRule type="expression" priority="1398" dxfId="1">
      <formula>AND(IF($Q15=3,1,0),IF($X15&lt;30,1,0))</formula>
    </cfRule>
    <cfRule type="expression" priority="1399" dxfId="0">
      <formula>AND(IF($Q15=3,1,IF($Q15=4,1,0)),IF($F15&lt;=85,1,0))</formula>
    </cfRule>
  </conditionalFormatting>
  <conditionalFormatting sqref="AI15">
    <cfRule type="expression" priority="1392" dxfId="3">
      <formula>AND(IF(OR($Q15=1,$Q15=2),1,0),IF($X15&lt;=20,1,0))</formula>
    </cfRule>
    <cfRule type="expression" priority="1393" dxfId="2">
      <formula>AND(IF($Q15=2,1,0),IF($X15&lt;30,1,0))</formula>
    </cfRule>
    <cfRule type="expression" priority="1394" dxfId="1">
      <formula>AND(IF($Q15=3,1,0),IF($X15&lt;30,1,0))</formula>
    </cfRule>
    <cfRule type="expression" priority="1395" dxfId="0">
      <formula>AND(IF($Q15=3,1,IF($Q15=4,1,0)),IF($F15&lt;=85,1,0))</formula>
    </cfRule>
  </conditionalFormatting>
  <conditionalFormatting sqref="AV16">
    <cfRule type="expression" priority="1390" dxfId="17">
      <formula>AV16="X"</formula>
    </cfRule>
    <cfRule type="expression" priority="1391" dxfId="16">
      <formula>AV16="후보"</formula>
    </cfRule>
  </conditionalFormatting>
  <conditionalFormatting sqref="AC16 N16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AV17">
    <cfRule type="expression" priority="1385" dxfId="17">
      <formula>AV17="X"</formula>
    </cfRule>
    <cfRule type="expression" priority="1386" dxfId="16">
      <formula>AV17="후보"</formula>
    </cfRule>
  </conditionalFormatting>
  <conditionalFormatting sqref="AC17">
    <cfRule type="cellIs" priority="1382" operator="greaterThan" dxfId="13">
      <formula>0.9</formula>
    </cfRule>
    <cfRule type="cellIs" priority="1383" operator="greaterThan" dxfId="12">
      <formula>0.85</formula>
    </cfRule>
  </conditionalFormatting>
  <conditionalFormatting sqref="N17">
    <cfRule type="cellIs" priority="1380" operator="greaterThan" dxfId="13">
      <formula>0.9</formula>
    </cfRule>
    <cfRule type="cellIs" priority="1381" operator="greaterThan" dxfId="12">
      <formula>0.85</formula>
    </cfRule>
  </conditionalFormatting>
  <conditionalFormatting sqref="E17">
    <cfRule type="expression" priority="1376" dxfId="3">
      <formula>AND(IF(OR($Q17=1,$Q17=2),1,0),IF($X17&lt;=20,1,0))</formula>
    </cfRule>
    <cfRule type="expression" priority="1377" dxfId="2">
      <formula>AND(IF($Q17=2,1,0),IF($X17&lt;30,1,0))</formula>
    </cfRule>
    <cfRule type="expression" priority="1378" dxfId="1">
      <formula>AND(IF($Q17=3,1,0),IF($X17&lt;30,1,0))</formula>
    </cfRule>
    <cfRule type="expression" priority="1379" dxfId="0">
      <formula>AND(IF($Q17=3,1,IF($Q17=4,1,0)),IF($F17&lt;=85,1,0))</formula>
    </cfRule>
  </conditionalFormatting>
  <conditionalFormatting sqref="X17">
    <cfRule type="expression" priority="1372" dxfId="3">
      <formula>AND(IF(OR($Q17=1,$Q17=2),1,0),IF($X17&lt;=20,1,0))</formula>
    </cfRule>
    <cfRule type="expression" priority="1373" dxfId="2">
      <formula>AND(IF($Q17=2,1,0),IF($X17&lt;30,1,0))</formula>
    </cfRule>
    <cfRule type="expression" priority="1374" dxfId="1">
      <formula>AND(IF($Q17=3,1,0),IF($X17&lt;30,1,0))</formula>
    </cfRule>
    <cfRule type="expression" priority="1375" dxfId="0">
      <formula>AND(IF($Q17=3,1,IF($Q17=4,1,0)),IF($F17&lt;=85,1,0))</formula>
    </cfRule>
  </conditionalFormatting>
  <conditionalFormatting sqref="AI17">
    <cfRule type="expression" priority="1368" dxfId="3">
      <formula>AND(IF(OR($Q17=1,$Q17=2),1,0),IF($X17&lt;=20,1,0))</formula>
    </cfRule>
    <cfRule type="expression" priority="1369" dxfId="2">
      <formula>AND(IF($Q17=2,1,0),IF($X17&lt;30,1,0))</formula>
    </cfRule>
    <cfRule type="expression" priority="1370" dxfId="1">
      <formula>AND(IF($Q17=3,1,0),IF($X17&lt;30,1,0))</formula>
    </cfRule>
    <cfRule type="expression" priority="1371" dxfId="0">
      <formula>AND(IF($Q17=3,1,IF($Q17=4,1,0)),IF($F17&lt;=85,1,0))</formula>
    </cfRule>
  </conditionalFormatting>
  <conditionalFormatting sqref="AV18">
    <cfRule type="expression" priority="1366" dxfId="17">
      <formula>AV18="X"</formula>
    </cfRule>
    <cfRule type="expression" priority="1367" dxfId="16">
      <formula>AV18="후보"</formula>
    </cfRule>
  </conditionalFormatting>
  <conditionalFormatting sqref="AC18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18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E18">
    <cfRule type="expression" priority="1357" dxfId="3">
      <formula>AND(IF(OR($Q18=1,$Q18=2),1,0),IF($X18&lt;=20,1,0))</formula>
    </cfRule>
    <cfRule type="expression" priority="1358" dxfId="2">
      <formula>AND(IF($Q18=2,1,0),IF($X18&lt;30,1,0))</formula>
    </cfRule>
    <cfRule type="expression" priority="1359" dxfId="1">
      <formula>AND(IF($Q18=3,1,0),IF($X18&lt;30,1,0))</formula>
    </cfRule>
    <cfRule type="expression" priority="1360" dxfId="0">
      <formula>AND(IF($Q18=3,1,IF($Q18=4,1,0)),IF($F18&lt;=85,1,0))</formula>
    </cfRule>
  </conditionalFormatting>
  <conditionalFormatting sqref="X18">
    <cfRule type="expression" priority="1353" dxfId="3">
      <formula>AND(IF(OR($Q18=1,$Q18=2),1,0),IF($X18&lt;=20,1,0))</formula>
    </cfRule>
    <cfRule type="expression" priority="1354" dxfId="2">
      <formula>AND(IF($Q18=2,1,0),IF($X18&lt;30,1,0))</formula>
    </cfRule>
    <cfRule type="expression" priority="1355" dxfId="1">
      <formula>AND(IF($Q18=3,1,0),IF($X18&lt;30,1,0))</formula>
    </cfRule>
    <cfRule type="expression" priority="1356" dxfId="0">
      <formula>AND(IF($Q18=3,1,IF($Q18=4,1,0)),IF($F18&lt;=85,1,0))</formula>
    </cfRule>
  </conditionalFormatting>
  <conditionalFormatting sqref="AI18">
    <cfRule type="expression" priority="1349" dxfId="3">
      <formula>AND(IF(OR($Q18=1,$Q18=2),1,0),IF($X18&lt;=20,1,0))</formula>
    </cfRule>
    <cfRule type="expression" priority="1350" dxfId="2">
      <formula>AND(IF($Q18=2,1,0),IF($X18&lt;30,1,0))</formula>
    </cfRule>
    <cfRule type="expression" priority="1351" dxfId="1">
      <formula>AND(IF($Q18=3,1,0),IF($X18&lt;30,1,0))</formula>
    </cfRule>
    <cfRule type="expression" priority="1352" dxfId="0">
      <formula>AND(IF($Q18=3,1,IF($Q18=4,1,0)),IF($F18&lt;=85,1,0))</formula>
    </cfRule>
  </conditionalFormatting>
  <conditionalFormatting sqref="AV19">
    <cfRule type="expression" priority="1347" dxfId="17">
      <formula>AV19="X"</formula>
    </cfRule>
    <cfRule type="expression" priority="1348" dxfId="16">
      <formula>AV19="후보"</formula>
    </cfRule>
  </conditionalFormatting>
  <conditionalFormatting sqref="AC19">
    <cfRule type="cellIs" priority="1344" operator="greaterThan" dxfId="13">
      <formula>0.9</formula>
    </cfRule>
    <cfRule type="cellIs" priority="1345" operator="greaterThan" dxfId="12">
      <formula>0.85</formula>
    </cfRule>
  </conditionalFormatting>
  <conditionalFormatting sqref="N19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E19">
    <cfRule type="expression" priority="1338" dxfId="3">
      <formula>AND(IF(OR($Q19=1,$Q19=2),1,0),IF($X19&lt;=20,1,0))</formula>
    </cfRule>
    <cfRule type="expression" priority="1339" dxfId="2">
      <formula>AND(IF($Q19=2,1,0),IF($X19&lt;30,1,0))</formula>
    </cfRule>
    <cfRule type="expression" priority="1340" dxfId="1">
      <formula>AND(IF($Q19=3,1,0),IF($X19&lt;30,1,0))</formula>
    </cfRule>
    <cfRule type="expression" priority="1341" dxfId="0">
      <formula>AND(IF($Q19=3,1,IF($Q19=4,1,0)),IF($F19&lt;=85,1,0))</formula>
    </cfRule>
  </conditionalFormatting>
  <conditionalFormatting sqref="X19">
    <cfRule type="expression" priority="1334" dxfId="3">
      <formula>AND(IF(OR($Q19=1,$Q19=2),1,0),IF($X19&lt;=20,1,0))</formula>
    </cfRule>
    <cfRule type="expression" priority="1335" dxfId="2">
      <formula>AND(IF($Q19=2,1,0),IF($X19&lt;30,1,0))</formula>
    </cfRule>
    <cfRule type="expression" priority="1336" dxfId="1">
      <formula>AND(IF($Q19=3,1,0),IF($X19&lt;30,1,0))</formula>
    </cfRule>
    <cfRule type="expression" priority="1337" dxfId="0">
      <formula>AND(IF($Q19=3,1,IF($Q19=4,1,0)),IF($F19&lt;=85,1,0))</formula>
    </cfRule>
  </conditionalFormatting>
  <conditionalFormatting sqref="AI19">
    <cfRule type="expression" priority="1330" dxfId="3">
      <formula>AND(IF(OR($Q19=1,$Q19=2),1,0),IF($X19&lt;=20,1,0))</formula>
    </cfRule>
    <cfRule type="expression" priority="1331" dxfId="2">
      <formula>AND(IF($Q19=2,1,0),IF($X19&lt;30,1,0))</formula>
    </cfRule>
    <cfRule type="expression" priority="1332" dxfId="1">
      <formula>AND(IF($Q19=3,1,0),IF($X19&lt;30,1,0))</formula>
    </cfRule>
    <cfRule type="expression" priority="1333" dxfId="0">
      <formula>AND(IF($Q19=3,1,IF($Q19=4,1,0)),IF($F19&lt;=85,1,0))</formula>
    </cfRule>
  </conditionalFormatting>
  <conditionalFormatting sqref="AV20">
    <cfRule type="expression" priority="1328" dxfId="17">
      <formula>AV20="X"</formula>
    </cfRule>
    <cfRule type="expression" priority="1329" dxfId="16">
      <formula>AV20="후보"</formula>
    </cfRule>
  </conditionalFormatting>
  <conditionalFormatting sqref="AC20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N20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E20">
    <cfRule type="expression" priority="1319" dxfId="3">
      <formula>AND(IF(OR($Q20=1,$Q20=2),1,0),IF($X20&lt;=20,1,0))</formula>
    </cfRule>
    <cfRule type="expression" priority="1320" dxfId="2">
      <formula>AND(IF($Q20=2,1,0),IF($X20&lt;30,1,0))</formula>
    </cfRule>
    <cfRule type="expression" priority="1321" dxfId="1">
      <formula>AND(IF($Q20=3,1,0),IF($X20&lt;30,1,0))</formula>
    </cfRule>
    <cfRule type="expression" priority="1322" dxfId="0">
      <formula>AND(IF($Q20=3,1,IF($Q20=4,1,0)),IF($F20&lt;=85,1,0))</formula>
    </cfRule>
  </conditionalFormatting>
  <conditionalFormatting sqref="X20">
    <cfRule type="expression" priority="1315" dxfId="3">
      <formula>AND(IF(OR($Q20=1,$Q20=2),1,0),IF($X20&lt;=20,1,0))</formula>
    </cfRule>
    <cfRule type="expression" priority="1316" dxfId="2">
      <formula>AND(IF($Q20=2,1,0),IF($X20&lt;30,1,0))</formula>
    </cfRule>
    <cfRule type="expression" priority="1317" dxfId="1">
      <formula>AND(IF($Q20=3,1,0),IF($X20&lt;30,1,0))</formula>
    </cfRule>
    <cfRule type="expression" priority="1318" dxfId="0">
      <formula>AND(IF($Q20=3,1,IF($Q20=4,1,0)),IF($F20&lt;=85,1,0))</formula>
    </cfRule>
  </conditionalFormatting>
  <conditionalFormatting sqref="AI20">
    <cfRule type="expression" priority="1311" dxfId="3">
      <formula>AND(IF(OR($Q20=1,$Q20=2),1,0),IF($X20&lt;=20,1,0))</formula>
    </cfRule>
    <cfRule type="expression" priority="1312" dxfId="2">
      <formula>AND(IF($Q20=2,1,0),IF($X20&lt;30,1,0))</formula>
    </cfRule>
    <cfRule type="expression" priority="1313" dxfId="1">
      <formula>AND(IF($Q20=3,1,0),IF($X20&lt;30,1,0))</formula>
    </cfRule>
    <cfRule type="expression" priority="1314" dxfId="0">
      <formula>AND(IF($Q20=3,1,IF($Q20=4,1,0)),IF($F20&lt;=85,1,0))</formula>
    </cfRule>
  </conditionalFormatting>
  <conditionalFormatting sqref="AV21">
    <cfRule type="expression" priority="1309" dxfId="17">
      <formula>AV21="X"</formula>
    </cfRule>
    <cfRule type="expression" priority="1310" dxfId="16">
      <formula>AV21="후보"</formula>
    </cfRule>
  </conditionalFormatting>
  <conditionalFormatting sqref="AC21">
    <cfRule type="cellIs" priority="1306" operator="greaterThan" dxfId="13">
      <formula>0.9</formula>
    </cfRule>
    <cfRule type="cellIs" priority="1307" operator="greaterThan" dxfId="12">
      <formula>0.85</formula>
    </cfRule>
  </conditionalFormatting>
  <conditionalFormatting sqref="N21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E21">
    <cfRule type="expression" priority="1300" dxfId="3">
      <formula>AND(IF(OR($Q21=1,$Q21=2),1,0),IF($X21&lt;=20,1,0))</formula>
    </cfRule>
    <cfRule type="expression" priority="1301" dxfId="2">
      <formula>AND(IF($Q21=2,1,0),IF($X21&lt;30,1,0))</formula>
    </cfRule>
    <cfRule type="expression" priority="1302" dxfId="1">
      <formula>AND(IF($Q21=3,1,0),IF($X21&lt;30,1,0))</formula>
    </cfRule>
    <cfRule type="expression" priority="1303" dxfId="0">
      <formula>AND(IF($Q21=3,1,IF($Q21=4,1,0)),IF($F21&lt;=85,1,0))</formula>
    </cfRule>
  </conditionalFormatting>
  <conditionalFormatting sqref="X21">
    <cfRule type="expression" priority="1296" dxfId="3">
      <formula>AND(IF(OR($Q21=1,$Q21=2),1,0),IF($X21&lt;=20,1,0))</formula>
    </cfRule>
    <cfRule type="expression" priority="1297" dxfId="2">
      <formula>AND(IF($Q21=2,1,0),IF($X21&lt;30,1,0))</formula>
    </cfRule>
    <cfRule type="expression" priority="1298" dxfId="1">
      <formula>AND(IF($Q21=3,1,0),IF($X21&lt;30,1,0))</formula>
    </cfRule>
    <cfRule type="expression" priority="1299" dxfId="0">
      <formula>AND(IF($Q21=3,1,IF($Q21=4,1,0)),IF($F21&lt;=85,1,0))</formula>
    </cfRule>
  </conditionalFormatting>
  <conditionalFormatting sqref="AI21">
    <cfRule type="expression" priority="1292" dxfId="3">
      <formula>AND(IF(OR($Q21=1,$Q21=2),1,0),IF($X21&lt;=20,1,0))</formula>
    </cfRule>
    <cfRule type="expression" priority="1293" dxfId="2">
      <formula>AND(IF($Q21=2,1,0),IF($X21&lt;30,1,0))</formula>
    </cfRule>
    <cfRule type="expression" priority="1294" dxfId="1">
      <formula>AND(IF($Q21=3,1,0),IF($X21&lt;30,1,0))</formula>
    </cfRule>
    <cfRule type="expression" priority="1295" dxfId="0">
      <formula>AND(IF($Q21=3,1,IF($Q21=4,1,0)),IF($F21&lt;=85,1,0))</formula>
    </cfRule>
  </conditionalFormatting>
  <conditionalFormatting sqref="AV22">
    <cfRule type="expression" priority="1290" dxfId="17">
      <formula>AV22="X"</formula>
    </cfRule>
    <cfRule type="expression" priority="1291" dxfId="16">
      <formula>AV22="후보"</formula>
    </cfRule>
  </conditionalFormatting>
  <conditionalFormatting sqref="AC22 N22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AV23">
    <cfRule type="expression" priority="1285" dxfId="17">
      <formula>AV23="X"</formula>
    </cfRule>
    <cfRule type="expression" priority="1286" dxfId="16">
      <formula>AV23="후보"</formula>
    </cfRule>
  </conditionalFormatting>
  <conditionalFormatting sqref="AC23">
    <cfRule type="cellIs" priority="1282" operator="greaterThan" dxfId="13">
      <formula>0.9</formula>
    </cfRule>
    <cfRule type="cellIs" priority="1283" operator="greaterThan" dxfId="12">
      <formula>0.85</formula>
    </cfRule>
  </conditionalFormatting>
  <conditionalFormatting sqref="N23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E23">
    <cfRule type="expression" priority="1276" dxfId="3">
      <formula>AND(IF(OR($Q23=1,$Q23=2),1,0),IF($X23&lt;=20,1,0))</formula>
    </cfRule>
    <cfRule type="expression" priority="1277" dxfId="2">
      <formula>AND(IF($Q23=2,1,0),IF($X23&lt;30,1,0))</formula>
    </cfRule>
    <cfRule type="expression" priority="1278" dxfId="1">
      <formula>AND(IF($Q23=3,1,0),IF($X23&lt;30,1,0))</formula>
    </cfRule>
    <cfRule type="expression" priority="1279" dxfId="0">
      <formula>AND(IF($Q23=3,1,IF($Q23=4,1,0)),IF($F23&lt;=85,1,0))</formula>
    </cfRule>
  </conditionalFormatting>
  <conditionalFormatting sqref="X23">
    <cfRule type="expression" priority="1272" dxfId="3">
      <formula>AND(IF(OR($Q23=1,$Q23=2),1,0),IF($X23&lt;=20,1,0))</formula>
    </cfRule>
    <cfRule type="expression" priority="1273" dxfId="2">
      <formula>AND(IF($Q23=2,1,0),IF($X23&lt;30,1,0))</formula>
    </cfRule>
    <cfRule type="expression" priority="1274" dxfId="1">
      <formula>AND(IF($Q23=3,1,0),IF($X23&lt;30,1,0))</formula>
    </cfRule>
    <cfRule type="expression" priority="1275" dxfId="0">
      <formula>AND(IF($Q23=3,1,IF($Q23=4,1,0)),IF($F23&lt;=85,1,0))</formula>
    </cfRule>
  </conditionalFormatting>
  <conditionalFormatting sqref="AI23">
    <cfRule type="expression" priority="1268" dxfId="3">
      <formula>AND(IF(OR($Q23=1,$Q23=2),1,0),IF($X23&lt;=20,1,0))</formula>
    </cfRule>
    <cfRule type="expression" priority="1269" dxfId="2">
      <formula>AND(IF($Q23=2,1,0),IF($X23&lt;30,1,0))</formula>
    </cfRule>
    <cfRule type="expression" priority="1270" dxfId="1">
      <formula>AND(IF($Q23=3,1,0),IF($X23&lt;30,1,0))</formula>
    </cfRule>
    <cfRule type="expression" priority="1271" dxfId="0">
      <formula>AND(IF($Q23=3,1,IF($Q23=4,1,0)),IF($F23&lt;=85,1,0))</formula>
    </cfRule>
  </conditionalFormatting>
  <conditionalFormatting sqref="AV24">
    <cfRule type="expression" priority="1266" dxfId="17">
      <formula>AV24="X"</formula>
    </cfRule>
    <cfRule type="expression" priority="1267" dxfId="16">
      <formula>AV24="후보"</formula>
    </cfRule>
  </conditionalFormatting>
  <conditionalFormatting sqref="AC24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24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E24">
    <cfRule type="expression" priority="1257" dxfId="3">
      <formula>AND(IF(OR($Q24=1,$Q24=2),1,0),IF($X24&lt;=20,1,0))</formula>
    </cfRule>
    <cfRule type="expression" priority="1258" dxfId="2">
      <formula>AND(IF($Q24=2,1,0),IF($X24&lt;30,1,0))</formula>
    </cfRule>
    <cfRule type="expression" priority="1259" dxfId="1">
      <formula>AND(IF($Q24=3,1,0),IF($X24&lt;30,1,0))</formula>
    </cfRule>
    <cfRule type="expression" priority="1260" dxfId="0">
      <formula>AND(IF($Q24=3,1,IF($Q24=4,1,0)),IF($F24&lt;=85,1,0))</formula>
    </cfRule>
  </conditionalFormatting>
  <conditionalFormatting sqref="X24">
    <cfRule type="expression" priority="1253" dxfId="3">
      <formula>AND(IF(OR($Q24=1,$Q24=2),1,0),IF($X24&lt;=20,1,0))</formula>
    </cfRule>
    <cfRule type="expression" priority="1254" dxfId="2">
      <formula>AND(IF($Q24=2,1,0),IF($X24&lt;30,1,0))</formula>
    </cfRule>
    <cfRule type="expression" priority="1255" dxfId="1">
      <formula>AND(IF($Q24=3,1,0),IF($X24&lt;30,1,0))</formula>
    </cfRule>
    <cfRule type="expression" priority="1256" dxfId="0">
      <formula>AND(IF($Q24=3,1,IF($Q24=4,1,0)),IF($F24&lt;=85,1,0))</formula>
    </cfRule>
  </conditionalFormatting>
  <conditionalFormatting sqref="AI24">
    <cfRule type="expression" priority="1249" dxfId="3">
      <formula>AND(IF(OR($Q24=1,$Q24=2),1,0),IF($X24&lt;=20,1,0))</formula>
    </cfRule>
    <cfRule type="expression" priority="1250" dxfId="2">
      <formula>AND(IF($Q24=2,1,0),IF($X24&lt;30,1,0))</formula>
    </cfRule>
    <cfRule type="expression" priority="1251" dxfId="1">
      <formula>AND(IF($Q24=3,1,0),IF($X24&lt;30,1,0))</formula>
    </cfRule>
    <cfRule type="expression" priority="1252" dxfId="0">
      <formula>AND(IF($Q24=3,1,IF($Q24=4,1,0)),IF($F24&lt;=85,1,0))</formula>
    </cfRule>
  </conditionalFormatting>
  <conditionalFormatting sqref="AV25">
    <cfRule type="expression" priority="1247" dxfId="17">
      <formula>AV25="X"</formula>
    </cfRule>
    <cfRule type="expression" priority="1248" dxfId="16">
      <formula>AV25="후보"</formula>
    </cfRule>
  </conditionalFormatting>
  <conditionalFormatting sqref="AC25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25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25">
    <cfRule type="expression" priority="1238" dxfId="3">
      <formula>AND(IF(OR($Q25=1,$Q25=2),1,0),IF($X25&lt;=20,1,0))</formula>
    </cfRule>
    <cfRule type="expression" priority="1239" dxfId="2">
      <formula>AND(IF($Q25=2,1,0),IF($X25&lt;30,1,0))</formula>
    </cfRule>
    <cfRule type="expression" priority="1240" dxfId="1">
      <formula>AND(IF($Q25=3,1,0),IF($X25&lt;30,1,0))</formula>
    </cfRule>
    <cfRule type="expression" priority="1241" dxfId="0">
      <formula>AND(IF($Q25=3,1,IF($Q25=4,1,0)),IF($F25&lt;=85,1,0))</formula>
    </cfRule>
  </conditionalFormatting>
  <conditionalFormatting sqref="X25">
    <cfRule type="expression" priority="1234" dxfId="3">
      <formula>AND(IF(OR($Q25=1,$Q25=2),1,0),IF($X25&lt;=20,1,0))</formula>
    </cfRule>
    <cfRule type="expression" priority="1235" dxfId="2">
      <formula>AND(IF($Q25=2,1,0),IF($X25&lt;30,1,0))</formula>
    </cfRule>
    <cfRule type="expression" priority="1236" dxfId="1">
      <formula>AND(IF($Q25=3,1,0),IF($X25&lt;30,1,0))</formula>
    </cfRule>
    <cfRule type="expression" priority="1237" dxfId="0">
      <formula>AND(IF($Q25=3,1,IF($Q25=4,1,0)),IF($F25&lt;=85,1,0))</formula>
    </cfRule>
  </conditionalFormatting>
  <conditionalFormatting sqref="AI25">
    <cfRule type="expression" priority="1230" dxfId="3">
      <formula>AND(IF(OR($Q25=1,$Q25=2),1,0),IF($X25&lt;=20,1,0))</formula>
    </cfRule>
    <cfRule type="expression" priority="1231" dxfId="2">
      <formula>AND(IF($Q25=2,1,0),IF($X25&lt;30,1,0))</formula>
    </cfRule>
    <cfRule type="expression" priority="1232" dxfId="1">
      <formula>AND(IF($Q25=3,1,0),IF($X25&lt;30,1,0))</formula>
    </cfRule>
    <cfRule type="expression" priority="1233" dxfId="0">
      <formula>AND(IF($Q25=3,1,IF($Q25=4,1,0)),IF($F25&lt;=85,1,0))</formula>
    </cfRule>
  </conditionalFormatting>
  <conditionalFormatting sqref="AV26">
    <cfRule type="expression" priority="1228" dxfId="17">
      <formula>AV26="X"</formula>
    </cfRule>
    <cfRule type="expression" priority="1229" dxfId="16">
      <formula>AV26="후보"</formula>
    </cfRule>
  </conditionalFormatting>
  <conditionalFormatting sqref="AC26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N26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E26">
    <cfRule type="expression" priority="1219" dxfId="3">
      <formula>AND(IF(OR($Q26=1,$Q26=2),1,0),IF($X26&lt;=20,1,0))</formula>
    </cfRule>
    <cfRule type="expression" priority="1220" dxfId="2">
      <formula>AND(IF($Q26=2,1,0),IF($X26&lt;30,1,0))</formula>
    </cfRule>
    <cfRule type="expression" priority="1221" dxfId="1">
      <formula>AND(IF($Q26=3,1,0),IF($X26&lt;30,1,0))</formula>
    </cfRule>
    <cfRule type="expression" priority="1222" dxfId="0">
      <formula>AND(IF($Q26=3,1,IF($Q26=4,1,0)),IF($F26&lt;=85,1,0))</formula>
    </cfRule>
  </conditionalFormatting>
  <conditionalFormatting sqref="X26">
    <cfRule type="expression" priority="1215" dxfId="3">
      <formula>AND(IF(OR($Q26=1,$Q26=2),1,0),IF($X26&lt;=20,1,0))</formula>
    </cfRule>
    <cfRule type="expression" priority="1216" dxfId="2">
      <formula>AND(IF($Q26=2,1,0),IF($X26&lt;30,1,0))</formula>
    </cfRule>
    <cfRule type="expression" priority="1217" dxfId="1">
      <formula>AND(IF($Q26=3,1,0),IF($X26&lt;30,1,0))</formula>
    </cfRule>
    <cfRule type="expression" priority="1218" dxfId="0">
      <formula>AND(IF($Q26=3,1,IF($Q26=4,1,0)),IF($F26&lt;=85,1,0))</formula>
    </cfRule>
  </conditionalFormatting>
  <conditionalFormatting sqref="AI26">
    <cfRule type="expression" priority="1211" dxfId="3">
      <formula>AND(IF(OR($Q26=1,$Q26=2),1,0),IF($X26&lt;=20,1,0))</formula>
    </cfRule>
    <cfRule type="expression" priority="1212" dxfId="2">
      <formula>AND(IF($Q26=2,1,0),IF($X26&lt;30,1,0))</formula>
    </cfRule>
    <cfRule type="expression" priority="1213" dxfId="1">
      <formula>AND(IF($Q26=3,1,0),IF($X26&lt;30,1,0))</formula>
    </cfRule>
    <cfRule type="expression" priority="1214" dxfId="0">
      <formula>AND(IF($Q26=3,1,IF($Q26=4,1,0)),IF($F26&lt;=85,1,0))</formula>
    </cfRule>
  </conditionalFormatting>
  <conditionalFormatting sqref="AV27">
    <cfRule type="expression" priority="1209" dxfId="17">
      <formula>AV27="X"</formula>
    </cfRule>
    <cfRule type="expression" priority="1210" dxfId="16">
      <formula>AV27="후보"</formula>
    </cfRule>
  </conditionalFormatting>
  <conditionalFormatting sqref="AC27 N27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AV28">
    <cfRule type="expression" priority="1204" dxfId="17">
      <formula>AV28="X"</formula>
    </cfRule>
    <cfRule type="expression" priority="1205" dxfId="16">
      <formula>AV28="후보"</formula>
    </cfRule>
  </conditionalFormatting>
  <conditionalFormatting sqref="AC28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28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E28">
    <cfRule type="expression" priority="1195" dxfId="3">
      <formula>AND(IF(OR($Q28=1,$Q28=2),1,0),IF($X28&lt;=20,1,0))</formula>
    </cfRule>
    <cfRule type="expression" priority="1196" dxfId="2">
      <formula>AND(IF($Q28=2,1,0),IF($X28&lt;30,1,0))</formula>
    </cfRule>
    <cfRule type="expression" priority="1197" dxfId="1">
      <formula>AND(IF($Q28=3,1,0),IF($X28&lt;30,1,0))</formula>
    </cfRule>
    <cfRule type="expression" priority="1198" dxfId="0">
      <formula>AND(IF($Q28=3,1,IF($Q28=4,1,0)),IF($F28&lt;=85,1,0))</formula>
    </cfRule>
  </conditionalFormatting>
  <conditionalFormatting sqref="X28">
    <cfRule type="expression" priority="1191" dxfId="3">
      <formula>AND(IF(OR($Q28=1,$Q28=2),1,0),IF($X28&lt;=20,1,0))</formula>
    </cfRule>
    <cfRule type="expression" priority="1192" dxfId="2">
      <formula>AND(IF($Q28=2,1,0),IF($X28&lt;30,1,0))</formula>
    </cfRule>
    <cfRule type="expression" priority="1193" dxfId="1">
      <formula>AND(IF($Q28=3,1,0),IF($X28&lt;30,1,0))</formula>
    </cfRule>
    <cfRule type="expression" priority="1194" dxfId="0">
      <formula>AND(IF($Q28=3,1,IF($Q28=4,1,0)),IF($F28&lt;=85,1,0))</formula>
    </cfRule>
  </conditionalFormatting>
  <conditionalFormatting sqref="AI28">
    <cfRule type="expression" priority="1187" dxfId="3">
      <formula>AND(IF(OR($Q28=1,$Q28=2),1,0),IF($X28&lt;=20,1,0))</formula>
    </cfRule>
    <cfRule type="expression" priority="1188" dxfId="2">
      <formula>AND(IF($Q28=2,1,0),IF($X28&lt;30,1,0))</formula>
    </cfRule>
    <cfRule type="expression" priority="1189" dxfId="1">
      <formula>AND(IF($Q28=3,1,0),IF($X28&lt;30,1,0))</formula>
    </cfRule>
    <cfRule type="expression" priority="1190" dxfId="0">
      <formula>AND(IF($Q28=3,1,IF($Q28=4,1,0)),IF($F28&lt;=85,1,0))</formula>
    </cfRule>
  </conditionalFormatting>
  <conditionalFormatting sqref="AV29">
    <cfRule type="expression" priority="1185" dxfId="17">
      <formula>AV29="X"</formula>
    </cfRule>
    <cfRule type="expression" priority="1186" dxfId="16">
      <formula>AV29="후보"</formula>
    </cfRule>
  </conditionalFormatting>
  <conditionalFormatting sqref="AC29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N29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E29">
    <cfRule type="expression" priority="1176" dxfId="3">
      <formula>AND(IF(OR($Q29=1,$Q29=2),1,0),IF($X29&lt;=20,1,0))</formula>
    </cfRule>
    <cfRule type="expression" priority="1177" dxfId="2">
      <formula>AND(IF($Q29=2,1,0),IF($X29&lt;30,1,0))</formula>
    </cfRule>
    <cfRule type="expression" priority="1178" dxfId="1">
      <formula>AND(IF($Q29=3,1,0),IF($X29&lt;30,1,0))</formula>
    </cfRule>
    <cfRule type="expression" priority="1179" dxfId="0">
      <formula>AND(IF($Q29=3,1,IF($Q29=4,1,0)),IF($F29&lt;=85,1,0))</formula>
    </cfRule>
  </conditionalFormatting>
  <conditionalFormatting sqref="X29">
    <cfRule type="expression" priority="1172" dxfId="3">
      <formula>AND(IF(OR($Q29=1,$Q29=2),1,0),IF($X29&lt;=20,1,0))</formula>
    </cfRule>
    <cfRule type="expression" priority="1173" dxfId="2">
      <formula>AND(IF($Q29=2,1,0),IF($X29&lt;30,1,0))</formula>
    </cfRule>
    <cfRule type="expression" priority="1174" dxfId="1">
      <formula>AND(IF($Q29=3,1,0),IF($X29&lt;30,1,0))</formula>
    </cfRule>
    <cfRule type="expression" priority="1175" dxfId="0">
      <formula>AND(IF($Q29=3,1,IF($Q29=4,1,0)),IF($F29&lt;=85,1,0))</formula>
    </cfRule>
  </conditionalFormatting>
  <conditionalFormatting sqref="AI29">
    <cfRule type="expression" priority="1168" dxfId="3">
      <formula>AND(IF(OR($Q29=1,$Q29=2),1,0),IF($X29&lt;=20,1,0))</formula>
    </cfRule>
    <cfRule type="expression" priority="1169" dxfId="2">
      <formula>AND(IF($Q29=2,1,0),IF($X29&lt;30,1,0))</formula>
    </cfRule>
    <cfRule type="expression" priority="1170" dxfId="1">
      <formula>AND(IF($Q29=3,1,0),IF($X29&lt;30,1,0))</formula>
    </cfRule>
    <cfRule type="expression" priority="1171" dxfId="0">
      <formula>AND(IF($Q29=3,1,IF($Q29=4,1,0)),IF($F29&lt;=85,1,0))</formula>
    </cfRule>
  </conditionalFormatting>
  <conditionalFormatting sqref="AV30">
    <cfRule type="expression" priority="1166" dxfId="17">
      <formula>AV30="X"</formula>
    </cfRule>
    <cfRule type="expression" priority="1167" dxfId="16">
      <formula>AV30="후보"</formula>
    </cfRule>
  </conditionalFormatting>
  <conditionalFormatting sqref="AC30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N30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E30">
    <cfRule type="expression" priority="1157" dxfId="3">
      <formula>AND(IF(OR($Q30=1,$Q30=2),1,0),IF($X30&lt;=20,1,0))</formula>
    </cfRule>
    <cfRule type="expression" priority="1158" dxfId="2">
      <formula>AND(IF($Q30=2,1,0),IF($X30&lt;30,1,0))</formula>
    </cfRule>
    <cfRule type="expression" priority="1159" dxfId="1">
      <formula>AND(IF($Q30=3,1,0),IF($X30&lt;30,1,0))</formula>
    </cfRule>
    <cfRule type="expression" priority="1160" dxfId="0">
      <formula>AND(IF($Q30=3,1,IF($Q30=4,1,0)),IF($F30&lt;=85,1,0))</formula>
    </cfRule>
  </conditionalFormatting>
  <conditionalFormatting sqref="X30">
    <cfRule type="expression" priority="1153" dxfId="3">
      <formula>AND(IF(OR($Q30=1,$Q30=2),1,0),IF($X30&lt;=20,1,0))</formula>
    </cfRule>
    <cfRule type="expression" priority="1154" dxfId="2">
      <formula>AND(IF($Q30=2,1,0),IF($X30&lt;30,1,0))</formula>
    </cfRule>
    <cfRule type="expression" priority="1155" dxfId="1">
      <formula>AND(IF($Q30=3,1,0),IF($X30&lt;30,1,0))</formula>
    </cfRule>
    <cfRule type="expression" priority="1156" dxfId="0">
      <formula>AND(IF($Q30=3,1,IF($Q30=4,1,0)),IF($F30&lt;=85,1,0))</formula>
    </cfRule>
  </conditionalFormatting>
  <conditionalFormatting sqref="AI30">
    <cfRule type="expression" priority="1149" dxfId="3">
      <formula>AND(IF(OR($Q30=1,$Q30=2),1,0),IF($X30&lt;=20,1,0))</formula>
    </cfRule>
    <cfRule type="expression" priority="1150" dxfId="2">
      <formula>AND(IF($Q30=2,1,0),IF($X30&lt;30,1,0))</formula>
    </cfRule>
    <cfRule type="expression" priority="1151" dxfId="1">
      <formula>AND(IF($Q30=3,1,0),IF($X30&lt;30,1,0))</formula>
    </cfRule>
    <cfRule type="expression" priority="1152" dxfId="0">
      <formula>AND(IF($Q30=3,1,IF($Q30=4,1,0)),IF($F30&lt;=85,1,0))</formula>
    </cfRule>
  </conditionalFormatting>
  <conditionalFormatting sqref="AV31">
    <cfRule type="expression" priority="1147" dxfId="17">
      <formula>AV31="X"</formula>
    </cfRule>
    <cfRule type="expression" priority="1148" dxfId="16">
      <formula>AV31="후보"</formula>
    </cfRule>
  </conditionalFormatting>
  <conditionalFormatting sqref="AC31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N31">
    <cfRule type="cellIs" priority="1142" operator="greaterThan" dxfId="13">
      <formula>0.9</formula>
    </cfRule>
    <cfRule type="cellIs" priority="1143" operator="greaterThan" dxfId="12">
      <formula>0.85</formula>
    </cfRule>
  </conditionalFormatting>
  <conditionalFormatting sqref="E31">
    <cfRule type="expression" priority="1138" dxfId="3">
      <formula>AND(IF(OR($Q31=1,$Q31=2),1,0),IF($X31&lt;=20,1,0))</formula>
    </cfRule>
    <cfRule type="expression" priority="1139" dxfId="2">
      <formula>AND(IF($Q31=2,1,0),IF($X31&lt;30,1,0))</formula>
    </cfRule>
    <cfRule type="expression" priority="1140" dxfId="1">
      <formula>AND(IF($Q31=3,1,0),IF($X31&lt;30,1,0))</formula>
    </cfRule>
    <cfRule type="expression" priority="1141" dxfId="0">
      <formula>AND(IF($Q31=3,1,IF($Q31=4,1,0)),IF($F31&lt;=85,1,0))</formula>
    </cfRule>
  </conditionalFormatting>
  <conditionalFormatting sqref="X31">
    <cfRule type="expression" priority="1134" dxfId="3">
      <formula>AND(IF(OR($Q31=1,$Q31=2),1,0),IF($X31&lt;=20,1,0))</formula>
    </cfRule>
    <cfRule type="expression" priority="1135" dxfId="2">
      <formula>AND(IF($Q31=2,1,0),IF($X31&lt;30,1,0))</formula>
    </cfRule>
    <cfRule type="expression" priority="1136" dxfId="1">
      <formula>AND(IF($Q31=3,1,0),IF($X31&lt;30,1,0))</formula>
    </cfRule>
    <cfRule type="expression" priority="1137" dxfId="0">
      <formula>AND(IF($Q31=3,1,IF($Q31=4,1,0)),IF($F31&lt;=85,1,0))</formula>
    </cfRule>
  </conditionalFormatting>
  <conditionalFormatting sqref="AI31">
    <cfRule type="expression" priority="1130" dxfId="3">
      <formula>AND(IF(OR($Q31=1,$Q31=2),1,0),IF($X31&lt;=20,1,0))</formula>
    </cfRule>
    <cfRule type="expression" priority="1131" dxfId="2">
      <formula>AND(IF($Q31=2,1,0),IF($X31&lt;30,1,0))</formula>
    </cfRule>
    <cfRule type="expression" priority="1132" dxfId="1">
      <formula>AND(IF($Q31=3,1,0),IF($X31&lt;30,1,0))</formula>
    </cfRule>
    <cfRule type="expression" priority="1133" dxfId="0">
      <formula>AND(IF($Q31=3,1,IF($Q31=4,1,0)),IF($F31&lt;=85,1,0))</formula>
    </cfRule>
  </conditionalFormatting>
  <conditionalFormatting sqref="AV32">
    <cfRule type="expression" priority="1128" dxfId="17">
      <formula>AV32="X"</formula>
    </cfRule>
    <cfRule type="expression" priority="1129" dxfId="16">
      <formula>AV32="후보"</formula>
    </cfRule>
  </conditionalFormatting>
  <conditionalFormatting sqref="AC32 N32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AV33">
    <cfRule type="expression" priority="1123" dxfId="17">
      <formula>AV33="X"</formula>
    </cfRule>
    <cfRule type="expression" priority="1124" dxfId="16">
      <formula>AV33="후보"</formula>
    </cfRule>
  </conditionalFormatting>
  <conditionalFormatting sqref="AC33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33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33">
    <cfRule type="expression" priority="1114" dxfId="3">
      <formula>AND(IF(OR($Q33=1,$Q33=2),1,0),IF($X33&lt;=20,1,0))</formula>
    </cfRule>
    <cfRule type="expression" priority="1115" dxfId="2">
      <formula>AND(IF($Q33=2,1,0),IF($X33&lt;30,1,0))</formula>
    </cfRule>
    <cfRule type="expression" priority="1116" dxfId="1">
      <formula>AND(IF($Q33=3,1,0),IF($X33&lt;30,1,0))</formula>
    </cfRule>
    <cfRule type="expression" priority="1117" dxfId="0">
      <formula>AND(IF($Q33=3,1,IF($Q33=4,1,0)),IF($F33&lt;=85,1,0))</formula>
    </cfRule>
  </conditionalFormatting>
  <conditionalFormatting sqref="X33">
    <cfRule type="expression" priority="1110" dxfId="3">
      <formula>AND(IF(OR($Q33=1,$Q33=2),1,0),IF($X33&lt;=20,1,0))</formula>
    </cfRule>
    <cfRule type="expression" priority="1111" dxfId="2">
      <formula>AND(IF($Q33=2,1,0),IF($X33&lt;30,1,0))</formula>
    </cfRule>
    <cfRule type="expression" priority="1112" dxfId="1">
      <formula>AND(IF($Q33=3,1,0),IF($X33&lt;30,1,0))</formula>
    </cfRule>
    <cfRule type="expression" priority="1113" dxfId="0">
      <formula>AND(IF($Q33=3,1,IF($Q33=4,1,0)),IF($F33&lt;=85,1,0))</formula>
    </cfRule>
  </conditionalFormatting>
  <conditionalFormatting sqref="AI33">
    <cfRule type="expression" priority="1106" dxfId="3">
      <formula>AND(IF(OR($Q33=1,$Q33=2),1,0),IF($X33&lt;=20,1,0))</formula>
    </cfRule>
    <cfRule type="expression" priority="1107" dxfId="2">
      <formula>AND(IF($Q33=2,1,0),IF($X33&lt;30,1,0))</formula>
    </cfRule>
    <cfRule type="expression" priority="1108" dxfId="1">
      <formula>AND(IF($Q33=3,1,0),IF($X33&lt;30,1,0))</formula>
    </cfRule>
    <cfRule type="expression" priority="1109" dxfId="0">
      <formula>AND(IF($Q33=3,1,IF($Q33=4,1,0)),IF($F33&lt;=85,1,0))</formula>
    </cfRule>
  </conditionalFormatting>
  <conditionalFormatting sqref="AV34">
    <cfRule type="expression" priority="1104" dxfId="17">
      <formula>AV34="X"</formula>
    </cfRule>
    <cfRule type="expression" priority="1105" dxfId="16">
      <formula>AV34="후보"</formula>
    </cfRule>
  </conditionalFormatting>
  <conditionalFormatting sqref="AC34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34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34">
    <cfRule type="expression" priority="1095" dxfId="3">
      <formula>AND(IF(OR($Q34=1,$Q34=2),1,0),IF($X34&lt;=20,1,0))</formula>
    </cfRule>
    <cfRule type="expression" priority="1096" dxfId="2">
      <formula>AND(IF($Q34=2,1,0),IF($X34&lt;30,1,0))</formula>
    </cfRule>
    <cfRule type="expression" priority="1097" dxfId="1">
      <formula>AND(IF($Q34=3,1,0),IF($X34&lt;30,1,0))</formula>
    </cfRule>
    <cfRule type="expression" priority="1098" dxfId="0">
      <formula>AND(IF($Q34=3,1,IF($Q34=4,1,0)),IF($F34&lt;=85,1,0))</formula>
    </cfRule>
  </conditionalFormatting>
  <conditionalFormatting sqref="X34">
    <cfRule type="expression" priority="1091" dxfId="3">
      <formula>AND(IF(OR($Q34=1,$Q34=2),1,0),IF($X34&lt;=20,1,0))</formula>
    </cfRule>
    <cfRule type="expression" priority="1092" dxfId="2">
      <formula>AND(IF($Q34=2,1,0),IF($X34&lt;30,1,0))</formula>
    </cfRule>
    <cfRule type="expression" priority="1093" dxfId="1">
      <formula>AND(IF($Q34=3,1,0),IF($X34&lt;30,1,0))</formula>
    </cfRule>
    <cfRule type="expression" priority="1094" dxfId="0">
      <formula>AND(IF($Q34=3,1,IF($Q34=4,1,0)),IF($F34&lt;=85,1,0))</formula>
    </cfRule>
  </conditionalFormatting>
  <conditionalFormatting sqref="AI34">
    <cfRule type="expression" priority="1087" dxfId="3">
      <formula>AND(IF(OR($Q34=1,$Q34=2),1,0),IF($X34&lt;=20,1,0))</formula>
    </cfRule>
    <cfRule type="expression" priority="1088" dxfId="2">
      <formula>AND(IF($Q34=2,1,0),IF($X34&lt;30,1,0))</formula>
    </cfRule>
    <cfRule type="expression" priority="1089" dxfId="1">
      <formula>AND(IF($Q34=3,1,0),IF($X34&lt;30,1,0))</formula>
    </cfRule>
    <cfRule type="expression" priority="1090" dxfId="0">
      <formula>AND(IF($Q34=3,1,IF($Q34=4,1,0)),IF($F34&lt;=85,1,0))</formula>
    </cfRule>
  </conditionalFormatting>
  <conditionalFormatting sqref="AV35">
    <cfRule type="expression" priority="1085" dxfId="17">
      <formula>AV35="X"</formula>
    </cfRule>
    <cfRule type="expression" priority="1086" dxfId="16">
      <formula>AV35="후보"</formula>
    </cfRule>
  </conditionalFormatting>
  <conditionalFormatting sqref="AC35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35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35">
    <cfRule type="expression" priority="1076" dxfId="3">
      <formula>AND(IF(OR($Q35=1,$Q35=2),1,0),IF($X35&lt;=20,1,0))</formula>
    </cfRule>
    <cfRule type="expression" priority="1077" dxfId="2">
      <formula>AND(IF($Q35=2,1,0),IF($X35&lt;30,1,0))</formula>
    </cfRule>
    <cfRule type="expression" priority="1078" dxfId="1">
      <formula>AND(IF($Q35=3,1,0),IF($X35&lt;30,1,0))</formula>
    </cfRule>
    <cfRule type="expression" priority="1079" dxfId="0">
      <formula>AND(IF($Q35=3,1,IF($Q35=4,1,0)),IF($F35&lt;=85,1,0))</formula>
    </cfRule>
  </conditionalFormatting>
  <conditionalFormatting sqref="X35">
    <cfRule type="expression" priority="1072" dxfId="3">
      <formula>AND(IF(OR($Q35=1,$Q35=2),1,0),IF($X35&lt;=20,1,0))</formula>
    </cfRule>
    <cfRule type="expression" priority="1073" dxfId="2">
      <formula>AND(IF($Q35=2,1,0),IF($X35&lt;30,1,0))</formula>
    </cfRule>
    <cfRule type="expression" priority="1074" dxfId="1">
      <formula>AND(IF($Q35=3,1,0),IF($X35&lt;30,1,0))</formula>
    </cfRule>
    <cfRule type="expression" priority="1075" dxfId="0">
      <formula>AND(IF($Q35=3,1,IF($Q35=4,1,0)),IF($F35&lt;=85,1,0))</formula>
    </cfRule>
  </conditionalFormatting>
  <conditionalFormatting sqref="AI35">
    <cfRule type="expression" priority="1068" dxfId="3">
      <formula>AND(IF(OR($Q35=1,$Q35=2),1,0),IF($X35&lt;=20,1,0))</formula>
    </cfRule>
    <cfRule type="expression" priority="1069" dxfId="2">
      <formula>AND(IF($Q35=2,1,0),IF($X35&lt;30,1,0))</formula>
    </cfRule>
    <cfRule type="expression" priority="1070" dxfId="1">
      <formula>AND(IF($Q35=3,1,0),IF($X35&lt;30,1,0))</formula>
    </cfRule>
    <cfRule type="expression" priority="1071" dxfId="0">
      <formula>AND(IF($Q35=3,1,IF($Q35=4,1,0)),IF($F35&lt;=85,1,0))</formula>
    </cfRule>
  </conditionalFormatting>
  <conditionalFormatting sqref="AV36">
    <cfRule type="expression" priority="1066" dxfId="17">
      <formula>AV36="X"</formula>
    </cfRule>
    <cfRule type="expression" priority="1067" dxfId="16">
      <formula>AV36="후보"</formula>
    </cfRule>
  </conditionalFormatting>
  <conditionalFormatting sqref="AC36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N36">
    <cfRule type="cellIs" priority="1061" operator="greaterThan" dxfId="13">
      <formula>0.9</formula>
    </cfRule>
    <cfRule type="cellIs" priority="1062" operator="greaterThan" dxfId="12">
      <formula>0.85</formula>
    </cfRule>
  </conditionalFormatting>
  <conditionalFormatting sqref="E36">
    <cfRule type="expression" priority="1057" dxfId="3">
      <formula>AND(IF(OR($Q36=1,$Q36=2),1,0),IF($X36&lt;=20,1,0))</formula>
    </cfRule>
    <cfRule type="expression" priority="1058" dxfId="2">
      <formula>AND(IF($Q36=2,1,0),IF($X36&lt;30,1,0))</formula>
    </cfRule>
    <cfRule type="expression" priority="1059" dxfId="1">
      <formula>AND(IF($Q36=3,1,0),IF($X36&lt;30,1,0))</formula>
    </cfRule>
    <cfRule type="expression" priority="1060" dxfId="0">
      <formula>AND(IF($Q36=3,1,IF($Q36=4,1,0)),IF($F36&lt;=85,1,0))</formula>
    </cfRule>
  </conditionalFormatting>
  <conditionalFormatting sqref="X36">
    <cfRule type="expression" priority="1053" dxfId="3">
      <formula>AND(IF(OR($Q36=1,$Q36=2),1,0),IF($X36&lt;=20,1,0))</formula>
    </cfRule>
    <cfRule type="expression" priority="1054" dxfId="2">
      <formula>AND(IF($Q36=2,1,0),IF($X36&lt;30,1,0))</formula>
    </cfRule>
    <cfRule type="expression" priority="1055" dxfId="1">
      <formula>AND(IF($Q36=3,1,0),IF($X36&lt;30,1,0))</formula>
    </cfRule>
    <cfRule type="expression" priority="1056" dxfId="0">
      <formula>AND(IF($Q36=3,1,IF($Q36=4,1,0)),IF($F36&lt;=85,1,0))</formula>
    </cfRule>
  </conditionalFormatting>
  <conditionalFormatting sqref="AI36">
    <cfRule type="expression" priority="1049" dxfId="3">
      <formula>AND(IF(OR($Q36=1,$Q36=2),1,0),IF($X36&lt;=20,1,0))</formula>
    </cfRule>
    <cfRule type="expression" priority="1050" dxfId="2">
      <formula>AND(IF($Q36=2,1,0),IF($X36&lt;30,1,0))</formula>
    </cfRule>
    <cfRule type="expression" priority="1051" dxfId="1">
      <formula>AND(IF($Q36=3,1,0),IF($X36&lt;30,1,0))</formula>
    </cfRule>
    <cfRule type="expression" priority="1052" dxfId="0">
      <formula>AND(IF($Q36=3,1,IF($Q36=4,1,0)),IF($F36&lt;=85,1,0))</formula>
    </cfRule>
  </conditionalFormatting>
  <conditionalFormatting sqref="AV37">
    <cfRule type="expression" priority="1047" dxfId="17">
      <formula>AV37="X"</formula>
    </cfRule>
    <cfRule type="expression" priority="1048" dxfId="16">
      <formula>AV37="후보"</formula>
    </cfRule>
  </conditionalFormatting>
  <conditionalFormatting sqref="AC37 N37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AV38">
    <cfRule type="expression" priority="1042" dxfId="17">
      <formula>AV38="X"</formula>
    </cfRule>
    <cfRule type="expression" priority="1043" dxfId="16">
      <formula>AV38="후보"</formula>
    </cfRule>
  </conditionalFormatting>
  <conditionalFormatting sqref="AC38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38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38">
    <cfRule type="expression" priority="1033" dxfId="3">
      <formula>AND(IF(OR($Q38=1,$Q38=2),1,0),IF($X38&lt;=20,1,0))</formula>
    </cfRule>
    <cfRule type="expression" priority="1034" dxfId="2">
      <formula>AND(IF($Q38=2,1,0),IF($X38&lt;30,1,0))</formula>
    </cfRule>
    <cfRule type="expression" priority="1035" dxfId="1">
      <formula>AND(IF($Q38=3,1,0),IF($X38&lt;30,1,0))</formula>
    </cfRule>
    <cfRule type="expression" priority="1036" dxfId="0">
      <formula>AND(IF($Q38=3,1,IF($Q38=4,1,0)),IF($F38&lt;=85,1,0))</formula>
    </cfRule>
  </conditionalFormatting>
  <conditionalFormatting sqref="X38">
    <cfRule type="expression" priority="1029" dxfId="3">
      <formula>AND(IF(OR($Q38=1,$Q38=2),1,0),IF($X38&lt;=20,1,0))</formula>
    </cfRule>
    <cfRule type="expression" priority="1030" dxfId="2">
      <formula>AND(IF($Q38=2,1,0),IF($X38&lt;30,1,0))</formula>
    </cfRule>
    <cfRule type="expression" priority="1031" dxfId="1">
      <formula>AND(IF($Q38=3,1,0),IF($X38&lt;30,1,0))</formula>
    </cfRule>
    <cfRule type="expression" priority="1032" dxfId="0">
      <formula>AND(IF($Q38=3,1,IF($Q38=4,1,0)),IF($F38&lt;=85,1,0))</formula>
    </cfRule>
  </conditionalFormatting>
  <conditionalFormatting sqref="AI38">
    <cfRule type="expression" priority="1025" dxfId="3">
      <formula>AND(IF(OR($Q38=1,$Q38=2),1,0),IF($X38&lt;=20,1,0))</formula>
    </cfRule>
    <cfRule type="expression" priority="1026" dxfId="2">
      <formula>AND(IF($Q38=2,1,0),IF($X38&lt;30,1,0))</formula>
    </cfRule>
    <cfRule type="expression" priority="1027" dxfId="1">
      <formula>AND(IF($Q38=3,1,0),IF($X38&lt;30,1,0))</formula>
    </cfRule>
    <cfRule type="expression" priority="1028" dxfId="0">
      <formula>AND(IF($Q38=3,1,IF($Q38=4,1,0)),IF($F38&lt;=85,1,0))</formula>
    </cfRule>
  </conditionalFormatting>
  <conditionalFormatting sqref="AV39">
    <cfRule type="expression" priority="1023" dxfId="17">
      <formula>AV39="X"</formula>
    </cfRule>
    <cfRule type="expression" priority="1024" dxfId="16">
      <formula>AV39="후보"</formula>
    </cfRule>
  </conditionalFormatting>
  <conditionalFormatting sqref="AC39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39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39">
    <cfRule type="expression" priority="1014" dxfId="3">
      <formula>AND(IF(OR($Q39=1,$Q39=2),1,0),IF($X39&lt;=20,1,0))</formula>
    </cfRule>
    <cfRule type="expression" priority="1015" dxfId="2">
      <formula>AND(IF($Q39=2,1,0),IF($X39&lt;30,1,0))</formula>
    </cfRule>
    <cfRule type="expression" priority="1016" dxfId="1">
      <formula>AND(IF($Q39=3,1,0),IF($X39&lt;30,1,0))</formula>
    </cfRule>
    <cfRule type="expression" priority="1017" dxfId="0">
      <formula>AND(IF($Q39=3,1,IF($Q39=4,1,0)),IF($F39&lt;=85,1,0))</formula>
    </cfRule>
  </conditionalFormatting>
  <conditionalFormatting sqref="X39">
    <cfRule type="expression" priority="1010" dxfId="3">
      <formula>AND(IF(OR($Q39=1,$Q39=2),1,0),IF($X39&lt;=20,1,0))</formula>
    </cfRule>
    <cfRule type="expression" priority="1011" dxfId="2">
      <formula>AND(IF($Q39=2,1,0),IF($X39&lt;30,1,0))</formula>
    </cfRule>
    <cfRule type="expression" priority="1012" dxfId="1">
      <formula>AND(IF($Q39=3,1,0),IF($X39&lt;30,1,0))</formula>
    </cfRule>
    <cfRule type="expression" priority="1013" dxfId="0">
      <formula>AND(IF($Q39=3,1,IF($Q39=4,1,0)),IF($F39&lt;=85,1,0))</formula>
    </cfRule>
  </conditionalFormatting>
  <conditionalFormatting sqref="AI39">
    <cfRule type="expression" priority="1006" dxfId="3">
      <formula>AND(IF(OR($Q39=1,$Q39=2),1,0),IF($X39&lt;=20,1,0))</formula>
    </cfRule>
    <cfRule type="expression" priority="1007" dxfId="2">
      <formula>AND(IF($Q39=2,1,0),IF($X39&lt;30,1,0))</formula>
    </cfRule>
    <cfRule type="expression" priority="1008" dxfId="1">
      <formula>AND(IF($Q39=3,1,0),IF($X39&lt;30,1,0))</formula>
    </cfRule>
    <cfRule type="expression" priority="1009" dxfId="0">
      <formula>AND(IF($Q39=3,1,IF($Q39=4,1,0)),IF($F39&lt;=85,1,0))</formula>
    </cfRule>
  </conditionalFormatting>
  <conditionalFormatting sqref="AV40">
    <cfRule type="expression" priority="1004" dxfId="17">
      <formula>AV40="X"</formula>
    </cfRule>
    <cfRule type="expression" priority="1005" dxfId="16">
      <formula>AV40="후보"</formula>
    </cfRule>
  </conditionalFormatting>
  <conditionalFormatting sqref="AC40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40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40">
    <cfRule type="expression" priority="995" dxfId="3">
      <formula>AND(IF(OR($Q40=1,$Q40=2),1,0),IF($X40&lt;=20,1,0))</formula>
    </cfRule>
    <cfRule type="expression" priority="996" dxfId="2">
      <formula>AND(IF($Q40=2,1,0),IF($X40&lt;30,1,0))</formula>
    </cfRule>
    <cfRule type="expression" priority="997" dxfId="1">
      <formula>AND(IF($Q40=3,1,0),IF($X40&lt;30,1,0))</formula>
    </cfRule>
    <cfRule type="expression" priority="998" dxfId="0">
      <formula>AND(IF($Q40=3,1,IF($Q40=4,1,0)),IF($F40&lt;=85,1,0))</formula>
    </cfRule>
  </conditionalFormatting>
  <conditionalFormatting sqref="X40">
    <cfRule type="expression" priority="991" dxfId="3">
      <formula>AND(IF(OR($Q40=1,$Q40=2),1,0),IF($X40&lt;=20,1,0))</formula>
    </cfRule>
    <cfRule type="expression" priority="992" dxfId="2">
      <formula>AND(IF($Q40=2,1,0),IF($X40&lt;30,1,0))</formula>
    </cfRule>
    <cfRule type="expression" priority="993" dxfId="1">
      <formula>AND(IF($Q40=3,1,0),IF($X40&lt;30,1,0))</formula>
    </cfRule>
    <cfRule type="expression" priority="994" dxfId="0">
      <formula>AND(IF($Q40=3,1,IF($Q40=4,1,0)),IF($F40&lt;=85,1,0))</formula>
    </cfRule>
  </conditionalFormatting>
  <conditionalFormatting sqref="AI40">
    <cfRule type="expression" priority="987" dxfId="3">
      <formula>AND(IF(OR($Q40=1,$Q40=2),1,0),IF($X40&lt;=20,1,0))</formula>
    </cfRule>
    <cfRule type="expression" priority="988" dxfId="2">
      <formula>AND(IF($Q40=2,1,0),IF($X40&lt;30,1,0))</formula>
    </cfRule>
    <cfRule type="expression" priority="989" dxfId="1">
      <formula>AND(IF($Q40=3,1,0),IF($X40&lt;30,1,0))</formula>
    </cfRule>
    <cfRule type="expression" priority="990" dxfId="0">
      <formula>AND(IF($Q40=3,1,IF($Q40=4,1,0)),IF($F40&lt;=85,1,0))</formula>
    </cfRule>
  </conditionalFormatting>
  <conditionalFormatting sqref="AV41">
    <cfRule type="expression" priority="985" dxfId="17">
      <formula>AV41="X"</formula>
    </cfRule>
    <cfRule type="expression" priority="986" dxfId="16">
      <formula>AV41="후보"</formula>
    </cfRule>
  </conditionalFormatting>
  <conditionalFormatting sqref="AC41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41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41">
    <cfRule type="expression" priority="976" dxfId="3">
      <formula>AND(IF(OR($Q41=1,$Q41=2),1,0),IF($X41&lt;=20,1,0))</formula>
    </cfRule>
    <cfRule type="expression" priority="977" dxfId="2">
      <formula>AND(IF($Q41=2,1,0),IF($X41&lt;30,1,0))</formula>
    </cfRule>
    <cfRule type="expression" priority="978" dxfId="1">
      <formula>AND(IF($Q41=3,1,0),IF($X41&lt;30,1,0))</formula>
    </cfRule>
    <cfRule type="expression" priority="979" dxfId="0">
      <formula>AND(IF($Q41=3,1,IF($Q41=4,1,0)),IF($F41&lt;=85,1,0))</formula>
    </cfRule>
  </conditionalFormatting>
  <conditionalFormatting sqref="X41">
    <cfRule type="expression" priority="972" dxfId="3">
      <formula>AND(IF(OR($Q41=1,$Q41=2),1,0),IF($X41&lt;=20,1,0))</formula>
    </cfRule>
    <cfRule type="expression" priority="973" dxfId="2">
      <formula>AND(IF($Q41=2,1,0),IF($X41&lt;30,1,0))</formula>
    </cfRule>
    <cfRule type="expression" priority="974" dxfId="1">
      <formula>AND(IF($Q41=3,1,0),IF($X41&lt;30,1,0))</formula>
    </cfRule>
    <cfRule type="expression" priority="975" dxfId="0">
      <formula>AND(IF($Q41=3,1,IF($Q41=4,1,0)),IF($F41&lt;=85,1,0))</formula>
    </cfRule>
  </conditionalFormatting>
  <conditionalFormatting sqref="AI41">
    <cfRule type="expression" priority="968" dxfId="3">
      <formula>AND(IF(OR($Q41=1,$Q41=2),1,0),IF($X41&lt;=20,1,0))</formula>
    </cfRule>
    <cfRule type="expression" priority="969" dxfId="2">
      <formula>AND(IF($Q41=2,1,0),IF($X41&lt;30,1,0))</formula>
    </cfRule>
    <cfRule type="expression" priority="970" dxfId="1">
      <formula>AND(IF($Q41=3,1,0),IF($X41&lt;30,1,0))</formula>
    </cfRule>
    <cfRule type="expression" priority="971" dxfId="0">
      <formula>AND(IF($Q41=3,1,IF($Q41=4,1,0)),IF($F41&lt;=85,1,0))</formula>
    </cfRule>
  </conditionalFormatting>
  <conditionalFormatting sqref="AV42">
    <cfRule type="expression" priority="966" dxfId="17">
      <formula>AV42="X"</formula>
    </cfRule>
    <cfRule type="expression" priority="967" dxfId="16">
      <formula>AV42="후보"</formula>
    </cfRule>
  </conditionalFormatting>
  <conditionalFormatting sqref="AC42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N42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E42">
    <cfRule type="expression" priority="957" dxfId="3">
      <formula>AND(IF(OR($Q42=1,$Q42=2),1,0),IF($X42&lt;=20,1,0))</formula>
    </cfRule>
    <cfRule type="expression" priority="958" dxfId="2">
      <formula>AND(IF($Q42=2,1,0),IF($X42&lt;30,1,0))</formula>
    </cfRule>
    <cfRule type="expression" priority="959" dxfId="1">
      <formula>AND(IF($Q42=3,1,0),IF($X42&lt;30,1,0))</formula>
    </cfRule>
    <cfRule type="expression" priority="960" dxfId="0">
      <formula>AND(IF($Q42=3,1,IF($Q42=4,1,0)),IF($F42&lt;=85,1,0))</formula>
    </cfRule>
  </conditionalFormatting>
  <conditionalFormatting sqref="X42">
    <cfRule type="expression" priority="953" dxfId="3">
      <formula>AND(IF(OR($Q42=1,$Q42=2),1,0),IF($X42&lt;=20,1,0))</formula>
    </cfRule>
    <cfRule type="expression" priority="954" dxfId="2">
      <formula>AND(IF($Q42=2,1,0),IF($X42&lt;30,1,0))</formula>
    </cfRule>
    <cfRule type="expression" priority="955" dxfId="1">
      <formula>AND(IF($Q42=3,1,0),IF($X42&lt;30,1,0))</formula>
    </cfRule>
    <cfRule type="expression" priority="956" dxfId="0">
      <formula>AND(IF($Q42=3,1,IF($Q42=4,1,0)),IF($F42&lt;=85,1,0))</formula>
    </cfRule>
  </conditionalFormatting>
  <conditionalFormatting sqref="AI42">
    <cfRule type="expression" priority="949" dxfId="3">
      <formula>AND(IF(OR($Q42=1,$Q42=2),1,0),IF($X42&lt;=20,1,0))</formula>
    </cfRule>
    <cfRule type="expression" priority="950" dxfId="2">
      <formula>AND(IF($Q42=2,1,0),IF($X42&lt;30,1,0))</formula>
    </cfRule>
    <cfRule type="expression" priority="951" dxfId="1">
      <formula>AND(IF($Q42=3,1,0),IF($X42&lt;30,1,0))</formula>
    </cfRule>
    <cfRule type="expression" priority="952" dxfId="0">
      <formula>AND(IF($Q42=3,1,IF($Q42=4,1,0)),IF($F42&lt;=85,1,0))</formula>
    </cfRule>
  </conditionalFormatting>
  <conditionalFormatting sqref="AV43">
    <cfRule type="expression" priority="947" dxfId="17">
      <formula>AV43="X"</formula>
    </cfRule>
    <cfRule type="expression" priority="948" dxfId="16">
      <formula>AV43="후보"</formula>
    </cfRule>
  </conditionalFormatting>
  <conditionalFormatting sqref="AC43 N43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AV44">
    <cfRule type="expression" priority="942" dxfId="17">
      <formula>AV44="X"</formula>
    </cfRule>
    <cfRule type="expression" priority="943" dxfId="16">
      <formula>AV44="후보"</formula>
    </cfRule>
  </conditionalFormatting>
  <conditionalFormatting sqref="AC44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44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44">
    <cfRule type="expression" priority="933" dxfId="3">
      <formula>AND(IF(OR($Q44=1,$Q44=2),1,0),IF($X44&lt;=20,1,0))</formula>
    </cfRule>
    <cfRule type="expression" priority="934" dxfId="2">
      <formula>AND(IF($Q44=2,1,0),IF($X44&lt;30,1,0))</formula>
    </cfRule>
    <cfRule type="expression" priority="935" dxfId="1">
      <formula>AND(IF($Q44=3,1,0),IF($X44&lt;30,1,0))</formula>
    </cfRule>
    <cfRule type="expression" priority="936" dxfId="0">
      <formula>AND(IF($Q44=3,1,IF($Q44=4,1,0)),IF($F44&lt;=85,1,0))</formula>
    </cfRule>
  </conditionalFormatting>
  <conditionalFormatting sqref="X44">
    <cfRule type="expression" priority="929" dxfId="3">
      <formula>AND(IF(OR($Q44=1,$Q44=2),1,0),IF($X44&lt;=20,1,0))</formula>
    </cfRule>
    <cfRule type="expression" priority="930" dxfId="2">
      <formula>AND(IF($Q44=2,1,0),IF($X44&lt;30,1,0))</formula>
    </cfRule>
    <cfRule type="expression" priority="931" dxfId="1">
      <formula>AND(IF($Q44=3,1,0),IF($X44&lt;30,1,0))</formula>
    </cfRule>
    <cfRule type="expression" priority="932" dxfId="0">
      <formula>AND(IF($Q44=3,1,IF($Q44=4,1,0)),IF($F44&lt;=85,1,0))</formula>
    </cfRule>
  </conditionalFormatting>
  <conditionalFormatting sqref="AI44">
    <cfRule type="expression" priority="925" dxfId="3">
      <formula>AND(IF(OR($Q44=1,$Q44=2),1,0),IF($X44&lt;=20,1,0))</formula>
    </cfRule>
    <cfRule type="expression" priority="926" dxfId="2">
      <formula>AND(IF($Q44=2,1,0),IF($X44&lt;30,1,0))</formula>
    </cfRule>
    <cfRule type="expression" priority="927" dxfId="1">
      <formula>AND(IF($Q44=3,1,0),IF($X44&lt;30,1,0))</formula>
    </cfRule>
    <cfRule type="expression" priority="928" dxfId="0">
      <formula>AND(IF($Q44=3,1,IF($Q44=4,1,0)),IF($F44&lt;=85,1,0))</formula>
    </cfRule>
  </conditionalFormatting>
  <conditionalFormatting sqref="AV45">
    <cfRule type="expression" priority="923" dxfId="17">
      <formula>AV45="X"</formula>
    </cfRule>
    <cfRule type="expression" priority="924" dxfId="16">
      <formula>AV45="후보"</formula>
    </cfRule>
  </conditionalFormatting>
  <conditionalFormatting sqref="AC45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N45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E45">
    <cfRule type="expression" priority="914" dxfId="3">
      <formula>AND(IF(OR($Q45=1,$Q45=2),1,0),IF($X45&lt;=20,1,0))</formula>
    </cfRule>
    <cfRule type="expression" priority="915" dxfId="2">
      <formula>AND(IF($Q45=2,1,0),IF($X45&lt;30,1,0))</formula>
    </cfRule>
    <cfRule type="expression" priority="916" dxfId="1">
      <formula>AND(IF($Q45=3,1,0),IF($X45&lt;30,1,0))</formula>
    </cfRule>
    <cfRule type="expression" priority="917" dxfId="0">
      <formula>AND(IF($Q45=3,1,IF($Q45=4,1,0)),IF($F45&lt;=85,1,0))</formula>
    </cfRule>
  </conditionalFormatting>
  <conditionalFormatting sqref="X45">
    <cfRule type="expression" priority="910" dxfId="3">
      <formula>AND(IF(OR($Q45=1,$Q45=2),1,0),IF($X45&lt;=20,1,0))</formula>
    </cfRule>
    <cfRule type="expression" priority="911" dxfId="2">
      <formula>AND(IF($Q45=2,1,0),IF($X45&lt;30,1,0))</formula>
    </cfRule>
    <cfRule type="expression" priority="912" dxfId="1">
      <formula>AND(IF($Q45=3,1,0),IF($X45&lt;30,1,0))</formula>
    </cfRule>
    <cfRule type="expression" priority="913" dxfId="0">
      <formula>AND(IF($Q45=3,1,IF($Q45=4,1,0)),IF($F45&lt;=85,1,0))</formula>
    </cfRule>
  </conditionalFormatting>
  <conditionalFormatting sqref="AI45">
    <cfRule type="expression" priority="906" dxfId="3">
      <formula>AND(IF(OR($Q45=1,$Q45=2),1,0),IF($X45&lt;=20,1,0))</formula>
    </cfRule>
    <cfRule type="expression" priority="907" dxfId="2">
      <formula>AND(IF($Q45=2,1,0),IF($X45&lt;30,1,0))</formula>
    </cfRule>
    <cfRule type="expression" priority="908" dxfId="1">
      <formula>AND(IF($Q45=3,1,0),IF($X45&lt;30,1,0))</formula>
    </cfRule>
    <cfRule type="expression" priority="909" dxfId="0">
      <formula>AND(IF($Q45=3,1,IF($Q45=4,1,0)),IF($F45&lt;=85,1,0))</formula>
    </cfRule>
  </conditionalFormatting>
  <conditionalFormatting sqref="AV46">
    <cfRule type="expression" priority="904" dxfId="17">
      <formula>AV46="X"</formula>
    </cfRule>
    <cfRule type="expression" priority="905" dxfId="16">
      <formula>AV46="후보"</formula>
    </cfRule>
  </conditionalFormatting>
  <conditionalFormatting sqref="AC46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N46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E46">
    <cfRule type="expression" priority="895" dxfId="3">
      <formula>AND(IF(OR($Q46=1,$Q46=2),1,0),IF($X46&lt;=20,1,0))</formula>
    </cfRule>
    <cfRule type="expression" priority="896" dxfId="2">
      <formula>AND(IF($Q46=2,1,0),IF($X46&lt;30,1,0))</formula>
    </cfRule>
    <cfRule type="expression" priority="897" dxfId="1">
      <formula>AND(IF($Q46=3,1,0),IF($X46&lt;30,1,0))</formula>
    </cfRule>
    <cfRule type="expression" priority="898" dxfId="0">
      <formula>AND(IF($Q46=3,1,IF($Q46=4,1,0)),IF($F46&lt;=85,1,0))</formula>
    </cfRule>
  </conditionalFormatting>
  <conditionalFormatting sqref="X46">
    <cfRule type="expression" priority="891" dxfId="3">
      <formula>AND(IF(OR($Q46=1,$Q46=2),1,0),IF($X46&lt;=20,1,0))</formula>
    </cfRule>
    <cfRule type="expression" priority="892" dxfId="2">
      <formula>AND(IF($Q46=2,1,0),IF($X46&lt;30,1,0))</formula>
    </cfRule>
    <cfRule type="expression" priority="893" dxfId="1">
      <formula>AND(IF($Q46=3,1,0),IF($X46&lt;30,1,0))</formula>
    </cfRule>
    <cfRule type="expression" priority="894" dxfId="0">
      <formula>AND(IF($Q46=3,1,IF($Q46=4,1,0)),IF($F46&lt;=85,1,0))</formula>
    </cfRule>
  </conditionalFormatting>
  <conditionalFormatting sqref="AI46">
    <cfRule type="expression" priority="887" dxfId="3">
      <formula>AND(IF(OR($Q46=1,$Q46=2),1,0),IF($X46&lt;=20,1,0))</formula>
    </cfRule>
    <cfRule type="expression" priority="888" dxfId="2">
      <formula>AND(IF($Q46=2,1,0),IF($X46&lt;30,1,0))</formula>
    </cfRule>
    <cfRule type="expression" priority="889" dxfId="1">
      <formula>AND(IF($Q46=3,1,0),IF($X46&lt;30,1,0))</formula>
    </cfRule>
    <cfRule type="expression" priority="890" dxfId="0">
      <formula>AND(IF($Q46=3,1,IF($Q46=4,1,0)),IF($F46&lt;=85,1,0))</formula>
    </cfRule>
  </conditionalFormatting>
  <conditionalFormatting sqref="AV47">
    <cfRule type="expression" priority="885" dxfId="17">
      <formula>AV47="X"</formula>
    </cfRule>
    <cfRule type="expression" priority="886" dxfId="16">
      <formula>AV47="후보"</formula>
    </cfRule>
  </conditionalFormatting>
  <conditionalFormatting sqref="AC47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47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47">
    <cfRule type="expression" priority="876" dxfId="3">
      <formula>AND(IF(OR($Q47=1,$Q47=2),1,0),IF($X47&lt;=20,1,0))</formula>
    </cfRule>
    <cfRule type="expression" priority="877" dxfId="2">
      <formula>AND(IF($Q47=2,1,0),IF($X47&lt;30,1,0))</formula>
    </cfRule>
    <cfRule type="expression" priority="878" dxfId="1">
      <formula>AND(IF($Q47=3,1,0),IF($X47&lt;30,1,0))</formula>
    </cfRule>
    <cfRule type="expression" priority="879" dxfId="0">
      <formula>AND(IF($Q47=3,1,IF($Q47=4,1,0)),IF($F47&lt;=85,1,0))</formula>
    </cfRule>
  </conditionalFormatting>
  <conditionalFormatting sqref="X47">
    <cfRule type="expression" priority="872" dxfId="3">
      <formula>AND(IF(OR($Q47=1,$Q47=2),1,0),IF($X47&lt;=20,1,0))</formula>
    </cfRule>
    <cfRule type="expression" priority="873" dxfId="2">
      <formula>AND(IF($Q47=2,1,0),IF($X47&lt;30,1,0))</formula>
    </cfRule>
    <cfRule type="expression" priority="874" dxfId="1">
      <formula>AND(IF($Q47=3,1,0),IF($X47&lt;30,1,0))</formula>
    </cfRule>
    <cfRule type="expression" priority="875" dxfId="0">
      <formula>AND(IF($Q47=3,1,IF($Q47=4,1,0)),IF($F47&lt;=85,1,0))</formula>
    </cfRule>
  </conditionalFormatting>
  <conditionalFormatting sqref="AI47">
    <cfRule type="expression" priority="868" dxfId="3">
      <formula>AND(IF(OR($Q47=1,$Q47=2),1,0),IF($X47&lt;=20,1,0))</formula>
    </cfRule>
    <cfRule type="expression" priority="869" dxfId="2">
      <formula>AND(IF($Q47=2,1,0),IF($X47&lt;30,1,0))</formula>
    </cfRule>
    <cfRule type="expression" priority="870" dxfId="1">
      <formula>AND(IF($Q47=3,1,0),IF($X47&lt;30,1,0))</formula>
    </cfRule>
    <cfRule type="expression" priority="871" dxfId="0">
      <formula>AND(IF($Q47=3,1,IF($Q47=4,1,0)),IF($F47&lt;=85,1,0))</formula>
    </cfRule>
  </conditionalFormatting>
  <conditionalFormatting sqref="AV48">
    <cfRule type="expression" priority="866" dxfId="17">
      <formula>AV48="X"</formula>
    </cfRule>
    <cfRule type="expression" priority="867" dxfId="16">
      <formula>AV48="후보"</formula>
    </cfRule>
  </conditionalFormatting>
  <conditionalFormatting sqref="AC48 N48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AV49">
    <cfRule type="expression" priority="861" dxfId="17">
      <formula>AV49="X"</formula>
    </cfRule>
    <cfRule type="expression" priority="862" dxfId="16">
      <formula>AV49="후보"</formula>
    </cfRule>
  </conditionalFormatting>
  <conditionalFormatting sqref="AC49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49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49">
    <cfRule type="expression" priority="852" dxfId="3">
      <formula>AND(IF(OR($Q49=1,$Q49=2),1,0),IF($X49&lt;=20,1,0))</formula>
    </cfRule>
    <cfRule type="expression" priority="853" dxfId="2">
      <formula>AND(IF($Q49=2,1,0),IF($X49&lt;30,1,0))</formula>
    </cfRule>
    <cfRule type="expression" priority="854" dxfId="1">
      <formula>AND(IF($Q49=3,1,0),IF($X49&lt;30,1,0))</formula>
    </cfRule>
    <cfRule type="expression" priority="855" dxfId="0">
      <formula>AND(IF($Q49=3,1,IF($Q49=4,1,0)),IF($F49&lt;=85,1,0))</formula>
    </cfRule>
  </conditionalFormatting>
  <conditionalFormatting sqref="X49">
    <cfRule type="expression" priority="848" dxfId="3">
      <formula>AND(IF(OR($Q49=1,$Q49=2),1,0),IF($X49&lt;=20,1,0))</formula>
    </cfRule>
    <cfRule type="expression" priority="849" dxfId="2">
      <formula>AND(IF($Q49=2,1,0),IF($X49&lt;30,1,0))</formula>
    </cfRule>
    <cfRule type="expression" priority="850" dxfId="1">
      <formula>AND(IF($Q49=3,1,0),IF($X49&lt;30,1,0))</formula>
    </cfRule>
    <cfRule type="expression" priority="851" dxfId="0">
      <formula>AND(IF($Q49=3,1,IF($Q49=4,1,0)),IF($F49&lt;=85,1,0))</formula>
    </cfRule>
  </conditionalFormatting>
  <conditionalFormatting sqref="AI49">
    <cfRule type="expression" priority="844" dxfId="3">
      <formula>AND(IF(OR($Q49=1,$Q49=2),1,0),IF($X49&lt;=20,1,0))</formula>
    </cfRule>
    <cfRule type="expression" priority="845" dxfId="2">
      <formula>AND(IF($Q49=2,1,0),IF($X49&lt;30,1,0))</formula>
    </cfRule>
    <cfRule type="expression" priority="846" dxfId="1">
      <formula>AND(IF($Q49=3,1,0),IF($X49&lt;30,1,0))</formula>
    </cfRule>
    <cfRule type="expression" priority="847" dxfId="0">
      <formula>AND(IF($Q49=3,1,IF($Q49=4,1,0)),IF($F49&lt;=85,1,0))</formula>
    </cfRule>
  </conditionalFormatting>
  <conditionalFormatting sqref="AV50">
    <cfRule type="expression" priority="842" dxfId="17">
      <formula>AV50="X"</formula>
    </cfRule>
    <cfRule type="expression" priority="843" dxfId="16">
      <formula>AV50="후보"</formula>
    </cfRule>
  </conditionalFormatting>
  <conditionalFormatting sqref="AC50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50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50">
    <cfRule type="expression" priority="833" dxfId="3">
      <formula>AND(IF(OR($Q50=1,$Q50=2),1,0),IF($X50&lt;=20,1,0))</formula>
    </cfRule>
    <cfRule type="expression" priority="834" dxfId="2">
      <formula>AND(IF($Q50=2,1,0),IF($X50&lt;30,1,0))</formula>
    </cfRule>
    <cfRule type="expression" priority="835" dxfId="1">
      <formula>AND(IF($Q50=3,1,0),IF($X50&lt;30,1,0))</formula>
    </cfRule>
    <cfRule type="expression" priority="836" dxfId="0">
      <formula>AND(IF($Q50=3,1,IF($Q50=4,1,0)),IF($F50&lt;=85,1,0))</formula>
    </cfRule>
  </conditionalFormatting>
  <conditionalFormatting sqref="X50">
    <cfRule type="expression" priority="829" dxfId="3">
      <formula>AND(IF(OR($Q50=1,$Q50=2),1,0),IF($X50&lt;=20,1,0))</formula>
    </cfRule>
    <cfRule type="expression" priority="830" dxfId="2">
      <formula>AND(IF($Q50=2,1,0),IF($X50&lt;30,1,0))</formula>
    </cfRule>
    <cfRule type="expression" priority="831" dxfId="1">
      <formula>AND(IF($Q50=3,1,0),IF($X50&lt;30,1,0))</formula>
    </cfRule>
    <cfRule type="expression" priority="832" dxfId="0">
      <formula>AND(IF($Q50=3,1,IF($Q50=4,1,0)),IF($F50&lt;=85,1,0))</formula>
    </cfRule>
  </conditionalFormatting>
  <conditionalFormatting sqref="AI50">
    <cfRule type="expression" priority="825" dxfId="3">
      <formula>AND(IF(OR($Q50=1,$Q50=2),1,0),IF($X50&lt;=20,1,0))</formula>
    </cfRule>
    <cfRule type="expression" priority="826" dxfId="2">
      <formula>AND(IF($Q50=2,1,0),IF($X50&lt;30,1,0))</formula>
    </cfRule>
    <cfRule type="expression" priority="827" dxfId="1">
      <formula>AND(IF($Q50=3,1,0),IF($X50&lt;30,1,0))</formula>
    </cfRule>
    <cfRule type="expression" priority="828" dxfId="0">
      <formula>AND(IF($Q50=3,1,IF($Q50=4,1,0)),IF($F50&lt;=85,1,0))</formula>
    </cfRule>
  </conditionalFormatting>
  <conditionalFormatting sqref="AV51">
    <cfRule type="expression" priority="823" dxfId="17">
      <formula>AV51="X"</formula>
    </cfRule>
    <cfRule type="expression" priority="824" dxfId="16">
      <formula>AV51="후보"</formula>
    </cfRule>
  </conditionalFormatting>
  <conditionalFormatting sqref="AC51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51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51">
    <cfRule type="expression" priority="814" dxfId="3">
      <formula>AND(IF(OR($Q51=1,$Q51=2),1,0),IF($X51&lt;=20,1,0))</formula>
    </cfRule>
    <cfRule type="expression" priority="815" dxfId="2">
      <formula>AND(IF($Q51=2,1,0),IF($X51&lt;30,1,0))</formula>
    </cfRule>
    <cfRule type="expression" priority="816" dxfId="1">
      <formula>AND(IF($Q51=3,1,0),IF($X51&lt;30,1,0))</formula>
    </cfRule>
    <cfRule type="expression" priority="817" dxfId="0">
      <formula>AND(IF($Q51=3,1,IF($Q51=4,1,0)),IF($F51&lt;=85,1,0))</formula>
    </cfRule>
  </conditionalFormatting>
  <conditionalFormatting sqref="X51">
    <cfRule type="expression" priority="810" dxfId="3">
      <formula>AND(IF(OR($Q51=1,$Q51=2),1,0),IF($X51&lt;=20,1,0))</formula>
    </cfRule>
    <cfRule type="expression" priority="811" dxfId="2">
      <formula>AND(IF($Q51=2,1,0),IF($X51&lt;30,1,0))</formula>
    </cfRule>
    <cfRule type="expression" priority="812" dxfId="1">
      <formula>AND(IF($Q51=3,1,0),IF($X51&lt;30,1,0))</formula>
    </cfRule>
    <cfRule type="expression" priority="813" dxfId="0">
      <formula>AND(IF($Q51=3,1,IF($Q51=4,1,0)),IF($F51&lt;=85,1,0))</formula>
    </cfRule>
  </conditionalFormatting>
  <conditionalFormatting sqref="AI51">
    <cfRule type="expression" priority="806" dxfId="3">
      <formula>AND(IF(OR($Q51=1,$Q51=2),1,0),IF($X51&lt;=20,1,0))</formula>
    </cfRule>
    <cfRule type="expression" priority="807" dxfId="2">
      <formula>AND(IF($Q51=2,1,0),IF($X51&lt;30,1,0))</formula>
    </cfRule>
    <cfRule type="expression" priority="808" dxfId="1">
      <formula>AND(IF($Q51=3,1,0),IF($X51&lt;30,1,0))</formula>
    </cfRule>
    <cfRule type="expression" priority="809" dxfId="0">
      <formula>AND(IF($Q51=3,1,IF($Q51=4,1,0)),IF($F51&lt;=85,1,0))</formula>
    </cfRule>
  </conditionalFormatting>
  <conditionalFormatting sqref="AV52">
    <cfRule type="expression" priority="804" dxfId="17">
      <formula>AV52="X"</formula>
    </cfRule>
    <cfRule type="expression" priority="805" dxfId="16">
      <formula>AV52="후보"</formula>
    </cfRule>
  </conditionalFormatting>
  <conditionalFormatting sqref="AC52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52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52">
    <cfRule type="expression" priority="795" dxfId="3">
      <formula>AND(IF(OR($Q52=1,$Q52=2),1,0),IF($X52&lt;=20,1,0))</formula>
    </cfRule>
    <cfRule type="expression" priority="796" dxfId="2">
      <formula>AND(IF($Q52=2,1,0),IF($X52&lt;30,1,0))</formula>
    </cfRule>
    <cfRule type="expression" priority="797" dxfId="1">
      <formula>AND(IF($Q52=3,1,0),IF($X52&lt;30,1,0))</formula>
    </cfRule>
    <cfRule type="expression" priority="798" dxfId="0">
      <formula>AND(IF($Q52=3,1,IF($Q52=4,1,0)),IF($F52&lt;=85,1,0))</formula>
    </cfRule>
  </conditionalFormatting>
  <conditionalFormatting sqref="X52">
    <cfRule type="expression" priority="791" dxfId="3">
      <formula>AND(IF(OR($Q52=1,$Q52=2),1,0),IF($X52&lt;=20,1,0))</formula>
    </cfRule>
    <cfRule type="expression" priority="792" dxfId="2">
      <formula>AND(IF($Q52=2,1,0),IF($X52&lt;30,1,0))</formula>
    </cfRule>
    <cfRule type="expression" priority="793" dxfId="1">
      <formula>AND(IF($Q52=3,1,0),IF($X52&lt;30,1,0))</formula>
    </cfRule>
    <cfRule type="expression" priority="794" dxfId="0">
      <formula>AND(IF($Q52=3,1,IF($Q52=4,1,0)),IF($F52&lt;=85,1,0))</formula>
    </cfRule>
  </conditionalFormatting>
  <conditionalFormatting sqref="AI52">
    <cfRule type="expression" priority="787" dxfId="3">
      <formula>AND(IF(OR($Q52=1,$Q52=2),1,0),IF($X52&lt;=20,1,0))</formula>
    </cfRule>
    <cfRule type="expression" priority="788" dxfId="2">
      <formula>AND(IF($Q52=2,1,0),IF($X52&lt;30,1,0))</formula>
    </cfRule>
    <cfRule type="expression" priority="789" dxfId="1">
      <formula>AND(IF($Q52=3,1,0),IF($X52&lt;30,1,0))</formula>
    </cfRule>
    <cfRule type="expression" priority="790" dxfId="0">
      <formula>AND(IF($Q52=3,1,IF($Q52=4,1,0)),IF($F52&lt;=85,1,0))</formula>
    </cfRule>
  </conditionalFormatting>
  <conditionalFormatting sqref="AV53">
    <cfRule type="expression" priority="785" dxfId="17">
      <formula>AV53="X"</formula>
    </cfRule>
    <cfRule type="expression" priority="786" dxfId="16">
      <formula>AV53="후보"</formula>
    </cfRule>
  </conditionalFormatting>
  <conditionalFormatting sqref="AC53 N53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AV54">
    <cfRule type="expression" priority="780" dxfId="17">
      <formula>AV54="X"</formula>
    </cfRule>
    <cfRule type="expression" priority="781" dxfId="16">
      <formula>AV54="후보"</formula>
    </cfRule>
  </conditionalFormatting>
  <conditionalFormatting sqref="AC54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54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54">
    <cfRule type="expression" priority="771" dxfId="3">
      <formula>AND(IF(OR($Q54=1,$Q54=2),1,0),IF($X54&lt;=20,1,0))</formula>
    </cfRule>
    <cfRule type="expression" priority="772" dxfId="2">
      <formula>AND(IF($Q54=2,1,0),IF($X54&lt;30,1,0))</formula>
    </cfRule>
    <cfRule type="expression" priority="773" dxfId="1">
      <formula>AND(IF($Q54=3,1,0),IF($X54&lt;30,1,0))</formula>
    </cfRule>
    <cfRule type="expression" priority="774" dxfId="0">
      <formula>AND(IF($Q54=3,1,IF($Q54=4,1,0)),IF($F54&lt;=85,1,0))</formula>
    </cfRule>
  </conditionalFormatting>
  <conditionalFormatting sqref="X54">
    <cfRule type="expression" priority="767" dxfId="3">
      <formula>AND(IF(OR($Q54=1,$Q54=2),1,0),IF($X54&lt;=20,1,0))</formula>
    </cfRule>
    <cfRule type="expression" priority="768" dxfId="2">
      <formula>AND(IF($Q54=2,1,0),IF($X54&lt;30,1,0))</formula>
    </cfRule>
    <cfRule type="expression" priority="769" dxfId="1">
      <formula>AND(IF($Q54=3,1,0),IF($X54&lt;30,1,0))</formula>
    </cfRule>
    <cfRule type="expression" priority="770" dxfId="0">
      <formula>AND(IF($Q54=3,1,IF($Q54=4,1,0)),IF($F54&lt;=85,1,0))</formula>
    </cfRule>
  </conditionalFormatting>
  <conditionalFormatting sqref="AI54">
    <cfRule type="expression" priority="763" dxfId="3">
      <formula>AND(IF(OR($Q54=1,$Q54=2),1,0),IF($X54&lt;=20,1,0))</formula>
    </cfRule>
    <cfRule type="expression" priority="764" dxfId="2">
      <formula>AND(IF($Q54=2,1,0),IF($X54&lt;30,1,0))</formula>
    </cfRule>
    <cfRule type="expression" priority="765" dxfId="1">
      <formula>AND(IF($Q54=3,1,0),IF($X54&lt;30,1,0))</formula>
    </cfRule>
    <cfRule type="expression" priority="766" dxfId="0">
      <formula>AND(IF($Q54=3,1,IF($Q54=4,1,0)),IF($F54&lt;=85,1,0))</formula>
    </cfRule>
  </conditionalFormatting>
  <conditionalFormatting sqref="AV55">
    <cfRule type="expression" priority="761" dxfId="17">
      <formula>AV55="X"</formula>
    </cfRule>
    <cfRule type="expression" priority="762" dxfId="16">
      <formula>AV55="후보"</formula>
    </cfRule>
  </conditionalFormatting>
  <conditionalFormatting sqref="AC55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55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55">
    <cfRule type="expression" priority="752" dxfId="3">
      <formula>AND(IF(OR($Q55=1,$Q55=2),1,0),IF($X55&lt;=20,1,0))</formula>
    </cfRule>
    <cfRule type="expression" priority="753" dxfId="2">
      <formula>AND(IF($Q55=2,1,0),IF($X55&lt;30,1,0))</formula>
    </cfRule>
    <cfRule type="expression" priority="754" dxfId="1">
      <formula>AND(IF($Q55=3,1,0),IF($X55&lt;30,1,0))</formula>
    </cfRule>
    <cfRule type="expression" priority="755" dxfId="0">
      <formula>AND(IF($Q55=3,1,IF($Q55=4,1,0)),IF($F55&lt;=85,1,0))</formula>
    </cfRule>
  </conditionalFormatting>
  <conditionalFormatting sqref="X55">
    <cfRule type="expression" priority="748" dxfId="3">
      <formula>AND(IF(OR($Q55=1,$Q55=2),1,0),IF($X55&lt;=20,1,0))</formula>
    </cfRule>
    <cfRule type="expression" priority="749" dxfId="2">
      <formula>AND(IF($Q55=2,1,0),IF($X55&lt;30,1,0))</formula>
    </cfRule>
    <cfRule type="expression" priority="750" dxfId="1">
      <formula>AND(IF($Q55=3,1,0),IF($X55&lt;30,1,0))</formula>
    </cfRule>
    <cfRule type="expression" priority="751" dxfId="0">
      <formula>AND(IF($Q55=3,1,IF($Q55=4,1,0)),IF($F55&lt;=85,1,0))</formula>
    </cfRule>
  </conditionalFormatting>
  <conditionalFormatting sqref="AI55">
    <cfRule type="expression" priority="744" dxfId="3">
      <formula>AND(IF(OR($Q55=1,$Q55=2),1,0),IF($X55&lt;=20,1,0))</formula>
    </cfRule>
    <cfRule type="expression" priority="745" dxfId="2">
      <formula>AND(IF($Q55=2,1,0),IF($X55&lt;30,1,0))</formula>
    </cfRule>
    <cfRule type="expression" priority="746" dxfId="1">
      <formula>AND(IF($Q55=3,1,0),IF($X55&lt;30,1,0))</formula>
    </cfRule>
    <cfRule type="expression" priority="747" dxfId="0">
      <formula>AND(IF($Q55=3,1,IF($Q55=4,1,0)),IF($F55&lt;=85,1,0))</formula>
    </cfRule>
  </conditionalFormatting>
  <conditionalFormatting sqref="AV56">
    <cfRule type="expression" priority="742" dxfId="17">
      <formula>AV56="X"</formula>
    </cfRule>
    <cfRule type="expression" priority="743" dxfId="16">
      <formula>AV56="후보"</formula>
    </cfRule>
  </conditionalFormatting>
  <conditionalFormatting sqref="AC56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56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56">
    <cfRule type="expression" priority="733" dxfId="3">
      <formula>AND(IF(OR($Q56=1,$Q56=2),1,0),IF($X56&lt;=20,1,0))</formula>
    </cfRule>
    <cfRule type="expression" priority="734" dxfId="2">
      <formula>AND(IF($Q56=2,1,0),IF($X56&lt;30,1,0))</formula>
    </cfRule>
    <cfRule type="expression" priority="735" dxfId="1">
      <formula>AND(IF($Q56=3,1,0),IF($X56&lt;30,1,0))</formula>
    </cfRule>
    <cfRule type="expression" priority="736" dxfId="0">
      <formula>AND(IF($Q56=3,1,IF($Q56=4,1,0)),IF($F56&lt;=85,1,0))</formula>
    </cfRule>
  </conditionalFormatting>
  <conditionalFormatting sqref="X56">
    <cfRule type="expression" priority="729" dxfId="3">
      <formula>AND(IF(OR($Q56=1,$Q56=2),1,0),IF($X56&lt;=20,1,0))</formula>
    </cfRule>
    <cfRule type="expression" priority="730" dxfId="2">
      <formula>AND(IF($Q56=2,1,0),IF($X56&lt;30,1,0))</formula>
    </cfRule>
    <cfRule type="expression" priority="731" dxfId="1">
      <formula>AND(IF($Q56=3,1,0),IF($X56&lt;30,1,0))</formula>
    </cfRule>
    <cfRule type="expression" priority="732" dxfId="0">
      <formula>AND(IF($Q56=3,1,IF($Q56=4,1,0)),IF($F56&lt;=85,1,0))</formula>
    </cfRule>
  </conditionalFormatting>
  <conditionalFormatting sqref="AI56">
    <cfRule type="expression" priority="725" dxfId="3">
      <formula>AND(IF(OR($Q56=1,$Q56=2),1,0),IF($X56&lt;=20,1,0))</formula>
    </cfRule>
    <cfRule type="expression" priority="726" dxfId="2">
      <formula>AND(IF($Q56=2,1,0),IF($X56&lt;30,1,0))</formula>
    </cfRule>
    <cfRule type="expression" priority="727" dxfId="1">
      <formula>AND(IF($Q56=3,1,0),IF($X56&lt;30,1,0))</formula>
    </cfRule>
    <cfRule type="expression" priority="728" dxfId="0">
      <formula>AND(IF($Q56=3,1,IF($Q56=4,1,0)),IF($F56&lt;=85,1,0))</formula>
    </cfRule>
  </conditionalFormatting>
  <conditionalFormatting sqref="AV57">
    <cfRule type="expression" priority="723" dxfId="17">
      <formula>AV57="X"</formula>
    </cfRule>
    <cfRule type="expression" priority="724" dxfId="16">
      <formula>AV57="후보"</formula>
    </cfRule>
  </conditionalFormatting>
  <conditionalFormatting sqref="AC57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57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57">
    <cfRule type="expression" priority="714" dxfId="3">
      <formula>AND(IF(OR($Q57=1,$Q57=2),1,0),IF($X57&lt;=20,1,0))</formula>
    </cfRule>
    <cfRule type="expression" priority="715" dxfId="2">
      <formula>AND(IF($Q57=2,1,0),IF($X57&lt;30,1,0))</formula>
    </cfRule>
    <cfRule type="expression" priority="716" dxfId="1">
      <formula>AND(IF($Q57=3,1,0),IF($X57&lt;30,1,0))</formula>
    </cfRule>
    <cfRule type="expression" priority="717" dxfId="0">
      <formula>AND(IF($Q57=3,1,IF($Q57=4,1,0)),IF($F57&lt;=85,1,0))</formula>
    </cfRule>
  </conditionalFormatting>
  <conditionalFormatting sqref="X57">
    <cfRule type="expression" priority="710" dxfId="3">
      <formula>AND(IF(OR($Q57=1,$Q57=2),1,0),IF($X57&lt;=20,1,0))</formula>
    </cfRule>
    <cfRule type="expression" priority="711" dxfId="2">
      <formula>AND(IF($Q57=2,1,0),IF($X57&lt;30,1,0))</formula>
    </cfRule>
    <cfRule type="expression" priority="712" dxfId="1">
      <formula>AND(IF($Q57=3,1,0),IF($X57&lt;30,1,0))</formula>
    </cfRule>
    <cfRule type="expression" priority="713" dxfId="0">
      <formula>AND(IF($Q57=3,1,IF($Q57=4,1,0)),IF($F57&lt;=85,1,0))</formula>
    </cfRule>
  </conditionalFormatting>
  <conditionalFormatting sqref="AI57">
    <cfRule type="expression" priority="706" dxfId="3">
      <formula>AND(IF(OR($Q57=1,$Q57=2),1,0),IF($X57&lt;=20,1,0))</formula>
    </cfRule>
    <cfRule type="expression" priority="707" dxfId="2">
      <formula>AND(IF($Q57=2,1,0),IF($X57&lt;30,1,0))</formula>
    </cfRule>
    <cfRule type="expression" priority="708" dxfId="1">
      <formula>AND(IF($Q57=3,1,0),IF($X57&lt;30,1,0))</formula>
    </cfRule>
    <cfRule type="expression" priority="709" dxfId="0">
      <formula>AND(IF($Q57=3,1,IF($Q57=4,1,0)),IF($F57&lt;=85,1,0))</formula>
    </cfRule>
  </conditionalFormatting>
  <conditionalFormatting sqref="AV58">
    <cfRule type="expression" priority="704" dxfId="17">
      <formula>AV58="X"</formula>
    </cfRule>
    <cfRule type="expression" priority="705" dxfId="16">
      <formula>AV58="후보"</formula>
    </cfRule>
  </conditionalFormatting>
  <conditionalFormatting sqref="AC58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58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58">
    <cfRule type="expression" priority="695" dxfId="3">
      <formula>AND(IF(OR($Q58=1,$Q58=2),1,0),IF($X58&lt;=20,1,0))</formula>
    </cfRule>
    <cfRule type="expression" priority="696" dxfId="2">
      <formula>AND(IF($Q58=2,1,0),IF($X58&lt;30,1,0))</formula>
    </cfRule>
    <cfRule type="expression" priority="697" dxfId="1">
      <formula>AND(IF($Q58=3,1,0),IF($X58&lt;30,1,0))</formula>
    </cfRule>
    <cfRule type="expression" priority="698" dxfId="0">
      <formula>AND(IF($Q58=3,1,IF($Q58=4,1,0)),IF($F58&lt;=85,1,0))</formula>
    </cfRule>
  </conditionalFormatting>
  <conditionalFormatting sqref="X58">
    <cfRule type="expression" priority="691" dxfId="3">
      <formula>AND(IF(OR($Q58=1,$Q58=2),1,0),IF($X58&lt;=20,1,0))</formula>
    </cfRule>
    <cfRule type="expression" priority="692" dxfId="2">
      <formula>AND(IF($Q58=2,1,0),IF($X58&lt;30,1,0))</formula>
    </cfRule>
    <cfRule type="expression" priority="693" dxfId="1">
      <formula>AND(IF($Q58=3,1,0),IF($X58&lt;30,1,0))</formula>
    </cfRule>
    <cfRule type="expression" priority="694" dxfId="0">
      <formula>AND(IF($Q58=3,1,IF($Q58=4,1,0)),IF($F58&lt;=85,1,0))</formula>
    </cfRule>
  </conditionalFormatting>
  <conditionalFormatting sqref="AI58">
    <cfRule type="expression" priority="687" dxfId="3">
      <formula>AND(IF(OR($Q58=1,$Q58=2),1,0),IF($X58&lt;=20,1,0))</formula>
    </cfRule>
    <cfRule type="expression" priority="688" dxfId="2">
      <formula>AND(IF($Q58=2,1,0),IF($X58&lt;30,1,0))</formula>
    </cfRule>
    <cfRule type="expression" priority="689" dxfId="1">
      <formula>AND(IF($Q58=3,1,0),IF($X58&lt;30,1,0))</formula>
    </cfRule>
    <cfRule type="expression" priority="690" dxfId="0">
      <formula>AND(IF($Q58=3,1,IF($Q58=4,1,0)),IF($F58&lt;=85,1,0))</formula>
    </cfRule>
  </conditionalFormatting>
  <conditionalFormatting sqref="AV59">
    <cfRule type="expression" priority="685" dxfId="17">
      <formula>AV59="X"</formula>
    </cfRule>
    <cfRule type="expression" priority="686" dxfId="16">
      <formula>AV59="후보"</formula>
    </cfRule>
  </conditionalFormatting>
  <conditionalFormatting sqref="AC59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59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59">
    <cfRule type="expression" priority="676" dxfId="3">
      <formula>AND(IF(OR($Q59=1,$Q59=2),1,0),IF($X59&lt;=20,1,0))</formula>
    </cfRule>
    <cfRule type="expression" priority="677" dxfId="2">
      <formula>AND(IF($Q59=2,1,0),IF($X59&lt;30,1,0))</formula>
    </cfRule>
    <cfRule type="expression" priority="678" dxfId="1">
      <formula>AND(IF($Q59=3,1,0),IF($X59&lt;30,1,0))</formula>
    </cfRule>
    <cfRule type="expression" priority="679" dxfId="0">
      <formula>AND(IF($Q59=3,1,IF($Q59=4,1,0)),IF($F59&lt;=85,1,0))</formula>
    </cfRule>
  </conditionalFormatting>
  <conditionalFormatting sqref="X59">
    <cfRule type="expression" priority="672" dxfId="3">
      <formula>AND(IF(OR($Q59=1,$Q59=2),1,0),IF($X59&lt;=20,1,0))</formula>
    </cfRule>
    <cfRule type="expression" priority="673" dxfId="2">
      <formula>AND(IF($Q59=2,1,0),IF($X59&lt;30,1,0))</formula>
    </cfRule>
    <cfRule type="expression" priority="674" dxfId="1">
      <formula>AND(IF($Q59=3,1,0),IF($X59&lt;30,1,0))</formula>
    </cfRule>
    <cfRule type="expression" priority="675" dxfId="0">
      <formula>AND(IF($Q59=3,1,IF($Q59=4,1,0)),IF($F59&lt;=85,1,0))</formula>
    </cfRule>
  </conditionalFormatting>
  <conditionalFormatting sqref="AI59">
    <cfRule type="expression" priority="668" dxfId="3">
      <formula>AND(IF(OR($Q59=1,$Q59=2),1,0),IF($X59&lt;=20,1,0))</formula>
    </cfRule>
    <cfRule type="expression" priority="669" dxfId="2">
      <formula>AND(IF($Q59=2,1,0),IF($X59&lt;30,1,0))</formula>
    </cfRule>
    <cfRule type="expression" priority="670" dxfId="1">
      <formula>AND(IF($Q59=3,1,0),IF($X59&lt;30,1,0))</formula>
    </cfRule>
    <cfRule type="expression" priority="671" dxfId="0">
      <formula>AND(IF($Q59=3,1,IF($Q59=4,1,0)),IF($F59&lt;=85,1,0))</formula>
    </cfRule>
  </conditionalFormatting>
  <conditionalFormatting sqref="AV60">
    <cfRule type="expression" priority="666" dxfId="17">
      <formula>AV60="X"</formula>
    </cfRule>
    <cfRule type="expression" priority="667" dxfId="16">
      <formula>AV60="후보"</formula>
    </cfRule>
  </conditionalFormatting>
  <conditionalFormatting sqref="AC60 N60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AV61">
    <cfRule type="expression" priority="661" dxfId="17">
      <formula>AV61="X"</formula>
    </cfRule>
    <cfRule type="expression" priority="662" dxfId="16">
      <formula>AV61="후보"</formula>
    </cfRule>
  </conditionalFormatting>
  <conditionalFormatting sqref="AC61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61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61">
    <cfRule type="expression" priority="652" dxfId="3">
      <formula>AND(IF(OR($Q61=1,$Q61=2),1,0),IF($X61&lt;=20,1,0))</formula>
    </cfRule>
    <cfRule type="expression" priority="653" dxfId="2">
      <formula>AND(IF($Q61=2,1,0),IF($X61&lt;30,1,0))</formula>
    </cfRule>
    <cfRule type="expression" priority="654" dxfId="1">
      <formula>AND(IF($Q61=3,1,0),IF($X61&lt;30,1,0))</formula>
    </cfRule>
    <cfRule type="expression" priority="655" dxfId="0">
      <formula>AND(IF($Q61=3,1,IF($Q61=4,1,0)),IF($F61&lt;=85,1,0))</formula>
    </cfRule>
  </conditionalFormatting>
  <conditionalFormatting sqref="X61">
    <cfRule type="expression" priority="648" dxfId="3">
      <formula>AND(IF(OR($Q61=1,$Q61=2),1,0),IF($X61&lt;=20,1,0))</formula>
    </cfRule>
    <cfRule type="expression" priority="649" dxfId="2">
      <formula>AND(IF($Q61=2,1,0),IF($X61&lt;30,1,0))</formula>
    </cfRule>
    <cfRule type="expression" priority="650" dxfId="1">
      <formula>AND(IF($Q61=3,1,0),IF($X61&lt;30,1,0))</formula>
    </cfRule>
    <cfRule type="expression" priority="651" dxfId="0">
      <formula>AND(IF($Q61=3,1,IF($Q61=4,1,0)),IF($F61&lt;=85,1,0))</formula>
    </cfRule>
  </conditionalFormatting>
  <conditionalFormatting sqref="AI61">
    <cfRule type="expression" priority="644" dxfId="3">
      <formula>AND(IF(OR($Q61=1,$Q61=2),1,0),IF($X61&lt;=20,1,0))</formula>
    </cfRule>
    <cfRule type="expression" priority="645" dxfId="2">
      <formula>AND(IF($Q61=2,1,0),IF($X61&lt;30,1,0))</formula>
    </cfRule>
    <cfRule type="expression" priority="646" dxfId="1">
      <formula>AND(IF($Q61=3,1,0),IF($X61&lt;30,1,0))</formula>
    </cfRule>
    <cfRule type="expression" priority="647" dxfId="0">
      <formula>AND(IF($Q61=3,1,IF($Q61=4,1,0)),IF($F61&lt;=85,1,0))</formula>
    </cfRule>
  </conditionalFormatting>
  <conditionalFormatting sqref="AV62">
    <cfRule type="expression" priority="642" dxfId="17">
      <formula>AV62="X"</formula>
    </cfRule>
    <cfRule type="expression" priority="643" dxfId="16">
      <formula>AV62="후보"</formula>
    </cfRule>
  </conditionalFormatting>
  <conditionalFormatting sqref="AC62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62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62">
    <cfRule type="expression" priority="633" dxfId="3">
      <formula>AND(IF(OR($Q62=1,$Q62=2),1,0),IF($X62&lt;=20,1,0))</formula>
    </cfRule>
    <cfRule type="expression" priority="634" dxfId="2">
      <formula>AND(IF($Q62=2,1,0),IF($X62&lt;30,1,0))</formula>
    </cfRule>
    <cfRule type="expression" priority="635" dxfId="1">
      <formula>AND(IF($Q62=3,1,0),IF($X62&lt;30,1,0))</formula>
    </cfRule>
    <cfRule type="expression" priority="636" dxfId="0">
      <formula>AND(IF($Q62=3,1,IF($Q62=4,1,0)),IF($F62&lt;=85,1,0))</formula>
    </cfRule>
  </conditionalFormatting>
  <conditionalFormatting sqref="X62">
    <cfRule type="expression" priority="629" dxfId="3">
      <formula>AND(IF(OR($Q62=1,$Q62=2),1,0),IF($X62&lt;=20,1,0))</formula>
    </cfRule>
    <cfRule type="expression" priority="630" dxfId="2">
      <formula>AND(IF($Q62=2,1,0),IF($X62&lt;30,1,0))</formula>
    </cfRule>
    <cfRule type="expression" priority="631" dxfId="1">
      <formula>AND(IF($Q62=3,1,0),IF($X62&lt;30,1,0))</formula>
    </cfRule>
    <cfRule type="expression" priority="632" dxfId="0">
      <formula>AND(IF($Q62=3,1,IF($Q62=4,1,0)),IF($F62&lt;=85,1,0))</formula>
    </cfRule>
  </conditionalFormatting>
  <conditionalFormatting sqref="AI62">
    <cfRule type="expression" priority="625" dxfId="3">
      <formula>AND(IF(OR($Q62=1,$Q62=2),1,0),IF($X62&lt;=20,1,0))</formula>
    </cfRule>
    <cfRule type="expression" priority="626" dxfId="2">
      <formula>AND(IF($Q62=2,1,0),IF($X62&lt;30,1,0))</formula>
    </cfRule>
    <cfRule type="expression" priority="627" dxfId="1">
      <formula>AND(IF($Q62=3,1,0),IF($X62&lt;30,1,0))</formula>
    </cfRule>
    <cfRule type="expression" priority="628" dxfId="0">
      <formula>AND(IF($Q62=3,1,IF($Q62=4,1,0)),IF($F62&lt;=85,1,0))</formula>
    </cfRule>
  </conditionalFormatting>
  <conditionalFormatting sqref="AV63">
    <cfRule type="expression" priority="623" dxfId="17">
      <formula>AV63="X"</formula>
    </cfRule>
    <cfRule type="expression" priority="624" dxfId="16">
      <formula>AV63="후보"</formula>
    </cfRule>
  </conditionalFormatting>
  <conditionalFormatting sqref="AC63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63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63">
    <cfRule type="expression" priority="614" dxfId="3">
      <formula>AND(IF(OR($Q63=1,$Q63=2),1,0),IF($X63&lt;=20,1,0))</formula>
    </cfRule>
    <cfRule type="expression" priority="615" dxfId="2">
      <formula>AND(IF($Q63=2,1,0),IF($X63&lt;30,1,0))</formula>
    </cfRule>
    <cfRule type="expression" priority="616" dxfId="1">
      <formula>AND(IF($Q63=3,1,0),IF($X63&lt;30,1,0))</formula>
    </cfRule>
    <cfRule type="expression" priority="617" dxfId="0">
      <formula>AND(IF($Q63=3,1,IF($Q63=4,1,0)),IF($F63&lt;=85,1,0))</formula>
    </cfRule>
  </conditionalFormatting>
  <conditionalFormatting sqref="X63">
    <cfRule type="expression" priority="610" dxfId="3">
      <formula>AND(IF(OR($Q63=1,$Q63=2),1,0),IF($X63&lt;=20,1,0))</formula>
    </cfRule>
    <cfRule type="expression" priority="611" dxfId="2">
      <formula>AND(IF($Q63=2,1,0),IF($X63&lt;30,1,0))</formula>
    </cfRule>
    <cfRule type="expression" priority="612" dxfId="1">
      <formula>AND(IF($Q63=3,1,0),IF($X63&lt;30,1,0))</formula>
    </cfRule>
    <cfRule type="expression" priority="613" dxfId="0">
      <formula>AND(IF($Q63=3,1,IF($Q63=4,1,0)),IF($F63&lt;=85,1,0))</formula>
    </cfRule>
  </conditionalFormatting>
  <conditionalFormatting sqref="AI63">
    <cfRule type="expression" priority="606" dxfId="3">
      <formula>AND(IF(OR($Q63=1,$Q63=2),1,0),IF($X63&lt;=20,1,0))</formula>
    </cfRule>
    <cfRule type="expression" priority="607" dxfId="2">
      <formula>AND(IF($Q63=2,1,0),IF($X63&lt;30,1,0))</formula>
    </cfRule>
    <cfRule type="expression" priority="608" dxfId="1">
      <formula>AND(IF($Q63=3,1,0),IF($X63&lt;30,1,0))</formula>
    </cfRule>
    <cfRule type="expression" priority="609" dxfId="0">
      <formula>AND(IF($Q63=3,1,IF($Q63=4,1,0)),IF($F63&lt;=85,1,0))</formula>
    </cfRule>
  </conditionalFormatting>
  <conditionalFormatting sqref="AV64">
    <cfRule type="expression" priority="604" dxfId="17">
      <formula>AV64="X"</formula>
    </cfRule>
    <cfRule type="expression" priority="605" dxfId="16">
      <formula>AV64="후보"</formula>
    </cfRule>
  </conditionalFormatting>
  <conditionalFormatting sqref="AC64 N64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AV65">
    <cfRule type="expression" priority="599" dxfId="17">
      <formula>AV65="X"</formula>
    </cfRule>
    <cfRule type="expression" priority="600" dxfId="16">
      <formula>AV65="후보"</formula>
    </cfRule>
  </conditionalFormatting>
  <conditionalFormatting sqref="AC65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65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65">
    <cfRule type="expression" priority="590" dxfId="3">
      <formula>AND(IF(OR($Q65=1,$Q65=2),1,0),IF($X65&lt;=20,1,0))</formula>
    </cfRule>
    <cfRule type="expression" priority="591" dxfId="2">
      <formula>AND(IF($Q65=2,1,0),IF($X65&lt;30,1,0))</formula>
    </cfRule>
    <cfRule type="expression" priority="592" dxfId="1">
      <formula>AND(IF($Q65=3,1,0),IF($X65&lt;30,1,0))</formula>
    </cfRule>
    <cfRule type="expression" priority="593" dxfId="0">
      <formula>AND(IF($Q65=3,1,IF($Q65=4,1,0)),IF($F65&lt;=85,1,0))</formula>
    </cfRule>
  </conditionalFormatting>
  <conditionalFormatting sqref="X65">
    <cfRule type="expression" priority="586" dxfId="3">
      <formula>AND(IF(OR($Q65=1,$Q65=2),1,0),IF($X65&lt;=20,1,0))</formula>
    </cfRule>
    <cfRule type="expression" priority="587" dxfId="2">
      <formula>AND(IF($Q65=2,1,0),IF($X65&lt;30,1,0))</formula>
    </cfRule>
    <cfRule type="expression" priority="588" dxfId="1">
      <formula>AND(IF($Q65=3,1,0),IF($X65&lt;30,1,0))</formula>
    </cfRule>
    <cfRule type="expression" priority="589" dxfId="0">
      <formula>AND(IF($Q65=3,1,IF($Q65=4,1,0)),IF($F65&lt;=85,1,0))</formula>
    </cfRule>
  </conditionalFormatting>
  <conditionalFormatting sqref="AI65">
    <cfRule type="expression" priority="582" dxfId="3">
      <formula>AND(IF(OR($Q65=1,$Q65=2),1,0),IF($X65&lt;=20,1,0))</formula>
    </cfRule>
    <cfRule type="expression" priority="583" dxfId="2">
      <formula>AND(IF($Q65=2,1,0),IF($X65&lt;30,1,0))</formula>
    </cfRule>
    <cfRule type="expression" priority="584" dxfId="1">
      <formula>AND(IF($Q65=3,1,0),IF($X65&lt;30,1,0))</formula>
    </cfRule>
    <cfRule type="expression" priority="585" dxfId="0">
      <formula>AND(IF($Q65=3,1,IF($Q65=4,1,0)),IF($F65&lt;=85,1,0))</formula>
    </cfRule>
  </conditionalFormatting>
  <conditionalFormatting sqref="AV66">
    <cfRule type="expression" priority="580" dxfId="17">
      <formula>AV66="X"</formula>
    </cfRule>
    <cfRule type="expression" priority="581" dxfId="16">
      <formula>AV66="후보"</formula>
    </cfRule>
  </conditionalFormatting>
  <conditionalFormatting sqref="AC66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66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66">
    <cfRule type="expression" priority="571" dxfId="3">
      <formula>AND(IF(OR($Q66=1,$Q66=2),1,0),IF($X66&lt;=20,1,0))</formula>
    </cfRule>
    <cfRule type="expression" priority="572" dxfId="2">
      <formula>AND(IF($Q66=2,1,0),IF($X66&lt;30,1,0))</formula>
    </cfRule>
    <cfRule type="expression" priority="573" dxfId="1">
      <formula>AND(IF($Q66=3,1,0),IF($X66&lt;30,1,0))</formula>
    </cfRule>
    <cfRule type="expression" priority="574" dxfId="0">
      <formula>AND(IF($Q66=3,1,IF($Q66=4,1,0)),IF($F66&lt;=85,1,0))</formula>
    </cfRule>
  </conditionalFormatting>
  <conditionalFormatting sqref="X66">
    <cfRule type="expression" priority="567" dxfId="3">
      <formula>AND(IF(OR($Q66=1,$Q66=2),1,0),IF($X66&lt;=20,1,0))</formula>
    </cfRule>
    <cfRule type="expression" priority="568" dxfId="2">
      <formula>AND(IF($Q66=2,1,0),IF($X66&lt;30,1,0))</formula>
    </cfRule>
    <cfRule type="expression" priority="569" dxfId="1">
      <formula>AND(IF($Q66=3,1,0),IF($X66&lt;30,1,0))</formula>
    </cfRule>
    <cfRule type="expression" priority="570" dxfId="0">
      <formula>AND(IF($Q66=3,1,IF($Q66=4,1,0)),IF($F66&lt;=85,1,0))</formula>
    </cfRule>
  </conditionalFormatting>
  <conditionalFormatting sqref="AI66">
    <cfRule type="expression" priority="563" dxfId="3">
      <formula>AND(IF(OR($Q66=1,$Q66=2),1,0),IF($X66&lt;=20,1,0))</formula>
    </cfRule>
    <cfRule type="expression" priority="564" dxfId="2">
      <formula>AND(IF($Q66=2,1,0),IF($X66&lt;30,1,0))</formula>
    </cfRule>
    <cfRule type="expression" priority="565" dxfId="1">
      <formula>AND(IF($Q66=3,1,0),IF($X66&lt;30,1,0))</formula>
    </cfRule>
    <cfRule type="expression" priority="566" dxfId="0">
      <formula>AND(IF($Q66=3,1,IF($Q66=4,1,0)),IF($F66&lt;=85,1,0))</formula>
    </cfRule>
  </conditionalFormatting>
  <conditionalFormatting sqref="AV67">
    <cfRule type="expression" priority="561" dxfId="17">
      <formula>AV67="X"</formula>
    </cfRule>
    <cfRule type="expression" priority="562" dxfId="16">
      <formula>AV67="후보"</formula>
    </cfRule>
  </conditionalFormatting>
  <conditionalFormatting sqref="AC67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67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67">
    <cfRule type="expression" priority="552" dxfId="3">
      <formula>AND(IF(OR($Q67=1,$Q67=2),1,0),IF($X67&lt;=20,1,0))</formula>
    </cfRule>
    <cfRule type="expression" priority="553" dxfId="2">
      <formula>AND(IF($Q67=2,1,0),IF($X67&lt;30,1,0))</formula>
    </cfRule>
    <cfRule type="expression" priority="554" dxfId="1">
      <formula>AND(IF($Q67=3,1,0),IF($X67&lt;30,1,0))</formula>
    </cfRule>
    <cfRule type="expression" priority="555" dxfId="0">
      <formula>AND(IF($Q67=3,1,IF($Q67=4,1,0)),IF($F67&lt;=85,1,0))</formula>
    </cfRule>
  </conditionalFormatting>
  <conditionalFormatting sqref="X67">
    <cfRule type="expression" priority="548" dxfId="3">
      <formula>AND(IF(OR($Q67=1,$Q67=2),1,0),IF($X67&lt;=20,1,0))</formula>
    </cfRule>
    <cfRule type="expression" priority="549" dxfId="2">
      <formula>AND(IF($Q67=2,1,0),IF($X67&lt;30,1,0))</formula>
    </cfRule>
    <cfRule type="expression" priority="550" dxfId="1">
      <formula>AND(IF($Q67=3,1,0),IF($X67&lt;30,1,0))</formula>
    </cfRule>
    <cfRule type="expression" priority="551" dxfId="0">
      <formula>AND(IF($Q67=3,1,IF($Q67=4,1,0)),IF($F67&lt;=85,1,0))</formula>
    </cfRule>
  </conditionalFormatting>
  <conditionalFormatting sqref="AI67">
    <cfRule type="expression" priority="544" dxfId="3">
      <formula>AND(IF(OR($Q67=1,$Q67=2),1,0),IF($X67&lt;=20,1,0))</formula>
    </cfRule>
    <cfRule type="expression" priority="545" dxfId="2">
      <formula>AND(IF($Q67=2,1,0),IF($X67&lt;30,1,0))</formula>
    </cfRule>
    <cfRule type="expression" priority="546" dxfId="1">
      <formula>AND(IF($Q67=3,1,0),IF($X67&lt;30,1,0))</formula>
    </cfRule>
    <cfRule type="expression" priority="547" dxfId="0">
      <formula>AND(IF($Q67=3,1,IF($Q67=4,1,0)),IF($F67&lt;=85,1,0))</formula>
    </cfRule>
  </conditionalFormatting>
  <conditionalFormatting sqref="AV68">
    <cfRule type="expression" priority="542" dxfId="17">
      <formula>AV68="X"</formula>
    </cfRule>
    <cfRule type="expression" priority="543" dxfId="16">
      <formula>AV68="후보"</formula>
    </cfRule>
  </conditionalFormatting>
  <conditionalFormatting sqref="AC68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68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68">
    <cfRule type="expression" priority="533" dxfId="3">
      <formula>AND(IF(OR($Q68=1,$Q68=2),1,0),IF($X68&lt;=20,1,0))</formula>
    </cfRule>
    <cfRule type="expression" priority="534" dxfId="2">
      <formula>AND(IF($Q68=2,1,0),IF($X68&lt;30,1,0))</formula>
    </cfRule>
    <cfRule type="expression" priority="535" dxfId="1">
      <formula>AND(IF($Q68=3,1,0),IF($X68&lt;30,1,0))</formula>
    </cfRule>
    <cfRule type="expression" priority="536" dxfId="0">
      <formula>AND(IF($Q68=3,1,IF($Q68=4,1,0)),IF($F68&lt;=85,1,0))</formula>
    </cfRule>
  </conditionalFormatting>
  <conditionalFormatting sqref="X68">
    <cfRule type="expression" priority="529" dxfId="3">
      <formula>AND(IF(OR($Q68=1,$Q68=2),1,0),IF($X68&lt;=20,1,0))</formula>
    </cfRule>
    <cfRule type="expression" priority="530" dxfId="2">
      <formula>AND(IF($Q68=2,1,0),IF($X68&lt;30,1,0))</formula>
    </cfRule>
    <cfRule type="expression" priority="531" dxfId="1">
      <formula>AND(IF($Q68=3,1,0),IF($X68&lt;30,1,0))</formula>
    </cfRule>
    <cfRule type="expression" priority="532" dxfId="0">
      <formula>AND(IF($Q68=3,1,IF($Q68=4,1,0)),IF($F68&lt;=85,1,0))</formula>
    </cfRule>
  </conditionalFormatting>
  <conditionalFormatting sqref="AI68">
    <cfRule type="expression" priority="525" dxfId="3">
      <formula>AND(IF(OR($Q68=1,$Q68=2),1,0),IF($X68&lt;=20,1,0))</formula>
    </cfRule>
    <cfRule type="expression" priority="526" dxfId="2">
      <formula>AND(IF($Q68=2,1,0),IF($X68&lt;30,1,0))</formula>
    </cfRule>
    <cfRule type="expression" priority="527" dxfId="1">
      <formula>AND(IF($Q68=3,1,0),IF($X68&lt;30,1,0))</formula>
    </cfRule>
    <cfRule type="expression" priority="528" dxfId="0">
      <formula>AND(IF($Q68=3,1,IF($Q68=4,1,0)),IF($F68&lt;=85,1,0))</formula>
    </cfRule>
  </conditionalFormatting>
  <conditionalFormatting sqref="AV69">
    <cfRule type="expression" priority="523" dxfId="17">
      <formula>AV69="X"</formula>
    </cfRule>
    <cfRule type="expression" priority="524" dxfId="16">
      <formula>AV69="후보"</formula>
    </cfRule>
  </conditionalFormatting>
  <conditionalFormatting sqref="AC69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69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69">
    <cfRule type="expression" priority="514" dxfId="3">
      <formula>AND(IF(OR($Q69=1,$Q69=2),1,0),IF($X69&lt;=20,1,0))</formula>
    </cfRule>
    <cfRule type="expression" priority="515" dxfId="2">
      <formula>AND(IF($Q69=2,1,0),IF($X69&lt;30,1,0))</formula>
    </cfRule>
    <cfRule type="expression" priority="516" dxfId="1">
      <formula>AND(IF($Q69=3,1,0),IF($X69&lt;30,1,0))</formula>
    </cfRule>
    <cfRule type="expression" priority="517" dxfId="0">
      <formula>AND(IF($Q69=3,1,IF($Q69=4,1,0)),IF($F69&lt;=85,1,0))</formula>
    </cfRule>
  </conditionalFormatting>
  <conditionalFormatting sqref="X69">
    <cfRule type="expression" priority="510" dxfId="3">
      <formula>AND(IF(OR($Q69=1,$Q69=2),1,0),IF($X69&lt;=20,1,0))</formula>
    </cfRule>
    <cfRule type="expression" priority="511" dxfId="2">
      <formula>AND(IF($Q69=2,1,0),IF($X69&lt;30,1,0))</formula>
    </cfRule>
    <cfRule type="expression" priority="512" dxfId="1">
      <formula>AND(IF($Q69=3,1,0),IF($X69&lt;30,1,0))</formula>
    </cfRule>
    <cfRule type="expression" priority="513" dxfId="0">
      <formula>AND(IF($Q69=3,1,IF($Q69=4,1,0)),IF($F69&lt;=85,1,0))</formula>
    </cfRule>
  </conditionalFormatting>
  <conditionalFormatting sqref="AI69">
    <cfRule type="expression" priority="506" dxfId="3">
      <formula>AND(IF(OR($Q69=1,$Q69=2),1,0),IF($X69&lt;=20,1,0))</formula>
    </cfRule>
    <cfRule type="expression" priority="507" dxfId="2">
      <formula>AND(IF($Q69=2,1,0),IF($X69&lt;30,1,0))</formula>
    </cfRule>
    <cfRule type="expression" priority="508" dxfId="1">
      <formula>AND(IF($Q69=3,1,0),IF($X69&lt;30,1,0))</formula>
    </cfRule>
    <cfRule type="expression" priority="509" dxfId="0">
      <formula>AND(IF($Q69=3,1,IF($Q69=4,1,0)),IF($F69&lt;=85,1,0))</formula>
    </cfRule>
  </conditionalFormatting>
  <conditionalFormatting sqref="AV70">
    <cfRule type="expression" priority="504" dxfId="17">
      <formula>AV70="X"</formula>
    </cfRule>
    <cfRule type="expression" priority="505" dxfId="16">
      <formula>AV70="후보"</formula>
    </cfRule>
  </conditionalFormatting>
  <conditionalFormatting sqref="AC70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70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70">
    <cfRule type="expression" priority="495" dxfId="3">
      <formula>AND(IF(OR($Q70=1,$Q70=2),1,0),IF($X70&lt;=20,1,0))</formula>
    </cfRule>
    <cfRule type="expression" priority="496" dxfId="2">
      <formula>AND(IF($Q70=2,1,0),IF($X70&lt;30,1,0))</formula>
    </cfRule>
    <cfRule type="expression" priority="497" dxfId="1">
      <formula>AND(IF($Q70=3,1,0),IF($X70&lt;30,1,0))</formula>
    </cfRule>
    <cfRule type="expression" priority="498" dxfId="0">
      <formula>AND(IF($Q70=3,1,IF($Q70=4,1,0)),IF($F70&lt;=85,1,0))</formula>
    </cfRule>
  </conditionalFormatting>
  <conditionalFormatting sqref="X70">
    <cfRule type="expression" priority="491" dxfId="3">
      <formula>AND(IF(OR($Q70=1,$Q70=2),1,0),IF($X70&lt;=20,1,0))</formula>
    </cfRule>
    <cfRule type="expression" priority="492" dxfId="2">
      <formula>AND(IF($Q70=2,1,0),IF($X70&lt;30,1,0))</formula>
    </cfRule>
    <cfRule type="expression" priority="493" dxfId="1">
      <formula>AND(IF($Q70=3,1,0),IF($X70&lt;30,1,0))</formula>
    </cfRule>
    <cfRule type="expression" priority="494" dxfId="0">
      <formula>AND(IF($Q70=3,1,IF($Q70=4,1,0)),IF($F70&lt;=85,1,0))</formula>
    </cfRule>
  </conditionalFormatting>
  <conditionalFormatting sqref="AI70">
    <cfRule type="expression" priority="487" dxfId="3">
      <formula>AND(IF(OR($Q70=1,$Q70=2),1,0),IF($X70&lt;=20,1,0))</formula>
    </cfRule>
    <cfRule type="expression" priority="488" dxfId="2">
      <formula>AND(IF($Q70=2,1,0),IF($X70&lt;30,1,0))</formula>
    </cfRule>
    <cfRule type="expression" priority="489" dxfId="1">
      <formula>AND(IF($Q70=3,1,0),IF($X70&lt;30,1,0))</formula>
    </cfRule>
    <cfRule type="expression" priority="490" dxfId="0">
      <formula>AND(IF($Q70=3,1,IF($Q70=4,1,0)),IF($F70&lt;=85,1,0))</formula>
    </cfRule>
  </conditionalFormatting>
  <conditionalFormatting sqref="AV71">
    <cfRule type="expression" priority="485" dxfId="17">
      <formula>AV71="X"</formula>
    </cfRule>
    <cfRule type="expression" priority="486" dxfId="16">
      <formula>AV71="후보"</formula>
    </cfRule>
  </conditionalFormatting>
  <conditionalFormatting sqref="AC71 N71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AV72">
    <cfRule type="expression" priority="480" dxfId="17">
      <formula>AV72="X"</formula>
    </cfRule>
    <cfRule type="expression" priority="481" dxfId="16">
      <formula>AV72="후보"</formula>
    </cfRule>
  </conditionalFormatting>
  <conditionalFormatting sqref="AC72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72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72">
    <cfRule type="expression" priority="471" dxfId="3">
      <formula>AND(IF(OR($Q72=1,$Q72=2),1,0),IF($X72&lt;=20,1,0))</formula>
    </cfRule>
    <cfRule type="expression" priority="472" dxfId="2">
      <formula>AND(IF($Q72=2,1,0),IF($X72&lt;30,1,0))</formula>
    </cfRule>
    <cfRule type="expression" priority="473" dxfId="1">
      <formula>AND(IF($Q72=3,1,0),IF($X72&lt;30,1,0))</formula>
    </cfRule>
    <cfRule type="expression" priority="474" dxfId="0">
      <formula>AND(IF($Q72=3,1,IF($Q72=4,1,0)),IF($F72&lt;=85,1,0))</formula>
    </cfRule>
  </conditionalFormatting>
  <conditionalFormatting sqref="X72">
    <cfRule type="expression" priority="467" dxfId="3">
      <formula>AND(IF(OR($Q72=1,$Q72=2),1,0),IF($X72&lt;=20,1,0))</formula>
    </cfRule>
    <cfRule type="expression" priority="468" dxfId="2">
      <formula>AND(IF($Q72=2,1,0),IF($X72&lt;30,1,0))</formula>
    </cfRule>
    <cfRule type="expression" priority="469" dxfId="1">
      <formula>AND(IF($Q72=3,1,0),IF($X72&lt;30,1,0))</formula>
    </cfRule>
    <cfRule type="expression" priority="470" dxfId="0">
      <formula>AND(IF($Q72=3,1,IF($Q72=4,1,0)),IF($F72&lt;=85,1,0))</formula>
    </cfRule>
  </conditionalFormatting>
  <conditionalFormatting sqref="AI72">
    <cfRule type="expression" priority="463" dxfId="3">
      <formula>AND(IF(OR($Q72=1,$Q72=2),1,0),IF($X72&lt;=20,1,0))</formula>
    </cfRule>
    <cfRule type="expression" priority="464" dxfId="2">
      <formula>AND(IF($Q72=2,1,0),IF($X72&lt;30,1,0))</formula>
    </cfRule>
    <cfRule type="expression" priority="465" dxfId="1">
      <formula>AND(IF($Q72=3,1,0),IF($X72&lt;30,1,0))</formula>
    </cfRule>
    <cfRule type="expression" priority="466" dxfId="0">
      <formula>AND(IF($Q72=3,1,IF($Q72=4,1,0)),IF($F72&lt;=85,1,0))</formula>
    </cfRule>
  </conditionalFormatting>
  <conditionalFormatting sqref="AV73">
    <cfRule type="expression" priority="461" dxfId="17">
      <formula>AV73="X"</formula>
    </cfRule>
    <cfRule type="expression" priority="462" dxfId="16">
      <formula>AV73="후보"</formula>
    </cfRule>
  </conditionalFormatting>
  <conditionalFormatting sqref="AC73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73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73">
    <cfRule type="expression" priority="452" dxfId="3">
      <formula>AND(IF(OR($Q73=1,$Q73=2),1,0),IF($X73&lt;=20,1,0))</formula>
    </cfRule>
    <cfRule type="expression" priority="453" dxfId="2">
      <formula>AND(IF($Q73=2,1,0),IF($X73&lt;30,1,0))</formula>
    </cfRule>
    <cfRule type="expression" priority="454" dxfId="1">
      <formula>AND(IF($Q73=3,1,0),IF($X73&lt;30,1,0))</formula>
    </cfRule>
    <cfRule type="expression" priority="455" dxfId="0">
      <formula>AND(IF($Q73=3,1,IF($Q73=4,1,0)),IF($F73&lt;=85,1,0))</formula>
    </cfRule>
  </conditionalFormatting>
  <conditionalFormatting sqref="X73">
    <cfRule type="expression" priority="448" dxfId="3">
      <formula>AND(IF(OR($Q73=1,$Q73=2),1,0),IF($X73&lt;=20,1,0))</formula>
    </cfRule>
    <cfRule type="expression" priority="449" dxfId="2">
      <formula>AND(IF($Q73=2,1,0),IF($X73&lt;30,1,0))</formula>
    </cfRule>
    <cfRule type="expression" priority="450" dxfId="1">
      <formula>AND(IF($Q73=3,1,0),IF($X73&lt;30,1,0))</formula>
    </cfRule>
    <cfRule type="expression" priority="451" dxfId="0">
      <formula>AND(IF($Q73=3,1,IF($Q73=4,1,0)),IF($F73&lt;=85,1,0))</formula>
    </cfRule>
  </conditionalFormatting>
  <conditionalFormatting sqref="AI73">
    <cfRule type="expression" priority="444" dxfId="3">
      <formula>AND(IF(OR($Q73=1,$Q73=2),1,0),IF($X73&lt;=20,1,0))</formula>
    </cfRule>
    <cfRule type="expression" priority="445" dxfId="2">
      <formula>AND(IF($Q73=2,1,0),IF($X73&lt;30,1,0))</formula>
    </cfRule>
    <cfRule type="expression" priority="446" dxfId="1">
      <formula>AND(IF($Q73=3,1,0),IF($X73&lt;30,1,0))</formula>
    </cfRule>
    <cfRule type="expression" priority="447" dxfId="0">
      <formula>AND(IF($Q73=3,1,IF($Q73=4,1,0)),IF($F73&lt;=85,1,0))</formula>
    </cfRule>
  </conditionalFormatting>
  <conditionalFormatting sqref="AV74">
    <cfRule type="expression" priority="442" dxfId="17">
      <formula>AV74="X"</formula>
    </cfRule>
    <cfRule type="expression" priority="443" dxfId="16">
      <formula>AV74="후보"</formula>
    </cfRule>
  </conditionalFormatting>
  <conditionalFormatting sqref="AC74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74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74">
    <cfRule type="expression" priority="433" dxfId="3">
      <formula>AND(IF(OR($Q74=1,$Q74=2),1,0),IF($X74&lt;=20,1,0))</formula>
    </cfRule>
    <cfRule type="expression" priority="434" dxfId="2">
      <formula>AND(IF($Q74=2,1,0),IF($X74&lt;30,1,0))</formula>
    </cfRule>
    <cfRule type="expression" priority="435" dxfId="1">
      <formula>AND(IF($Q74=3,1,0),IF($X74&lt;30,1,0))</formula>
    </cfRule>
    <cfRule type="expression" priority="436" dxfId="0">
      <formula>AND(IF($Q74=3,1,IF($Q74=4,1,0)),IF($F74&lt;=85,1,0))</formula>
    </cfRule>
  </conditionalFormatting>
  <conditionalFormatting sqref="X74">
    <cfRule type="expression" priority="429" dxfId="3">
      <formula>AND(IF(OR($Q74=1,$Q74=2),1,0),IF($X74&lt;=20,1,0))</formula>
    </cfRule>
    <cfRule type="expression" priority="430" dxfId="2">
      <formula>AND(IF($Q74=2,1,0),IF($X74&lt;30,1,0))</formula>
    </cfRule>
    <cfRule type="expression" priority="431" dxfId="1">
      <formula>AND(IF($Q74=3,1,0),IF($X74&lt;30,1,0))</formula>
    </cfRule>
    <cfRule type="expression" priority="432" dxfId="0">
      <formula>AND(IF($Q74=3,1,IF($Q74=4,1,0)),IF($F74&lt;=85,1,0))</formula>
    </cfRule>
  </conditionalFormatting>
  <conditionalFormatting sqref="AI74">
    <cfRule type="expression" priority="425" dxfId="3">
      <formula>AND(IF(OR($Q74=1,$Q74=2),1,0),IF($X74&lt;=20,1,0))</formula>
    </cfRule>
    <cfRule type="expression" priority="426" dxfId="2">
      <formula>AND(IF($Q74=2,1,0),IF($X74&lt;30,1,0))</formula>
    </cfRule>
    <cfRule type="expression" priority="427" dxfId="1">
      <formula>AND(IF($Q74=3,1,0),IF($X74&lt;30,1,0))</formula>
    </cfRule>
    <cfRule type="expression" priority="428" dxfId="0">
      <formula>AND(IF($Q74=3,1,IF($Q74=4,1,0)),IF($F74&lt;=85,1,0))</formula>
    </cfRule>
  </conditionalFormatting>
  <conditionalFormatting sqref="AV75">
    <cfRule type="expression" priority="423" dxfId="17">
      <formula>AV75="X"</formula>
    </cfRule>
    <cfRule type="expression" priority="424" dxfId="16">
      <formula>AV75="후보"</formula>
    </cfRule>
  </conditionalFormatting>
  <conditionalFormatting sqref="AC75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75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75">
    <cfRule type="expression" priority="414" dxfId="3">
      <formula>AND(IF(OR($Q75=1,$Q75=2),1,0),IF($X75&lt;=20,1,0))</formula>
    </cfRule>
    <cfRule type="expression" priority="415" dxfId="2">
      <formula>AND(IF($Q75=2,1,0),IF($X75&lt;30,1,0))</formula>
    </cfRule>
    <cfRule type="expression" priority="416" dxfId="1">
      <formula>AND(IF($Q75=3,1,0),IF($X75&lt;30,1,0))</formula>
    </cfRule>
    <cfRule type="expression" priority="417" dxfId="0">
      <formula>AND(IF($Q75=3,1,IF($Q75=4,1,0)),IF($F75&lt;=85,1,0))</formula>
    </cfRule>
  </conditionalFormatting>
  <conditionalFormatting sqref="X75">
    <cfRule type="expression" priority="410" dxfId="3">
      <formula>AND(IF(OR($Q75=1,$Q75=2),1,0),IF($X75&lt;=20,1,0))</formula>
    </cfRule>
    <cfRule type="expression" priority="411" dxfId="2">
      <formula>AND(IF($Q75=2,1,0),IF($X75&lt;30,1,0))</formula>
    </cfRule>
    <cfRule type="expression" priority="412" dxfId="1">
      <formula>AND(IF($Q75=3,1,0),IF($X75&lt;30,1,0))</formula>
    </cfRule>
    <cfRule type="expression" priority="413" dxfId="0">
      <formula>AND(IF($Q75=3,1,IF($Q75=4,1,0)),IF($F75&lt;=85,1,0))</formula>
    </cfRule>
  </conditionalFormatting>
  <conditionalFormatting sqref="AI75">
    <cfRule type="expression" priority="406" dxfId="3">
      <formula>AND(IF(OR($Q75=1,$Q75=2),1,0),IF($X75&lt;=20,1,0))</formula>
    </cfRule>
    <cfRule type="expression" priority="407" dxfId="2">
      <formula>AND(IF($Q75=2,1,0),IF($X75&lt;30,1,0))</formula>
    </cfRule>
    <cfRule type="expression" priority="408" dxfId="1">
      <formula>AND(IF($Q75=3,1,0),IF($X75&lt;30,1,0))</formula>
    </cfRule>
    <cfRule type="expression" priority="409" dxfId="0">
      <formula>AND(IF($Q75=3,1,IF($Q75=4,1,0)),IF($F75&lt;=85,1,0))</formula>
    </cfRule>
  </conditionalFormatting>
  <conditionalFormatting sqref="AV76">
    <cfRule type="expression" priority="404" dxfId="17">
      <formula>AV76="X"</formula>
    </cfRule>
    <cfRule type="expression" priority="405" dxfId="16">
      <formula>AV76="후보"</formula>
    </cfRule>
  </conditionalFormatting>
  <conditionalFormatting sqref="AC76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76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76">
    <cfRule type="expression" priority="395" dxfId="3">
      <formula>AND(IF(OR($Q76=1,$Q76=2),1,0),IF($X76&lt;=20,1,0))</formula>
    </cfRule>
    <cfRule type="expression" priority="396" dxfId="2">
      <formula>AND(IF($Q76=2,1,0),IF($X76&lt;30,1,0))</formula>
    </cfRule>
    <cfRule type="expression" priority="397" dxfId="1">
      <formula>AND(IF($Q76=3,1,0),IF($X76&lt;30,1,0))</formula>
    </cfRule>
    <cfRule type="expression" priority="398" dxfId="0">
      <formula>AND(IF($Q76=3,1,IF($Q76=4,1,0)),IF($F76&lt;=85,1,0))</formula>
    </cfRule>
  </conditionalFormatting>
  <conditionalFormatting sqref="X76">
    <cfRule type="expression" priority="391" dxfId="3">
      <formula>AND(IF(OR($Q76=1,$Q76=2),1,0),IF($X76&lt;=20,1,0))</formula>
    </cfRule>
    <cfRule type="expression" priority="392" dxfId="2">
      <formula>AND(IF($Q76=2,1,0),IF($X76&lt;30,1,0))</formula>
    </cfRule>
    <cfRule type="expression" priority="393" dxfId="1">
      <formula>AND(IF($Q76=3,1,0),IF($X76&lt;30,1,0))</formula>
    </cfRule>
    <cfRule type="expression" priority="394" dxfId="0">
      <formula>AND(IF($Q76=3,1,IF($Q76=4,1,0)),IF($F76&lt;=85,1,0))</formula>
    </cfRule>
  </conditionalFormatting>
  <conditionalFormatting sqref="AI76">
    <cfRule type="expression" priority="387" dxfId="3">
      <formula>AND(IF(OR($Q76=1,$Q76=2),1,0),IF($X76&lt;=20,1,0))</formula>
    </cfRule>
    <cfRule type="expression" priority="388" dxfId="2">
      <formula>AND(IF($Q76=2,1,0),IF($X76&lt;30,1,0))</formula>
    </cfRule>
    <cfRule type="expression" priority="389" dxfId="1">
      <formula>AND(IF($Q76=3,1,0),IF($X76&lt;30,1,0))</formula>
    </cfRule>
    <cfRule type="expression" priority="390" dxfId="0">
      <formula>AND(IF($Q76=3,1,IF($Q76=4,1,0)),IF($F76&lt;=85,1,0))</formula>
    </cfRule>
  </conditionalFormatting>
  <conditionalFormatting sqref="AV77">
    <cfRule type="expression" priority="385" dxfId="17">
      <formula>AV77="X"</formula>
    </cfRule>
    <cfRule type="expression" priority="386" dxfId="16">
      <formula>AV77="후보"</formula>
    </cfRule>
  </conditionalFormatting>
  <conditionalFormatting sqref="AC77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77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77">
    <cfRule type="expression" priority="376" dxfId="3">
      <formula>AND(IF(OR($Q77=1,$Q77=2),1,0),IF($X77&lt;=20,1,0))</formula>
    </cfRule>
    <cfRule type="expression" priority="377" dxfId="2">
      <formula>AND(IF($Q77=2,1,0),IF($X77&lt;30,1,0))</formula>
    </cfRule>
    <cfRule type="expression" priority="378" dxfId="1">
      <formula>AND(IF($Q77=3,1,0),IF($X77&lt;30,1,0))</formula>
    </cfRule>
    <cfRule type="expression" priority="379" dxfId="0">
      <formula>AND(IF($Q77=3,1,IF($Q77=4,1,0)),IF($F77&lt;=85,1,0))</formula>
    </cfRule>
  </conditionalFormatting>
  <conditionalFormatting sqref="X77">
    <cfRule type="expression" priority="372" dxfId="3">
      <formula>AND(IF(OR($Q77=1,$Q77=2),1,0),IF($X77&lt;=20,1,0))</formula>
    </cfRule>
    <cfRule type="expression" priority="373" dxfId="2">
      <formula>AND(IF($Q77=2,1,0),IF($X77&lt;30,1,0))</formula>
    </cfRule>
    <cfRule type="expression" priority="374" dxfId="1">
      <formula>AND(IF($Q77=3,1,0),IF($X77&lt;30,1,0))</formula>
    </cfRule>
    <cfRule type="expression" priority="375" dxfId="0">
      <formula>AND(IF($Q77=3,1,IF($Q77=4,1,0)),IF($F77&lt;=85,1,0))</formula>
    </cfRule>
  </conditionalFormatting>
  <conditionalFormatting sqref="AI77">
    <cfRule type="expression" priority="368" dxfId="3">
      <formula>AND(IF(OR($Q77=1,$Q77=2),1,0),IF($X77&lt;=20,1,0))</formula>
    </cfRule>
    <cfRule type="expression" priority="369" dxfId="2">
      <formula>AND(IF($Q77=2,1,0),IF($X77&lt;30,1,0))</formula>
    </cfRule>
    <cfRule type="expression" priority="370" dxfId="1">
      <formula>AND(IF($Q77=3,1,0),IF($X77&lt;30,1,0))</formula>
    </cfRule>
    <cfRule type="expression" priority="371" dxfId="0">
      <formula>AND(IF($Q77=3,1,IF($Q77=4,1,0)),IF($F77&lt;=85,1,0))</formula>
    </cfRule>
  </conditionalFormatting>
  <conditionalFormatting sqref="AV78">
    <cfRule type="expression" priority="366" dxfId="17">
      <formula>AV78="X"</formula>
    </cfRule>
    <cfRule type="expression" priority="367" dxfId="16">
      <formula>AV78="후보"</formula>
    </cfRule>
  </conditionalFormatting>
  <conditionalFormatting sqref="AC78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78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78">
    <cfRule type="expression" priority="357" dxfId="3">
      <formula>AND(IF(OR($Q78=1,$Q78=2),1,0),IF($X78&lt;=20,1,0))</formula>
    </cfRule>
    <cfRule type="expression" priority="358" dxfId="2">
      <formula>AND(IF($Q78=2,1,0),IF($X78&lt;30,1,0))</formula>
    </cfRule>
    <cfRule type="expression" priority="359" dxfId="1">
      <formula>AND(IF($Q78=3,1,0),IF($X78&lt;30,1,0))</formula>
    </cfRule>
    <cfRule type="expression" priority="360" dxfId="0">
      <formula>AND(IF($Q78=3,1,IF($Q78=4,1,0)),IF($F78&lt;=85,1,0))</formula>
    </cfRule>
  </conditionalFormatting>
  <conditionalFormatting sqref="X78">
    <cfRule type="expression" priority="353" dxfId="3">
      <formula>AND(IF(OR($Q78=1,$Q78=2),1,0),IF($X78&lt;=20,1,0))</formula>
    </cfRule>
    <cfRule type="expression" priority="354" dxfId="2">
      <formula>AND(IF($Q78=2,1,0),IF($X78&lt;30,1,0))</formula>
    </cfRule>
    <cfRule type="expression" priority="355" dxfId="1">
      <formula>AND(IF($Q78=3,1,0),IF($X78&lt;30,1,0))</formula>
    </cfRule>
    <cfRule type="expression" priority="356" dxfId="0">
      <formula>AND(IF($Q78=3,1,IF($Q78=4,1,0)),IF($F78&lt;=85,1,0))</formula>
    </cfRule>
  </conditionalFormatting>
  <conditionalFormatting sqref="AI78">
    <cfRule type="expression" priority="349" dxfId="3">
      <formula>AND(IF(OR($Q78=1,$Q78=2),1,0),IF($X78&lt;=20,1,0))</formula>
    </cfRule>
    <cfRule type="expression" priority="350" dxfId="2">
      <formula>AND(IF($Q78=2,1,0),IF($X78&lt;30,1,0))</formula>
    </cfRule>
    <cfRule type="expression" priority="351" dxfId="1">
      <formula>AND(IF($Q78=3,1,0),IF($X78&lt;30,1,0))</formula>
    </cfRule>
    <cfRule type="expression" priority="352" dxfId="0">
      <formula>AND(IF($Q78=3,1,IF($Q78=4,1,0)),IF($F78&lt;=85,1,0))</formula>
    </cfRule>
  </conditionalFormatting>
  <conditionalFormatting sqref="AV79">
    <cfRule type="expression" priority="347" dxfId="17">
      <formula>AV79="X"</formula>
    </cfRule>
    <cfRule type="expression" priority="348" dxfId="16">
      <formula>AV79="후보"</formula>
    </cfRule>
  </conditionalFormatting>
  <conditionalFormatting sqref="AC79 N79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80">
    <cfRule type="expression" priority="342" dxfId="17">
      <formula>AV80="X"</formula>
    </cfRule>
    <cfRule type="expression" priority="343" dxfId="16">
      <formula>AV80="후보"</formula>
    </cfRule>
  </conditionalFormatting>
  <conditionalFormatting sqref="AC80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80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80">
    <cfRule type="expression" priority="333" dxfId="3">
      <formula>AND(IF(OR($Q80=1,$Q80=2),1,0),IF($X80&lt;=20,1,0))</formula>
    </cfRule>
    <cfRule type="expression" priority="334" dxfId="2">
      <formula>AND(IF($Q80=2,1,0),IF($X80&lt;30,1,0))</formula>
    </cfRule>
    <cfRule type="expression" priority="335" dxfId="1">
      <formula>AND(IF($Q80=3,1,0),IF($X80&lt;30,1,0))</formula>
    </cfRule>
    <cfRule type="expression" priority="336" dxfId="0">
      <formula>AND(IF($Q80=3,1,IF($Q80=4,1,0)),IF($F80&lt;=85,1,0))</formula>
    </cfRule>
  </conditionalFormatting>
  <conditionalFormatting sqref="X80">
    <cfRule type="expression" priority="329" dxfId="3">
      <formula>AND(IF(OR($Q80=1,$Q80=2),1,0),IF($X80&lt;=20,1,0))</formula>
    </cfRule>
    <cfRule type="expression" priority="330" dxfId="2">
      <formula>AND(IF($Q80=2,1,0),IF($X80&lt;30,1,0))</formula>
    </cfRule>
    <cfRule type="expression" priority="331" dxfId="1">
      <formula>AND(IF($Q80=3,1,0),IF($X80&lt;30,1,0))</formula>
    </cfRule>
    <cfRule type="expression" priority="332" dxfId="0">
      <formula>AND(IF($Q80=3,1,IF($Q80=4,1,0)),IF($F80&lt;=85,1,0))</formula>
    </cfRule>
  </conditionalFormatting>
  <conditionalFormatting sqref="AI80">
    <cfRule type="expression" priority="325" dxfId="3">
      <formula>AND(IF(OR($Q80=1,$Q80=2),1,0),IF($X80&lt;=20,1,0))</formula>
    </cfRule>
    <cfRule type="expression" priority="326" dxfId="2">
      <formula>AND(IF($Q80=2,1,0),IF($X80&lt;30,1,0))</formula>
    </cfRule>
    <cfRule type="expression" priority="327" dxfId="1">
      <formula>AND(IF($Q80=3,1,0),IF($X80&lt;30,1,0))</formula>
    </cfRule>
    <cfRule type="expression" priority="328" dxfId="0">
      <formula>AND(IF($Q80=3,1,IF($Q80=4,1,0)),IF($F80&lt;=85,1,0))</formula>
    </cfRule>
  </conditionalFormatting>
  <conditionalFormatting sqref="AV81">
    <cfRule type="expression" priority="323" dxfId="17">
      <formula>AV81="X"</formula>
    </cfRule>
    <cfRule type="expression" priority="324" dxfId="16">
      <formula>AV81="후보"</formula>
    </cfRule>
  </conditionalFormatting>
  <conditionalFormatting sqref="AC81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81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81">
    <cfRule type="expression" priority="314" dxfId="3">
      <formula>AND(IF(OR($Q81=1,$Q81=2),1,0),IF($X81&lt;=20,1,0))</formula>
    </cfRule>
    <cfRule type="expression" priority="315" dxfId="2">
      <formula>AND(IF($Q81=2,1,0),IF($X81&lt;30,1,0))</formula>
    </cfRule>
    <cfRule type="expression" priority="316" dxfId="1">
      <formula>AND(IF($Q81=3,1,0),IF($X81&lt;30,1,0))</formula>
    </cfRule>
    <cfRule type="expression" priority="317" dxfId="0">
      <formula>AND(IF($Q81=3,1,IF($Q81=4,1,0)),IF($F81&lt;=85,1,0))</formula>
    </cfRule>
  </conditionalFormatting>
  <conditionalFormatting sqref="X81">
    <cfRule type="expression" priority="310" dxfId="3">
      <formula>AND(IF(OR($Q81=1,$Q81=2),1,0),IF($X81&lt;=20,1,0))</formula>
    </cfRule>
    <cfRule type="expression" priority="311" dxfId="2">
      <formula>AND(IF($Q81=2,1,0),IF($X81&lt;30,1,0))</formula>
    </cfRule>
    <cfRule type="expression" priority="312" dxfId="1">
      <formula>AND(IF($Q81=3,1,0),IF($X81&lt;30,1,0))</formula>
    </cfRule>
    <cfRule type="expression" priority="313" dxfId="0">
      <formula>AND(IF($Q81=3,1,IF($Q81=4,1,0)),IF($F81&lt;=85,1,0))</formula>
    </cfRule>
  </conditionalFormatting>
  <conditionalFormatting sqref="AI81">
    <cfRule type="expression" priority="306" dxfId="3">
      <formula>AND(IF(OR($Q81=1,$Q81=2),1,0),IF($X81&lt;=20,1,0))</formula>
    </cfRule>
    <cfRule type="expression" priority="307" dxfId="2">
      <formula>AND(IF($Q81=2,1,0),IF($X81&lt;30,1,0))</formula>
    </cfRule>
    <cfRule type="expression" priority="308" dxfId="1">
      <formula>AND(IF($Q81=3,1,0),IF($X81&lt;30,1,0))</formula>
    </cfRule>
    <cfRule type="expression" priority="309" dxfId="0">
      <formula>AND(IF($Q81=3,1,IF($Q81=4,1,0)),IF($F81&lt;=85,1,0))</formula>
    </cfRule>
  </conditionalFormatting>
  <conditionalFormatting sqref="AV82">
    <cfRule type="expression" priority="304" dxfId="17">
      <formula>AV82="X"</formula>
    </cfRule>
    <cfRule type="expression" priority="305" dxfId="16">
      <formula>AV82="후보"</formula>
    </cfRule>
  </conditionalFormatting>
  <conditionalFormatting sqref="AC82 N82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83">
    <cfRule type="expression" priority="299" dxfId="17">
      <formula>AV83="X"</formula>
    </cfRule>
    <cfRule type="expression" priority="300" dxfId="16">
      <formula>AV83="후보"</formula>
    </cfRule>
  </conditionalFormatting>
  <conditionalFormatting sqref="AC83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83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83">
    <cfRule type="expression" priority="290" dxfId="3">
      <formula>AND(IF(OR($Q83=1,$Q83=2),1,0),IF($X83&lt;=20,1,0))</formula>
    </cfRule>
    <cfRule type="expression" priority="291" dxfId="2">
      <formula>AND(IF($Q83=2,1,0),IF($X83&lt;30,1,0))</formula>
    </cfRule>
    <cfRule type="expression" priority="292" dxfId="1">
      <formula>AND(IF($Q83=3,1,0),IF($X83&lt;30,1,0))</formula>
    </cfRule>
    <cfRule type="expression" priority="293" dxfId="0">
      <formula>AND(IF($Q83=3,1,IF($Q83=4,1,0)),IF($F83&lt;=85,1,0))</formula>
    </cfRule>
  </conditionalFormatting>
  <conditionalFormatting sqref="X83">
    <cfRule type="expression" priority="286" dxfId="3">
      <formula>AND(IF(OR($Q83=1,$Q83=2),1,0),IF($X83&lt;=20,1,0))</formula>
    </cfRule>
    <cfRule type="expression" priority="287" dxfId="2">
      <formula>AND(IF($Q83=2,1,0),IF($X83&lt;30,1,0))</formula>
    </cfRule>
    <cfRule type="expression" priority="288" dxfId="1">
      <formula>AND(IF($Q83=3,1,0),IF($X83&lt;30,1,0))</formula>
    </cfRule>
    <cfRule type="expression" priority="289" dxfId="0">
      <formula>AND(IF($Q83=3,1,IF($Q83=4,1,0)),IF($F83&lt;=85,1,0))</formula>
    </cfRule>
  </conditionalFormatting>
  <conditionalFormatting sqref="AI83">
    <cfRule type="expression" priority="282" dxfId="3">
      <formula>AND(IF(OR($Q83=1,$Q83=2),1,0),IF($X83&lt;=20,1,0))</formula>
    </cfRule>
    <cfRule type="expression" priority="283" dxfId="2">
      <formula>AND(IF($Q83=2,1,0),IF($X83&lt;30,1,0))</formula>
    </cfRule>
    <cfRule type="expression" priority="284" dxfId="1">
      <formula>AND(IF($Q83=3,1,0),IF($X83&lt;30,1,0))</formula>
    </cfRule>
    <cfRule type="expression" priority="285" dxfId="0">
      <formula>AND(IF($Q83=3,1,IF($Q83=4,1,0)),IF($F83&lt;=85,1,0))</formula>
    </cfRule>
  </conditionalFormatting>
  <conditionalFormatting sqref="AV84">
    <cfRule type="expression" priority="280" dxfId="17">
      <formula>AV84="X"</formula>
    </cfRule>
    <cfRule type="expression" priority="281" dxfId="16">
      <formula>AV84="후보"</formula>
    </cfRule>
  </conditionalFormatting>
  <conditionalFormatting sqref="AC84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84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84">
    <cfRule type="expression" priority="271" dxfId="3">
      <formula>AND(IF(OR($Q84=1,$Q84=2),1,0),IF($X84&lt;=20,1,0))</formula>
    </cfRule>
    <cfRule type="expression" priority="272" dxfId="2">
      <formula>AND(IF($Q84=2,1,0),IF($X84&lt;30,1,0))</formula>
    </cfRule>
    <cfRule type="expression" priority="273" dxfId="1">
      <formula>AND(IF($Q84=3,1,0),IF($X84&lt;30,1,0))</formula>
    </cfRule>
    <cfRule type="expression" priority="274" dxfId="0">
      <formula>AND(IF($Q84=3,1,IF($Q84=4,1,0)),IF($F84&lt;=85,1,0))</formula>
    </cfRule>
  </conditionalFormatting>
  <conditionalFormatting sqref="X84">
    <cfRule type="expression" priority="267" dxfId="3">
      <formula>AND(IF(OR($Q84=1,$Q84=2),1,0),IF($X84&lt;=20,1,0))</formula>
    </cfRule>
    <cfRule type="expression" priority="268" dxfId="2">
      <formula>AND(IF($Q84=2,1,0),IF($X84&lt;30,1,0))</formula>
    </cfRule>
    <cfRule type="expression" priority="269" dxfId="1">
      <formula>AND(IF($Q84=3,1,0),IF($X84&lt;30,1,0))</formula>
    </cfRule>
    <cfRule type="expression" priority="270" dxfId="0">
      <formula>AND(IF($Q84=3,1,IF($Q84=4,1,0)),IF($F84&lt;=85,1,0))</formula>
    </cfRule>
  </conditionalFormatting>
  <conditionalFormatting sqref="AI84">
    <cfRule type="expression" priority="263" dxfId="3">
      <formula>AND(IF(OR($Q84=1,$Q84=2),1,0),IF($X84&lt;=20,1,0))</formula>
    </cfRule>
    <cfRule type="expression" priority="264" dxfId="2">
      <formula>AND(IF($Q84=2,1,0),IF($X84&lt;30,1,0))</formula>
    </cfRule>
    <cfRule type="expression" priority="265" dxfId="1">
      <formula>AND(IF($Q84=3,1,0),IF($X84&lt;30,1,0))</formula>
    </cfRule>
    <cfRule type="expression" priority="266" dxfId="0">
      <formula>AND(IF($Q84=3,1,IF($Q84=4,1,0)),IF($F84&lt;=85,1,0))</formula>
    </cfRule>
  </conditionalFormatting>
  <conditionalFormatting sqref="AV85">
    <cfRule type="expression" priority="261" dxfId="17">
      <formula>AV85="X"</formula>
    </cfRule>
    <cfRule type="expression" priority="262" dxfId="16">
      <formula>AV85="후보"</formula>
    </cfRule>
  </conditionalFormatting>
  <conditionalFormatting sqref="AC85 N85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86">
    <cfRule type="expression" priority="256" dxfId="17">
      <formula>AV86="X"</formula>
    </cfRule>
    <cfRule type="expression" priority="257" dxfId="16">
      <formula>AV86="후보"</formula>
    </cfRule>
  </conditionalFormatting>
  <conditionalFormatting sqref="AC86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86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86">
    <cfRule type="expression" priority="247" dxfId="3">
      <formula>AND(IF(OR($Q86=1,$Q86=2),1,0),IF($X86&lt;=20,1,0))</formula>
    </cfRule>
    <cfRule type="expression" priority="248" dxfId="2">
      <formula>AND(IF($Q86=2,1,0),IF($X86&lt;30,1,0))</formula>
    </cfRule>
    <cfRule type="expression" priority="249" dxfId="1">
      <formula>AND(IF($Q86=3,1,0),IF($X86&lt;30,1,0))</formula>
    </cfRule>
    <cfRule type="expression" priority="250" dxfId="0">
      <formula>AND(IF($Q86=3,1,IF($Q86=4,1,0)),IF($F86&lt;=85,1,0))</formula>
    </cfRule>
  </conditionalFormatting>
  <conditionalFormatting sqref="X86">
    <cfRule type="expression" priority="243" dxfId="3">
      <formula>AND(IF(OR($Q86=1,$Q86=2),1,0),IF($X86&lt;=20,1,0))</formula>
    </cfRule>
    <cfRule type="expression" priority="244" dxfId="2">
      <formula>AND(IF($Q86=2,1,0),IF($X86&lt;30,1,0))</formula>
    </cfRule>
    <cfRule type="expression" priority="245" dxfId="1">
      <formula>AND(IF($Q86=3,1,0),IF($X86&lt;30,1,0))</formula>
    </cfRule>
    <cfRule type="expression" priority="246" dxfId="0">
      <formula>AND(IF($Q86=3,1,IF($Q86=4,1,0)),IF($F86&lt;=85,1,0))</formula>
    </cfRule>
  </conditionalFormatting>
  <conditionalFormatting sqref="AI86">
    <cfRule type="expression" priority="239" dxfId="3">
      <formula>AND(IF(OR($Q86=1,$Q86=2),1,0),IF($X86&lt;=20,1,0))</formula>
    </cfRule>
    <cfRule type="expression" priority="240" dxfId="2">
      <formula>AND(IF($Q86=2,1,0),IF($X86&lt;30,1,0))</formula>
    </cfRule>
    <cfRule type="expression" priority="241" dxfId="1">
      <formula>AND(IF($Q86=3,1,0),IF($X86&lt;30,1,0))</formula>
    </cfRule>
    <cfRule type="expression" priority="242" dxfId="0">
      <formula>AND(IF($Q86=3,1,IF($Q86=4,1,0)),IF($F86&lt;=85,1,0))</formula>
    </cfRule>
  </conditionalFormatting>
  <conditionalFormatting sqref="AV87">
    <cfRule type="expression" priority="237" dxfId="17">
      <formula>AV87="X"</formula>
    </cfRule>
    <cfRule type="expression" priority="238" dxfId="16">
      <formula>AV87="후보"</formula>
    </cfRule>
  </conditionalFormatting>
  <conditionalFormatting sqref="AC87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87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87">
    <cfRule type="expression" priority="228" dxfId="3">
      <formula>AND(IF(OR($Q87=1,$Q87=2),1,0),IF($X87&lt;=20,1,0))</formula>
    </cfRule>
    <cfRule type="expression" priority="229" dxfId="2">
      <formula>AND(IF($Q87=2,1,0),IF($X87&lt;30,1,0))</formula>
    </cfRule>
    <cfRule type="expression" priority="230" dxfId="1">
      <formula>AND(IF($Q87=3,1,0),IF($X87&lt;30,1,0))</formula>
    </cfRule>
    <cfRule type="expression" priority="231" dxfId="0">
      <formula>AND(IF($Q87=3,1,IF($Q87=4,1,0)),IF($F87&lt;=85,1,0))</formula>
    </cfRule>
  </conditionalFormatting>
  <conditionalFormatting sqref="X87">
    <cfRule type="expression" priority="224" dxfId="3">
      <formula>AND(IF(OR($Q87=1,$Q87=2),1,0),IF($X87&lt;=20,1,0))</formula>
    </cfRule>
    <cfRule type="expression" priority="225" dxfId="2">
      <formula>AND(IF($Q87=2,1,0),IF($X87&lt;30,1,0))</formula>
    </cfRule>
    <cfRule type="expression" priority="226" dxfId="1">
      <formula>AND(IF($Q87=3,1,0),IF($X87&lt;30,1,0))</formula>
    </cfRule>
    <cfRule type="expression" priority="227" dxfId="0">
      <formula>AND(IF($Q87=3,1,IF($Q87=4,1,0)),IF($F87&lt;=85,1,0))</formula>
    </cfRule>
  </conditionalFormatting>
  <conditionalFormatting sqref="AI87">
    <cfRule type="expression" priority="220" dxfId="3">
      <formula>AND(IF(OR($Q87=1,$Q87=2),1,0),IF($X87&lt;=20,1,0))</formula>
    </cfRule>
    <cfRule type="expression" priority="221" dxfId="2">
      <formula>AND(IF($Q87=2,1,0),IF($X87&lt;30,1,0))</formula>
    </cfRule>
    <cfRule type="expression" priority="222" dxfId="1">
      <formula>AND(IF($Q87=3,1,0),IF($X87&lt;30,1,0))</formula>
    </cfRule>
    <cfRule type="expression" priority="223" dxfId="0">
      <formula>AND(IF($Q87=3,1,IF($Q87=4,1,0)),IF($F87&lt;=85,1,0))</formula>
    </cfRule>
  </conditionalFormatting>
  <conditionalFormatting sqref="AV88">
    <cfRule type="expression" priority="218" dxfId="17">
      <formula>AV88="X"</formula>
    </cfRule>
    <cfRule type="expression" priority="219" dxfId="16">
      <formula>AV88="후보"</formula>
    </cfRule>
  </conditionalFormatting>
  <conditionalFormatting sqref="AC88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88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88">
    <cfRule type="expression" priority="209" dxfId="3">
      <formula>AND(IF(OR($Q88=1,$Q88=2),1,0),IF($X88&lt;=20,1,0))</formula>
    </cfRule>
    <cfRule type="expression" priority="210" dxfId="2">
      <formula>AND(IF($Q88=2,1,0),IF($X88&lt;30,1,0))</formula>
    </cfRule>
    <cfRule type="expression" priority="211" dxfId="1">
      <formula>AND(IF($Q88=3,1,0),IF($X88&lt;30,1,0))</formula>
    </cfRule>
    <cfRule type="expression" priority="212" dxfId="0">
      <formula>AND(IF($Q88=3,1,IF($Q88=4,1,0)),IF($F88&lt;=85,1,0))</formula>
    </cfRule>
  </conditionalFormatting>
  <conditionalFormatting sqref="X88">
    <cfRule type="expression" priority="205" dxfId="3">
      <formula>AND(IF(OR($Q88=1,$Q88=2),1,0),IF($X88&lt;=20,1,0))</formula>
    </cfRule>
    <cfRule type="expression" priority="206" dxfId="2">
      <formula>AND(IF($Q88=2,1,0),IF($X88&lt;30,1,0))</formula>
    </cfRule>
    <cfRule type="expression" priority="207" dxfId="1">
      <formula>AND(IF($Q88=3,1,0),IF($X88&lt;30,1,0))</formula>
    </cfRule>
    <cfRule type="expression" priority="208" dxfId="0">
      <formula>AND(IF($Q88=3,1,IF($Q88=4,1,0)),IF($F88&lt;=85,1,0))</formula>
    </cfRule>
  </conditionalFormatting>
  <conditionalFormatting sqref="AI88">
    <cfRule type="expression" priority="201" dxfId="3">
      <formula>AND(IF(OR($Q88=1,$Q88=2),1,0),IF($X88&lt;=20,1,0))</formula>
    </cfRule>
    <cfRule type="expression" priority="202" dxfId="2">
      <formula>AND(IF($Q88=2,1,0),IF($X88&lt;30,1,0))</formula>
    </cfRule>
    <cfRule type="expression" priority="203" dxfId="1">
      <formula>AND(IF($Q88=3,1,0),IF($X88&lt;30,1,0))</formula>
    </cfRule>
    <cfRule type="expression" priority="204" dxfId="0">
      <formula>AND(IF($Q88=3,1,IF($Q88=4,1,0)),IF($F88&lt;=85,1,0))</formula>
    </cfRule>
  </conditionalFormatting>
  <conditionalFormatting sqref="AV89">
    <cfRule type="expression" priority="199" dxfId="17">
      <formula>AV89="X"</formula>
    </cfRule>
    <cfRule type="expression" priority="200" dxfId="16">
      <formula>AV89="후보"</formula>
    </cfRule>
  </conditionalFormatting>
  <conditionalFormatting sqref="AC89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89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89">
    <cfRule type="expression" priority="190" dxfId="3">
      <formula>AND(IF(OR($Q89=1,$Q89=2),1,0),IF($X89&lt;=20,1,0))</formula>
    </cfRule>
    <cfRule type="expression" priority="191" dxfId="2">
      <formula>AND(IF($Q89=2,1,0),IF($X89&lt;30,1,0))</formula>
    </cfRule>
    <cfRule type="expression" priority="192" dxfId="1">
      <formula>AND(IF($Q89=3,1,0),IF($X89&lt;30,1,0))</formula>
    </cfRule>
    <cfRule type="expression" priority="193" dxfId="0">
      <formula>AND(IF($Q89=3,1,IF($Q89=4,1,0)),IF($F89&lt;=85,1,0))</formula>
    </cfRule>
  </conditionalFormatting>
  <conditionalFormatting sqref="X89">
    <cfRule type="expression" priority="186" dxfId="3">
      <formula>AND(IF(OR($Q89=1,$Q89=2),1,0),IF($X89&lt;=20,1,0))</formula>
    </cfRule>
    <cfRule type="expression" priority="187" dxfId="2">
      <formula>AND(IF($Q89=2,1,0),IF($X89&lt;30,1,0))</formula>
    </cfRule>
    <cfRule type="expression" priority="188" dxfId="1">
      <formula>AND(IF($Q89=3,1,0),IF($X89&lt;30,1,0))</formula>
    </cfRule>
    <cfRule type="expression" priority="189" dxfId="0">
      <formula>AND(IF($Q89=3,1,IF($Q89=4,1,0)),IF($F89&lt;=85,1,0))</formula>
    </cfRule>
  </conditionalFormatting>
  <conditionalFormatting sqref="AI89">
    <cfRule type="expression" priority="182" dxfId="3">
      <formula>AND(IF(OR($Q89=1,$Q89=2),1,0),IF($X89&lt;=20,1,0))</formula>
    </cfRule>
    <cfRule type="expression" priority="183" dxfId="2">
      <formula>AND(IF($Q89=2,1,0),IF($X89&lt;30,1,0))</formula>
    </cfRule>
    <cfRule type="expression" priority="184" dxfId="1">
      <formula>AND(IF($Q89=3,1,0),IF($X89&lt;30,1,0))</formula>
    </cfRule>
    <cfRule type="expression" priority="185" dxfId="0">
      <formula>AND(IF($Q89=3,1,IF($Q89=4,1,0)),IF($F89&lt;=85,1,0))</formula>
    </cfRule>
  </conditionalFormatting>
  <conditionalFormatting sqref="AV90">
    <cfRule type="expression" priority="180" dxfId="17">
      <formula>AV90="X"</formula>
    </cfRule>
    <cfRule type="expression" priority="181" dxfId="16">
      <formula>AV90="후보"</formula>
    </cfRule>
  </conditionalFormatting>
  <conditionalFormatting sqref="AC9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9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90">
    <cfRule type="expression" priority="171" dxfId="3">
      <formula>AND(IF(OR($Q90=1,$Q90=2),1,0),IF($X90&lt;=20,1,0))</formula>
    </cfRule>
    <cfRule type="expression" priority="172" dxfId="2">
      <formula>AND(IF($Q90=2,1,0),IF($X90&lt;30,1,0))</formula>
    </cfRule>
    <cfRule type="expression" priority="173" dxfId="1">
      <formula>AND(IF($Q90=3,1,0),IF($X90&lt;30,1,0))</formula>
    </cfRule>
    <cfRule type="expression" priority="174" dxfId="0">
      <formula>AND(IF($Q90=3,1,IF($Q90=4,1,0)),IF($F90&lt;=85,1,0))</formula>
    </cfRule>
  </conditionalFormatting>
  <conditionalFormatting sqref="X90">
    <cfRule type="expression" priority="167" dxfId="3">
      <formula>AND(IF(OR($Q90=1,$Q90=2),1,0),IF($X90&lt;=20,1,0))</formula>
    </cfRule>
    <cfRule type="expression" priority="168" dxfId="2">
      <formula>AND(IF($Q90=2,1,0),IF($X90&lt;30,1,0))</formula>
    </cfRule>
    <cfRule type="expression" priority="169" dxfId="1">
      <formula>AND(IF($Q90=3,1,0),IF($X90&lt;30,1,0))</formula>
    </cfRule>
    <cfRule type="expression" priority="170" dxfId="0">
      <formula>AND(IF($Q90=3,1,IF($Q90=4,1,0)),IF($F90&lt;=85,1,0))</formula>
    </cfRule>
  </conditionalFormatting>
  <conditionalFormatting sqref="AI90">
    <cfRule type="expression" priority="163" dxfId="3">
      <formula>AND(IF(OR($Q90=1,$Q90=2),1,0),IF($X90&lt;=20,1,0))</formula>
    </cfRule>
    <cfRule type="expression" priority="164" dxfId="2">
      <formula>AND(IF($Q90=2,1,0),IF($X90&lt;30,1,0))</formula>
    </cfRule>
    <cfRule type="expression" priority="165" dxfId="1">
      <formula>AND(IF($Q90=3,1,0),IF($X90&lt;30,1,0))</formula>
    </cfRule>
    <cfRule type="expression" priority="166" dxfId="0">
      <formula>AND(IF($Q90=3,1,IF($Q90=4,1,0)),IF($F90&lt;=85,1,0))</formula>
    </cfRule>
  </conditionalFormatting>
  <conditionalFormatting sqref="AV91">
    <cfRule type="expression" priority="161" dxfId="17">
      <formula>AV91="X"</formula>
    </cfRule>
    <cfRule type="expression" priority="162" dxfId="16">
      <formula>AV91="후보"</formula>
    </cfRule>
  </conditionalFormatting>
  <conditionalFormatting sqref="AC91 N9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92">
    <cfRule type="expression" priority="156" dxfId="17">
      <formula>AV92="X"</formula>
    </cfRule>
    <cfRule type="expression" priority="157" dxfId="16">
      <formula>AV92="후보"</formula>
    </cfRule>
  </conditionalFormatting>
  <conditionalFormatting sqref="AC9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92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92">
    <cfRule type="expression" priority="147" dxfId="3">
      <formula>AND(IF(OR($Q92=1,$Q92=2),1,0),IF($X92&lt;=20,1,0))</formula>
    </cfRule>
    <cfRule type="expression" priority="148" dxfId="2">
      <formula>AND(IF($Q92=2,1,0),IF($X92&lt;30,1,0))</formula>
    </cfRule>
    <cfRule type="expression" priority="149" dxfId="1">
      <formula>AND(IF($Q92=3,1,0),IF($X92&lt;30,1,0))</formula>
    </cfRule>
    <cfRule type="expression" priority="150" dxfId="0">
      <formula>AND(IF($Q92=3,1,IF($Q92=4,1,0)),IF($F92&lt;=85,1,0))</formula>
    </cfRule>
  </conditionalFormatting>
  <conditionalFormatting sqref="X92">
    <cfRule type="expression" priority="143" dxfId="3">
      <formula>AND(IF(OR($Q92=1,$Q92=2),1,0),IF($X92&lt;=20,1,0))</formula>
    </cfRule>
    <cfRule type="expression" priority="144" dxfId="2">
      <formula>AND(IF($Q92=2,1,0),IF($X92&lt;30,1,0))</formula>
    </cfRule>
    <cfRule type="expression" priority="145" dxfId="1">
      <formula>AND(IF($Q92=3,1,0),IF($X92&lt;30,1,0))</formula>
    </cfRule>
    <cfRule type="expression" priority="146" dxfId="0">
      <formula>AND(IF($Q92=3,1,IF($Q92=4,1,0)),IF($F92&lt;=85,1,0))</formula>
    </cfRule>
  </conditionalFormatting>
  <conditionalFormatting sqref="AI92">
    <cfRule type="expression" priority="139" dxfId="3">
      <formula>AND(IF(OR($Q92=1,$Q92=2),1,0),IF($X92&lt;=20,1,0))</formula>
    </cfRule>
    <cfRule type="expression" priority="140" dxfId="2">
      <formula>AND(IF($Q92=2,1,0),IF($X92&lt;30,1,0))</formula>
    </cfRule>
    <cfRule type="expression" priority="141" dxfId="1">
      <formula>AND(IF($Q92=3,1,0),IF($X92&lt;30,1,0))</formula>
    </cfRule>
    <cfRule type="expression" priority="142" dxfId="0">
      <formula>AND(IF($Q92=3,1,IF($Q92=4,1,0)),IF($F92&lt;=85,1,0))</formula>
    </cfRule>
  </conditionalFormatting>
  <conditionalFormatting sqref="AV93">
    <cfRule type="expression" priority="137" dxfId="17">
      <formula>AV93="X"</formula>
    </cfRule>
    <cfRule type="expression" priority="138" dxfId="16">
      <formula>AV93="후보"</formula>
    </cfRule>
  </conditionalFormatting>
  <conditionalFormatting sqref="AC9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93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93">
    <cfRule type="expression" priority="128" dxfId="3">
      <formula>AND(IF(OR($Q93=1,$Q93=2),1,0),IF($X93&lt;=20,1,0))</formula>
    </cfRule>
    <cfRule type="expression" priority="129" dxfId="2">
      <formula>AND(IF($Q93=2,1,0),IF($X93&lt;30,1,0))</formula>
    </cfRule>
    <cfRule type="expression" priority="130" dxfId="1">
      <formula>AND(IF($Q93=3,1,0),IF($X93&lt;30,1,0))</formula>
    </cfRule>
    <cfRule type="expression" priority="131" dxfId="0">
      <formula>AND(IF($Q93=3,1,IF($Q93=4,1,0)),IF($F93&lt;=85,1,0))</formula>
    </cfRule>
  </conditionalFormatting>
  <conditionalFormatting sqref="X93">
    <cfRule type="expression" priority="124" dxfId="3">
      <formula>AND(IF(OR($Q93=1,$Q93=2),1,0),IF($X93&lt;=20,1,0))</formula>
    </cfRule>
    <cfRule type="expression" priority="125" dxfId="2">
      <formula>AND(IF($Q93=2,1,0),IF($X93&lt;30,1,0))</formula>
    </cfRule>
    <cfRule type="expression" priority="126" dxfId="1">
      <formula>AND(IF($Q93=3,1,0),IF($X93&lt;30,1,0))</formula>
    </cfRule>
    <cfRule type="expression" priority="127" dxfId="0">
      <formula>AND(IF($Q93=3,1,IF($Q93=4,1,0)),IF($F93&lt;=85,1,0))</formula>
    </cfRule>
  </conditionalFormatting>
  <conditionalFormatting sqref="AI93">
    <cfRule type="expression" priority="120" dxfId="3">
      <formula>AND(IF(OR($Q93=1,$Q93=2),1,0),IF($X93&lt;=20,1,0))</formula>
    </cfRule>
    <cfRule type="expression" priority="121" dxfId="2">
      <formula>AND(IF($Q93=2,1,0),IF($X93&lt;30,1,0))</formula>
    </cfRule>
    <cfRule type="expression" priority="122" dxfId="1">
      <formula>AND(IF($Q93=3,1,0),IF($X93&lt;30,1,0))</formula>
    </cfRule>
    <cfRule type="expression" priority="123" dxfId="0">
      <formula>AND(IF($Q93=3,1,IF($Q93=4,1,0)),IF($F93&lt;=85,1,0))</formula>
    </cfRule>
  </conditionalFormatting>
  <conditionalFormatting sqref="AV94">
    <cfRule type="expression" priority="118" dxfId="17">
      <formula>AV94="X"</formula>
    </cfRule>
    <cfRule type="expression" priority="119" dxfId="16">
      <formula>AV94="후보"</formula>
    </cfRule>
  </conditionalFormatting>
  <conditionalFormatting sqref="AC9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9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94">
    <cfRule type="expression" priority="109" dxfId="3">
      <formula>AND(IF(OR($Q94=1,$Q94=2),1,0),IF($X94&lt;=20,1,0))</formula>
    </cfRule>
    <cfRule type="expression" priority="110" dxfId="2">
      <formula>AND(IF($Q94=2,1,0),IF($X94&lt;30,1,0))</formula>
    </cfRule>
    <cfRule type="expression" priority="111" dxfId="1">
      <formula>AND(IF($Q94=3,1,0),IF($X94&lt;30,1,0))</formula>
    </cfRule>
    <cfRule type="expression" priority="112" dxfId="0">
      <formula>AND(IF($Q94=3,1,IF($Q94=4,1,0)),IF($F94&lt;=85,1,0))</formula>
    </cfRule>
  </conditionalFormatting>
  <conditionalFormatting sqref="X94">
    <cfRule type="expression" priority="105" dxfId="3">
      <formula>AND(IF(OR($Q94=1,$Q94=2),1,0),IF($X94&lt;=20,1,0))</formula>
    </cfRule>
    <cfRule type="expression" priority="106" dxfId="2">
      <formula>AND(IF($Q94=2,1,0),IF($X94&lt;30,1,0))</formula>
    </cfRule>
    <cfRule type="expression" priority="107" dxfId="1">
      <formula>AND(IF($Q94=3,1,0),IF($X94&lt;30,1,0))</formula>
    </cfRule>
    <cfRule type="expression" priority="108" dxfId="0">
      <formula>AND(IF($Q94=3,1,IF($Q94=4,1,0)),IF($F94&lt;=85,1,0))</formula>
    </cfRule>
  </conditionalFormatting>
  <conditionalFormatting sqref="AI94">
    <cfRule type="expression" priority="101" dxfId="3">
      <formula>AND(IF(OR($Q94=1,$Q94=2),1,0),IF($X94&lt;=20,1,0))</formula>
    </cfRule>
    <cfRule type="expression" priority="102" dxfId="2">
      <formula>AND(IF($Q94=2,1,0),IF($X94&lt;30,1,0))</formula>
    </cfRule>
    <cfRule type="expression" priority="103" dxfId="1">
      <formula>AND(IF($Q94=3,1,0),IF($X94&lt;30,1,0))</formula>
    </cfRule>
    <cfRule type="expression" priority="104" dxfId="0">
      <formula>AND(IF($Q94=3,1,IF($Q94=4,1,0)),IF($F94&lt;=85,1,0))</formula>
    </cfRule>
  </conditionalFormatting>
  <conditionalFormatting sqref="AV95">
    <cfRule type="expression" priority="99" dxfId="17">
      <formula>AV95="X"</formula>
    </cfRule>
    <cfRule type="expression" priority="100" dxfId="16">
      <formula>AV95="후보"</formula>
    </cfRule>
  </conditionalFormatting>
  <conditionalFormatting sqref="AC95 N9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96">
    <cfRule type="expression" priority="94" dxfId="17">
      <formula>AV96="X"</formula>
    </cfRule>
    <cfRule type="expression" priority="95" dxfId="16">
      <formula>AV96="후보"</formula>
    </cfRule>
  </conditionalFormatting>
  <conditionalFormatting sqref="AC96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9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96">
    <cfRule type="expression" priority="85" dxfId="3">
      <formula>AND(IF(OR($Q96=1,$Q96=2),1,0),IF($X96&lt;=20,1,0))</formula>
    </cfRule>
    <cfRule type="expression" priority="86" dxfId="2">
      <formula>AND(IF($Q96=2,1,0),IF($X96&lt;30,1,0))</formula>
    </cfRule>
    <cfRule type="expression" priority="87" dxfId="1">
      <formula>AND(IF($Q96=3,1,0),IF($X96&lt;30,1,0))</formula>
    </cfRule>
    <cfRule type="expression" priority="88" dxfId="0">
      <formula>AND(IF($Q96=3,1,IF($Q96=4,1,0)),IF($F96&lt;=85,1,0))</formula>
    </cfRule>
  </conditionalFormatting>
  <conditionalFormatting sqref="X96">
    <cfRule type="expression" priority="81" dxfId="3">
      <formula>AND(IF(OR($Q96=1,$Q96=2),1,0),IF($X96&lt;=20,1,0))</formula>
    </cfRule>
    <cfRule type="expression" priority="82" dxfId="2">
      <formula>AND(IF($Q96=2,1,0),IF($X96&lt;30,1,0))</formula>
    </cfRule>
    <cfRule type="expression" priority="83" dxfId="1">
      <formula>AND(IF($Q96=3,1,0),IF($X96&lt;30,1,0))</formula>
    </cfRule>
    <cfRule type="expression" priority="84" dxfId="0">
      <formula>AND(IF($Q96=3,1,IF($Q96=4,1,0)),IF($F96&lt;=85,1,0))</formula>
    </cfRule>
  </conditionalFormatting>
  <conditionalFormatting sqref="AI96">
    <cfRule type="expression" priority="77" dxfId="3">
      <formula>AND(IF(OR($Q96=1,$Q96=2),1,0),IF($X96&lt;=20,1,0))</formula>
    </cfRule>
    <cfRule type="expression" priority="78" dxfId="2">
      <formula>AND(IF($Q96=2,1,0),IF($X96&lt;30,1,0))</formula>
    </cfRule>
    <cfRule type="expression" priority="79" dxfId="1">
      <formula>AND(IF($Q96=3,1,0),IF($X96&lt;30,1,0))</formula>
    </cfRule>
    <cfRule type="expression" priority="80" dxfId="0">
      <formula>AND(IF($Q96=3,1,IF($Q96=4,1,0)),IF($F96&lt;=85,1,0))</formula>
    </cfRule>
  </conditionalFormatting>
  <conditionalFormatting sqref="AV97">
    <cfRule type="expression" priority="75" dxfId="17">
      <formula>AV97="X"</formula>
    </cfRule>
    <cfRule type="expression" priority="76" dxfId="16">
      <formula>AV97="후보"</formula>
    </cfRule>
  </conditionalFormatting>
  <conditionalFormatting sqref="AC9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9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97">
    <cfRule type="expression" priority="66" dxfId="3">
      <formula>AND(IF(OR($Q97=1,$Q97=2),1,0),IF($X97&lt;=20,1,0))</formula>
    </cfRule>
    <cfRule type="expression" priority="67" dxfId="2">
      <formula>AND(IF($Q97=2,1,0),IF($X97&lt;30,1,0))</formula>
    </cfRule>
    <cfRule type="expression" priority="68" dxfId="1">
      <formula>AND(IF($Q97=3,1,0),IF($X97&lt;30,1,0))</formula>
    </cfRule>
    <cfRule type="expression" priority="69" dxfId="0">
      <formula>AND(IF($Q97=3,1,IF($Q97=4,1,0)),IF($F97&lt;=85,1,0))</formula>
    </cfRule>
  </conditionalFormatting>
  <conditionalFormatting sqref="X97">
    <cfRule type="expression" priority="62" dxfId="3">
      <formula>AND(IF(OR($Q97=1,$Q97=2),1,0),IF($X97&lt;=20,1,0))</formula>
    </cfRule>
    <cfRule type="expression" priority="63" dxfId="2">
      <formula>AND(IF($Q97=2,1,0),IF($X97&lt;30,1,0))</formula>
    </cfRule>
    <cfRule type="expression" priority="64" dxfId="1">
      <formula>AND(IF($Q97=3,1,0),IF($X97&lt;30,1,0))</formula>
    </cfRule>
    <cfRule type="expression" priority="65" dxfId="0">
      <formula>AND(IF($Q97=3,1,IF($Q97=4,1,0)),IF($F97&lt;=85,1,0))</formula>
    </cfRule>
  </conditionalFormatting>
  <conditionalFormatting sqref="AI97">
    <cfRule type="expression" priority="58" dxfId="3">
      <formula>AND(IF(OR($Q97=1,$Q97=2),1,0),IF($X97&lt;=20,1,0))</formula>
    </cfRule>
    <cfRule type="expression" priority="59" dxfId="2">
      <formula>AND(IF($Q97=2,1,0),IF($X97&lt;30,1,0))</formula>
    </cfRule>
    <cfRule type="expression" priority="60" dxfId="1">
      <formula>AND(IF($Q97=3,1,0),IF($X97&lt;30,1,0))</formula>
    </cfRule>
    <cfRule type="expression" priority="61" dxfId="0">
      <formula>AND(IF($Q97=3,1,IF($Q97=4,1,0)),IF($F97&lt;=85,1,0))</formula>
    </cfRule>
  </conditionalFormatting>
  <conditionalFormatting sqref="AV98">
    <cfRule type="expression" priority="56" dxfId="17">
      <formula>AV98="X"</formula>
    </cfRule>
    <cfRule type="expression" priority="57" dxfId="16">
      <formula>AV98="후보"</formula>
    </cfRule>
  </conditionalFormatting>
  <conditionalFormatting sqref="AC9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8">
    <cfRule type="expression" priority="47" dxfId="3">
      <formula>AND(IF(OR($Q98=1,$Q98=2),1,0),IF($X98&lt;=20,1,0))</formula>
    </cfRule>
    <cfRule type="expression" priority="48" dxfId="2">
      <formula>AND(IF($Q98=2,1,0),IF($X98&lt;30,1,0))</formula>
    </cfRule>
    <cfRule type="expression" priority="49" dxfId="1">
      <formula>AND(IF($Q98=3,1,0),IF($X98&lt;30,1,0))</formula>
    </cfRule>
    <cfRule type="expression" priority="50" dxfId="0">
      <formula>AND(IF($Q98=3,1,IF($Q98=4,1,0)),IF($F98&lt;=85,1,0))</formula>
    </cfRule>
  </conditionalFormatting>
  <conditionalFormatting sqref="X98">
    <cfRule type="expression" priority="43" dxfId="3">
      <formula>AND(IF(OR($Q98=1,$Q98=2),1,0),IF($X98&lt;=20,1,0))</formula>
    </cfRule>
    <cfRule type="expression" priority="44" dxfId="2">
      <formula>AND(IF($Q98=2,1,0),IF($X98&lt;30,1,0))</formula>
    </cfRule>
    <cfRule type="expression" priority="45" dxfId="1">
      <formula>AND(IF($Q98=3,1,0),IF($X98&lt;30,1,0))</formula>
    </cfRule>
    <cfRule type="expression" priority="46" dxfId="0">
      <formula>AND(IF($Q98=3,1,IF($Q98=4,1,0)),IF($F98&lt;=85,1,0))</formula>
    </cfRule>
  </conditionalFormatting>
  <conditionalFormatting sqref="AI98">
    <cfRule type="expression" priority="39" dxfId="3">
      <formula>AND(IF(OR($Q98=1,$Q98=2),1,0),IF($X98&lt;=20,1,0))</formula>
    </cfRule>
    <cfRule type="expression" priority="40" dxfId="2">
      <formula>AND(IF($Q98=2,1,0),IF($X98&lt;30,1,0))</formula>
    </cfRule>
    <cfRule type="expression" priority="41" dxfId="1">
      <formula>AND(IF($Q98=3,1,0),IF($X98&lt;30,1,0))</formula>
    </cfRule>
    <cfRule type="expression" priority="42" dxfId="0">
      <formula>AND(IF($Q98=3,1,IF($Q98=4,1,0)),IF($F98&lt;=85,1,0))</formula>
    </cfRule>
  </conditionalFormatting>
  <conditionalFormatting sqref="AV99">
    <cfRule type="expression" priority="37" dxfId="17">
      <formula>AV99="X"</formula>
    </cfRule>
    <cfRule type="expression" priority="38" dxfId="16">
      <formula>AV99="후보"</formula>
    </cfRule>
  </conditionalFormatting>
  <conditionalFormatting sqref="AC9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9">
    <cfRule type="expression" priority="28" dxfId="3">
      <formula>AND(IF(OR($Q99=1,$Q99=2),1,0),IF($X99&lt;=20,1,0))</formula>
    </cfRule>
    <cfRule type="expression" priority="29" dxfId="2">
      <formula>AND(IF($Q99=2,1,0),IF($X99&lt;30,1,0))</formula>
    </cfRule>
    <cfRule type="expression" priority="30" dxfId="1">
      <formula>AND(IF($Q99=3,1,0),IF($X99&lt;30,1,0))</formula>
    </cfRule>
    <cfRule type="expression" priority="31" dxfId="0">
      <formula>AND(IF($Q99=3,1,IF($Q99=4,1,0)),IF($F99&lt;=85,1,0))</formula>
    </cfRule>
  </conditionalFormatting>
  <conditionalFormatting sqref="X99">
    <cfRule type="expression" priority="24" dxfId="3">
      <formula>AND(IF(OR($Q99=1,$Q99=2),1,0),IF($X99&lt;=20,1,0))</formula>
    </cfRule>
    <cfRule type="expression" priority="25" dxfId="2">
      <formula>AND(IF($Q99=2,1,0),IF($X99&lt;30,1,0))</formula>
    </cfRule>
    <cfRule type="expression" priority="26" dxfId="1">
      <formula>AND(IF($Q99=3,1,0),IF($X99&lt;30,1,0))</formula>
    </cfRule>
    <cfRule type="expression" priority="27" dxfId="0">
      <formula>AND(IF($Q99=3,1,IF($Q99=4,1,0)),IF($F99&lt;=85,1,0))</formula>
    </cfRule>
  </conditionalFormatting>
  <conditionalFormatting sqref="AI99">
    <cfRule type="expression" priority="20" dxfId="3">
      <formula>AND(IF(OR($Q99=1,$Q99=2),1,0),IF($X99&lt;=20,1,0))</formula>
    </cfRule>
    <cfRule type="expression" priority="21" dxfId="2">
      <formula>AND(IF($Q99=2,1,0),IF($X99&lt;30,1,0))</formula>
    </cfRule>
    <cfRule type="expression" priority="22" dxfId="1">
      <formula>AND(IF($Q99=3,1,0),IF($X99&lt;30,1,0))</formula>
    </cfRule>
    <cfRule type="expression" priority="23" dxfId="0">
      <formula>AND(IF($Q99=3,1,IF($Q99=4,1,0)),IF($F99&lt;=85,1,0))</formula>
    </cfRule>
  </conditionalFormatting>
  <conditionalFormatting sqref="AV100">
    <cfRule type="expression" priority="18" dxfId="17">
      <formula>AV100="X"</formula>
    </cfRule>
    <cfRule type="expression" priority="19" dxfId="16">
      <formula>AV100="후보"</formula>
    </cfRule>
  </conditionalFormatting>
  <conditionalFormatting sqref="AC10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0">
    <cfRule type="expression" priority="9" dxfId="3">
      <formula>AND(IF(OR($Q100=1,$Q100=2),1,0),IF($X100&lt;=20,1,0))</formula>
    </cfRule>
    <cfRule type="expression" priority="10" dxfId="2">
      <formula>AND(IF($Q100=2,1,0),IF($X100&lt;30,1,0))</formula>
    </cfRule>
    <cfRule type="expression" priority="11" dxfId="1">
      <formula>AND(IF($Q100=3,1,0),IF($X100&lt;30,1,0))</formula>
    </cfRule>
    <cfRule type="expression" priority="12" dxfId="0">
      <formula>AND(IF($Q100=3,1,IF($Q100=4,1,0)),IF($F100&lt;=85,1,0))</formula>
    </cfRule>
  </conditionalFormatting>
  <conditionalFormatting sqref="X100">
    <cfRule type="expression" priority="5" dxfId="3">
      <formula>AND(IF(OR($Q100=1,$Q100=2),1,0),IF($X100&lt;=20,1,0))</formula>
    </cfRule>
    <cfRule type="expression" priority="6" dxfId="2">
      <formula>AND(IF($Q100=2,1,0),IF($X100&lt;30,1,0))</formula>
    </cfRule>
    <cfRule type="expression" priority="7" dxfId="1">
      <formula>AND(IF($Q100=3,1,0),IF($X100&lt;30,1,0))</formula>
    </cfRule>
    <cfRule type="expression" priority="8" dxfId="0">
      <formula>AND(IF($Q100=3,1,IF($Q100=4,1,0)),IF($F100&lt;=85,1,0))</formula>
    </cfRule>
  </conditionalFormatting>
  <conditionalFormatting sqref="AI100">
    <cfRule type="expression" priority="1" dxfId="3">
      <formula>AND(IF(OR($Q100=1,$Q100=2),1,0),IF($X100&lt;=20,1,0))</formula>
    </cfRule>
    <cfRule type="expression" priority="2" dxfId="2">
      <formula>AND(IF($Q100=2,1,0),IF($X100&lt;30,1,0))</formula>
    </cfRule>
    <cfRule type="expression" priority="3" dxfId="1">
      <formula>AND(IF($Q100=3,1,0),IF($X100&lt;30,1,0))</formula>
    </cfRule>
    <cfRule type="expression" priority="4" dxfId="0">
      <formula>AND(IF($Q100=3,1,IF($Q100=4,1,0)),IF($F100&lt;=85,1,0))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250"/>
  <sheetViews>
    <sheetView tabSelected="1"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J21" sqref="J2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청라동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청라더샵레이크파크</t>
        </is>
      </c>
      <c r="B6" s="16" t="inlineStr">
        <is>
          <t>'13.04.</t>
        </is>
      </c>
      <c r="C6" s="164" t="n">
        <v>766</v>
      </c>
      <c r="D6" s="161" t="n">
        <v>133.7</v>
      </c>
      <c r="E6" s="163" t="n">
        <v>40</v>
      </c>
      <c r="F6" s="161" t="n">
        <v>100.6</v>
      </c>
      <c r="G6" s="27" t="n">
        <v>30</v>
      </c>
      <c r="H6" s="164" t="n">
        <v>266</v>
      </c>
      <c r="I6" s="165" t="n">
        <v>108000</v>
      </c>
      <c r="J6" s="165" t="inlineStr">
        <is>
          <t>9</t>
        </is>
      </c>
      <c r="K6" s="165" t="n">
        <v>43000</v>
      </c>
      <c r="L6" s="165" t="inlineStr">
        <is>
          <t>17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133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청라더샵레이크파크</t>
        </is>
      </c>
      <c r="B7" s="16" t="inlineStr">
        <is>
          <t>'13.04.</t>
        </is>
      </c>
      <c r="C7" s="164" t="n">
        <v>766</v>
      </c>
      <c r="D7" s="161" t="n">
        <v>142.6</v>
      </c>
      <c r="E7" s="163" t="n">
        <v>43</v>
      </c>
      <c r="F7" s="161" t="n">
        <v>107.1</v>
      </c>
      <c r="G7" s="27" t="n">
        <v>32</v>
      </c>
      <c r="H7" s="164" t="n">
        <v>53</v>
      </c>
      <c r="I7" s="165" t="n">
        <v>120000</v>
      </c>
      <c r="J7" s="165" t="inlineStr">
        <is>
          <t>고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142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청라더샵레이크파크</t>
        </is>
      </c>
      <c r="B8" s="16" t="inlineStr">
        <is>
          <t>'13.04.</t>
        </is>
      </c>
      <c r="C8" s="164" t="n">
        <v>766</v>
      </c>
      <c r="D8" s="161" t="n">
        <v>144.2</v>
      </c>
      <c r="E8" s="163" t="n">
        <v>44</v>
      </c>
      <c r="F8" s="161" t="n">
        <v>106.9</v>
      </c>
      <c r="G8" s="27" t="n">
        <v>32</v>
      </c>
      <c r="H8" s="164" t="n">
        <v>338</v>
      </c>
      <c r="I8" s="165" t="n">
        <v>110000</v>
      </c>
      <c r="J8" s="165" t="inlineStr">
        <is>
          <t>12</t>
        </is>
      </c>
      <c r="K8" s="165" t="n">
        <v>55000</v>
      </c>
      <c r="L8" s="165" t="inlineStr">
        <is>
          <t>고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144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청라더샵레이크파크</t>
        </is>
      </c>
      <c r="B9" s="16" t="inlineStr">
        <is>
          <t>'13.04.</t>
        </is>
      </c>
      <c r="C9" s="164" t="n">
        <v>766</v>
      </c>
      <c r="D9" s="161" t="n">
        <v>183.2</v>
      </c>
      <c r="E9" s="163" t="n">
        <v>55</v>
      </c>
      <c r="F9" s="161" t="n">
        <v>137.2</v>
      </c>
      <c r="G9" s="27" t="n">
        <v>42</v>
      </c>
      <c r="H9" s="164" t="n">
        <v>107</v>
      </c>
      <c r="I9" s="165" t="n">
        <v>189000</v>
      </c>
      <c r="J9" s="165" t="inlineStr">
        <is>
          <t>8</t>
        </is>
      </c>
      <c r="K9" s="165" t="n">
        <v>100000</v>
      </c>
      <c r="L9" s="165" t="inlineStr">
        <is>
          <t>고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183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청라더샵레이크파크</t>
        </is>
      </c>
      <c r="B10" s="16" t="inlineStr">
        <is>
          <t>'13.04.</t>
        </is>
      </c>
      <c r="C10" s="164" t="n">
        <v>766</v>
      </c>
      <c r="D10" s="161" t="n">
        <v>262</v>
      </c>
      <c r="E10" s="163" t="n">
        <v>79</v>
      </c>
      <c r="F10" s="161" t="n">
        <v>188.5</v>
      </c>
      <c r="G10" s="27" t="n">
        <v>57</v>
      </c>
      <c r="H10" s="164" t="n">
        <v>1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4</v>
      </c>
      <c r="R10" s="113" t="n">
        <v>4</v>
      </c>
      <c r="S10" s="113" t="inlineStr">
        <is>
          <t>계</t>
        </is>
      </c>
      <c r="T10" s="8" t="n">
        <v>262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청라더샵레이크파크</t>
        </is>
      </c>
      <c r="B11" s="16" t="inlineStr">
        <is>
          <t>'13.04.</t>
        </is>
      </c>
      <c r="C11" s="164" t="n">
        <v>766</v>
      </c>
      <c r="D11" s="161" t="n">
        <v>283.2</v>
      </c>
      <c r="E11" s="163" t="n">
        <v>86</v>
      </c>
      <c r="F11" s="161" t="n">
        <v>209.7</v>
      </c>
      <c r="G11" s="27" t="n">
        <v>63</v>
      </c>
      <c r="H11" s="164" t="n">
        <v>1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4</v>
      </c>
      <c r="S11" s="113" t="inlineStr">
        <is>
          <t>계</t>
        </is>
      </c>
      <c r="T11" s="8" t="n">
        <v>283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청라파크자이더테라스(1블럭)</t>
        </is>
      </c>
      <c r="B13" s="16" t="inlineStr">
        <is>
          <t>'16.03.</t>
        </is>
      </c>
      <c r="C13" s="164" t="n">
        <v>270</v>
      </c>
      <c r="D13" s="161" t="n">
        <v>102.3</v>
      </c>
      <c r="E13" s="163" t="n">
        <v>31</v>
      </c>
      <c r="F13" s="161" t="n">
        <v>76.7</v>
      </c>
      <c r="G13" s="27" t="n">
        <v>23</v>
      </c>
      <c r="H13" s="164" t="n">
        <v>12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102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청라파크자이더테라스(1블럭)</t>
        </is>
      </c>
      <c r="B14" s="16" t="inlineStr">
        <is>
          <t>'16.03.</t>
        </is>
      </c>
      <c r="C14" s="164" t="n">
        <v>270</v>
      </c>
      <c r="D14" s="161" t="n">
        <v>102.3</v>
      </c>
      <c r="E14" s="163" t="n">
        <v>31</v>
      </c>
      <c r="F14" s="161" t="n">
        <v>76.7</v>
      </c>
      <c r="G14" s="27" t="n">
        <v>23</v>
      </c>
      <c r="H14" s="164" t="n">
        <v>6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102P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청라파크자이더테라스(1블럭)</t>
        </is>
      </c>
      <c r="B15" s="16" t="inlineStr">
        <is>
          <t>'16.03.</t>
        </is>
      </c>
      <c r="C15" s="164" t="n">
        <v>270</v>
      </c>
      <c r="D15" s="161" t="n">
        <v>102.3</v>
      </c>
      <c r="E15" s="163" t="n">
        <v>31</v>
      </c>
      <c r="F15" s="161" t="n">
        <v>76.7</v>
      </c>
      <c r="G15" s="27" t="n">
        <v>23</v>
      </c>
      <c r="H15" s="164" t="n">
        <v>6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102T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청라파크자이더테라스(1블럭)</t>
        </is>
      </c>
      <c r="B16" s="16" t="inlineStr">
        <is>
          <t>'16.03.</t>
        </is>
      </c>
      <c r="C16" s="164" t="n">
        <v>270</v>
      </c>
      <c r="D16" s="161" t="n">
        <v>111</v>
      </c>
      <c r="E16" s="163" t="n">
        <v>34</v>
      </c>
      <c r="F16" s="161" t="n">
        <v>85</v>
      </c>
      <c r="G16" s="27" t="n">
        <v>26</v>
      </c>
      <c r="H16" s="164" t="n">
        <v>12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110B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청라파크자이더테라스(1블럭)</t>
        </is>
      </c>
      <c r="B17" s="16" t="inlineStr">
        <is>
          <t>'16.03.</t>
        </is>
      </c>
      <c r="C17" s="164" t="n">
        <v>270</v>
      </c>
      <c r="D17" s="161" t="n">
        <v>111</v>
      </c>
      <c r="E17" s="163" t="n">
        <v>34</v>
      </c>
      <c r="F17" s="161" t="n">
        <v>85</v>
      </c>
      <c r="G17" s="27" t="n">
        <v>26</v>
      </c>
      <c r="H17" s="164" t="n">
        <v>6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110Q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청라파크자이더테라스(1블럭)</t>
        </is>
      </c>
      <c r="B18" s="16" t="inlineStr">
        <is>
          <t>'16.03.</t>
        </is>
      </c>
      <c r="C18" s="164" t="n">
        <v>270</v>
      </c>
      <c r="D18" s="161" t="n">
        <v>111</v>
      </c>
      <c r="E18" s="163" t="n">
        <v>34</v>
      </c>
      <c r="F18" s="161" t="n">
        <v>85</v>
      </c>
      <c r="G18" s="27" t="n">
        <v>26</v>
      </c>
      <c r="H18" s="164" t="n">
        <v>6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110S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청라파크자이더테라스(1블럭)</t>
        </is>
      </c>
      <c r="B19" s="16" t="inlineStr">
        <is>
          <t>'16.03.</t>
        </is>
      </c>
      <c r="C19" s="164" t="n">
        <v>270</v>
      </c>
      <c r="D19" s="161" t="n">
        <v>112.8</v>
      </c>
      <c r="E19" s="163" t="n">
        <v>34</v>
      </c>
      <c r="F19" s="161" t="n">
        <v>85</v>
      </c>
      <c r="G19" s="27" t="n">
        <v>26</v>
      </c>
      <c r="H19" s="164" t="n">
        <v>116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112A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청라파크자이더테라스(1블럭)</t>
        </is>
      </c>
      <c r="B20" s="16" t="inlineStr">
        <is>
          <t>'16.03.</t>
        </is>
      </c>
      <c r="C20" s="164" t="n">
        <v>270</v>
      </c>
      <c r="D20" s="161" t="n">
        <v>112.8</v>
      </c>
      <c r="E20" s="163" t="n">
        <v>34</v>
      </c>
      <c r="F20" s="161" t="n">
        <v>85</v>
      </c>
      <c r="G20" s="27" t="n">
        <v>26</v>
      </c>
      <c r="H20" s="164" t="n">
        <v>53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112P1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청라파크자이더테라스(1블럭)</t>
        </is>
      </c>
      <c r="B21" s="16" t="inlineStr">
        <is>
          <t>'16.03.</t>
        </is>
      </c>
      <c r="C21" s="164" t="n">
        <v>270</v>
      </c>
      <c r="D21" s="161" t="n">
        <v>112.8</v>
      </c>
      <c r="E21" s="163" t="n">
        <v>34</v>
      </c>
      <c r="F21" s="161" t="n">
        <v>85</v>
      </c>
      <c r="G21" s="27" t="n">
        <v>26</v>
      </c>
      <c r="H21" s="164" t="n">
        <v>40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112T1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청라파크자이더테라스(1블럭)</t>
        </is>
      </c>
      <c r="B22" s="16" t="inlineStr">
        <is>
          <t>'16.03.</t>
        </is>
      </c>
      <c r="C22" s="164" t="n">
        <v>270</v>
      </c>
      <c r="D22" s="161" t="n">
        <v>112.6</v>
      </c>
      <c r="E22" s="163" t="n">
        <v>34</v>
      </c>
      <c r="F22" s="161" t="n">
        <v>85</v>
      </c>
      <c r="G22" s="27" t="n">
        <v>26</v>
      </c>
      <c r="H22" s="164" t="n">
        <v>8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4</v>
      </c>
      <c r="R22" s="113" t="n">
        <v>2</v>
      </c>
      <c r="S22" s="113" t="inlineStr">
        <is>
          <t>계</t>
        </is>
      </c>
      <c r="T22" s="8" t="n">
        <v>112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청라파크자이더테라스(1블럭)</t>
        </is>
      </c>
      <c r="B23" s="16" t="inlineStr">
        <is>
          <t>'16.03.</t>
        </is>
      </c>
      <c r="C23" s="164" t="n">
        <v>270</v>
      </c>
      <c r="D23" s="161" t="n">
        <v>112.6</v>
      </c>
      <c r="E23" s="163" t="n">
        <v>34</v>
      </c>
      <c r="F23" s="161" t="n">
        <v>85</v>
      </c>
      <c r="G23" s="27" t="n">
        <v>26</v>
      </c>
      <c r="H23" s="164" t="n">
        <v>4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inlineStr">
        <is>
          <t>112P2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청라파크자이더테라스(1블럭)</t>
        </is>
      </c>
      <c r="B24" s="16" t="inlineStr">
        <is>
          <t>'16.03.</t>
        </is>
      </c>
      <c r="C24" s="164" t="n">
        <v>270</v>
      </c>
      <c r="D24" s="161" t="n">
        <v>112.8</v>
      </c>
      <c r="E24" s="163" t="n">
        <v>34</v>
      </c>
      <c r="F24" s="161" t="n">
        <v>85</v>
      </c>
      <c r="G24" s="27" t="n">
        <v>26</v>
      </c>
      <c r="H24" s="164" t="n">
        <v>1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inlineStr">
        <is>
          <t>112T2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호반베르디움앤영무예다음</t>
        </is>
      </c>
      <c r="B26" s="16" t="inlineStr">
        <is>
          <t>'11.05.</t>
        </is>
      </c>
      <c r="C26" s="164" t="n">
        <v>1051</v>
      </c>
      <c r="D26" s="161" t="n">
        <v>79.90000000000001</v>
      </c>
      <c r="E26" s="163" t="n">
        <v>24</v>
      </c>
      <c r="F26" s="161" t="n">
        <v>59.9</v>
      </c>
      <c r="G26" s="27" t="n">
        <v>18</v>
      </c>
      <c r="H26" s="164" t="n">
        <v>422</v>
      </c>
      <c r="I26" s="165" t="n">
        <v>52000</v>
      </c>
      <c r="J26" s="165" t="inlineStr">
        <is>
          <t>22</t>
        </is>
      </c>
      <c r="K26" s="165" t="n">
        <v>29000</v>
      </c>
      <c r="L26" s="165" t="inlineStr">
        <is>
          <t>11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79B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호반베르디움앤영무예다음</t>
        </is>
      </c>
      <c r="B27" s="16" t="inlineStr">
        <is>
          <t>'11.05.</t>
        </is>
      </c>
      <c r="C27" s="164" t="n">
        <v>1051</v>
      </c>
      <c r="D27" s="161" t="n">
        <v>79.90000000000001</v>
      </c>
      <c r="E27" s="163" t="n">
        <v>24</v>
      </c>
      <c r="F27" s="161" t="n">
        <v>59.7</v>
      </c>
      <c r="G27" s="27" t="n">
        <v>18</v>
      </c>
      <c r="H27" s="164" t="n">
        <v>207</v>
      </c>
      <c r="I27" s="165" t="n">
        <v>51000</v>
      </c>
      <c r="J27" s="165" t="inlineStr">
        <is>
          <t>10</t>
        </is>
      </c>
      <c r="K27" s="165" t="n">
        <v>34000</v>
      </c>
      <c r="L27" s="165" t="inlineStr">
        <is>
          <t>22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79C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호반베르디움앤영무예다음</t>
        </is>
      </c>
      <c r="B28" s="16" t="inlineStr">
        <is>
          <t>'11.05.</t>
        </is>
      </c>
      <c r="C28" s="164" t="n">
        <v>1051</v>
      </c>
      <c r="D28" s="161" t="n">
        <v>81</v>
      </c>
      <c r="E28" s="163" t="n">
        <v>25</v>
      </c>
      <c r="F28" s="161" t="n">
        <v>59.9</v>
      </c>
      <c r="G28" s="27" t="n">
        <v>18</v>
      </c>
      <c r="H28" s="164" t="n">
        <v>422</v>
      </c>
      <c r="I28" s="165" t="n">
        <v>53000</v>
      </c>
      <c r="J28" s="165" t="inlineStr">
        <is>
          <t>5</t>
        </is>
      </c>
      <c r="K28" s="165" t="n">
        <v>29000</v>
      </c>
      <c r="L28" s="165" t="inlineStr">
        <is>
          <t>19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81A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중흥s-클래스1단지</t>
        </is>
      </c>
      <c r="B30" s="16" t="inlineStr">
        <is>
          <t>'10.09.</t>
        </is>
      </c>
      <c r="C30" s="164" t="n">
        <v>476</v>
      </c>
      <c r="D30" s="161" t="n">
        <v>145.3</v>
      </c>
      <c r="E30" s="163" t="n">
        <v>44</v>
      </c>
      <c r="F30" s="161" t="n">
        <v>119.6</v>
      </c>
      <c r="G30" s="27" t="n">
        <v>36</v>
      </c>
      <c r="H30" s="164" t="n">
        <v>180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5</v>
      </c>
      <c r="R30" s="113" t="n">
        <v>2</v>
      </c>
      <c r="S30" s="113" t="inlineStr">
        <is>
          <t>계</t>
        </is>
      </c>
      <c r="T30" s="8" t="inlineStr">
        <is>
          <t>145A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중흥s-클래스1단지</t>
        </is>
      </c>
      <c r="B31" s="16" t="inlineStr">
        <is>
          <t>'10.09.</t>
        </is>
      </c>
      <c r="C31" s="164" t="n">
        <v>476</v>
      </c>
      <c r="D31" s="161" t="n">
        <v>146.2</v>
      </c>
      <c r="E31" s="163" t="n">
        <v>44</v>
      </c>
      <c r="F31" s="161" t="n">
        <v>120.5</v>
      </c>
      <c r="G31" s="27" t="n">
        <v>36</v>
      </c>
      <c r="H31" s="164" t="n">
        <v>58</v>
      </c>
      <c r="I31" s="165" t="n">
        <v>85000</v>
      </c>
      <c r="J31" s="165" t="inlineStr">
        <is>
          <t>고</t>
        </is>
      </c>
      <c r="K31" s="165" t="n">
        <v>42000</v>
      </c>
      <c r="L31" s="165" t="inlineStr">
        <is>
          <t>고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5</v>
      </c>
      <c r="R31" s="113" t="n">
        <v>2</v>
      </c>
      <c r="S31" s="113" t="inlineStr">
        <is>
          <t>계</t>
        </is>
      </c>
      <c r="T31" s="8" t="inlineStr">
        <is>
          <t>146B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중흥s-클래스1단지</t>
        </is>
      </c>
      <c r="B32" s="16" t="inlineStr">
        <is>
          <t>'10.09.</t>
        </is>
      </c>
      <c r="C32" s="164" t="n">
        <v>476</v>
      </c>
      <c r="D32" s="161" t="n">
        <v>166.6</v>
      </c>
      <c r="E32" s="163" t="n">
        <v>50</v>
      </c>
      <c r="F32" s="161" t="n">
        <v>138.1</v>
      </c>
      <c r="G32" s="27" t="n">
        <v>42</v>
      </c>
      <c r="H32" s="164" t="n">
        <v>60</v>
      </c>
      <c r="I32" s="165" t="n">
        <v>90000</v>
      </c>
      <c r="J32" s="165" t="inlineStr">
        <is>
          <t>중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166A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중흥s-클래스1단지</t>
        </is>
      </c>
      <c r="B33" s="16" t="inlineStr">
        <is>
          <t>'10.09.</t>
        </is>
      </c>
      <c r="C33" s="164" t="n">
        <v>476</v>
      </c>
      <c r="D33" s="161" t="n">
        <v>167.1</v>
      </c>
      <c r="E33" s="163" t="n">
        <v>51</v>
      </c>
      <c r="F33" s="161" t="n">
        <v>139.2</v>
      </c>
      <c r="G33" s="27" t="n">
        <v>42</v>
      </c>
      <c r="H33" s="164" t="n">
        <v>14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inlineStr">
        <is>
          <t>167C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중흥s-클래스1단지</t>
        </is>
      </c>
      <c r="B34" s="16" t="inlineStr">
        <is>
          <t>'10.09.</t>
        </is>
      </c>
      <c r="C34" s="164" t="n">
        <v>476</v>
      </c>
      <c r="D34" s="161" t="n">
        <v>168.4</v>
      </c>
      <c r="E34" s="163" t="n">
        <v>51</v>
      </c>
      <c r="F34" s="161" t="n">
        <v>140.3</v>
      </c>
      <c r="G34" s="27" t="n">
        <v>42</v>
      </c>
      <c r="H34" s="164" t="n">
        <v>164</v>
      </c>
      <c r="I34" s="165" t="n">
        <v>88000</v>
      </c>
      <c r="J34" s="165" t="inlineStr">
        <is>
          <t>중</t>
        </is>
      </c>
      <c r="K34" s="165" t="n">
        <v>53000</v>
      </c>
      <c r="L34" s="165" t="inlineStr">
        <is>
          <t>중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inlineStr">
        <is>
          <t>168B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청라메이루즈커낼파크뷰</t>
        </is>
      </c>
      <c r="B36" s="16" t="inlineStr">
        <is>
          <t>'11.02.</t>
        </is>
      </c>
      <c r="C36" s="164" t="n">
        <v>263</v>
      </c>
      <c r="D36" s="161" t="n">
        <v>107.8</v>
      </c>
      <c r="E36" s="163" t="n">
        <v>33</v>
      </c>
      <c r="F36" s="161" t="n">
        <v>81.09999999999999</v>
      </c>
      <c r="G36" s="27" t="n">
        <v>25</v>
      </c>
      <c r="H36" s="164" t="n">
        <v>56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n">
        <v>107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청라메이루즈커낼파크뷰</t>
        </is>
      </c>
      <c r="B37" s="16" t="inlineStr">
        <is>
          <t>'11.02.</t>
        </is>
      </c>
      <c r="C37" s="164" t="n">
        <v>263</v>
      </c>
      <c r="D37" s="161" t="n">
        <v>109.8</v>
      </c>
      <c r="E37" s="163" t="n">
        <v>33</v>
      </c>
      <c r="F37" s="161" t="n">
        <v>82.40000000000001</v>
      </c>
      <c r="G37" s="27" t="n">
        <v>25</v>
      </c>
      <c r="H37" s="164" t="n">
        <v>56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109A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청라메이루즈커낼파크뷰</t>
        </is>
      </c>
      <c r="B38" s="16" t="inlineStr">
        <is>
          <t>'11.02.</t>
        </is>
      </c>
      <c r="C38" s="164" t="n">
        <v>263</v>
      </c>
      <c r="D38" s="161" t="n">
        <v>110.9</v>
      </c>
      <c r="E38" s="163" t="n">
        <v>34</v>
      </c>
      <c r="F38" s="161" t="n">
        <v>83.59999999999999</v>
      </c>
      <c r="G38" s="27" t="n">
        <v>25</v>
      </c>
      <c r="H38" s="164" t="n">
        <v>151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110B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1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2" t="n"/>
      <c r="P39" s="162" t="n"/>
      <c r="Q39" s="163" t="n"/>
      <c r="R39" s="163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0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청라자이</t>
        </is>
      </c>
      <c r="B40" s="16" t="inlineStr">
        <is>
          <t>'10.06.</t>
        </is>
      </c>
      <c r="C40" s="164" t="n">
        <v>884</v>
      </c>
      <c r="D40" s="161" t="n">
        <v>123.6</v>
      </c>
      <c r="E40" s="163" t="n">
        <v>37</v>
      </c>
      <c r="F40" s="161" t="n">
        <v>96</v>
      </c>
      <c r="G40" s="27" t="n">
        <v>29</v>
      </c>
      <c r="H40" s="164" t="n">
        <v>56</v>
      </c>
      <c r="I40" s="165" t="n">
        <v>86000</v>
      </c>
      <c r="J40" s="165" t="inlineStr">
        <is>
          <t>고</t>
        </is>
      </c>
      <c r="K40" s="165" t="n">
        <v>50000</v>
      </c>
      <c r="L40" s="165" t="inlineStr">
        <is>
          <t>고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123A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청라자이</t>
        </is>
      </c>
      <c r="B41" s="16" t="inlineStr">
        <is>
          <t>'10.06.</t>
        </is>
      </c>
      <c r="C41" s="164" t="n">
        <v>884</v>
      </c>
      <c r="D41" s="161" t="n">
        <v>123.5</v>
      </c>
      <c r="E41" s="163" t="n">
        <v>37</v>
      </c>
      <c r="F41" s="161" t="n">
        <v>96.2</v>
      </c>
      <c r="G41" s="27" t="n">
        <v>29</v>
      </c>
      <c r="H41" s="164" t="n">
        <v>16</v>
      </c>
      <c r="I41" s="165" t="n"/>
      <c r="J41" s="165" t="n"/>
      <c r="K41" s="165" t="n">
        <v>43000</v>
      </c>
      <c r="L41" s="165" t="inlineStr">
        <is>
          <t>5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123B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청라자이</t>
        </is>
      </c>
      <c r="B42" s="16" t="inlineStr">
        <is>
          <t>'10.06.</t>
        </is>
      </c>
      <c r="C42" s="164" t="n">
        <v>884</v>
      </c>
      <c r="D42" s="161" t="n">
        <v>131.2</v>
      </c>
      <c r="E42" s="163" t="n">
        <v>40</v>
      </c>
      <c r="F42" s="161" t="n">
        <v>101.9</v>
      </c>
      <c r="G42" s="27" t="n">
        <v>31</v>
      </c>
      <c r="H42" s="164" t="n">
        <v>96</v>
      </c>
      <c r="I42" s="165" t="n">
        <v>89000</v>
      </c>
      <c r="J42" s="165" t="inlineStr">
        <is>
          <t>고</t>
        </is>
      </c>
      <c r="K42" s="165" t="n">
        <v>50000</v>
      </c>
      <c r="L42" s="165" t="inlineStr">
        <is>
          <t>중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n">
        <v>131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청라자이</t>
        </is>
      </c>
      <c r="B43" s="16" t="inlineStr">
        <is>
          <t>'10.06.</t>
        </is>
      </c>
      <c r="C43" s="164" t="n">
        <v>884</v>
      </c>
      <c r="D43" s="161" t="n">
        <v>145.6</v>
      </c>
      <c r="E43" s="163" t="n">
        <v>44</v>
      </c>
      <c r="F43" s="161" t="n">
        <v>114</v>
      </c>
      <c r="G43" s="27" t="n">
        <v>34</v>
      </c>
      <c r="H43" s="164" t="n">
        <v>108</v>
      </c>
      <c r="I43" s="165" t="n">
        <v>83000</v>
      </c>
      <c r="J43" s="165" t="inlineStr">
        <is>
          <t>고</t>
        </is>
      </c>
      <c r="K43" s="165" t="n">
        <v>55000</v>
      </c>
      <c r="L43" s="165" t="inlineStr">
        <is>
          <t>고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4</v>
      </c>
      <c r="R43" s="113" t="n">
        <v>2</v>
      </c>
      <c r="S43" s="113" t="inlineStr">
        <is>
          <t>계</t>
        </is>
      </c>
      <c r="T43" s="8" t="n">
        <v>145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청라자이</t>
        </is>
      </c>
      <c r="B44" s="16" t="inlineStr">
        <is>
          <t>'10.06.</t>
        </is>
      </c>
      <c r="C44" s="164" t="n">
        <v>884</v>
      </c>
      <c r="D44" s="161" t="n">
        <v>147.8</v>
      </c>
      <c r="E44" s="163" t="n">
        <v>45</v>
      </c>
      <c r="F44" s="161" t="n">
        <v>115.5</v>
      </c>
      <c r="G44" s="27" t="n">
        <v>35</v>
      </c>
      <c r="H44" s="164" t="n">
        <v>222</v>
      </c>
      <c r="I44" s="165" t="n">
        <v>82000</v>
      </c>
      <c r="J44" s="165" t="inlineStr">
        <is>
          <t>중</t>
        </is>
      </c>
      <c r="K44" s="165" t="n">
        <v>48000</v>
      </c>
      <c r="L44" s="165" t="inlineStr">
        <is>
          <t>중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inlineStr">
        <is>
          <t>147B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청라자이</t>
        </is>
      </c>
      <c r="B45" s="16" t="inlineStr">
        <is>
          <t>'10.06.</t>
        </is>
      </c>
      <c r="C45" s="164" t="n">
        <v>884</v>
      </c>
      <c r="D45" s="161" t="n">
        <v>147.3</v>
      </c>
      <c r="E45" s="163" t="n">
        <v>45</v>
      </c>
      <c r="F45" s="161" t="n">
        <v>114.9</v>
      </c>
      <c r="G45" s="27" t="n">
        <v>35</v>
      </c>
      <c r="H45" s="164" t="n">
        <v>132</v>
      </c>
      <c r="I45" s="165" t="n">
        <v>85000</v>
      </c>
      <c r="J45" s="165" t="inlineStr">
        <is>
          <t>고</t>
        </is>
      </c>
      <c r="K45" s="165" t="n">
        <v>50000</v>
      </c>
      <c r="L45" s="165" t="inlineStr">
        <is>
          <t>중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4</v>
      </c>
      <c r="R45" s="113" t="n">
        <v>2</v>
      </c>
      <c r="S45" s="113" t="inlineStr">
        <is>
          <t>계</t>
        </is>
      </c>
      <c r="T45" s="8" t="inlineStr">
        <is>
          <t>147A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청라자이</t>
        </is>
      </c>
      <c r="B46" s="16" t="inlineStr">
        <is>
          <t>'10.06.</t>
        </is>
      </c>
      <c r="C46" s="164" t="n">
        <v>884</v>
      </c>
      <c r="D46" s="161" t="n">
        <v>147.4</v>
      </c>
      <c r="E46" s="163" t="n">
        <v>45</v>
      </c>
      <c r="F46" s="161" t="n">
        <v>114.8</v>
      </c>
      <c r="G46" s="27" t="n">
        <v>35</v>
      </c>
      <c r="H46" s="164" t="n">
        <v>66</v>
      </c>
      <c r="I46" s="165" t="n">
        <v>85000</v>
      </c>
      <c r="J46" s="165" t="inlineStr">
        <is>
          <t>6</t>
        </is>
      </c>
      <c r="K46" s="165" t="n">
        <v>48000</v>
      </c>
      <c r="L46" s="165" t="inlineStr">
        <is>
          <t>고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4</v>
      </c>
      <c r="R46" s="113" t="n">
        <v>2</v>
      </c>
      <c r="S46" s="113" t="inlineStr">
        <is>
          <t>계</t>
        </is>
      </c>
      <c r="T46" s="8" t="inlineStr">
        <is>
          <t>147D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청라자이</t>
        </is>
      </c>
      <c r="B47" s="16" t="inlineStr">
        <is>
          <t>'10.06.</t>
        </is>
      </c>
      <c r="C47" s="164" t="n">
        <v>884</v>
      </c>
      <c r="D47" s="161" t="n">
        <v>147.3</v>
      </c>
      <c r="E47" s="163" t="n">
        <v>45</v>
      </c>
      <c r="F47" s="161" t="n">
        <v>114.8</v>
      </c>
      <c r="G47" s="27" t="n">
        <v>35</v>
      </c>
      <c r="H47" s="164" t="n">
        <v>40</v>
      </c>
      <c r="I47" s="165" t="n">
        <v>88000</v>
      </c>
      <c r="J47" s="165" t="inlineStr">
        <is>
          <t>고</t>
        </is>
      </c>
      <c r="K47" s="165" t="n">
        <v>50000</v>
      </c>
      <c r="L47" s="165" t="inlineStr">
        <is>
          <t>고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inlineStr">
        <is>
          <t>147C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청라자이</t>
        </is>
      </c>
      <c r="B48" s="16" t="inlineStr">
        <is>
          <t>'10.06.</t>
        </is>
      </c>
      <c r="C48" s="164" t="n">
        <v>884</v>
      </c>
      <c r="D48" s="161" t="n">
        <v>180.9</v>
      </c>
      <c r="E48" s="163" t="n">
        <v>55</v>
      </c>
      <c r="F48" s="161" t="n">
        <v>142.9</v>
      </c>
      <c r="G48" s="27" t="n">
        <v>43</v>
      </c>
      <c r="H48" s="164" t="n">
        <v>136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n">
        <v>180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청라자이</t>
        </is>
      </c>
      <c r="B49" s="16" t="inlineStr">
        <is>
          <t>'10.06.</t>
        </is>
      </c>
      <c r="C49" s="164" t="n">
        <v>884</v>
      </c>
      <c r="D49" s="161" t="n">
        <v>243.5</v>
      </c>
      <c r="E49" s="163" t="n">
        <v>74</v>
      </c>
      <c r="F49" s="161" t="n">
        <v>187.7</v>
      </c>
      <c r="G49" s="27" t="n">
        <v>57</v>
      </c>
      <c r="H49" s="164" t="n">
        <v>4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5</v>
      </c>
      <c r="R49" s="113" t="n">
        <v>4</v>
      </c>
      <c r="S49" s="113" t="inlineStr">
        <is>
          <t>계</t>
        </is>
      </c>
      <c r="T49" s="8" t="n">
        <v>243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청라자이</t>
        </is>
      </c>
      <c r="B50" s="16" t="inlineStr">
        <is>
          <t>'10.06.</t>
        </is>
      </c>
      <c r="C50" s="164" t="n">
        <v>884</v>
      </c>
      <c r="D50" s="161" t="n">
        <v>278.1</v>
      </c>
      <c r="E50" s="163" t="n">
        <v>84</v>
      </c>
      <c r="F50" s="161" t="n">
        <v>216.1</v>
      </c>
      <c r="G50" s="27" t="n">
        <v>65</v>
      </c>
      <c r="H50" s="164" t="n">
        <v>8</v>
      </c>
      <c r="I50" s="165" t="n">
        <v>230000</v>
      </c>
      <c r="J50" s="165" t="inlineStr">
        <is>
          <t>고</t>
        </is>
      </c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5</v>
      </c>
      <c r="R50" s="113" t="n">
        <v>4</v>
      </c>
      <c r="S50" s="113" t="inlineStr">
        <is>
          <t>계</t>
        </is>
      </c>
      <c r="T50" s="8" t="n">
        <v>278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n"/>
      <c r="B51" s="113" t="n"/>
      <c r="C51" s="10" t="n"/>
      <c r="D51" s="13" t="n"/>
      <c r="E51" s="20" t="n"/>
      <c r="F51" s="161" t="n"/>
      <c r="G51" s="13" t="n"/>
      <c r="H51" s="13" t="n"/>
      <c r="I51" s="13" t="n"/>
      <c r="J51" s="13" t="n"/>
      <c r="K51" s="13" t="n"/>
      <c r="L51" s="13" t="n"/>
      <c r="M51" s="13" t="n"/>
      <c r="N51" s="13" t="n"/>
      <c r="O51" s="162" t="n"/>
      <c r="P51" s="162" t="n"/>
      <c r="Q51" s="163" t="n"/>
      <c r="R51" s="163" t="n"/>
      <c r="S51" s="13" t="n"/>
      <c r="T51" s="70" t="n"/>
      <c r="U51" s="13" t="n"/>
      <c r="W51" s="107">
        <f>$A$4&amp;" "&amp;A52&amp;"("&amp;B52&amp;","&amp;C52&amp;"^)"</f>
        <v/>
      </c>
      <c r="X51" s="108" t="n"/>
      <c r="Y51" s="108" t="n"/>
      <c r="Z51" s="108" t="n"/>
      <c r="AA51" s="108" t="n"/>
      <c r="AB51" s="108" t="n"/>
      <c r="AC51" s="108" t="n"/>
      <c r="AD51" s="108" t="n"/>
      <c r="AE51" s="108" t="n"/>
      <c r="AF51" s="109" t="n"/>
      <c r="AH51" s="36">
        <f>IF(A51="","",A51)</f>
        <v/>
      </c>
      <c r="AI51" s="160">
        <f>IF(E51="","",E51)</f>
        <v/>
      </c>
      <c r="AJ51" s="113" t="n"/>
      <c r="AK51" s="113" t="n"/>
      <c r="AL51" s="113" t="n"/>
      <c r="AM51" s="113" t="n"/>
      <c r="AN51" s="113" t="n"/>
      <c r="AO51" s="113" t="n"/>
      <c r="AP51" s="113" t="n"/>
      <c r="AQ51" s="113" t="n"/>
      <c r="AR51" s="113" t="n"/>
      <c r="AS51" s="113" t="n"/>
      <c r="AT51" s="113" t="n"/>
      <c r="AU51" s="113" t="n"/>
      <c r="AV51" s="113" t="n"/>
    </row>
    <row r="52">
      <c r="A52" s="13" t="inlineStr">
        <is>
          <t>청라파크자이더테라스(2블럭)</t>
        </is>
      </c>
      <c r="B52" s="16" t="inlineStr">
        <is>
          <t>'16.03.</t>
        </is>
      </c>
      <c r="C52" s="164" t="n">
        <v>376</v>
      </c>
      <c r="D52" s="161" t="n">
        <v>102.2</v>
      </c>
      <c r="E52" s="163" t="n">
        <v>31</v>
      </c>
      <c r="F52" s="161" t="n">
        <v>76.7</v>
      </c>
      <c r="G52" s="27" t="n">
        <v>23</v>
      </c>
      <c r="H52" s="164" t="n">
        <v>54</v>
      </c>
      <c r="I52" s="165" t="n">
        <v>99000</v>
      </c>
      <c r="J52" s="165" t="inlineStr">
        <is>
          <t>고</t>
        </is>
      </c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102A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청라파크자이더테라스(2블럭)</t>
        </is>
      </c>
      <c r="B53" s="16" t="inlineStr">
        <is>
          <t>'16.03.</t>
        </is>
      </c>
      <c r="C53" s="164" t="n">
        <v>376</v>
      </c>
      <c r="D53" s="161" t="n">
        <v>102.2</v>
      </c>
      <c r="E53" s="163" t="n">
        <v>31</v>
      </c>
      <c r="F53" s="161" t="n">
        <v>76.7</v>
      </c>
      <c r="G53" s="27" t="n">
        <v>23</v>
      </c>
      <c r="H53" s="164" t="n">
        <v>18</v>
      </c>
      <c r="I53" s="165" t="n">
        <v>99000</v>
      </c>
      <c r="J53" s="165" t="inlineStr">
        <is>
          <t>고</t>
        </is>
      </c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102B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청라파크자이더테라스(2블럭)</t>
        </is>
      </c>
      <c r="B54" s="16" t="inlineStr">
        <is>
          <t>'16.03.</t>
        </is>
      </c>
      <c r="C54" s="164" t="n">
        <v>376</v>
      </c>
      <c r="D54" s="161" t="n">
        <v>111</v>
      </c>
      <c r="E54" s="163" t="n">
        <v>34</v>
      </c>
      <c r="F54" s="161" t="n">
        <v>85</v>
      </c>
      <c r="G54" s="27" t="n">
        <v>26</v>
      </c>
      <c r="H54" s="164" t="n">
        <v>20</v>
      </c>
      <c r="I54" s="165" t="n">
        <v>85000</v>
      </c>
      <c r="J54" s="165" t="inlineStr">
        <is>
          <t>고</t>
        </is>
      </c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110B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청라파크자이더테라스(2블럭)</t>
        </is>
      </c>
      <c r="B55" s="16" t="inlineStr">
        <is>
          <t>'16.03.</t>
        </is>
      </c>
      <c r="C55" s="164" t="n">
        <v>376</v>
      </c>
      <c r="D55" s="161" t="n">
        <v>111</v>
      </c>
      <c r="E55" s="163" t="n">
        <v>34</v>
      </c>
      <c r="F55" s="161" t="n">
        <v>85</v>
      </c>
      <c r="G55" s="27" t="n">
        <v>26</v>
      </c>
      <c r="H55" s="164" t="n">
        <v>10</v>
      </c>
      <c r="I55" s="165" t="n">
        <v>85000</v>
      </c>
      <c r="J55" s="165" t="inlineStr">
        <is>
          <t>고</t>
        </is>
      </c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110Q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청라파크자이더테라스(2블럭)</t>
        </is>
      </c>
      <c r="B56" s="16" t="inlineStr">
        <is>
          <t>'16.03.</t>
        </is>
      </c>
      <c r="C56" s="164" t="n">
        <v>376</v>
      </c>
      <c r="D56" s="161" t="n">
        <v>111</v>
      </c>
      <c r="E56" s="163" t="n">
        <v>34</v>
      </c>
      <c r="F56" s="161" t="n">
        <v>85</v>
      </c>
      <c r="G56" s="27" t="n">
        <v>26</v>
      </c>
      <c r="H56" s="164" t="n">
        <v>10</v>
      </c>
      <c r="I56" s="165" t="n">
        <v>85000</v>
      </c>
      <c r="J56" s="165" t="inlineStr">
        <is>
          <t>고</t>
        </is>
      </c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110S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청라파크자이더테라스(2블럭)</t>
        </is>
      </c>
      <c r="B57" s="16" t="inlineStr">
        <is>
          <t>'16.03.</t>
        </is>
      </c>
      <c r="C57" s="164" t="n">
        <v>376</v>
      </c>
      <c r="D57" s="161" t="n">
        <v>112.6</v>
      </c>
      <c r="E57" s="163" t="n">
        <v>34</v>
      </c>
      <c r="F57" s="161" t="n">
        <v>85</v>
      </c>
      <c r="G57" s="27" t="n">
        <v>26</v>
      </c>
      <c r="H57" s="164" t="n">
        <v>120</v>
      </c>
      <c r="I57" s="165" t="n">
        <v>65000</v>
      </c>
      <c r="J57" s="165" t="inlineStr">
        <is>
          <t>고</t>
        </is>
      </c>
      <c r="K57" s="165" t="n">
        <v>38000</v>
      </c>
      <c r="L57" s="165" t="inlineStr">
        <is>
          <t>고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112A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청라파크자이더테라스(2블럭)</t>
        </is>
      </c>
      <c r="B58" s="16" t="inlineStr">
        <is>
          <t>'16.03.</t>
        </is>
      </c>
      <c r="C58" s="164" t="n">
        <v>376</v>
      </c>
      <c r="D58" s="161" t="n">
        <v>112.6</v>
      </c>
      <c r="E58" s="163" t="n">
        <v>34</v>
      </c>
      <c r="F58" s="161" t="n">
        <v>85</v>
      </c>
      <c r="G58" s="27" t="n">
        <v>26</v>
      </c>
      <c r="H58" s="164" t="n">
        <v>60</v>
      </c>
      <c r="I58" s="165" t="n">
        <v>65000</v>
      </c>
      <c r="J58" s="165" t="inlineStr">
        <is>
          <t>고</t>
        </is>
      </c>
      <c r="K58" s="165" t="n">
        <v>38000</v>
      </c>
      <c r="L58" s="165" t="inlineStr">
        <is>
          <t>고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112P1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청라파크자이더테라스(2블럭)</t>
        </is>
      </c>
      <c r="B59" s="16" t="inlineStr">
        <is>
          <t>'16.03.</t>
        </is>
      </c>
      <c r="C59" s="164" t="n">
        <v>376</v>
      </c>
      <c r="D59" s="161" t="n">
        <v>112.6</v>
      </c>
      <c r="E59" s="163" t="n">
        <v>34</v>
      </c>
      <c r="F59" s="161" t="n">
        <v>85</v>
      </c>
      <c r="G59" s="27" t="n">
        <v>26</v>
      </c>
      <c r="H59" s="164" t="n">
        <v>60</v>
      </c>
      <c r="I59" s="165" t="n">
        <v>65000</v>
      </c>
      <c r="J59" s="165" t="inlineStr">
        <is>
          <t>고</t>
        </is>
      </c>
      <c r="K59" s="165" t="n">
        <v>38000</v>
      </c>
      <c r="L59" s="165" t="inlineStr">
        <is>
          <t>고</t>
        </is>
      </c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112T1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청라파크자이더테라스(2블럭)</t>
        </is>
      </c>
      <c r="B60" s="16" t="inlineStr">
        <is>
          <t>'16.03.</t>
        </is>
      </c>
      <c r="C60" s="164" t="n">
        <v>376</v>
      </c>
      <c r="D60" s="161" t="n">
        <v>112.5</v>
      </c>
      <c r="E60" s="163" t="n">
        <v>34</v>
      </c>
      <c r="F60" s="161" t="n">
        <v>85</v>
      </c>
      <c r="G60" s="27" t="n">
        <v>26</v>
      </c>
      <c r="H60" s="164" t="n">
        <v>14</v>
      </c>
      <c r="I60" s="165" t="n"/>
      <c r="J60" s="165" t="n"/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n">
        <v>112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청라파크자이더테라스(2블럭)</t>
        </is>
      </c>
      <c r="B61" s="16" t="inlineStr">
        <is>
          <t>'16.03.</t>
        </is>
      </c>
      <c r="C61" s="164" t="n">
        <v>376</v>
      </c>
      <c r="D61" s="161" t="n">
        <v>112.5</v>
      </c>
      <c r="E61" s="163" t="n">
        <v>34</v>
      </c>
      <c r="F61" s="161" t="n">
        <v>85</v>
      </c>
      <c r="G61" s="27" t="n">
        <v>26</v>
      </c>
      <c r="H61" s="164" t="n">
        <v>6</v>
      </c>
      <c r="I61" s="165" t="n"/>
      <c r="J61" s="165" t="n"/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112P2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청라파크자이더테라스(2블럭)</t>
        </is>
      </c>
      <c r="B62" s="16" t="inlineStr">
        <is>
          <t>'16.03.</t>
        </is>
      </c>
      <c r="C62" s="164" t="n">
        <v>376</v>
      </c>
      <c r="D62" s="161" t="n">
        <v>112.5</v>
      </c>
      <c r="E62" s="163" t="n">
        <v>34</v>
      </c>
      <c r="F62" s="161" t="n">
        <v>85</v>
      </c>
      <c r="G62" s="27" t="n">
        <v>26</v>
      </c>
      <c r="H62" s="164" t="n">
        <v>4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112T2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n"/>
      <c r="B63" s="113" t="n"/>
      <c r="C63" s="10" t="n"/>
      <c r="D63" s="13" t="n"/>
      <c r="E63" s="20" t="n"/>
      <c r="F63" s="161" t="n"/>
      <c r="G63" s="13" t="n"/>
      <c r="H63" s="13" t="n"/>
      <c r="I63" s="13" t="n"/>
      <c r="J63" s="13" t="n"/>
      <c r="K63" s="13" t="n"/>
      <c r="L63" s="13" t="n"/>
      <c r="M63" s="13" t="n"/>
      <c r="N63" s="13" t="n"/>
      <c r="O63" s="162" t="n"/>
      <c r="P63" s="162" t="n"/>
      <c r="Q63" s="163" t="n"/>
      <c r="R63" s="163" t="n"/>
      <c r="S63" s="13" t="n"/>
      <c r="T63" s="70" t="n"/>
      <c r="U63" s="13" t="n"/>
      <c r="W63" s="107">
        <f>$A$4&amp;" "&amp;A64&amp;"("&amp;B64&amp;","&amp;C64&amp;"^)"</f>
        <v/>
      </c>
      <c r="X63" s="108" t="n"/>
      <c r="Y63" s="108" t="n"/>
      <c r="Z63" s="108" t="n"/>
      <c r="AA63" s="108" t="n"/>
      <c r="AB63" s="108" t="n"/>
      <c r="AC63" s="108" t="n"/>
      <c r="AD63" s="108" t="n"/>
      <c r="AE63" s="108" t="n"/>
      <c r="AF63" s="109" t="n"/>
      <c r="AH63" s="36">
        <f>IF(A63="","",A63)</f>
        <v/>
      </c>
      <c r="AI63" s="160">
        <f>IF(E63="","",E63)</f>
        <v/>
      </c>
      <c r="AJ63" s="113" t="n"/>
      <c r="AK63" s="113" t="n"/>
      <c r="AL63" s="113" t="n"/>
      <c r="AM63" s="113" t="n"/>
      <c r="AN63" s="113" t="n"/>
      <c r="AO63" s="113" t="n"/>
      <c r="AP63" s="113" t="n"/>
      <c r="AQ63" s="113" t="n"/>
      <c r="AR63" s="113" t="n"/>
      <c r="AS63" s="113" t="n"/>
      <c r="AT63" s="113" t="n"/>
      <c r="AU63" s="113" t="n"/>
      <c r="AV63" s="113" t="n"/>
    </row>
    <row r="64">
      <c r="A64" s="13" t="inlineStr">
        <is>
          <t>청라웰카운티1차</t>
        </is>
      </c>
      <c r="B64" s="16" t="inlineStr">
        <is>
          <t>'10.07.</t>
        </is>
      </c>
      <c r="C64" s="164" t="n">
        <v>692</v>
      </c>
      <c r="D64" s="161" t="n">
        <v>112.4</v>
      </c>
      <c r="E64" s="163" t="n">
        <v>34</v>
      </c>
      <c r="F64" s="161" t="n">
        <v>84.5</v>
      </c>
      <c r="G64" s="27" t="n">
        <v>26</v>
      </c>
      <c r="H64" s="164" t="n">
        <v>280</v>
      </c>
      <c r="I64" s="165" t="n">
        <v>59000</v>
      </c>
      <c r="J64" s="165" t="inlineStr">
        <is>
          <t>7</t>
        </is>
      </c>
      <c r="K64" s="165" t="n">
        <v>36000</v>
      </c>
      <c r="L64" s="165" t="inlineStr">
        <is>
          <t>15</t>
        </is>
      </c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112B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청라웰카운티1차</t>
        </is>
      </c>
      <c r="B65" s="16" t="inlineStr">
        <is>
          <t>'10.07.</t>
        </is>
      </c>
      <c r="C65" s="164" t="n">
        <v>692</v>
      </c>
      <c r="D65" s="161" t="n">
        <v>112.9</v>
      </c>
      <c r="E65" s="163" t="n">
        <v>34</v>
      </c>
      <c r="F65" s="161" t="n">
        <v>84.7</v>
      </c>
      <c r="G65" s="27" t="n">
        <v>26</v>
      </c>
      <c r="H65" s="164" t="n">
        <v>132</v>
      </c>
      <c r="I65" s="165" t="n">
        <v>60000</v>
      </c>
      <c r="J65" s="165" t="inlineStr">
        <is>
          <t>중</t>
        </is>
      </c>
      <c r="K65" s="165" t="n">
        <v>38000</v>
      </c>
      <c r="L65" s="165" t="inlineStr">
        <is>
          <t>중</t>
        </is>
      </c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112A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청라웰카운티1차</t>
        </is>
      </c>
      <c r="B66" s="16" t="inlineStr">
        <is>
          <t>'10.07.</t>
        </is>
      </c>
      <c r="C66" s="164" t="n">
        <v>692</v>
      </c>
      <c r="D66" s="161" t="n">
        <v>113.3</v>
      </c>
      <c r="E66" s="163" t="n">
        <v>34</v>
      </c>
      <c r="F66" s="161" t="n">
        <v>85</v>
      </c>
      <c r="G66" s="27" t="n">
        <v>26</v>
      </c>
      <c r="H66" s="164" t="n">
        <v>280</v>
      </c>
      <c r="I66" s="165" t="n">
        <v>59000</v>
      </c>
      <c r="J66" s="165" t="inlineStr">
        <is>
          <t>15</t>
        </is>
      </c>
      <c r="K66" s="165" t="n">
        <v>39000</v>
      </c>
      <c r="L66" s="165" t="inlineStr">
        <is>
          <t>17</t>
        </is>
      </c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113C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n"/>
      <c r="B67" s="113" t="n"/>
      <c r="C67" s="10" t="n"/>
      <c r="D67" s="13" t="n"/>
      <c r="E67" s="20" t="n"/>
      <c r="F67" s="161" t="n"/>
      <c r="G67" s="13" t="n"/>
      <c r="H67" s="13" t="n"/>
      <c r="I67" s="13" t="n"/>
      <c r="J67" s="13" t="n"/>
      <c r="K67" s="13" t="n"/>
      <c r="L67" s="13" t="n"/>
      <c r="M67" s="13" t="n"/>
      <c r="N67" s="13" t="n"/>
      <c r="O67" s="162" t="n"/>
      <c r="P67" s="162" t="n"/>
      <c r="Q67" s="163" t="n"/>
      <c r="R67" s="163" t="n"/>
      <c r="S67" s="13" t="n"/>
      <c r="T67" s="70" t="n"/>
      <c r="U67" s="13" t="n"/>
      <c r="W67" s="107">
        <f>$A$4&amp;" "&amp;A68&amp;"("&amp;B68&amp;","&amp;C68&amp;"^)"</f>
        <v/>
      </c>
      <c r="X67" s="108" t="n"/>
      <c r="Y67" s="108" t="n"/>
      <c r="Z67" s="108" t="n"/>
      <c r="AA67" s="108" t="n"/>
      <c r="AB67" s="108" t="n"/>
      <c r="AC67" s="108" t="n"/>
      <c r="AD67" s="108" t="n"/>
      <c r="AE67" s="108" t="n"/>
      <c r="AF67" s="109" t="n"/>
      <c r="AH67" s="36">
        <f>IF(A67="","",A67)</f>
        <v/>
      </c>
      <c r="AI67" s="160">
        <f>IF(E67="","",E67)</f>
        <v/>
      </c>
      <c r="AJ67" s="113" t="n"/>
      <c r="AK67" s="113" t="n"/>
      <c r="AL67" s="113" t="n"/>
      <c r="AM67" s="113" t="n"/>
      <c r="AN67" s="113" t="n"/>
      <c r="AO67" s="113" t="n"/>
      <c r="AP67" s="113" t="n"/>
      <c r="AQ67" s="113" t="n"/>
      <c r="AR67" s="113" t="n"/>
      <c r="AS67" s="113" t="n"/>
      <c r="AT67" s="113" t="n"/>
      <c r="AU67" s="113" t="n"/>
      <c r="AV67" s="113" t="n"/>
    </row>
    <row r="68">
      <c r="A68" s="13" t="inlineStr">
        <is>
          <t>청라한양수자인</t>
        </is>
      </c>
      <c r="B68" s="16" t="inlineStr">
        <is>
          <t>'11.12.</t>
        </is>
      </c>
      <c r="C68" s="164" t="n">
        <v>566</v>
      </c>
      <c r="D68" s="161" t="n">
        <v>129.1</v>
      </c>
      <c r="E68" s="163" t="n">
        <v>39</v>
      </c>
      <c r="F68" s="161" t="n">
        <v>102.6</v>
      </c>
      <c r="G68" s="27" t="n">
        <v>31</v>
      </c>
      <c r="H68" s="164" t="n">
        <v>138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n">
        <v>129</v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청라한양수자인</t>
        </is>
      </c>
      <c r="B69" s="16" t="inlineStr">
        <is>
          <t>'11.12.</t>
        </is>
      </c>
      <c r="C69" s="164" t="n">
        <v>566</v>
      </c>
      <c r="D69" s="161" t="n">
        <v>150.4</v>
      </c>
      <c r="E69" s="163" t="n">
        <v>45</v>
      </c>
      <c r="F69" s="161" t="n">
        <v>120.2</v>
      </c>
      <c r="G69" s="27" t="n">
        <v>36</v>
      </c>
      <c r="H69" s="164" t="n">
        <v>192</v>
      </c>
      <c r="I69" s="165" t="n">
        <v>85000</v>
      </c>
      <c r="J69" s="165" t="inlineStr">
        <is>
          <t>고</t>
        </is>
      </c>
      <c r="K69" s="165" t="n">
        <v>45000</v>
      </c>
      <c r="L69" s="165" t="inlineStr">
        <is>
          <t>중</t>
        </is>
      </c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4</v>
      </c>
      <c r="R69" s="113" t="n">
        <v>2</v>
      </c>
      <c r="S69" s="113" t="inlineStr">
        <is>
          <t>계</t>
        </is>
      </c>
      <c r="T69" s="8" t="n">
        <v>150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청라한양수자인</t>
        </is>
      </c>
      <c r="B70" s="16" t="inlineStr">
        <is>
          <t>'11.12.</t>
        </is>
      </c>
      <c r="C70" s="164" t="n">
        <v>566</v>
      </c>
      <c r="D70" s="161" t="n">
        <v>153.3</v>
      </c>
      <c r="E70" s="163" t="n">
        <v>46</v>
      </c>
      <c r="F70" s="161" t="n">
        <v>121.4</v>
      </c>
      <c r="G70" s="27" t="n">
        <v>37</v>
      </c>
      <c r="H70" s="164" t="n">
        <v>108</v>
      </c>
      <c r="I70" s="165" t="n">
        <v>85000</v>
      </c>
      <c r="J70" s="165" t="inlineStr">
        <is>
          <t>중</t>
        </is>
      </c>
      <c r="K70" s="165" t="n">
        <v>45000</v>
      </c>
      <c r="L70" s="165" t="inlineStr">
        <is>
          <t>고</t>
        </is>
      </c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4</v>
      </c>
      <c r="R70" s="113" t="n">
        <v>2</v>
      </c>
      <c r="S70" s="113" t="inlineStr">
        <is>
          <t>계</t>
        </is>
      </c>
      <c r="T70" s="8" t="inlineStr">
        <is>
          <t>153A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청라한양수자인</t>
        </is>
      </c>
      <c r="B71" s="16" t="inlineStr">
        <is>
          <t>'11.12.</t>
        </is>
      </c>
      <c r="C71" s="164" t="n">
        <v>566</v>
      </c>
      <c r="D71" s="161" t="n">
        <v>153.3</v>
      </c>
      <c r="E71" s="163" t="n">
        <v>46</v>
      </c>
      <c r="F71" s="161" t="n">
        <v>121.4</v>
      </c>
      <c r="G71" s="27" t="n">
        <v>37</v>
      </c>
      <c r="H71" s="164" t="n">
        <v>27</v>
      </c>
      <c r="I71" s="165" t="n">
        <v>85000</v>
      </c>
      <c r="J71" s="165" t="inlineStr">
        <is>
          <t>중</t>
        </is>
      </c>
      <c r="K71" s="165" t="n">
        <v>45000</v>
      </c>
      <c r="L71" s="165" t="inlineStr">
        <is>
          <t>고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4</v>
      </c>
      <c r="R71" s="113" t="n">
        <v>2</v>
      </c>
      <c r="S71" s="113" t="inlineStr">
        <is>
          <t>계</t>
        </is>
      </c>
      <c r="T71" s="8" t="inlineStr">
        <is>
          <t>153B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청라한양수자인</t>
        </is>
      </c>
      <c r="B72" s="16" t="inlineStr">
        <is>
          <t>'11.12.</t>
        </is>
      </c>
      <c r="C72" s="164" t="n">
        <v>566</v>
      </c>
      <c r="D72" s="161" t="n">
        <v>175.7</v>
      </c>
      <c r="E72" s="163" t="n">
        <v>53</v>
      </c>
      <c r="F72" s="161" t="n">
        <v>142.9</v>
      </c>
      <c r="G72" s="27" t="n">
        <v>43</v>
      </c>
      <c r="H72" s="164" t="n">
        <v>96</v>
      </c>
      <c r="I72" s="165" t="n">
        <v>92000</v>
      </c>
      <c r="J72" s="165" t="inlineStr">
        <is>
          <t>고</t>
        </is>
      </c>
      <c r="K72" s="165" t="n">
        <v>48000</v>
      </c>
      <c r="L72" s="165" t="inlineStr">
        <is>
          <t>중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4</v>
      </c>
      <c r="R72" s="113" t="n">
        <v>2</v>
      </c>
      <c r="S72" s="113" t="inlineStr">
        <is>
          <t>계</t>
        </is>
      </c>
      <c r="T72" s="8" t="inlineStr">
        <is>
          <t>175A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청라한양수자인</t>
        </is>
      </c>
      <c r="B73" s="16" t="inlineStr">
        <is>
          <t>'11.12.</t>
        </is>
      </c>
      <c r="C73" s="164" t="n">
        <v>566</v>
      </c>
      <c r="D73" s="161" t="n">
        <v>175.7</v>
      </c>
      <c r="E73" s="163" t="n">
        <v>53</v>
      </c>
      <c r="F73" s="161" t="n">
        <v>142.9</v>
      </c>
      <c r="G73" s="27" t="n">
        <v>43</v>
      </c>
      <c r="H73" s="164" t="n">
        <v>5</v>
      </c>
      <c r="I73" s="165" t="n">
        <v>92000</v>
      </c>
      <c r="J73" s="165" t="inlineStr">
        <is>
          <t>고</t>
        </is>
      </c>
      <c r="K73" s="165" t="n">
        <v>48000</v>
      </c>
      <c r="L73" s="165" t="inlineStr">
        <is>
          <t>중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4</v>
      </c>
      <c r="R73" s="113" t="n">
        <v>2</v>
      </c>
      <c r="S73" s="113" t="inlineStr">
        <is>
          <t>계</t>
        </is>
      </c>
      <c r="T73" s="8" t="inlineStr">
        <is>
          <t>175B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n"/>
      <c r="B74" s="113" t="n"/>
      <c r="C74" s="10" t="n"/>
      <c r="D74" s="13" t="n"/>
      <c r="E74" s="20" t="n"/>
      <c r="F74" s="161" t="n"/>
      <c r="G74" s="13" t="n"/>
      <c r="H74" s="13" t="n"/>
      <c r="I74" s="13" t="n"/>
      <c r="J74" s="13" t="n"/>
      <c r="K74" s="13" t="n"/>
      <c r="L74" s="13" t="n"/>
      <c r="M74" s="13" t="n"/>
      <c r="N74" s="13" t="n"/>
      <c r="O74" s="162" t="n"/>
      <c r="P74" s="162" t="n"/>
      <c r="Q74" s="163" t="n"/>
      <c r="R74" s="163" t="n"/>
      <c r="S74" s="13" t="n"/>
      <c r="T74" s="70" t="n"/>
      <c r="U74" s="13" t="n"/>
      <c r="W74" s="107">
        <f>$A$4&amp;" "&amp;A75&amp;"("&amp;B75&amp;","&amp;C75&amp;"^)"</f>
        <v/>
      </c>
      <c r="X74" s="108" t="n"/>
      <c r="Y74" s="108" t="n"/>
      <c r="Z74" s="108" t="n"/>
      <c r="AA74" s="108" t="n"/>
      <c r="AB74" s="108" t="n"/>
      <c r="AC74" s="108" t="n"/>
      <c r="AD74" s="108" t="n"/>
      <c r="AE74" s="108" t="n"/>
      <c r="AF74" s="109" t="n"/>
      <c r="AH74" s="36">
        <f>IF(A74="","",A74)</f>
        <v/>
      </c>
      <c r="AI74" s="160">
        <f>IF(E74="","",E74)</f>
        <v/>
      </c>
      <c r="AJ74" s="113" t="n"/>
      <c r="AK74" s="113" t="n"/>
      <c r="AL74" s="113" t="n"/>
      <c r="AM74" s="113" t="n"/>
      <c r="AN74" s="113" t="n"/>
      <c r="AO74" s="113" t="n"/>
      <c r="AP74" s="113" t="n"/>
      <c r="AQ74" s="113" t="n"/>
      <c r="AR74" s="113" t="n"/>
      <c r="AS74" s="113" t="n"/>
      <c r="AT74" s="113" t="n"/>
      <c r="AU74" s="113" t="n"/>
      <c r="AV74" s="113" t="n"/>
    </row>
    <row r="75">
      <c r="A75" s="13" t="inlineStr">
        <is>
          <t>청라국제금융단지한양수자인레이크블루</t>
        </is>
      </c>
      <c r="B75" s="16" t="inlineStr">
        <is>
          <t>'19.01.</t>
        </is>
      </c>
      <c r="C75" s="164" t="n">
        <v>1534</v>
      </c>
      <c r="D75" s="161" t="n">
        <v>88.09999999999999</v>
      </c>
      <c r="E75" s="163" t="n">
        <v>27</v>
      </c>
      <c r="F75" s="161" t="n">
        <v>59.8</v>
      </c>
      <c r="G75" s="27" t="n">
        <v>18</v>
      </c>
      <c r="H75" s="164" t="n">
        <v>91</v>
      </c>
      <c r="I75" s="165" t="n">
        <v>75000</v>
      </c>
      <c r="J75" s="165" t="inlineStr">
        <is>
          <t>16</t>
        </is>
      </c>
      <c r="K75" s="165" t="n">
        <v>32000</v>
      </c>
      <c r="L75" s="165" t="inlineStr">
        <is>
          <t>고</t>
        </is>
      </c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88A</t>
        </is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청라국제금융단지한양수자인레이크블루</t>
        </is>
      </c>
      <c r="B76" s="16" t="inlineStr">
        <is>
          <t>'19.01.</t>
        </is>
      </c>
      <c r="C76" s="164" t="n">
        <v>1534</v>
      </c>
      <c r="D76" s="161" t="n">
        <v>88.2</v>
      </c>
      <c r="E76" s="163" t="n">
        <v>27</v>
      </c>
      <c r="F76" s="161" t="n">
        <v>60</v>
      </c>
      <c r="G76" s="27" t="n">
        <v>18</v>
      </c>
      <c r="H76" s="164" t="n">
        <v>60</v>
      </c>
      <c r="I76" s="165" t="n">
        <v>75000</v>
      </c>
      <c r="J76" s="165" t="inlineStr">
        <is>
          <t>고</t>
        </is>
      </c>
      <c r="K76" s="165" t="n">
        <v>39000</v>
      </c>
      <c r="L76" s="165" t="inlineStr">
        <is>
          <t>고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88B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청라국제금융단지한양수자인레이크블루</t>
        </is>
      </c>
      <c r="B77" s="16" t="inlineStr">
        <is>
          <t>'19.01.</t>
        </is>
      </c>
      <c r="C77" s="164" t="n">
        <v>1534</v>
      </c>
      <c r="D77" s="161" t="n">
        <v>115.6</v>
      </c>
      <c r="E77" s="163" t="n">
        <v>35</v>
      </c>
      <c r="F77" s="161" t="n">
        <v>84.40000000000001</v>
      </c>
      <c r="G77" s="27" t="n">
        <v>26</v>
      </c>
      <c r="H77" s="164" t="n">
        <v>370</v>
      </c>
      <c r="I77" s="165" t="n">
        <v>85000</v>
      </c>
      <c r="J77" s="165" t="inlineStr">
        <is>
          <t>고</t>
        </is>
      </c>
      <c r="K77" s="165" t="n">
        <v>40000</v>
      </c>
      <c r="L77" s="165" t="inlineStr">
        <is>
          <t>중</t>
        </is>
      </c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115A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청라국제금융단지한양수자인레이크블루</t>
        </is>
      </c>
      <c r="B78" s="16" t="inlineStr">
        <is>
          <t>'19.01.</t>
        </is>
      </c>
      <c r="C78" s="164" t="n">
        <v>1534</v>
      </c>
      <c r="D78" s="161" t="n">
        <v>115.1</v>
      </c>
      <c r="E78" s="163" t="n">
        <v>35</v>
      </c>
      <c r="F78" s="161" t="n">
        <v>84.3</v>
      </c>
      <c r="G78" s="27" t="n">
        <v>26</v>
      </c>
      <c r="H78" s="164" t="n">
        <v>274</v>
      </c>
      <c r="I78" s="165" t="n">
        <v>95000</v>
      </c>
      <c r="J78" s="165" t="inlineStr">
        <is>
          <t>중</t>
        </is>
      </c>
      <c r="K78" s="165" t="n">
        <v>43000</v>
      </c>
      <c r="L78" s="165" t="inlineStr">
        <is>
          <t>고</t>
        </is>
      </c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inlineStr">
        <is>
          <t>115D</t>
        </is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청라국제금융단지한양수자인레이크블루</t>
        </is>
      </c>
      <c r="B79" s="16" t="inlineStr">
        <is>
          <t>'19.01.</t>
        </is>
      </c>
      <c r="C79" s="164" t="n">
        <v>1534</v>
      </c>
      <c r="D79" s="161" t="n">
        <v>115.4</v>
      </c>
      <c r="E79" s="163" t="n">
        <v>35</v>
      </c>
      <c r="F79" s="161" t="n">
        <v>84.40000000000001</v>
      </c>
      <c r="G79" s="27" t="n">
        <v>26</v>
      </c>
      <c r="H79" s="164" t="n">
        <v>273</v>
      </c>
      <c r="I79" s="165" t="n">
        <v>87000</v>
      </c>
      <c r="J79" s="165" t="inlineStr">
        <is>
          <t>고</t>
        </is>
      </c>
      <c r="K79" s="165" t="n">
        <v>38000</v>
      </c>
      <c r="L79" s="165" t="inlineStr">
        <is>
          <t>17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115C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청라국제금융단지한양수자인레이크블루</t>
        </is>
      </c>
      <c r="B80" s="16" t="inlineStr">
        <is>
          <t>'19.01.</t>
        </is>
      </c>
      <c r="C80" s="164" t="n">
        <v>1534</v>
      </c>
      <c r="D80" s="161" t="n">
        <v>115.6</v>
      </c>
      <c r="E80" s="163" t="n">
        <v>35</v>
      </c>
      <c r="F80" s="161" t="n">
        <v>84.59999999999999</v>
      </c>
      <c r="G80" s="27" t="n">
        <v>26</v>
      </c>
      <c r="H80" s="164" t="n">
        <v>255</v>
      </c>
      <c r="I80" s="165" t="n">
        <v>90000</v>
      </c>
      <c r="J80" s="165" t="inlineStr">
        <is>
          <t>5</t>
        </is>
      </c>
      <c r="K80" s="165" t="n">
        <v>37000</v>
      </c>
      <c r="L80" s="165" t="inlineStr">
        <is>
          <t>22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115E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청라국제금융단지한양수자인레이크블루</t>
        </is>
      </c>
      <c r="B81" s="16" t="inlineStr">
        <is>
          <t>'19.01.</t>
        </is>
      </c>
      <c r="C81" s="164" t="n">
        <v>1534</v>
      </c>
      <c r="D81" s="161" t="n">
        <v>115.6</v>
      </c>
      <c r="E81" s="163" t="n">
        <v>35</v>
      </c>
      <c r="F81" s="161" t="n">
        <v>84.5</v>
      </c>
      <c r="G81" s="27" t="n">
        <v>26</v>
      </c>
      <c r="H81" s="164" t="n">
        <v>207</v>
      </c>
      <c r="I81" s="165" t="n">
        <v>80000</v>
      </c>
      <c r="J81" s="165" t="inlineStr">
        <is>
          <t>5</t>
        </is>
      </c>
      <c r="K81" s="165" t="n">
        <v>39000</v>
      </c>
      <c r="L81" s="165" t="inlineStr">
        <is>
          <t>중</t>
        </is>
      </c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inlineStr">
        <is>
          <t>115B</t>
        </is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청라국제금융단지한양수자인레이크블루</t>
        </is>
      </c>
      <c r="B82" s="16" t="inlineStr">
        <is>
          <t>'19.01.</t>
        </is>
      </c>
      <c r="C82" s="164" t="n">
        <v>1534</v>
      </c>
      <c r="D82" s="161" t="n">
        <v>171.6</v>
      </c>
      <c r="E82" s="163" t="n">
        <v>52</v>
      </c>
      <c r="F82" s="161" t="n">
        <v>124.5</v>
      </c>
      <c r="G82" s="27" t="n">
        <v>38</v>
      </c>
      <c r="H82" s="164" t="n">
        <v>4</v>
      </c>
      <c r="I82" s="165" t="n">
        <v>250000</v>
      </c>
      <c r="J82" s="165" t="inlineStr">
        <is>
          <t>36</t>
        </is>
      </c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171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n"/>
      <c r="B83" s="113" t="n"/>
      <c r="C83" s="10" t="n"/>
      <c r="D83" s="13" t="n"/>
      <c r="E83" s="20" t="n"/>
      <c r="F83" s="161" t="n"/>
      <c r="G83" s="13" t="n"/>
      <c r="H83" s="13" t="n"/>
      <c r="I83" s="13" t="n"/>
      <c r="J83" s="13" t="n"/>
      <c r="K83" s="13" t="n"/>
      <c r="L83" s="13" t="n"/>
      <c r="M83" s="13" t="n"/>
      <c r="N83" s="13" t="n"/>
      <c r="O83" s="162" t="n"/>
      <c r="P83" s="162" t="n"/>
      <c r="Q83" s="163" t="n"/>
      <c r="R83" s="163" t="n"/>
      <c r="S83" s="13" t="n"/>
      <c r="T83" s="70" t="n"/>
      <c r="U83" s="13" t="n"/>
      <c r="W83" s="107">
        <f>$A$4&amp;" "&amp;A84&amp;"("&amp;B84&amp;","&amp;C84&amp;"^)"</f>
        <v/>
      </c>
      <c r="X83" s="108" t="n"/>
      <c r="Y83" s="108" t="n"/>
      <c r="Z83" s="108" t="n"/>
      <c r="AA83" s="108" t="n"/>
      <c r="AB83" s="108" t="n"/>
      <c r="AC83" s="108" t="n"/>
      <c r="AD83" s="108" t="n"/>
      <c r="AE83" s="108" t="n"/>
      <c r="AF83" s="109" t="n"/>
      <c r="AH83" s="36">
        <f>IF(A83="","",A83)</f>
        <v/>
      </c>
      <c r="AI83" s="160">
        <f>IF(E83="","",E83)</f>
        <v/>
      </c>
      <c r="AJ83" s="113" t="n"/>
      <c r="AK83" s="113" t="n"/>
      <c r="AL83" s="113" t="n"/>
      <c r="AM83" s="113" t="n"/>
      <c r="AN83" s="113" t="n"/>
      <c r="AO83" s="113" t="n"/>
      <c r="AP83" s="113" t="n"/>
      <c r="AQ83" s="113" t="n"/>
      <c r="AR83" s="113" t="n"/>
      <c r="AS83" s="113" t="n"/>
      <c r="AT83" s="113" t="n"/>
      <c r="AU83" s="113" t="n"/>
      <c r="AV83" s="113" t="n"/>
    </row>
    <row r="84">
      <c r="A84" s="13" t="inlineStr">
        <is>
          <t>동양엔파트4단지</t>
        </is>
      </c>
      <c r="B84" s="16" t="inlineStr">
        <is>
          <t>'11.08.</t>
        </is>
      </c>
      <c r="C84" s="164" t="n">
        <v>256</v>
      </c>
      <c r="D84" s="161" t="n">
        <v>145.8</v>
      </c>
      <c r="E84" s="163" t="n">
        <v>44</v>
      </c>
      <c r="F84" s="161" t="n">
        <v>117.9</v>
      </c>
      <c r="G84" s="27" t="n">
        <v>36</v>
      </c>
      <c r="H84" s="164" t="n">
        <v>15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4</v>
      </c>
      <c r="R84" s="113" t="n">
        <v>2</v>
      </c>
      <c r="S84" s="113" t="inlineStr">
        <is>
          <t>계</t>
        </is>
      </c>
      <c r="T84" s="8" t="inlineStr">
        <is>
          <t>145A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동양엔파트4단지</t>
        </is>
      </c>
      <c r="B85" s="16" t="inlineStr">
        <is>
          <t>'11.08.</t>
        </is>
      </c>
      <c r="C85" s="164" t="n">
        <v>256</v>
      </c>
      <c r="D85" s="161" t="n">
        <v>145.7</v>
      </c>
      <c r="E85" s="163" t="n">
        <v>44</v>
      </c>
      <c r="F85" s="161" t="n">
        <v>117.8</v>
      </c>
      <c r="G85" s="27" t="n">
        <v>36</v>
      </c>
      <c r="H85" s="164" t="n">
        <v>14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4</v>
      </c>
      <c r="R85" s="113" t="n">
        <v>2</v>
      </c>
      <c r="S85" s="113" t="inlineStr">
        <is>
          <t>계</t>
        </is>
      </c>
      <c r="T85" s="8" t="inlineStr">
        <is>
          <t>145B</t>
        </is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동양엔파트4단지</t>
        </is>
      </c>
      <c r="B86" s="16" t="inlineStr">
        <is>
          <t>'11.08.</t>
        </is>
      </c>
      <c r="C86" s="164" t="n">
        <v>256</v>
      </c>
      <c r="D86" s="161" t="n">
        <v>146.1</v>
      </c>
      <c r="E86" s="163" t="n">
        <v>44</v>
      </c>
      <c r="F86" s="161" t="n">
        <v>118</v>
      </c>
      <c r="G86" s="27" t="n">
        <v>36</v>
      </c>
      <c r="H86" s="164" t="n">
        <v>60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4</v>
      </c>
      <c r="R86" s="113" t="n">
        <v>2</v>
      </c>
      <c r="S86" s="113" t="inlineStr">
        <is>
          <t>계</t>
        </is>
      </c>
      <c r="T86" s="8" t="inlineStr">
        <is>
          <t>146A2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동양엔파트4단지</t>
        </is>
      </c>
      <c r="B87" s="16" t="inlineStr">
        <is>
          <t>'11.08.</t>
        </is>
      </c>
      <c r="C87" s="164" t="n">
        <v>256</v>
      </c>
      <c r="D87" s="161" t="n">
        <v>147.6</v>
      </c>
      <c r="E87" s="163" t="n">
        <v>45</v>
      </c>
      <c r="F87" s="161" t="n">
        <v>117.9</v>
      </c>
      <c r="G87" s="27" t="n">
        <v>36</v>
      </c>
      <c r="H87" s="164" t="n">
        <v>110</v>
      </c>
      <c r="I87" s="165" t="n"/>
      <c r="J87" s="165" t="n"/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4</v>
      </c>
      <c r="R87" s="113" t="n">
        <v>2</v>
      </c>
      <c r="S87" s="113" t="inlineStr">
        <is>
          <t>계</t>
        </is>
      </c>
      <c r="T87" s="8" t="inlineStr">
        <is>
          <t>147D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동양엔파트4단지</t>
        </is>
      </c>
      <c r="B88" s="16" t="inlineStr">
        <is>
          <t>'11.08.</t>
        </is>
      </c>
      <c r="C88" s="164" t="n">
        <v>256</v>
      </c>
      <c r="D88" s="161" t="n">
        <v>147.2</v>
      </c>
      <c r="E88" s="163" t="n">
        <v>45</v>
      </c>
      <c r="F88" s="161" t="n">
        <v>118.2</v>
      </c>
      <c r="G88" s="27" t="n">
        <v>36</v>
      </c>
      <c r="H88" s="164" t="n">
        <v>28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4</v>
      </c>
      <c r="R88" s="113" t="n">
        <v>2</v>
      </c>
      <c r="S88" s="113" t="inlineStr">
        <is>
          <t>계</t>
        </is>
      </c>
      <c r="T88" s="8" t="inlineStr">
        <is>
          <t>147C1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동양엔파트4단지</t>
        </is>
      </c>
      <c r="B89" s="16" t="inlineStr">
        <is>
          <t>'11.08.</t>
        </is>
      </c>
      <c r="C89" s="164" t="n">
        <v>256</v>
      </c>
      <c r="D89" s="161" t="n">
        <v>147.2</v>
      </c>
      <c r="E89" s="163" t="n">
        <v>45</v>
      </c>
      <c r="F89" s="161" t="n">
        <v>117.9</v>
      </c>
      <c r="G89" s="27" t="n">
        <v>36</v>
      </c>
      <c r="H89" s="164" t="n">
        <v>15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4</v>
      </c>
      <c r="R89" s="113" t="n">
        <v>2</v>
      </c>
      <c r="S89" s="113" t="inlineStr">
        <is>
          <t>계</t>
        </is>
      </c>
      <c r="T89" s="8" t="inlineStr">
        <is>
          <t>147A1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동양엔파트4단지</t>
        </is>
      </c>
      <c r="B90" s="16" t="inlineStr">
        <is>
          <t>'11.08.</t>
        </is>
      </c>
      <c r="C90" s="164" t="n">
        <v>256</v>
      </c>
      <c r="D90" s="161" t="n">
        <v>148.2</v>
      </c>
      <c r="E90" s="163" t="n">
        <v>45</v>
      </c>
      <c r="F90" s="161" t="n">
        <v>117.9</v>
      </c>
      <c r="G90" s="27" t="n">
        <v>36</v>
      </c>
      <c r="H90" s="164" t="n">
        <v>14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4</v>
      </c>
      <c r="R90" s="113" t="n">
        <v>2</v>
      </c>
      <c r="S90" s="113" t="inlineStr">
        <is>
          <t>계</t>
        </is>
      </c>
      <c r="T90" s="8" t="inlineStr">
        <is>
          <t>148C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n"/>
      <c r="B91" s="113" t="n"/>
      <c r="C91" s="10" t="n"/>
      <c r="D91" s="13" t="n"/>
      <c r="E91" s="20" t="n"/>
      <c r="F91" s="161" t="n"/>
      <c r="G91" s="13" t="n"/>
      <c r="H91" s="13" t="n"/>
      <c r="I91" s="13" t="n"/>
      <c r="J91" s="13" t="n"/>
      <c r="K91" s="13" t="n"/>
      <c r="L91" s="13" t="n"/>
      <c r="M91" s="13" t="n"/>
      <c r="N91" s="13" t="n"/>
      <c r="O91" s="162" t="n"/>
      <c r="P91" s="162" t="n"/>
      <c r="Q91" s="163" t="n"/>
      <c r="R91" s="163" t="n"/>
      <c r="S91" s="13" t="n"/>
      <c r="T91" s="70" t="n"/>
      <c r="U91" s="13" t="n"/>
      <c r="W91" s="107">
        <f>$A$4&amp;" "&amp;A92&amp;"("&amp;B92&amp;","&amp;C92&amp;"^)"</f>
        <v/>
      </c>
      <c r="X91" s="108" t="n"/>
      <c r="Y91" s="108" t="n"/>
      <c r="Z91" s="108" t="n"/>
      <c r="AA91" s="108" t="n"/>
      <c r="AB91" s="108" t="n"/>
      <c r="AC91" s="108" t="n"/>
      <c r="AD91" s="108" t="n"/>
      <c r="AE91" s="108" t="n"/>
      <c r="AF91" s="109" t="n"/>
      <c r="AH91" s="36">
        <f>IF(A91="","",A91)</f>
        <v/>
      </c>
      <c r="AI91" s="160">
        <f>IF(E91="","",E91)</f>
        <v/>
      </c>
      <c r="AJ91" s="113" t="n"/>
      <c r="AK91" s="113" t="n"/>
      <c r="AL91" s="113" t="n"/>
      <c r="AM91" s="113" t="n"/>
      <c r="AN91" s="113" t="n"/>
      <c r="AO91" s="113" t="n"/>
      <c r="AP91" s="113" t="n"/>
      <c r="AQ91" s="113" t="n"/>
      <c r="AR91" s="113" t="n"/>
      <c r="AS91" s="113" t="n"/>
      <c r="AT91" s="113" t="n"/>
      <c r="AU91" s="113" t="n"/>
      <c r="AV91" s="113" t="n"/>
    </row>
    <row r="92">
      <c r="A92" s="13" t="inlineStr">
        <is>
          <t>청라힐스테이트</t>
        </is>
      </c>
      <c r="B92" s="16" t="inlineStr">
        <is>
          <t>'12.03.</t>
        </is>
      </c>
      <c r="C92" s="164" t="n">
        <v>224</v>
      </c>
      <c r="D92" s="161" t="n">
        <v>113.6</v>
      </c>
      <c r="E92" s="163" t="n">
        <v>34</v>
      </c>
      <c r="F92" s="161" t="n">
        <v>85</v>
      </c>
      <c r="G92" s="27" t="n">
        <v>26</v>
      </c>
      <c r="H92" s="164" t="n">
        <v>116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113A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청라힐스테이트</t>
        </is>
      </c>
      <c r="B93" s="16" t="inlineStr">
        <is>
          <t>'12.03.</t>
        </is>
      </c>
      <c r="C93" s="164" t="n">
        <v>224</v>
      </c>
      <c r="D93" s="161" t="n">
        <v>113.1</v>
      </c>
      <c r="E93" s="163" t="n">
        <v>34</v>
      </c>
      <c r="F93" s="161" t="n">
        <v>85</v>
      </c>
      <c r="G93" s="27" t="n">
        <v>26</v>
      </c>
      <c r="H93" s="164" t="n">
        <v>108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113B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n"/>
      <c r="B94" s="113" t="n"/>
      <c r="C94" s="10" t="n"/>
      <c r="D94" s="13" t="n"/>
      <c r="E94" s="20" t="n"/>
      <c r="F94" s="161" t="n"/>
      <c r="G94" s="13" t="n"/>
      <c r="H94" s="13" t="n"/>
      <c r="I94" s="13" t="n"/>
      <c r="J94" s="13" t="n"/>
      <c r="K94" s="13" t="n"/>
      <c r="L94" s="13" t="n"/>
      <c r="M94" s="13" t="n"/>
      <c r="N94" s="13" t="n"/>
      <c r="O94" s="162" t="n"/>
      <c r="P94" s="162" t="n"/>
      <c r="Q94" s="163" t="n"/>
      <c r="R94" s="163" t="n"/>
      <c r="S94" s="13" t="n"/>
      <c r="T94" s="70" t="n"/>
      <c r="U94" s="13" t="n"/>
      <c r="W94" s="107">
        <f>$A$4&amp;" "&amp;A95&amp;"("&amp;B95&amp;","&amp;C95&amp;"^)"</f>
        <v/>
      </c>
      <c r="X94" s="108" t="n"/>
      <c r="Y94" s="108" t="n"/>
      <c r="Z94" s="108" t="n"/>
      <c r="AA94" s="108" t="n"/>
      <c r="AB94" s="108" t="n"/>
      <c r="AC94" s="108" t="n"/>
      <c r="AD94" s="108" t="n"/>
      <c r="AE94" s="108" t="n"/>
      <c r="AF94" s="109" t="n"/>
      <c r="AH94" s="36">
        <f>IF(A94="","",A94)</f>
        <v/>
      </c>
      <c r="AI94" s="160">
        <f>IF(E94="","",E94)</f>
        <v/>
      </c>
      <c r="AJ94" s="113" t="n"/>
      <c r="AK94" s="113" t="n"/>
      <c r="AL94" s="113" t="n"/>
      <c r="AM94" s="113" t="n"/>
      <c r="AN94" s="113" t="n"/>
      <c r="AO94" s="113" t="n"/>
      <c r="AP94" s="113" t="n"/>
      <c r="AQ94" s="113" t="n"/>
      <c r="AR94" s="113" t="n"/>
      <c r="AS94" s="113" t="n"/>
      <c r="AT94" s="113" t="n"/>
      <c r="AU94" s="113" t="n"/>
      <c r="AV94" s="113" t="n"/>
    </row>
    <row r="95">
      <c r="A95" s="13" t="inlineStr">
        <is>
          <t>청라엑슬루타워</t>
        </is>
      </c>
      <c r="B95" s="16" t="inlineStr">
        <is>
          <t>'11.11.</t>
        </is>
      </c>
      <c r="C95" s="164" t="n">
        <v>616</v>
      </c>
      <c r="D95" s="161" t="n">
        <v>126.5</v>
      </c>
      <c r="E95" s="163" t="n">
        <v>38</v>
      </c>
      <c r="F95" s="161" t="n">
        <v>92.40000000000001</v>
      </c>
      <c r="G95" s="27" t="n">
        <v>28</v>
      </c>
      <c r="H95" s="164" t="n">
        <v>104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n">
        <v>126</v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청라엑슬루타워</t>
        </is>
      </c>
      <c r="B96" s="16" t="inlineStr">
        <is>
          <t>'11.11.</t>
        </is>
      </c>
      <c r="C96" s="164" t="n">
        <v>616</v>
      </c>
      <c r="D96" s="161" t="n">
        <v>139.5</v>
      </c>
      <c r="E96" s="163" t="n">
        <v>42</v>
      </c>
      <c r="F96" s="161" t="n">
        <v>102.6</v>
      </c>
      <c r="G96" s="27" t="n">
        <v>31</v>
      </c>
      <c r="H96" s="164" t="n">
        <v>104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n">
        <v>139</v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청라엑슬루타워</t>
        </is>
      </c>
      <c r="B97" s="16" t="inlineStr">
        <is>
          <t>'11.11.</t>
        </is>
      </c>
      <c r="C97" s="164" t="n">
        <v>616</v>
      </c>
      <c r="D97" s="161" t="n">
        <v>149.5</v>
      </c>
      <c r="E97" s="163" t="n">
        <v>45</v>
      </c>
      <c r="F97" s="161" t="n">
        <v>110.2</v>
      </c>
      <c r="G97" s="27" t="n">
        <v>33</v>
      </c>
      <c r="H97" s="164" t="n">
        <v>208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n">
        <v>149</v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청라엑슬루타워</t>
        </is>
      </c>
      <c r="B98" s="16" t="inlineStr">
        <is>
          <t>'11.11.</t>
        </is>
      </c>
      <c r="C98" s="164" t="n">
        <v>616</v>
      </c>
      <c r="D98" s="161" t="n">
        <v>180</v>
      </c>
      <c r="E98" s="163" t="n">
        <v>54</v>
      </c>
      <c r="F98" s="161" t="n">
        <v>132.7</v>
      </c>
      <c r="G98" s="27" t="n">
        <v>40</v>
      </c>
      <c r="H98" s="164" t="n">
        <v>104</v>
      </c>
      <c r="I98" s="165" t="n"/>
      <c r="J98" s="165" t="n"/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4</v>
      </c>
      <c r="R98" s="113" t="n">
        <v>2</v>
      </c>
      <c r="S98" s="113" t="inlineStr">
        <is>
          <t>계</t>
        </is>
      </c>
      <c r="T98" s="8" t="n">
        <v>180</v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청라엑슬루타워</t>
        </is>
      </c>
      <c r="B99" s="16" t="inlineStr">
        <is>
          <t>'11.11.</t>
        </is>
      </c>
      <c r="C99" s="164" t="n">
        <v>616</v>
      </c>
      <c r="D99" s="161" t="n">
        <v>203.8</v>
      </c>
      <c r="E99" s="163" t="n">
        <v>62</v>
      </c>
      <c r="F99" s="161" t="n">
        <v>150.3</v>
      </c>
      <c r="G99" s="27" t="n">
        <v>45</v>
      </c>
      <c r="H99" s="164" t="n">
        <v>96</v>
      </c>
      <c r="I99" s="165" t="n"/>
      <c r="J99" s="165" t="n"/>
      <c r="K99" s="165" t="n"/>
      <c r="L99" s="165" t="n"/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4</v>
      </c>
      <c r="R99" s="113" t="n">
        <v>2</v>
      </c>
      <c r="S99" s="113" t="inlineStr">
        <is>
          <t>계</t>
        </is>
      </c>
      <c r="T99" s="8" t="n">
        <v>203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n"/>
      <c r="B100" s="113" t="n"/>
      <c r="C100" s="10" t="n"/>
      <c r="D100" s="13" t="n"/>
      <c r="E100" s="20" t="n"/>
      <c r="F100" s="161" t="n"/>
      <c r="G100" s="13" t="n"/>
      <c r="H100" s="13" t="n"/>
      <c r="I100" s="13" t="n"/>
      <c r="J100" s="13" t="n"/>
      <c r="K100" s="13" t="n"/>
      <c r="L100" s="13" t="n"/>
      <c r="M100" s="13" t="n"/>
      <c r="N100" s="13" t="n"/>
      <c r="O100" s="162" t="n"/>
      <c r="P100" s="162" t="n"/>
      <c r="Q100" s="163" t="n"/>
      <c r="R100" s="163" t="n"/>
      <c r="S100" s="13" t="n"/>
      <c r="T100" s="70" t="n"/>
      <c r="U100" s="13" t="n"/>
      <c r="W100" s="107">
        <f>$A$4&amp;" "&amp;A101&amp;"("&amp;B101&amp;","&amp;C101&amp;"^)"</f>
        <v/>
      </c>
      <c r="X100" s="108" t="n"/>
      <c r="Y100" s="108" t="n"/>
      <c r="Z100" s="108" t="n"/>
      <c r="AA100" s="108" t="n"/>
      <c r="AB100" s="108" t="n"/>
      <c r="AC100" s="108" t="n"/>
      <c r="AD100" s="108" t="n"/>
      <c r="AE100" s="108" t="n"/>
      <c r="AF100" s="109" t="n"/>
      <c r="AH100" s="36">
        <f>IF(A100="","",A100)</f>
        <v/>
      </c>
      <c r="AI100" s="160">
        <f>IF(E100="","",E100)</f>
        <v/>
      </c>
      <c r="AJ100" s="113" t="n"/>
      <c r="AK100" s="113" t="n"/>
      <c r="AL100" s="113" t="n"/>
      <c r="AM100" s="113" t="n"/>
      <c r="AN100" s="113" t="n"/>
      <c r="AO100" s="113" t="n"/>
      <c r="AP100" s="113" t="n"/>
      <c r="AQ100" s="113" t="n"/>
      <c r="AR100" s="113" t="n"/>
      <c r="AS100" s="113" t="n"/>
      <c r="AT100" s="113" t="n"/>
      <c r="AU100" s="113" t="n"/>
      <c r="AV100" s="113" t="n"/>
    </row>
    <row r="101">
      <c r="A101" s="13" t="inlineStr">
        <is>
          <t>청라호반베르디움(29블럭)</t>
        </is>
      </c>
      <c r="B101" s="16" t="inlineStr">
        <is>
          <t>'12.07.</t>
        </is>
      </c>
      <c r="C101" s="164" t="n">
        <v>2134</v>
      </c>
      <c r="D101" s="161" t="n">
        <v>111.7</v>
      </c>
      <c r="E101" s="163" t="n">
        <v>34</v>
      </c>
      <c r="F101" s="161" t="n">
        <v>84.90000000000001</v>
      </c>
      <c r="G101" s="27" t="n">
        <v>26</v>
      </c>
      <c r="H101" s="164" t="n">
        <v>508</v>
      </c>
      <c r="I101" s="165" t="n">
        <v>68000</v>
      </c>
      <c r="J101" s="165" t="inlineStr">
        <is>
          <t>고</t>
        </is>
      </c>
      <c r="K101" s="165" t="n">
        <v>35000</v>
      </c>
      <c r="L101" s="165" t="inlineStr">
        <is>
          <t>16</t>
        </is>
      </c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inlineStr">
        <is>
          <t>111B</t>
        </is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청라호반베르디움(29블럭)</t>
        </is>
      </c>
      <c r="B102" s="16" t="inlineStr">
        <is>
          <t>'12.07.</t>
        </is>
      </c>
      <c r="C102" s="164" t="n">
        <v>2134</v>
      </c>
      <c r="D102" s="161" t="n">
        <v>111.8</v>
      </c>
      <c r="E102" s="163" t="n">
        <v>34</v>
      </c>
      <c r="F102" s="161" t="n">
        <v>84.90000000000001</v>
      </c>
      <c r="G102" s="27" t="n">
        <v>26</v>
      </c>
      <c r="H102" s="164" t="n">
        <v>500</v>
      </c>
      <c r="I102" s="165" t="n">
        <v>68000</v>
      </c>
      <c r="J102" s="165" t="inlineStr">
        <is>
          <t>6</t>
        </is>
      </c>
      <c r="K102" s="165" t="n">
        <v>35000</v>
      </c>
      <c r="L102" s="165" t="inlineStr">
        <is>
          <t>24</t>
        </is>
      </c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111C</t>
        </is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청라호반베르디움(29블럭)</t>
        </is>
      </c>
      <c r="B103" s="16" t="inlineStr">
        <is>
          <t>'12.07.</t>
        </is>
      </c>
      <c r="C103" s="164" t="n">
        <v>2134</v>
      </c>
      <c r="D103" s="161" t="n">
        <v>112.3</v>
      </c>
      <c r="E103" s="163" t="n">
        <v>34</v>
      </c>
      <c r="F103" s="161" t="n">
        <v>84.90000000000001</v>
      </c>
      <c r="G103" s="27" t="n">
        <v>26</v>
      </c>
      <c r="H103" s="164" t="n">
        <v>776</v>
      </c>
      <c r="I103" s="165" t="n"/>
      <c r="J103" s="165" t="n"/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112A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청라호반베르디움(29블럭)</t>
        </is>
      </c>
      <c r="B104" s="16" t="inlineStr">
        <is>
          <t>'12.07.</t>
        </is>
      </c>
      <c r="C104" s="164" t="n">
        <v>2134</v>
      </c>
      <c r="D104" s="161" t="n">
        <v>112.4</v>
      </c>
      <c r="E104" s="163" t="n">
        <v>34</v>
      </c>
      <c r="F104" s="161" t="n">
        <v>85</v>
      </c>
      <c r="G104" s="27" t="n">
        <v>26</v>
      </c>
      <c r="H104" s="164" t="n">
        <v>350</v>
      </c>
      <c r="I104" s="165" t="n">
        <v>70000</v>
      </c>
      <c r="J104" s="165" t="inlineStr">
        <is>
          <t>23</t>
        </is>
      </c>
      <c r="K104" s="165" t="n">
        <v>35000</v>
      </c>
      <c r="L104" s="165" t="inlineStr">
        <is>
          <t>중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112D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n"/>
      <c r="B105" s="113" t="n"/>
      <c r="C105" s="10" t="n"/>
      <c r="D105" s="13" t="n"/>
      <c r="E105" s="20" t="n"/>
      <c r="F105" s="161" t="n"/>
      <c r="G105" s="13" t="n"/>
      <c r="H105" s="13" t="n"/>
      <c r="I105" s="13" t="n"/>
      <c r="J105" s="13" t="n"/>
      <c r="K105" s="13" t="n"/>
      <c r="L105" s="13" t="n"/>
      <c r="M105" s="13" t="n"/>
      <c r="N105" s="13" t="n"/>
      <c r="O105" s="162" t="n"/>
      <c r="P105" s="162" t="n"/>
      <c r="Q105" s="163" t="n"/>
      <c r="R105" s="163" t="n"/>
      <c r="S105" s="13" t="n"/>
      <c r="T105" s="70" t="n"/>
      <c r="U105" s="13" t="n"/>
      <c r="W105" s="107">
        <f>$A$4&amp;" "&amp;A106&amp;"("&amp;B106&amp;","&amp;C106&amp;"^)"</f>
        <v/>
      </c>
      <c r="X105" s="108" t="n"/>
      <c r="Y105" s="108" t="n"/>
      <c r="Z105" s="108" t="n"/>
      <c r="AA105" s="108" t="n"/>
      <c r="AB105" s="108" t="n"/>
      <c r="AC105" s="108" t="n"/>
      <c r="AD105" s="108" t="n"/>
      <c r="AE105" s="108" t="n"/>
      <c r="AF105" s="109" t="n"/>
      <c r="AH105" s="36">
        <f>IF(A105="","",A105)</f>
        <v/>
      </c>
      <c r="AI105" s="160">
        <f>IF(E105="","",E105)</f>
        <v/>
      </c>
      <c r="AJ105" s="113" t="n"/>
      <c r="AK105" s="113" t="n"/>
      <c r="AL105" s="113" t="n"/>
      <c r="AM105" s="113" t="n"/>
      <c r="AN105" s="113" t="n"/>
      <c r="AO105" s="113" t="n"/>
      <c r="AP105" s="113" t="n"/>
      <c r="AQ105" s="113" t="n"/>
      <c r="AR105" s="113" t="n"/>
      <c r="AS105" s="113" t="n"/>
      <c r="AT105" s="113" t="n"/>
      <c r="AU105" s="113" t="n"/>
      <c r="AV105" s="113" t="n"/>
    </row>
    <row r="106">
      <c r="A106" s="13" t="inlineStr">
        <is>
          <t>청라린스트라우스</t>
        </is>
      </c>
      <c r="B106" s="16" t="inlineStr">
        <is>
          <t>'13.08.</t>
        </is>
      </c>
      <c r="C106" s="164" t="n">
        <v>590</v>
      </c>
      <c r="D106" s="161" t="n">
        <v>135.7</v>
      </c>
      <c r="E106" s="163" t="n">
        <v>41</v>
      </c>
      <c r="F106" s="161" t="n">
        <v>101.4</v>
      </c>
      <c r="G106" s="27" t="n">
        <v>31</v>
      </c>
      <c r="H106" s="164" t="n">
        <v>145</v>
      </c>
      <c r="I106" s="165" t="n"/>
      <c r="J106" s="165" t="n"/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2</v>
      </c>
      <c r="S106" s="113" t="inlineStr">
        <is>
          <t>계</t>
        </is>
      </c>
      <c r="T106" s="8" t="n">
        <v>135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청라린스트라우스</t>
        </is>
      </c>
      <c r="B107" s="16" t="inlineStr">
        <is>
          <t>'13.08.</t>
        </is>
      </c>
      <c r="C107" s="164" t="n">
        <v>590</v>
      </c>
      <c r="D107" s="161" t="n">
        <v>137.2</v>
      </c>
      <c r="E107" s="163" t="n">
        <v>41</v>
      </c>
      <c r="F107" s="161" t="n">
        <v>102</v>
      </c>
      <c r="G107" s="27" t="n">
        <v>31</v>
      </c>
      <c r="H107" s="164" t="n">
        <v>138</v>
      </c>
      <c r="I107" s="165" t="n"/>
      <c r="J107" s="165" t="n"/>
      <c r="K107" s="165" t="n"/>
      <c r="L107" s="165" t="n"/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n">
        <v>137</v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청라린스트라우스</t>
        </is>
      </c>
      <c r="B108" s="16" t="inlineStr">
        <is>
          <t>'13.08.</t>
        </is>
      </c>
      <c r="C108" s="164" t="n">
        <v>590</v>
      </c>
      <c r="D108" s="161" t="n">
        <v>164.5</v>
      </c>
      <c r="E108" s="163" t="n">
        <v>50</v>
      </c>
      <c r="F108" s="161" t="n">
        <v>124.4</v>
      </c>
      <c r="G108" s="27" t="n">
        <v>38</v>
      </c>
      <c r="H108" s="164" t="n">
        <v>149</v>
      </c>
      <c r="I108" s="165" t="n"/>
      <c r="J108" s="165" t="n"/>
      <c r="K108" s="165" t="n"/>
      <c r="L108" s="165" t="n"/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4</v>
      </c>
      <c r="R108" s="113" t="n">
        <v>2</v>
      </c>
      <c r="S108" s="113" t="inlineStr">
        <is>
          <t>계</t>
        </is>
      </c>
      <c r="T108" s="8" t="inlineStr">
        <is>
          <t>164B</t>
        </is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청라린스트라우스</t>
        </is>
      </c>
      <c r="B109" s="16" t="inlineStr">
        <is>
          <t>'13.08.</t>
        </is>
      </c>
      <c r="C109" s="164" t="n">
        <v>590</v>
      </c>
      <c r="D109" s="161" t="n">
        <v>165.1</v>
      </c>
      <c r="E109" s="163" t="n">
        <v>50</v>
      </c>
      <c r="F109" s="161" t="n">
        <v>125.1</v>
      </c>
      <c r="G109" s="27" t="n">
        <v>38</v>
      </c>
      <c r="H109" s="164" t="n">
        <v>80</v>
      </c>
      <c r="I109" s="165" t="n"/>
      <c r="J109" s="165" t="n"/>
      <c r="K109" s="165" t="n"/>
      <c r="L109" s="165" t="n"/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4</v>
      </c>
      <c r="R109" s="113" t="n">
        <v>2</v>
      </c>
      <c r="S109" s="113" t="inlineStr">
        <is>
          <t>계</t>
        </is>
      </c>
      <c r="T109" s="8" t="inlineStr">
        <is>
          <t>165A</t>
        </is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청라린스트라우스</t>
        </is>
      </c>
      <c r="B110" s="16" t="inlineStr">
        <is>
          <t>'13.08.</t>
        </is>
      </c>
      <c r="C110" s="164" t="n">
        <v>590</v>
      </c>
      <c r="D110" s="161" t="n">
        <v>182</v>
      </c>
      <c r="E110" s="163" t="n">
        <v>55</v>
      </c>
      <c r="F110" s="161" t="n">
        <v>138.8</v>
      </c>
      <c r="G110" s="27" t="n">
        <v>42</v>
      </c>
      <c r="H110" s="164" t="n">
        <v>78</v>
      </c>
      <c r="I110" s="165" t="n"/>
      <c r="J110" s="165" t="n"/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4</v>
      </c>
      <c r="R110" s="113" t="n">
        <v>2</v>
      </c>
      <c r="S110" s="113" t="inlineStr">
        <is>
          <t>계</t>
        </is>
      </c>
      <c r="T110" s="8" t="n">
        <v>182</v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n"/>
      <c r="B111" s="113" t="n"/>
      <c r="C111" s="10" t="n"/>
      <c r="D111" s="13" t="n"/>
      <c r="E111" s="20" t="n"/>
      <c r="F111" s="161" t="n"/>
      <c r="G111" s="13" t="n"/>
      <c r="H111" s="13" t="n"/>
      <c r="I111" s="13" t="n"/>
      <c r="J111" s="13" t="n"/>
      <c r="K111" s="13" t="n"/>
      <c r="L111" s="13" t="n"/>
      <c r="M111" s="13" t="n"/>
      <c r="N111" s="13" t="n"/>
      <c r="O111" s="162" t="n"/>
      <c r="P111" s="162" t="n"/>
      <c r="Q111" s="163" t="n"/>
      <c r="R111" s="163" t="n"/>
      <c r="S111" s="13" t="n"/>
      <c r="T111" s="70" t="n"/>
      <c r="U111" s="13" t="n"/>
      <c r="W111" s="107">
        <f>$A$4&amp;" "&amp;A112&amp;"("&amp;B112&amp;","&amp;C112&amp;"^)"</f>
        <v/>
      </c>
      <c r="X111" s="108" t="n"/>
      <c r="Y111" s="108" t="n"/>
      <c r="Z111" s="108" t="n"/>
      <c r="AA111" s="108" t="n"/>
      <c r="AB111" s="108" t="n"/>
      <c r="AC111" s="108" t="n"/>
      <c r="AD111" s="108" t="n"/>
      <c r="AE111" s="108" t="n"/>
      <c r="AF111" s="109" t="n"/>
      <c r="AH111" s="36">
        <f>IF(A111="","",A111)</f>
        <v/>
      </c>
      <c r="AI111" s="160">
        <f>IF(E111="","",E111)</f>
        <v/>
      </c>
      <c r="AJ111" s="113" t="n"/>
      <c r="AK111" s="113" t="n"/>
      <c r="AL111" s="113" t="n"/>
      <c r="AM111" s="113" t="n"/>
      <c r="AN111" s="113" t="n"/>
      <c r="AO111" s="113" t="n"/>
      <c r="AP111" s="113" t="n"/>
      <c r="AQ111" s="113" t="n"/>
      <c r="AR111" s="113" t="n"/>
      <c r="AS111" s="113" t="n"/>
      <c r="AT111" s="113" t="n"/>
      <c r="AU111" s="113" t="n"/>
      <c r="AV111" s="113" t="n"/>
    </row>
    <row r="112">
      <c r="A112" s="13" t="inlineStr">
        <is>
          <t>청라모아미래도</t>
        </is>
      </c>
      <c r="B112" s="16" t="inlineStr">
        <is>
          <t>'18.02.</t>
        </is>
      </c>
      <c r="C112" s="164" t="n">
        <v>418</v>
      </c>
      <c r="D112" s="161" t="n">
        <v>95.3</v>
      </c>
      <c r="E112" s="163" t="n">
        <v>29</v>
      </c>
      <c r="F112" s="161" t="n">
        <v>71.40000000000001</v>
      </c>
      <c r="G112" s="27" t="n">
        <v>22</v>
      </c>
      <c r="H112" s="164" t="n">
        <v>244</v>
      </c>
      <c r="I112" s="165" t="n">
        <v>71000</v>
      </c>
      <c r="J112" s="165" t="inlineStr">
        <is>
          <t>중</t>
        </is>
      </c>
      <c r="K112" s="165" t="n">
        <v>34000</v>
      </c>
      <c r="L112" s="165" t="inlineStr">
        <is>
          <t>19</t>
        </is>
      </c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inlineStr">
        <is>
          <t>95A</t>
        </is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청라모아미래도</t>
        </is>
      </c>
      <c r="B113" s="16" t="inlineStr">
        <is>
          <t>'18.02.</t>
        </is>
      </c>
      <c r="C113" s="164" t="n">
        <v>418</v>
      </c>
      <c r="D113" s="161" t="n">
        <v>95.8</v>
      </c>
      <c r="E113" s="163" t="n">
        <v>29</v>
      </c>
      <c r="F113" s="161" t="n">
        <v>71.09999999999999</v>
      </c>
      <c r="G113" s="27" t="n">
        <v>22</v>
      </c>
      <c r="H113" s="164" t="n">
        <v>124</v>
      </c>
      <c r="I113" s="165" t="n">
        <v>68000</v>
      </c>
      <c r="J113" s="165" t="inlineStr">
        <is>
          <t>5</t>
        </is>
      </c>
      <c r="K113" s="165" t="n">
        <v>33000</v>
      </c>
      <c r="L113" s="165" t="inlineStr">
        <is>
          <t>18</t>
        </is>
      </c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inlineStr">
        <is>
          <t>95C</t>
        </is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청라모아미래도</t>
        </is>
      </c>
      <c r="B114" s="16" t="inlineStr">
        <is>
          <t>'18.02.</t>
        </is>
      </c>
      <c r="C114" s="164" t="n">
        <v>418</v>
      </c>
      <c r="D114" s="161" t="n">
        <v>95.8</v>
      </c>
      <c r="E114" s="163" t="n">
        <v>29</v>
      </c>
      <c r="F114" s="161" t="n">
        <v>71.59999999999999</v>
      </c>
      <c r="G114" s="27" t="n">
        <v>22</v>
      </c>
      <c r="H114" s="164" t="n">
        <v>50</v>
      </c>
      <c r="I114" s="165" t="n">
        <v>76000</v>
      </c>
      <c r="J114" s="165" t="inlineStr">
        <is>
          <t>10</t>
        </is>
      </c>
      <c r="K114" s="165" t="n">
        <v>30000</v>
      </c>
      <c r="L114" s="165" t="inlineStr">
        <is>
          <t>중</t>
        </is>
      </c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inlineStr">
        <is>
          <t>95B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n"/>
      <c r="B115" s="113" t="n"/>
      <c r="C115" s="10" t="n"/>
      <c r="D115" s="13" t="n"/>
      <c r="E115" s="20" t="n"/>
      <c r="F115" s="161" t="n"/>
      <c r="G115" s="13" t="n"/>
      <c r="H115" s="13" t="n"/>
      <c r="I115" s="13" t="n"/>
      <c r="J115" s="13" t="n"/>
      <c r="K115" s="13" t="n"/>
      <c r="L115" s="13" t="n"/>
      <c r="M115" s="13" t="n"/>
      <c r="N115" s="13" t="n"/>
      <c r="O115" s="162" t="n"/>
      <c r="P115" s="162" t="n"/>
      <c r="Q115" s="163" t="n"/>
      <c r="R115" s="163" t="n"/>
      <c r="S115" s="13" t="n"/>
      <c r="T115" s="70" t="n"/>
      <c r="U115" s="13" t="n"/>
      <c r="W115" s="107">
        <f>$A$4&amp;" "&amp;A116&amp;"("&amp;B116&amp;","&amp;C116&amp;"^)"</f>
        <v/>
      </c>
      <c r="X115" s="108" t="n"/>
      <c r="Y115" s="108" t="n"/>
      <c r="Z115" s="108" t="n"/>
      <c r="AA115" s="108" t="n"/>
      <c r="AB115" s="108" t="n"/>
      <c r="AC115" s="108" t="n"/>
      <c r="AD115" s="108" t="n"/>
      <c r="AE115" s="108" t="n"/>
      <c r="AF115" s="109" t="n"/>
      <c r="AH115" s="36">
        <f>IF(A115="","",A115)</f>
        <v/>
      </c>
      <c r="AI115" s="160">
        <f>IF(E115="","",E115)</f>
        <v/>
      </c>
      <c r="AJ115" s="113" t="n"/>
      <c r="AK115" s="113" t="n"/>
      <c r="AL115" s="113" t="n"/>
      <c r="AM115" s="113" t="n"/>
      <c r="AN115" s="113" t="n"/>
      <c r="AO115" s="113" t="n"/>
      <c r="AP115" s="113" t="n"/>
      <c r="AQ115" s="113" t="n"/>
      <c r="AR115" s="113" t="n"/>
      <c r="AS115" s="113" t="n"/>
      <c r="AT115" s="113" t="n"/>
      <c r="AU115" s="113" t="n"/>
      <c r="AV115" s="113" t="n"/>
    </row>
    <row r="116">
      <c r="A116" s="13" t="inlineStr">
        <is>
          <t>청라한화꿈에그린</t>
        </is>
      </c>
      <c r="B116" s="16" t="inlineStr">
        <is>
          <t>'12.03.</t>
        </is>
      </c>
      <c r="C116" s="164" t="n">
        <v>1172</v>
      </c>
      <c r="D116" s="161" t="n">
        <v>130.9</v>
      </c>
      <c r="E116" s="163" t="n">
        <v>40</v>
      </c>
      <c r="F116" s="161" t="n">
        <v>100.8</v>
      </c>
      <c r="G116" s="27" t="n">
        <v>30</v>
      </c>
      <c r="H116" s="164" t="n">
        <v>305</v>
      </c>
      <c r="I116" s="165" t="n">
        <v>85000</v>
      </c>
      <c r="J116" s="165" t="inlineStr">
        <is>
          <t>중</t>
        </is>
      </c>
      <c r="K116" s="165" t="n">
        <v>45000</v>
      </c>
      <c r="L116" s="165" t="inlineStr">
        <is>
          <t>고</t>
        </is>
      </c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inlineStr">
        <is>
          <t>130A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청라한화꿈에그린</t>
        </is>
      </c>
      <c r="B117" s="16" t="inlineStr">
        <is>
          <t>'12.03.</t>
        </is>
      </c>
      <c r="C117" s="164" t="n">
        <v>1172</v>
      </c>
      <c r="D117" s="161" t="n">
        <v>131.4</v>
      </c>
      <c r="E117" s="163" t="n">
        <v>40</v>
      </c>
      <c r="F117" s="161" t="n">
        <v>100.5</v>
      </c>
      <c r="G117" s="27" t="n">
        <v>30</v>
      </c>
      <c r="H117" s="164" t="n">
        <v>144</v>
      </c>
      <c r="I117" s="165" t="n">
        <v>120000</v>
      </c>
      <c r="J117" s="165" t="inlineStr">
        <is>
          <t>고</t>
        </is>
      </c>
      <c r="K117" s="165" t="n">
        <v>43000</v>
      </c>
      <c r="L117" s="165" t="inlineStr">
        <is>
          <t>고</t>
        </is>
      </c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2</v>
      </c>
      <c r="S117" s="113" t="inlineStr">
        <is>
          <t>계</t>
        </is>
      </c>
      <c r="T117" s="8" t="inlineStr">
        <is>
          <t>131B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청라한화꿈에그린</t>
        </is>
      </c>
      <c r="B118" s="16" t="inlineStr">
        <is>
          <t>'12.03.</t>
        </is>
      </c>
      <c r="C118" s="164" t="n">
        <v>1172</v>
      </c>
      <c r="D118" s="161" t="n">
        <v>146.1</v>
      </c>
      <c r="E118" s="163" t="n">
        <v>44</v>
      </c>
      <c r="F118" s="161" t="n">
        <v>112.9</v>
      </c>
      <c r="G118" s="27" t="n">
        <v>34</v>
      </c>
      <c r="H118" s="164" t="n">
        <v>211</v>
      </c>
      <c r="I118" s="165" t="n">
        <v>90000</v>
      </c>
      <c r="J118" s="165" t="inlineStr">
        <is>
          <t>고</t>
        </is>
      </c>
      <c r="K118" s="165" t="n">
        <v>48000</v>
      </c>
      <c r="L118" s="165" t="inlineStr">
        <is>
          <t>7</t>
        </is>
      </c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4</v>
      </c>
      <c r="R118" s="113" t="n">
        <v>2</v>
      </c>
      <c r="S118" s="113" t="inlineStr">
        <is>
          <t>계</t>
        </is>
      </c>
      <c r="T118" s="8" t="n">
        <v>146</v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청라한화꿈에그린</t>
        </is>
      </c>
      <c r="B119" s="16" t="inlineStr">
        <is>
          <t>'12.03.</t>
        </is>
      </c>
      <c r="C119" s="164" t="n">
        <v>1172</v>
      </c>
      <c r="D119" s="161" t="n">
        <v>148.5</v>
      </c>
      <c r="E119" s="163" t="n">
        <v>45</v>
      </c>
      <c r="F119" s="161" t="n">
        <v>113.8</v>
      </c>
      <c r="G119" s="27" t="n">
        <v>34</v>
      </c>
      <c r="H119" s="164" t="n">
        <v>140</v>
      </c>
      <c r="I119" s="165" t="n">
        <v>122000</v>
      </c>
      <c r="J119" s="165" t="inlineStr">
        <is>
          <t>고</t>
        </is>
      </c>
      <c r="K119" s="165" t="n">
        <v>55000</v>
      </c>
      <c r="L119" s="165" t="inlineStr">
        <is>
          <t>중</t>
        </is>
      </c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4</v>
      </c>
      <c r="R119" s="113" t="n">
        <v>2</v>
      </c>
      <c r="S119" s="113" t="inlineStr">
        <is>
          <t>계</t>
        </is>
      </c>
      <c r="T119" s="8" t="inlineStr">
        <is>
          <t>148A</t>
        </is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청라한화꿈에그린</t>
        </is>
      </c>
      <c r="B120" s="16" t="inlineStr">
        <is>
          <t>'12.03.</t>
        </is>
      </c>
      <c r="C120" s="164" t="n">
        <v>1172</v>
      </c>
      <c r="D120" s="161" t="n">
        <v>148.9</v>
      </c>
      <c r="E120" s="163" t="n">
        <v>45</v>
      </c>
      <c r="F120" s="161" t="n">
        <v>113.7</v>
      </c>
      <c r="G120" s="27" t="n">
        <v>34</v>
      </c>
      <c r="H120" s="164" t="n">
        <v>140</v>
      </c>
      <c r="I120" s="165" t="n">
        <v>110000</v>
      </c>
      <c r="J120" s="165" t="inlineStr">
        <is>
          <t>중</t>
        </is>
      </c>
      <c r="K120" s="165" t="n">
        <v>42000</v>
      </c>
      <c r="L120" s="165" t="inlineStr">
        <is>
          <t>중</t>
        </is>
      </c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4</v>
      </c>
      <c r="R120" s="113" t="n">
        <v>2</v>
      </c>
      <c r="S120" s="113" t="inlineStr">
        <is>
          <t>계</t>
        </is>
      </c>
      <c r="T120" s="8" t="inlineStr">
        <is>
          <t>148B</t>
        </is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청라한화꿈에그린</t>
        </is>
      </c>
      <c r="B121" s="16" t="inlineStr">
        <is>
          <t>'12.03.</t>
        </is>
      </c>
      <c r="C121" s="164" t="n">
        <v>1172</v>
      </c>
      <c r="D121" s="161" t="n">
        <v>163.4</v>
      </c>
      <c r="E121" s="163" t="n">
        <v>49</v>
      </c>
      <c r="F121" s="161" t="n">
        <v>125.6</v>
      </c>
      <c r="G121" s="27" t="n">
        <v>38</v>
      </c>
      <c r="H121" s="164" t="n">
        <v>116</v>
      </c>
      <c r="I121" s="165" t="n">
        <v>105000</v>
      </c>
      <c r="J121" s="165" t="inlineStr">
        <is>
          <t>8</t>
        </is>
      </c>
      <c r="K121" s="165" t="n">
        <v>60000</v>
      </c>
      <c r="L121" s="165" t="inlineStr">
        <is>
          <t>고</t>
        </is>
      </c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4</v>
      </c>
      <c r="R121" s="113" t="n">
        <v>2</v>
      </c>
      <c r="S121" s="113" t="inlineStr">
        <is>
          <t>계</t>
        </is>
      </c>
      <c r="T121" s="8" t="n">
        <v>163</v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청라한화꿈에그린</t>
        </is>
      </c>
      <c r="B122" s="16" t="inlineStr">
        <is>
          <t>'12.03.</t>
        </is>
      </c>
      <c r="C122" s="164" t="n">
        <v>1172</v>
      </c>
      <c r="D122" s="161" t="n">
        <v>178.4</v>
      </c>
      <c r="E122" s="163" t="n">
        <v>54</v>
      </c>
      <c r="F122" s="161" t="n">
        <v>136.4</v>
      </c>
      <c r="G122" s="27" t="n">
        <v>41</v>
      </c>
      <c r="H122" s="164" t="n">
        <v>116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4</v>
      </c>
      <c r="R122" s="113" t="n">
        <v>2</v>
      </c>
      <c r="S122" s="113" t="inlineStr">
        <is>
          <t>계</t>
        </is>
      </c>
      <c r="T122" s="8" t="n">
        <v>178</v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n"/>
      <c r="B123" s="113" t="n"/>
      <c r="C123" s="10" t="n"/>
      <c r="D123" s="13" t="n"/>
      <c r="E123" s="20" t="n"/>
      <c r="F123" s="161" t="n"/>
      <c r="G123" s="13" t="n"/>
      <c r="H123" s="13" t="n"/>
      <c r="I123" s="13" t="n"/>
      <c r="J123" s="13" t="n"/>
      <c r="K123" s="13" t="n"/>
      <c r="L123" s="13" t="n"/>
      <c r="M123" s="13" t="n"/>
      <c r="N123" s="13" t="n"/>
      <c r="O123" s="162" t="n"/>
      <c r="P123" s="162" t="n"/>
      <c r="Q123" s="163" t="n"/>
      <c r="R123" s="163" t="n"/>
      <c r="S123" s="13" t="n"/>
      <c r="T123" s="70" t="n"/>
      <c r="U123" s="13" t="n"/>
      <c r="W123" s="107">
        <f>$A$4&amp;" "&amp;A124&amp;"("&amp;B124&amp;","&amp;C124&amp;"^)"</f>
        <v/>
      </c>
      <c r="X123" s="108" t="n"/>
      <c r="Y123" s="108" t="n"/>
      <c r="Z123" s="108" t="n"/>
      <c r="AA123" s="108" t="n"/>
      <c r="AB123" s="108" t="n"/>
      <c r="AC123" s="108" t="n"/>
      <c r="AD123" s="108" t="n"/>
      <c r="AE123" s="108" t="n"/>
      <c r="AF123" s="109" t="n"/>
      <c r="AH123" s="36">
        <f>IF(A123="","",A123)</f>
        <v/>
      </c>
      <c r="AI123" s="160">
        <f>IF(E123="","",E123)</f>
        <v/>
      </c>
      <c r="AJ123" s="113" t="n"/>
      <c r="AK123" s="113" t="n"/>
      <c r="AL123" s="113" t="n"/>
      <c r="AM123" s="113" t="n"/>
      <c r="AN123" s="113" t="n"/>
      <c r="AO123" s="113" t="n"/>
      <c r="AP123" s="113" t="n"/>
      <c r="AQ123" s="113" t="n"/>
      <c r="AR123" s="113" t="n"/>
      <c r="AS123" s="113" t="n"/>
      <c r="AT123" s="113" t="n"/>
      <c r="AU123" s="113" t="n"/>
      <c r="AV123" s="113" t="n"/>
    </row>
    <row r="124">
      <c r="A124" s="13" t="inlineStr">
        <is>
          <t>청라호수공원한신더휴</t>
        </is>
      </c>
      <c r="B124" s="16" t="inlineStr">
        <is>
          <t>'20.06.</t>
        </is>
      </c>
      <c r="C124" s="164" t="n">
        <v>898</v>
      </c>
      <c r="D124" s="161" t="n">
        <v>98.8</v>
      </c>
      <c r="E124" s="163" t="n">
        <v>30</v>
      </c>
      <c r="F124" s="161" t="n">
        <v>76</v>
      </c>
      <c r="G124" s="27" t="n">
        <v>23</v>
      </c>
      <c r="H124" s="164" t="n">
        <v>150</v>
      </c>
      <c r="I124" s="165" t="n">
        <v>77000</v>
      </c>
      <c r="J124" s="165" t="inlineStr">
        <is>
          <t>16</t>
        </is>
      </c>
      <c r="K124" s="165" t="n">
        <v>40000</v>
      </c>
      <c r="L124" s="165" t="inlineStr">
        <is>
          <t>중</t>
        </is>
      </c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2</v>
      </c>
      <c r="S124" s="113" t="inlineStr">
        <is>
          <t>계</t>
        </is>
      </c>
      <c r="T124" s="8" t="n">
        <v>98</v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청라호수공원한신더휴</t>
        </is>
      </c>
      <c r="B125" s="16" t="inlineStr">
        <is>
          <t>'20.06.</t>
        </is>
      </c>
      <c r="C125" s="164" t="n">
        <v>898</v>
      </c>
      <c r="D125" s="161" t="n">
        <v>110.2</v>
      </c>
      <c r="E125" s="163" t="n">
        <v>33</v>
      </c>
      <c r="F125" s="161" t="n">
        <v>85</v>
      </c>
      <c r="G125" s="27" t="n">
        <v>26</v>
      </c>
      <c r="H125" s="164" t="n">
        <v>328</v>
      </c>
      <c r="I125" s="165" t="n">
        <v>85000</v>
      </c>
      <c r="J125" s="165" t="inlineStr">
        <is>
          <t>20</t>
        </is>
      </c>
      <c r="K125" s="165" t="n">
        <v>40000</v>
      </c>
      <c r="L125" s="165" t="inlineStr">
        <is>
          <t>중</t>
        </is>
      </c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2</v>
      </c>
      <c r="S125" s="113" t="inlineStr">
        <is>
          <t>계</t>
        </is>
      </c>
      <c r="T125" s="8" t="inlineStr">
        <is>
          <t>110A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청라호수공원한신더휴</t>
        </is>
      </c>
      <c r="B126" s="16" t="inlineStr">
        <is>
          <t>'20.06.</t>
        </is>
      </c>
      <c r="C126" s="164" t="n">
        <v>898</v>
      </c>
      <c r="D126" s="161" t="n">
        <v>110.2</v>
      </c>
      <c r="E126" s="163" t="n">
        <v>33</v>
      </c>
      <c r="F126" s="161" t="n">
        <v>85</v>
      </c>
      <c r="G126" s="27" t="n">
        <v>26</v>
      </c>
      <c r="H126" s="164" t="n">
        <v>166</v>
      </c>
      <c r="I126" s="165" t="n">
        <v>85000</v>
      </c>
      <c r="J126" s="165" t="inlineStr">
        <is>
          <t>20</t>
        </is>
      </c>
      <c r="K126" s="165" t="n">
        <v>40000</v>
      </c>
      <c r="L126" s="165" t="inlineStr">
        <is>
          <t>중</t>
        </is>
      </c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3</v>
      </c>
      <c r="R126" s="113" t="n">
        <v>2</v>
      </c>
      <c r="S126" s="113" t="inlineStr">
        <is>
          <t>계</t>
        </is>
      </c>
      <c r="T126" s="8" t="inlineStr">
        <is>
          <t>110B</t>
        </is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청라호수공원한신더휴</t>
        </is>
      </c>
      <c r="B127" s="16" t="inlineStr">
        <is>
          <t>'20.06.</t>
        </is>
      </c>
      <c r="C127" s="164" t="n">
        <v>898</v>
      </c>
      <c r="D127" s="161" t="n">
        <v>112.2</v>
      </c>
      <c r="E127" s="163" t="n">
        <v>34</v>
      </c>
      <c r="F127" s="161" t="n">
        <v>85</v>
      </c>
      <c r="G127" s="27" t="n">
        <v>26</v>
      </c>
      <c r="H127" s="164" t="n">
        <v>254</v>
      </c>
      <c r="I127" s="165" t="n">
        <v>92000</v>
      </c>
      <c r="J127" s="165" t="inlineStr">
        <is>
          <t>중</t>
        </is>
      </c>
      <c r="K127" s="165" t="n">
        <v>40000</v>
      </c>
      <c r="L127" s="165" t="inlineStr">
        <is>
          <t>8</t>
        </is>
      </c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3</v>
      </c>
      <c r="R127" s="113" t="n">
        <v>2</v>
      </c>
      <c r="S127" s="113" t="inlineStr">
        <is>
          <t>계</t>
        </is>
      </c>
      <c r="T127" s="8" t="inlineStr">
        <is>
          <t>112C</t>
        </is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n"/>
      <c r="B128" s="113" t="n"/>
      <c r="C128" s="10" t="n"/>
      <c r="D128" s="13" t="n"/>
      <c r="E128" s="20" t="n"/>
      <c r="F128" s="161" t="n"/>
      <c r="G128" s="13" t="n"/>
      <c r="H128" s="13" t="n"/>
      <c r="I128" s="13" t="n"/>
      <c r="J128" s="13" t="n"/>
      <c r="K128" s="13" t="n"/>
      <c r="L128" s="13" t="n"/>
      <c r="M128" s="13" t="n"/>
      <c r="N128" s="13" t="n"/>
      <c r="O128" s="162" t="n"/>
      <c r="P128" s="162" t="n"/>
      <c r="Q128" s="163" t="n"/>
      <c r="R128" s="163" t="n"/>
      <c r="S128" s="13" t="n"/>
      <c r="T128" s="70" t="n"/>
      <c r="U128" s="13" t="n"/>
      <c r="W128" s="107">
        <f>$A$4&amp;" "&amp;A129&amp;"("&amp;B129&amp;","&amp;C129&amp;"^)"</f>
        <v/>
      </c>
      <c r="X128" s="108" t="n"/>
      <c r="Y128" s="108" t="n"/>
      <c r="Z128" s="108" t="n"/>
      <c r="AA128" s="108" t="n"/>
      <c r="AB128" s="108" t="n"/>
      <c r="AC128" s="108" t="n"/>
      <c r="AD128" s="108" t="n"/>
      <c r="AE128" s="108" t="n"/>
      <c r="AF128" s="109" t="n"/>
      <c r="AH128" s="36">
        <f>IF(A128="","",A128)</f>
        <v/>
      </c>
      <c r="AI128" s="160">
        <f>IF(E128="","",E128)</f>
        <v/>
      </c>
      <c r="AJ128" s="113" t="n"/>
      <c r="AK128" s="113" t="n"/>
      <c r="AL128" s="113" t="n"/>
      <c r="AM128" s="113" t="n"/>
      <c r="AN128" s="113" t="n"/>
      <c r="AO128" s="113" t="n"/>
      <c r="AP128" s="113" t="n"/>
      <c r="AQ128" s="113" t="n"/>
      <c r="AR128" s="113" t="n"/>
      <c r="AS128" s="113" t="n"/>
      <c r="AT128" s="113" t="n"/>
      <c r="AU128" s="113" t="n"/>
      <c r="AV128" s="113" t="n"/>
    </row>
    <row r="129">
      <c r="A129" s="13" t="inlineStr">
        <is>
          <t>청라웰카운티2차</t>
        </is>
      </c>
      <c r="B129" s="16" t="inlineStr">
        <is>
          <t>'12.04.</t>
        </is>
      </c>
      <c r="C129" s="164" t="n">
        <v>464</v>
      </c>
      <c r="D129" s="161" t="n">
        <v>126.4</v>
      </c>
      <c r="E129" s="163" t="n">
        <v>38</v>
      </c>
      <c r="F129" s="161" t="n">
        <v>97.3</v>
      </c>
      <c r="G129" s="27" t="n">
        <v>29</v>
      </c>
      <c r="H129" s="164" t="n">
        <v>78</v>
      </c>
      <c r="I129" s="165" t="n">
        <v>80000</v>
      </c>
      <c r="J129" s="165" t="inlineStr">
        <is>
          <t>6</t>
        </is>
      </c>
      <c r="K129" s="165" t="n">
        <v>36000</v>
      </c>
      <c r="L129" s="165" t="inlineStr">
        <is>
          <t>6</t>
        </is>
      </c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3</v>
      </c>
      <c r="R129" s="113" t="n">
        <v>2</v>
      </c>
      <c r="S129" s="113" t="inlineStr">
        <is>
          <t>계</t>
        </is>
      </c>
      <c r="T129" s="8" t="inlineStr">
        <is>
          <t>126B</t>
        </is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청라웰카운티2차</t>
        </is>
      </c>
      <c r="B130" s="16" t="inlineStr">
        <is>
          <t>'12.04.</t>
        </is>
      </c>
      <c r="C130" s="164" t="n">
        <v>464</v>
      </c>
      <c r="D130" s="161" t="n">
        <v>126.6</v>
      </c>
      <c r="E130" s="163" t="n">
        <v>38</v>
      </c>
      <c r="F130" s="161" t="n">
        <v>97.3</v>
      </c>
      <c r="G130" s="27" t="n">
        <v>29</v>
      </c>
      <c r="H130" s="164" t="n">
        <v>72</v>
      </c>
      <c r="I130" s="165" t="n">
        <v>85000</v>
      </c>
      <c r="J130" s="165" t="inlineStr">
        <is>
          <t>중</t>
        </is>
      </c>
      <c r="K130" s="165" t="n"/>
      <c r="L130" s="165" t="n"/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3</v>
      </c>
      <c r="R130" s="113" t="n">
        <v>2</v>
      </c>
      <c r="S130" s="113" t="inlineStr">
        <is>
          <t>계</t>
        </is>
      </c>
      <c r="T130" s="8" t="inlineStr">
        <is>
          <t>126A</t>
        </is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inlineStr">
        <is>
          <t>청라웰카운티2차</t>
        </is>
      </c>
      <c r="B131" s="16" t="inlineStr">
        <is>
          <t>'12.04.</t>
        </is>
      </c>
      <c r="C131" s="164" t="n">
        <v>464</v>
      </c>
      <c r="D131" s="161" t="n">
        <v>142.7</v>
      </c>
      <c r="E131" s="163" t="n">
        <v>43</v>
      </c>
      <c r="F131" s="161" t="n">
        <v>110.6</v>
      </c>
      <c r="G131" s="27" t="n">
        <v>33</v>
      </c>
      <c r="H131" s="164" t="n">
        <v>67</v>
      </c>
      <c r="I131" s="165" t="n">
        <v>90000</v>
      </c>
      <c r="J131" s="165" t="inlineStr">
        <is>
          <t>고</t>
        </is>
      </c>
      <c r="K131" s="165" t="n">
        <v>45000</v>
      </c>
      <c r="L131" s="165" t="inlineStr">
        <is>
          <t>12</t>
        </is>
      </c>
      <c r="M131" s="166">
        <f>I131-K131</f>
        <v/>
      </c>
      <c r="N131" s="7">
        <f>IF(ISERROR(K131/I131),"",K131/I131)</f>
        <v/>
      </c>
      <c r="O131" s="162">
        <f>I131/E131</f>
        <v/>
      </c>
      <c r="P131" s="162">
        <f>K131/E131</f>
        <v/>
      </c>
      <c r="Q131" s="113" t="n">
        <v>4</v>
      </c>
      <c r="R131" s="113" t="n">
        <v>2</v>
      </c>
      <c r="S131" s="113" t="inlineStr">
        <is>
          <t>계</t>
        </is>
      </c>
      <c r="T131" s="8" t="n">
        <v>142</v>
      </c>
      <c r="U131" s="13" t="n"/>
      <c r="W131" s="161">
        <f>D131</f>
        <v/>
      </c>
      <c r="X131" s="163">
        <f>E131</f>
        <v/>
      </c>
      <c r="Y131" s="159">
        <f>H131</f>
        <v/>
      </c>
      <c r="Z131" s="166">
        <f>I131</f>
        <v/>
      </c>
      <c r="AA131" s="166">
        <f>K131</f>
        <v/>
      </c>
      <c r="AB131" s="166">
        <f>M131</f>
        <v/>
      </c>
      <c r="AC131" s="7">
        <f>N131</f>
        <v/>
      </c>
      <c r="AD131" s="162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3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  <row r="132">
      <c r="A132" s="13" t="inlineStr">
        <is>
          <t>청라웰카운티2차</t>
        </is>
      </c>
      <c r="B132" s="16" t="inlineStr">
        <is>
          <t>'12.04.</t>
        </is>
      </c>
      <c r="C132" s="164" t="n">
        <v>464</v>
      </c>
      <c r="D132" s="161" t="n">
        <v>156.3</v>
      </c>
      <c r="E132" s="163" t="n">
        <v>47</v>
      </c>
      <c r="F132" s="161" t="n">
        <v>120.7</v>
      </c>
      <c r="G132" s="27" t="n">
        <v>37</v>
      </c>
      <c r="H132" s="164" t="n">
        <v>58</v>
      </c>
      <c r="I132" s="165" t="n">
        <v>100000</v>
      </c>
      <c r="J132" s="165" t="inlineStr">
        <is>
          <t>고</t>
        </is>
      </c>
      <c r="K132" s="165" t="n">
        <v>50000</v>
      </c>
      <c r="L132" s="165" t="inlineStr">
        <is>
          <t>고</t>
        </is>
      </c>
      <c r="M132" s="166">
        <f>I132-K132</f>
        <v/>
      </c>
      <c r="N132" s="7">
        <f>IF(ISERROR(K132/I132),"",K132/I132)</f>
        <v/>
      </c>
      <c r="O132" s="162">
        <f>I132/E132</f>
        <v/>
      </c>
      <c r="P132" s="162">
        <f>K132/E132</f>
        <v/>
      </c>
      <c r="Q132" s="113" t="n">
        <v>4</v>
      </c>
      <c r="R132" s="113" t="n">
        <v>2</v>
      </c>
      <c r="S132" s="113" t="inlineStr">
        <is>
          <t>계</t>
        </is>
      </c>
      <c r="T132" s="8" t="inlineStr">
        <is>
          <t>156A</t>
        </is>
      </c>
      <c r="U132" s="13" t="n"/>
      <c r="W132" s="161">
        <f>D132</f>
        <v/>
      </c>
      <c r="X132" s="163">
        <f>E132</f>
        <v/>
      </c>
      <c r="Y132" s="159">
        <f>H132</f>
        <v/>
      </c>
      <c r="Z132" s="166">
        <f>I132</f>
        <v/>
      </c>
      <c r="AA132" s="166">
        <f>K132</f>
        <v/>
      </c>
      <c r="AB132" s="166">
        <f>M132</f>
        <v/>
      </c>
      <c r="AC132" s="7">
        <f>N132</f>
        <v/>
      </c>
      <c r="AD132" s="162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3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inlineStr">
        <is>
          <t>청라웰카운티2차</t>
        </is>
      </c>
      <c r="B133" s="16" t="inlineStr">
        <is>
          <t>'12.04.</t>
        </is>
      </c>
      <c r="C133" s="164" t="n">
        <v>464</v>
      </c>
      <c r="D133" s="161" t="n">
        <v>156.1</v>
      </c>
      <c r="E133" s="163" t="n">
        <v>47</v>
      </c>
      <c r="F133" s="161" t="n">
        <v>120.2</v>
      </c>
      <c r="G133" s="27" t="n">
        <v>36</v>
      </c>
      <c r="H133" s="164" t="n">
        <v>54</v>
      </c>
      <c r="I133" s="165" t="n">
        <v>97000</v>
      </c>
      <c r="J133" s="165" t="inlineStr">
        <is>
          <t>7</t>
        </is>
      </c>
      <c r="K133" s="165" t="n"/>
      <c r="L133" s="165" t="n"/>
      <c r="M133" s="166">
        <f>I133-K133</f>
        <v/>
      </c>
      <c r="N133" s="7">
        <f>IF(ISERROR(K133/I133),"",K133/I133)</f>
        <v/>
      </c>
      <c r="O133" s="162">
        <f>I133/E133</f>
        <v/>
      </c>
      <c r="P133" s="162">
        <f>K133/E133</f>
        <v/>
      </c>
      <c r="Q133" s="113" t="n">
        <v>4</v>
      </c>
      <c r="R133" s="113" t="n">
        <v>2</v>
      </c>
      <c r="S133" s="113" t="inlineStr">
        <is>
          <t>계</t>
        </is>
      </c>
      <c r="T133" s="8" t="inlineStr">
        <is>
          <t>156B</t>
        </is>
      </c>
      <c r="U133" s="13" t="n"/>
      <c r="W133" s="161">
        <f>D133</f>
        <v/>
      </c>
      <c r="X133" s="163">
        <f>E133</f>
        <v/>
      </c>
      <c r="Y133" s="159">
        <f>H133</f>
        <v/>
      </c>
      <c r="Z133" s="166">
        <f>I133</f>
        <v/>
      </c>
      <c r="AA133" s="166">
        <f>K133</f>
        <v/>
      </c>
      <c r="AB133" s="166">
        <f>M133</f>
        <v/>
      </c>
      <c r="AC133" s="7">
        <f>N133</f>
        <v/>
      </c>
      <c r="AD133" s="162">
        <f>O133</f>
        <v/>
      </c>
      <c r="AE133" s="113">
        <f>S133</f>
        <v/>
      </c>
      <c r="AF133" s="113">
        <f>Q133&amp;"/"&amp;R133</f>
        <v/>
      </c>
      <c r="AH133" s="36">
        <f>IF(A133="","",A133)</f>
        <v/>
      </c>
      <c r="AI133" s="163">
        <f>IF(E133="","",E133)</f>
        <v/>
      </c>
      <c r="AJ133" s="113">
        <f>IF(AI133="","",$AJ$2)</f>
        <v/>
      </c>
      <c r="AK133" s="113" t="inlineStr">
        <is>
          <t>A</t>
        </is>
      </c>
      <c r="AL133" s="113" t="inlineStr">
        <is>
          <t>A+</t>
        </is>
      </c>
      <c r="AM133" s="113" t="inlineStr">
        <is>
          <t>B+</t>
        </is>
      </c>
      <c r="AN133" s="113">
        <f>IF(AI133="","",$AN$2)</f>
        <v/>
      </c>
      <c r="AO133" s="113">
        <f>IF(N133="","",IF(N133&gt;=$AO$1/100,"O","X"))</f>
        <v/>
      </c>
      <c r="AP133" s="113">
        <f>IF(I133="","",IF(I133&lt;=$AP$1,"O","X"))</f>
        <v/>
      </c>
      <c r="AQ133" s="113">
        <f>IF(O133="","",IF(O133&lt;=$AQ$1,"O","X"))</f>
        <v/>
      </c>
      <c r="AR133" s="113">
        <f>IF(M133="","",IF(M133&lt;=$AR$1,"O","X"))</f>
        <v/>
      </c>
      <c r="AS133" s="113" t="inlineStr">
        <is>
          <t>X</t>
        </is>
      </c>
      <c r="AT133" s="113">
        <f>IF(OR(F133="",AI133=""),"",IF(AND((F133&lt;=85),(AI133&gt;=15)),"O","X"))</f>
        <v/>
      </c>
      <c r="AU133" s="113">
        <f>IF(C133="","",IF(C133&gt;=$AU$1,"O","X"))</f>
        <v/>
      </c>
      <c r="AV133" s="113">
        <f>IF(AO133="","",IF(AND(AO133="O",AP133="O",AR133="O",AT133="O",AU133="O"),"후보","X"))</f>
        <v/>
      </c>
    </row>
    <row r="134">
      <c r="A134" s="13" t="inlineStr">
        <is>
          <t>청라웰카운티2차</t>
        </is>
      </c>
      <c r="B134" s="16" t="inlineStr">
        <is>
          <t>'12.04.</t>
        </is>
      </c>
      <c r="C134" s="164" t="n">
        <v>464</v>
      </c>
      <c r="D134" s="161" t="n">
        <v>160.7</v>
      </c>
      <c r="E134" s="163" t="n">
        <v>49</v>
      </c>
      <c r="F134" s="161" t="n">
        <v>124.8</v>
      </c>
      <c r="G134" s="27" t="n">
        <v>38</v>
      </c>
      <c r="H134" s="164" t="n">
        <v>52</v>
      </c>
      <c r="I134" s="165" t="n">
        <v>95000</v>
      </c>
      <c r="J134" s="165" t="inlineStr">
        <is>
          <t>중</t>
        </is>
      </c>
      <c r="K134" s="165" t="n">
        <v>45000</v>
      </c>
      <c r="L134" s="165" t="inlineStr">
        <is>
          <t>중</t>
        </is>
      </c>
      <c r="M134" s="166">
        <f>I134-K134</f>
        <v/>
      </c>
      <c r="N134" s="7">
        <f>IF(ISERROR(K134/I134),"",K134/I134)</f>
        <v/>
      </c>
      <c r="O134" s="162">
        <f>I134/E134</f>
        <v/>
      </c>
      <c r="P134" s="162">
        <f>K134/E134</f>
        <v/>
      </c>
      <c r="Q134" s="113" t="n">
        <v>4</v>
      </c>
      <c r="R134" s="113" t="n">
        <v>2</v>
      </c>
      <c r="S134" s="113" t="inlineStr">
        <is>
          <t>계</t>
        </is>
      </c>
      <c r="T134" s="8" t="n">
        <v>160</v>
      </c>
      <c r="U134" s="13" t="n"/>
      <c r="W134" s="161">
        <f>D134</f>
        <v/>
      </c>
      <c r="X134" s="163">
        <f>E134</f>
        <v/>
      </c>
      <c r="Y134" s="159">
        <f>H134</f>
        <v/>
      </c>
      <c r="Z134" s="166">
        <f>I134</f>
        <v/>
      </c>
      <c r="AA134" s="166">
        <f>K134</f>
        <v/>
      </c>
      <c r="AB134" s="166">
        <f>M134</f>
        <v/>
      </c>
      <c r="AC134" s="7">
        <f>N134</f>
        <v/>
      </c>
      <c r="AD134" s="162">
        <f>O134</f>
        <v/>
      </c>
      <c r="AE134" s="113">
        <f>S134</f>
        <v/>
      </c>
      <c r="AF134" s="113">
        <f>Q134&amp;"/"&amp;R134</f>
        <v/>
      </c>
      <c r="AH134" s="36">
        <f>IF(A134="","",A134)</f>
        <v/>
      </c>
      <c r="AI134" s="163">
        <f>IF(E134="","",E134)</f>
        <v/>
      </c>
      <c r="AJ134" s="113">
        <f>IF(AI134="","",$AJ$2)</f>
        <v/>
      </c>
      <c r="AK134" s="113" t="inlineStr">
        <is>
          <t>A</t>
        </is>
      </c>
      <c r="AL134" s="113" t="inlineStr">
        <is>
          <t>A+</t>
        </is>
      </c>
      <c r="AM134" s="113" t="inlineStr">
        <is>
          <t>B+</t>
        </is>
      </c>
      <c r="AN134" s="113">
        <f>IF(AI134="","",$AN$2)</f>
        <v/>
      </c>
      <c r="AO134" s="113">
        <f>IF(N134="","",IF(N134&gt;=$AO$1/100,"O","X"))</f>
        <v/>
      </c>
      <c r="AP134" s="113">
        <f>IF(I134="","",IF(I134&lt;=$AP$1,"O","X"))</f>
        <v/>
      </c>
      <c r="AQ134" s="113">
        <f>IF(O134="","",IF(O134&lt;=$AQ$1,"O","X"))</f>
        <v/>
      </c>
      <c r="AR134" s="113">
        <f>IF(M134="","",IF(M134&lt;=$AR$1,"O","X"))</f>
        <v/>
      </c>
      <c r="AS134" s="113" t="inlineStr">
        <is>
          <t>X</t>
        </is>
      </c>
      <c r="AT134" s="113">
        <f>IF(OR(F134="",AI134=""),"",IF(AND((F134&lt;=85),(AI134&gt;=15)),"O","X"))</f>
        <v/>
      </c>
      <c r="AU134" s="113">
        <f>IF(C134="","",IF(C134&gt;=$AU$1,"O","X"))</f>
        <v/>
      </c>
      <c r="AV134" s="113">
        <f>IF(AO134="","",IF(AND(AO134="O",AP134="O",AR134="O",AT134="O",AU134="O"),"후보","X"))</f>
        <v/>
      </c>
    </row>
    <row r="135">
      <c r="A135" s="13" t="inlineStr">
        <is>
          <t>청라웰카운티2차</t>
        </is>
      </c>
      <c r="B135" s="16" t="inlineStr">
        <is>
          <t>'12.04.</t>
        </is>
      </c>
      <c r="C135" s="164" t="n">
        <v>464</v>
      </c>
      <c r="D135" s="161" t="n">
        <v>188</v>
      </c>
      <c r="E135" s="163" t="n">
        <v>57</v>
      </c>
      <c r="F135" s="161" t="n">
        <v>146.8</v>
      </c>
      <c r="G135" s="27" t="n">
        <v>44</v>
      </c>
      <c r="H135" s="164" t="n">
        <v>48</v>
      </c>
      <c r="I135" s="165" t="n">
        <v>107000</v>
      </c>
      <c r="J135" s="165" t="inlineStr">
        <is>
          <t>8</t>
        </is>
      </c>
      <c r="K135" s="165" t="n">
        <v>60000</v>
      </c>
      <c r="L135" s="165" t="inlineStr">
        <is>
          <t>고</t>
        </is>
      </c>
      <c r="M135" s="166">
        <f>I135-K135</f>
        <v/>
      </c>
      <c r="N135" s="7">
        <f>IF(ISERROR(K135/I135),"",K135/I135)</f>
        <v/>
      </c>
      <c r="O135" s="162">
        <f>I135/E135</f>
        <v/>
      </c>
      <c r="P135" s="162">
        <f>K135/E135</f>
        <v/>
      </c>
      <c r="Q135" s="113" t="n">
        <v>4</v>
      </c>
      <c r="R135" s="113" t="n">
        <v>3</v>
      </c>
      <c r="S135" s="113" t="inlineStr">
        <is>
          <t>계</t>
        </is>
      </c>
      <c r="T135" s="8" t="inlineStr">
        <is>
          <t>188A</t>
        </is>
      </c>
      <c r="U135" s="13" t="n"/>
      <c r="W135" s="161">
        <f>D135</f>
        <v/>
      </c>
      <c r="X135" s="163">
        <f>E135</f>
        <v/>
      </c>
      <c r="Y135" s="159">
        <f>H135</f>
        <v/>
      </c>
      <c r="Z135" s="166">
        <f>I135</f>
        <v/>
      </c>
      <c r="AA135" s="166">
        <f>K135</f>
        <v/>
      </c>
      <c r="AB135" s="166">
        <f>M135</f>
        <v/>
      </c>
      <c r="AC135" s="7">
        <f>N135</f>
        <v/>
      </c>
      <c r="AD135" s="162">
        <f>O135</f>
        <v/>
      </c>
      <c r="AE135" s="113">
        <f>S135</f>
        <v/>
      </c>
      <c r="AF135" s="113">
        <f>Q135&amp;"/"&amp;R135</f>
        <v/>
      </c>
      <c r="AH135" s="36">
        <f>IF(A135="","",A135)</f>
        <v/>
      </c>
      <c r="AI135" s="163">
        <f>IF(E135="","",E135)</f>
        <v/>
      </c>
      <c r="AJ135" s="113">
        <f>IF(AI135="","",$AJ$2)</f>
        <v/>
      </c>
      <c r="AK135" s="113" t="inlineStr">
        <is>
          <t>A</t>
        </is>
      </c>
      <c r="AL135" s="113" t="inlineStr">
        <is>
          <t>A+</t>
        </is>
      </c>
      <c r="AM135" s="113" t="inlineStr">
        <is>
          <t>B+</t>
        </is>
      </c>
      <c r="AN135" s="113">
        <f>IF(AI135="","",$AN$2)</f>
        <v/>
      </c>
      <c r="AO135" s="113">
        <f>IF(N135="","",IF(N135&gt;=$AO$1/100,"O","X"))</f>
        <v/>
      </c>
      <c r="AP135" s="113">
        <f>IF(I135="","",IF(I135&lt;=$AP$1,"O","X"))</f>
        <v/>
      </c>
      <c r="AQ135" s="113">
        <f>IF(O135="","",IF(O135&lt;=$AQ$1,"O","X"))</f>
        <v/>
      </c>
      <c r="AR135" s="113">
        <f>IF(M135="","",IF(M135&lt;=$AR$1,"O","X"))</f>
        <v/>
      </c>
      <c r="AS135" s="113" t="inlineStr">
        <is>
          <t>X</t>
        </is>
      </c>
      <c r="AT135" s="113">
        <f>IF(OR(F135="",AI135=""),"",IF(AND((F135&lt;=85),(AI135&gt;=15)),"O","X"))</f>
        <v/>
      </c>
      <c r="AU135" s="113">
        <f>IF(C135="","",IF(C135&gt;=$AU$1,"O","X"))</f>
        <v/>
      </c>
      <c r="AV135" s="113">
        <f>IF(AO135="","",IF(AND(AO135="O",AP135="O",AR135="O",AT135="O",AU135="O"),"후보","X"))</f>
        <v/>
      </c>
    </row>
    <row r="136">
      <c r="A136" s="13" t="inlineStr">
        <is>
          <t>청라웰카운티2차</t>
        </is>
      </c>
      <c r="B136" s="16" t="inlineStr">
        <is>
          <t>'12.04.</t>
        </is>
      </c>
      <c r="C136" s="164" t="n">
        <v>464</v>
      </c>
      <c r="D136" s="161" t="n">
        <v>188.9</v>
      </c>
      <c r="E136" s="163" t="n">
        <v>57</v>
      </c>
      <c r="F136" s="161" t="n">
        <v>146.4</v>
      </c>
      <c r="G136" s="27" t="n">
        <v>44</v>
      </c>
      <c r="H136" s="164" t="n">
        <v>25</v>
      </c>
      <c r="I136" s="165" t="n"/>
      <c r="J136" s="165" t="n"/>
      <c r="K136" s="165" t="n"/>
      <c r="L136" s="165" t="n"/>
      <c r="M136" s="166">
        <f>I136-K136</f>
        <v/>
      </c>
      <c r="N136" s="7">
        <f>IF(ISERROR(K136/I136),"",K136/I136)</f>
        <v/>
      </c>
      <c r="O136" s="162">
        <f>I136/E136</f>
        <v/>
      </c>
      <c r="P136" s="162">
        <f>K136/E136</f>
        <v/>
      </c>
      <c r="Q136" s="113" t="n">
        <v>4</v>
      </c>
      <c r="R136" s="113" t="n">
        <v>3</v>
      </c>
      <c r="S136" s="113" t="inlineStr">
        <is>
          <t>계</t>
        </is>
      </c>
      <c r="T136" s="8" t="inlineStr">
        <is>
          <t>188B</t>
        </is>
      </c>
      <c r="U136" s="13" t="n"/>
      <c r="W136" s="161">
        <f>D136</f>
        <v/>
      </c>
      <c r="X136" s="163">
        <f>E136</f>
        <v/>
      </c>
      <c r="Y136" s="159">
        <f>H136</f>
        <v/>
      </c>
      <c r="Z136" s="166">
        <f>I136</f>
        <v/>
      </c>
      <c r="AA136" s="166">
        <f>K136</f>
        <v/>
      </c>
      <c r="AB136" s="166">
        <f>M136</f>
        <v/>
      </c>
      <c r="AC136" s="7">
        <f>N136</f>
        <v/>
      </c>
      <c r="AD136" s="162">
        <f>O136</f>
        <v/>
      </c>
      <c r="AE136" s="113">
        <f>S136</f>
        <v/>
      </c>
      <c r="AF136" s="113">
        <f>Q136&amp;"/"&amp;R136</f>
        <v/>
      </c>
      <c r="AH136" s="36">
        <f>IF(A136="","",A136)</f>
        <v/>
      </c>
      <c r="AI136" s="163">
        <f>IF(E136="","",E136)</f>
        <v/>
      </c>
      <c r="AJ136" s="113">
        <f>IF(AI136="","",$AJ$2)</f>
        <v/>
      </c>
      <c r="AK136" s="113" t="inlineStr">
        <is>
          <t>A</t>
        </is>
      </c>
      <c r="AL136" s="113" t="inlineStr">
        <is>
          <t>A+</t>
        </is>
      </c>
      <c r="AM136" s="113" t="inlineStr">
        <is>
          <t>B+</t>
        </is>
      </c>
      <c r="AN136" s="113">
        <f>IF(AI136="","",$AN$2)</f>
        <v/>
      </c>
      <c r="AO136" s="113">
        <f>IF(N136="","",IF(N136&gt;=$AO$1/100,"O","X"))</f>
        <v/>
      </c>
      <c r="AP136" s="113">
        <f>IF(I136="","",IF(I136&lt;=$AP$1,"O","X"))</f>
        <v/>
      </c>
      <c r="AQ136" s="113">
        <f>IF(O136="","",IF(O136&lt;=$AQ$1,"O","X"))</f>
        <v/>
      </c>
      <c r="AR136" s="113">
        <f>IF(M136="","",IF(M136&lt;=$AR$1,"O","X"))</f>
        <v/>
      </c>
      <c r="AS136" s="113" t="inlineStr">
        <is>
          <t>X</t>
        </is>
      </c>
      <c r="AT136" s="113">
        <f>IF(OR(F136="",AI136=""),"",IF(AND((F136&lt;=85),(AI136&gt;=15)),"O","X"))</f>
        <v/>
      </c>
      <c r="AU136" s="113">
        <f>IF(C136="","",IF(C136&gt;=$AU$1,"O","X"))</f>
        <v/>
      </c>
      <c r="AV136" s="113">
        <f>IF(AO136="","",IF(AND(AO136="O",AP136="O",AR136="O",AT136="O",AU136="O"),"후보","X"))</f>
        <v/>
      </c>
    </row>
    <row r="137">
      <c r="A137" s="13" t="inlineStr">
        <is>
          <t>청라웰카운티2차</t>
        </is>
      </c>
      <c r="B137" s="16" t="inlineStr">
        <is>
          <t>'12.04.</t>
        </is>
      </c>
      <c r="C137" s="164" t="n">
        <v>464</v>
      </c>
      <c r="D137" s="161" t="n">
        <v>209.7</v>
      </c>
      <c r="E137" s="163" t="n">
        <v>63</v>
      </c>
      <c r="F137" s="161" t="n">
        <v>162.1</v>
      </c>
      <c r="G137" s="27" t="n">
        <v>49</v>
      </c>
      <c r="H137" s="164" t="n">
        <v>5</v>
      </c>
      <c r="I137" s="165" t="n"/>
      <c r="J137" s="165" t="n"/>
      <c r="K137" s="165" t="n"/>
      <c r="L137" s="165" t="n"/>
      <c r="M137" s="166">
        <f>I137-K137</f>
        <v/>
      </c>
      <c r="N137" s="7">
        <f>IF(ISERROR(K137/I137),"",K137/I137)</f>
        <v/>
      </c>
      <c r="O137" s="162">
        <f>I137/E137</f>
        <v/>
      </c>
      <c r="P137" s="162">
        <f>K137/E137</f>
        <v/>
      </c>
      <c r="Q137" s="113" t="n">
        <v>4</v>
      </c>
      <c r="R137" s="113" t="n">
        <v>3</v>
      </c>
      <c r="S137" s="113" t="inlineStr">
        <is>
          <t>계</t>
        </is>
      </c>
      <c r="T137" s="8" t="n">
        <v>209</v>
      </c>
      <c r="U137" s="13" t="n"/>
      <c r="W137" s="161">
        <f>D137</f>
        <v/>
      </c>
      <c r="X137" s="163">
        <f>E137</f>
        <v/>
      </c>
      <c r="Y137" s="159">
        <f>H137</f>
        <v/>
      </c>
      <c r="Z137" s="166">
        <f>I137</f>
        <v/>
      </c>
      <c r="AA137" s="166">
        <f>K137</f>
        <v/>
      </c>
      <c r="AB137" s="166">
        <f>M137</f>
        <v/>
      </c>
      <c r="AC137" s="7">
        <f>N137</f>
        <v/>
      </c>
      <c r="AD137" s="162">
        <f>O137</f>
        <v/>
      </c>
      <c r="AE137" s="113">
        <f>S137</f>
        <v/>
      </c>
      <c r="AF137" s="113">
        <f>Q137&amp;"/"&amp;R137</f>
        <v/>
      </c>
      <c r="AH137" s="36">
        <f>IF(A137="","",A137)</f>
        <v/>
      </c>
      <c r="AI137" s="163">
        <f>IF(E137="","",E137)</f>
        <v/>
      </c>
      <c r="AJ137" s="113">
        <f>IF(AI137="","",$AJ$2)</f>
        <v/>
      </c>
      <c r="AK137" s="113" t="inlineStr">
        <is>
          <t>A</t>
        </is>
      </c>
      <c r="AL137" s="113" t="inlineStr">
        <is>
          <t>A+</t>
        </is>
      </c>
      <c r="AM137" s="113" t="inlineStr">
        <is>
          <t>B+</t>
        </is>
      </c>
      <c r="AN137" s="113">
        <f>IF(AI137="","",$AN$2)</f>
        <v/>
      </c>
      <c r="AO137" s="113">
        <f>IF(N137="","",IF(N137&gt;=$AO$1/100,"O","X"))</f>
        <v/>
      </c>
      <c r="AP137" s="113">
        <f>IF(I137="","",IF(I137&lt;=$AP$1,"O","X"))</f>
        <v/>
      </c>
      <c r="AQ137" s="113">
        <f>IF(O137="","",IF(O137&lt;=$AQ$1,"O","X"))</f>
        <v/>
      </c>
      <c r="AR137" s="113">
        <f>IF(M137="","",IF(M137&lt;=$AR$1,"O","X"))</f>
        <v/>
      </c>
      <c r="AS137" s="113" t="inlineStr">
        <is>
          <t>X</t>
        </is>
      </c>
      <c r="AT137" s="113">
        <f>IF(OR(F137="",AI137=""),"",IF(AND((F137&lt;=85),(AI137&gt;=15)),"O","X"))</f>
        <v/>
      </c>
      <c r="AU137" s="113">
        <f>IF(C137="","",IF(C137&gt;=$AU$1,"O","X"))</f>
        <v/>
      </c>
      <c r="AV137" s="113">
        <f>IF(AO137="","",IF(AND(AO137="O",AP137="O",AR137="O",AT137="O",AU137="O"),"후보","X"))</f>
        <v/>
      </c>
    </row>
    <row r="138">
      <c r="A138" s="13" t="inlineStr">
        <is>
          <t>청라웰카운티2차</t>
        </is>
      </c>
      <c r="B138" s="16" t="inlineStr">
        <is>
          <t>'12.04.</t>
        </is>
      </c>
      <c r="C138" s="164" t="n">
        <v>464</v>
      </c>
      <c r="D138" s="161" t="n">
        <v>217</v>
      </c>
      <c r="E138" s="163" t="n">
        <v>66</v>
      </c>
      <c r="F138" s="161" t="n">
        <v>168</v>
      </c>
      <c r="G138" s="27" t="n">
        <v>51</v>
      </c>
      <c r="H138" s="164" t="n">
        <v>5</v>
      </c>
      <c r="I138" s="165" t="n"/>
      <c r="J138" s="165" t="n"/>
      <c r="K138" s="165" t="n"/>
      <c r="L138" s="165" t="n"/>
      <c r="M138" s="166">
        <f>I138-K138</f>
        <v/>
      </c>
      <c r="N138" s="7">
        <f>IF(ISERROR(K138/I138),"",K138/I138)</f>
        <v/>
      </c>
      <c r="O138" s="162">
        <f>I138/E138</f>
        <v/>
      </c>
      <c r="P138" s="162">
        <f>K138/E138</f>
        <v/>
      </c>
      <c r="Q138" s="113" t="n">
        <v>4</v>
      </c>
      <c r="R138" s="113" t="n">
        <v>3</v>
      </c>
      <c r="S138" s="113" t="inlineStr">
        <is>
          <t>계</t>
        </is>
      </c>
      <c r="T138" s="8" t="n">
        <v>216</v>
      </c>
      <c r="U138" s="13" t="n"/>
      <c r="W138" s="161">
        <f>D138</f>
        <v/>
      </c>
      <c r="X138" s="163">
        <f>E138</f>
        <v/>
      </c>
      <c r="Y138" s="159">
        <f>H138</f>
        <v/>
      </c>
      <c r="Z138" s="166">
        <f>I138</f>
        <v/>
      </c>
      <c r="AA138" s="166">
        <f>K138</f>
        <v/>
      </c>
      <c r="AB138" s="166">
        <f>M138</f>
        <v/>
      </c>
      <c r="AC138" s="7">
        <f>N138</f>
        <v/>
      </c>
      <c r="AD138" s="162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3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n"/>
      <c r="B139" s="113" t="n"/>
      <c r="C139" s="10" t="n"/>
      <c r="D139" s="13" t="n"/>
      <c r="E139" s="20" t="n"/>
      <c r="F139" s="161" t="n"/>
      <c r="G139" s="13" t="n"/>
      <c r="H139" s="13" t="n"/>
      <c r="I139" s="13" t="n"/>
      <c r="J139" s="13" t="n"/>
      <c r="K139" s="13" t="n"/>
      <c r="L139" s="13" t="n"/>
      <c r="M139" s="13" t="n"/>
      <c r="N139" s="13" t="n"/>
      <c r="O139" s="162" t="n"/>
      <c r="P139" s="162" t="n"/>
      <c r="Q139" s="163" t="n"/>
      <c r="R139" s="163" t="n"/>
      <c r="S139" s="13" t="n"/>
      <c r="T139" s="70" t="n"/>
      <c r="U139" s="13" t="n"/>
      <c r="W139" s="107">
        <f>$A$4&amp;" "&amp;A140&amp;"("&amp;B140&amp;","&amp;C140&amp;"^)"</f>
        <v/>
      </c>
      <c r="X139" s="108" t="n"/>
      <c r="Y139" s="108" t="n"/>
      <c r="Z139" s="108" t="n"/>
      <c r="AA139" s="108" t="n"/>
      <c r="AB139" s="108" t="n"/>
      <c r="AC139" s="108" t="n"/>
      <c r="AD139" s="108" t="n"/>
      <c r="AE139" s="108" t="n"/>
      <c r="AF139" s="109" t="n"/>
      <c r="AH139" s="36">
        <f>IF(A139="","",A139)</f>
        <v/>
      </c>
      <c r="AI139" s="160">
        <f>IF(E139="","",E139)</f>
        <v/>
      </c>
      <c r="AJ139" s="113" t="n"/>
      <c r="AK139" s="113" t="n"/>
      <c r="AL139" s="113" t="n"/>
      <c r="AM139" s="113" t="n"/>
      <c r="AN139" s="113" t="n"/>
      <c r="AO139" s="113" t="n"/>
      <c r="AP139" s="113" t="n"/>
      <c r="AQ139" s="113" t="n"/>
      <c r="AR139" s="113" t="n"/>
      <c r="AS139" s="113" t="n"/>
      <c r="AT139" s="113" t="n"/>
      <c r="AU139" s="113" t="n"/>
      <c r="AV139" s="113" t="n"/>
    </row>
    <row r="140">
      <c r="A140" s="13" t="inlineStr">
        <is>
          <t>청라반도유보라2차</t>
        </is>
      </c>
      <c r="B140" s="16" t="inlineStr">
        <is>
          <t>'12.08.</t>
        </is>
      </c>
      <c r="C140" s="164" t="n">
        <v>754</v>
      </c>
      <c r="D140" s="161" t="n">
        <v>131</v>
      </c>
      <c r="E140" s="163" t="n">
        <v>40</v>
      </c>
      <c r="F140" s="161" t="n">
        <v>102</v>
      </c>
      <c r="G140" s="27" t="n">
        <v>31</v>
      </c>
      <c r="H140" s="164" t="n">
        <v>206</v>
      </c>
      <c r="I140" s="165" t="n">
        <v>76000</v>
      </c>
      <c r="J140" s="165" t="inlineStr">
        <is>
          <t>중</t>
        </is>
      </c>
      <c r="K140" s="165" t="n">
        <v>37000</v>
      </c>
      <c r="L140" s="165" t="inlineStr">
        <is>
          <t>19</t>
        </is>
      </c>
      <c r="M140" s="166">
        <f>I140-K140</f>
        <v/>
      </c>
      <c r="N140" s="7">
        <f>IF(ISERROR(K140/I140),"",K140/I140)</f>
        <v/>
      </c>
      <c r="O140" s="162">
        <f>I140/E140</f>
        <v/>
      </c>
      <c r="P140" s="162">
        <f>K140/E140</f>
        <v/>
      </c>
      <c r="Q140" s="113" t="n">
        <v>3</v>
      </c>
      <c r="R140" s="113" t="n">
        <v>2</v>
      </c>
      <c r="S140" s="113" t="inlineStr">
        <is>
          <t>계</t>
        </is>
      </c>
      <c r="T140" s="8" t="inlineStr">
        <is>
          <t>130B</t>
        </is>
      </c>
      <c r="U140" s="13" t="n"/>
      <c r="W140" s="161">
        <f>D140</f>
        <v/>
      </c>
      <c r="X140" s="163">
        <f>E140</f>
        <v/>
      </c>
      <c r="Y140" s="159">
        <f>H140</f>
        <v/>
      </c>
      <c r="Z140" s="166">
        <f>I140</f>
        <v/>
      </c>
      <c r="AA140" s="166">
        <f>K140</f>
        <v/>
      </c>
      <c r="AB140" s="166">
        <f>M140</f>
        <v/>
      </c>
      <c r="AC140" s="7">
        <f>N140</f>
        <v/>
      </c>
      <c r="AD140" s="162">
        <f>O140</f>
        <v/>
      </c>
      <c r="AE140" s="113">
        <f>S140</f>
        <v/>
      </c>
      <c r="AF140" s="113">
        <f>Q140&amp;"/"&amp;R140</f>
        <v/>
      </c>
      <c r="AH140" s="36">
        <f>IF(A140="","",A140)</f>
        <v/>
      </c>
      <c r="AI140" s="163">
        <f>IF(E140="","",E140)</f>
        <v/>
      </c>
      <c r="AJ140" s="113">
        <f>IF(AI140="","",$AJ$2)</f>
        <v/>
      </c>
      <c r="AK140" s="113" t="inlineStr">
        <is>
          <t>A</t>
        </is>
      </c>
      <c r="AL140" s="113" t="inlineStr">
        <is>
          <t>A+</t>
        </is>
      </c>
      <c r="AM140" s="113" t="inlineStr">
        <is>
          <t>B+</t>
        </is>
      </c>
      <c r="AN140" s="113">
        <f>IF(AI140="","",$AN$2)</f>
        <v/>
      </c>
      <c r="AO140" s="113">
        <f>IF(N140="","",IF(N140&gt;=$AO$1/100,"O","X"))</f>
        <v/>
      </c>
      <c r="AP140" s="113">
        <f>IF(I140="","",IF(I140&lt;=$AP$1,"O","X"))</f>
        <v/>
      </c>
      <c r="AQ140" s="113">
        <f>IF(O140="","",IF(O140&lt;=$AQ$1,"O","X"))</f>
        <v/>
      </c>
      <c r="AR140" s="113">
        <f>IF(M140="","",IF(M140&lt;=$AR$1,"O","X"))</f>
        <v/>
      </c>
      <c r="AS140" s="113" t="inlineStr">
        <is>
          <t>X</t>
        </is>
      </c>
      <c r="AT140" s="113">
        <f>IF(OR(F140="",AI140=""),"",IF(AND((F140&lt;=85),(AI140&gt;=15)),"O","X"))</f>
        <v/>
      </c>
      <c r="AU140" s="113">
        <f>IF(C140="","",IF(C140&gt;=$AU$1,"O","X"))</f>
        <v/>
      </c>
      <c r="AV140" s="113">
        <f>IF(AO140="","",IF(AND(AO140="O",AP140="O",AR140="O",AT140="O",AU140="O"),"후보","X"))</f>
        <v/>
      </c>
    </row>
    <row r="141">
      <c r="A141" s="13" t="inlineStr">
        <is>
          <t>청라반도유보라2차</t>
        </is>
      </c>
      <c r="B141" s="16" t="inlineStr">
        <is>
          <t>'12.08.</t>
        </is>
      </c>
      <c r="C141" s="164" t="n">
        <v>754</v>
      </c>
      <c r="D141" s="161" t="n">
        <v>130.8</v>
      </c>
      <c r="E141" s="163" t="n">
        <v>40</v>
      </c>
      <c r="F141" s="161" t="n">
        <v>102</v>
      </c>
      <c r="G141" s="27" t="n">
        <v>31</v>
      </c>
      <c r="H141" s="164" t="n">
        <v>144</v>
      </c>
      <c r="I141" s="165" t="n">
        <v>78000</v>
      </c>
      <c r="J141" s="165" t="inlineStr">
        <is>
          <t>고</t>
        </is>
      </c>
      <c r="K141" s="165" t="n"/>
      <c r="L141" s="165" t="n"/>
      <c r="M141" s="166">
        <f>I141-K141</f>
        <v/>
      </c>
      <c r="N141" s="7">
        <f>IF(ISERROR(K141/I141),"",K141/I141)</f>
        <v/>
      </c>
      <c r="O141" s="162">
        <f>I141/E141</f>
        <v/>
      </c>
      <c r="P141" s="162">
        <f>K141/E141</f>
        <v/>
      </c>
      <c r="Q141" s="113" t="n">
        <v>3</v>
      </c>
      <c r="R141" s="113" t="n">
        <v>2</v>
      </c>
      <c r="S141" s="113" t="inlineStr">
        <is>
          <t>계</t>
        </is>
      </c>
      <c r="T141" s="8" t="inlineStr">
        <is>
          <t>130A</t>
        </is>
      </c>
      <c r="U141" s="13" t="n"/>
      <c r="W141" s="161">
        <f>D141</f>
        <v/>
      </c>
      <c r="X141" s="163">
        <f>E141</f>
        <v/>
      </c>
      <c r="Y141" s="159">
        <f>H141</f>
        <v/>
      </c>
      <c r="Z141" s="166">
        <f>I141</f>
        <v/>
      </c>
      <c r="AA141" s="166">
        <f>K141</f>
        <v/>
      </c>
      <c r="AB141" s="166">
        <f>M141</f>
        <v/>
      </c>
      <c r="AC141" s="7">
        <f>N141</f>
        <v/>
      </c>
      <c r="AD141" s="162">
        <f>O141</f>
        <v/>
      </c>
      <c r="AE141" s="113">
        <f>S141</f>
        <v/>
      </c>
      <c r="AF141" s="113">
        <f>Q141&amp;"/"&amp;R141</f>
        <v/>
      </c>
      <c r="AH141" s="36">
        <f>IF(A141="","",A141)</f>
        <v/>
      </c>
      <c r="AI141" s="163">
        <f>IF(E141="","",E141)</f>
        <v/>
      </c>
      <c r="AJ141" s="113">
        <f>IF(AI141="","",$AJ$2)</f>
        <v/>
      </c>
      <c r="AK141" s="113" t="inlineStr">
        <is>
          <t>A</t>
        </is>
      </c>
      <c r="AL141" s="113" t="inlineStr">
        <is>
          <t>A+</t>
        </is>
      </c>
      <c r="AM141" s="113" t="inlineStr">
        <is>
          <t>B+</t>
        </is>
      </c>
      <c r="AN141" s="113">
        <f>IF(AI141="","",$AN$2)</f>
        <v/>
      </c>
      <c r="AO141" s="113">
        <f>IF(N141="","",IF(N141&gt;=$AO$1/100,"O","X"))</f>
        <v/>
      </c>
      <c r="AP141" s="113">
        <f>IF(I141="","",IF(I141&lt;=$AP$1,"O","X"))</f>
        <v/>
      </c>
      <c r="AQ141" s="113">
        <f>IF(O141="","",IF(O141&lt;=$AQ$1,"O","X"))</f>
        <v/>
      </c>
      <c r="AR141" s="113">
        <f>IF(M141="","",IF(M141&lt;=$AR$1,"O","X"))</f>
        <v/>
      </c>
      <c r="AS141" s="113" t="inlineStr">
        <is>
          <t>X</t>
        </is>
      </c>
      <c r="AT141" s="113">
        <f>IF(OR(F141="",AI141=""),"",IF(AND((F141&lt;=85),(AI141&gt;=15)),"O","X"))</f>
        <v/>
      </c>
      <c r="AU141" s="113">
        <f>IF(C141="","",IF(C141&gt;=$AU$1,"O","X"))</f>
        <v/>
      </c>
      <c r="AV141" s="113">
        <f>IF(AO141="","",IF(AND(AO141="O",AP141="O",AR141="O",AT141="O",AU141="O"),"후보","X"))</f>
        <v/>
      </c>
    </row>
    <row r="142">
      <c r="A142" s="13" t="inlineStr">
        <is>
          <t>청라반도유보라2차</t>
        </is>
      </c>
      <c r="B142" s="16" t="inlineStr">
        <is>
          <t>'12.08.</t>
        </is>
      </c>
      <c r="C142" s="164" t="n">
        <v>754</v>
      </c>
      <c r="D142" s="161" t="n">
        <v>154.9</v>
      </c>
      <c r="E142" s="163" t="n">
        <v>47</v>
      </c>
      <c r="F142" s="161" t="n">
        <v>121.7</v>
      </c>
      <c r="G142" s="27" t="n">
        <v>37</v>
      </c>
      <c r="H142" s="164" t="n">
        <v>404</v>
      </c>
      <c r="I142" s="165" t="n"/>
      <c r="J142" s="165" t="n"/>
      <c r="K142" s="165" t="n"/>
      <c r="L142" s="165" t="n"/>
      <c r="M142" s="166">
        <f>I142-K142</f>
        <v/>
      </c>
      <c r="N142" s="7">
        <f>IF(ISERROR(K142/I142),"",K142/I142)</f>
        <v/>
      </c>
      <c r="O142" s="162">
        <f>I142/E142</f>
        <v/>
      </c>
      <c r="P142" s="162">
        <f>K142/E142</f>
        <v/>
      </c>
      <c r="Q142" s="113" t="n">
        <v>4</v>
      </c>
      <c r="R142" s="113" t="n">
        <v>2</v>
      </c>
      <c r="S142" s="113" t="inlineStr">
        <is>
          <t>계</t>
        </is>
      </c>
      <c r="T142" s="8" t="n">
        <v>154</v>
      </c>
      <c r="U142" s="13" t="n"/>
      <c r="W142" s="161">
        <f>D142</f>
        <v/>
      </c>
      <c r="X142" s="163">
        <f>E142</f>
        <v/>
      </c>
      <c r="Y142" s="159">
        <f>H142</f>
        <v/>
      </c>
      <c r="Z142" s="166">
        <f>I142</f>
        <v/>
      </c>
      <c r="AA142" s="166">
        <f>K142</f>
        <v/>
      </c>
      <c r="AB142" s="166">
        <f>M142</f>
        <v/>
      </c>
      <c r="AC142" s="7">
        <f>N142</f>
        <v/>
      </c>
      <c r="AD142" s="162">
        <f>O142</f>
        <v/>
      </c>
      <c r="AE142" s="113">
        <f>S142</f>
        <v/>
      </c>
      <c r="AF142" s="113">
        <f>Q142&amp;"/"&amp;R142</f>
        <v/>
      </c>
      <c r="AH142" s="36">
        <f>IF(A142="","",A142)</f>
        <v/>
      </c>
      <c r="AI142" s="163">
        <f>IF(E142="","",E142)</f>
        <v/>
      </c>
      <c r="AJ142" s="113">
        <f>IF(AI142="","",$AJ$2)</f>
        <v/>
      </c>
      <c r="AK142" s="113" t="inlineStr">
        <is>
          <t>A</t>
        </is>
      </c>
      <c r="AL142" s="113" t="inlineStr">
        <is>
          <t>A+</t>
        </is>
      </c>
      <c r="AM142" s="113" t="inlineStr">
        <is>
          <t>B+</t>
        </is>
      </c>
      <c r="AN142" s="113">
        <f>IF(AI142="","",$AN$2)</f>
        <v/>
      </c>
      <c r="AO142" s="113">
        <f>IF(N142="","",IF(N142&gt;=$AO$1/100,"O","X"))</f>
        <v/>
      </c>
      <c r="AP142" s="113">
        <f>IF(I142="","",IF(I142&lt;=$AP$1,"O","X"))</f>
        <v/>
      </c>
      <c r="AQ142" s="113">
        <f>IF(O142="","",IF(O142&lt;=$AQ$1,"O","X"))</f>
        <v/>
      </c>
      <c r="AR142" s="113">
        <f>IF(M142="","",IF(M142&lt;=$AR$1,"O","X"))</f>
        <v/>
      </c>
      <c r="AS142" s="113" t="inlineStr">
        <is>
          <t>X</t>
        </is>
      </c>
      <c r="AT142" s="113">
        <f>IF(OR(F142="",AI142=""),"",IF(AND((F142&lt;=85),(AI142&gt;=15)),"O","X"))</f>
        <v/>
      </c>
      <c r="AU142" s="113">
        <f>IF(C142="","",IF(C142&gt;=$AU$1,"O","X"))</f>
        <v/>
      </c>
      <c r="AV142" s="113">
        <f>IF(AO142="","",IF(AND(AO142="O",AP142="O",AR142="O",AT142="O",AU142="O"),"후보","X"))</f>
        <v/>
      </c>
    </row>
    <row r="143">
      <c r="A143" s="13" t="n"/>
      <c r="B143" s="113" t="n"/>
      <c r="C143" s="10" t="n"/>
      <c r="D143" s="13" t="n"/>
      <c r="E143" s="20" t="n"/>
      <c r="F143" s="161" t="n"/>
      <c r="G143" s="13" t="n"/>
      <c r="H143" s="13" t="n"/>
      <c r="I143" s="13" t="n"/>
      <c r="J143" s="13" t="n"/>
      <c r="K143" s="13" t="n"/>
      <c r="L143" s="13" t="n"/>
      <c r="M143" s="13" t="n"/>
      <c r="N143" s="13" t="n"/>
      <c r="O143" s="162" t="n"/>
      <c r="P143" s="162" t="n"/>
      <c r="Q143" s="163" t="n"/>
      <c r="R143" s="163" t="n"/>
      <c r="S143" s="13" t="n"/>
      <c r="T143" s="70" t="n"/>
      <c r="U143" s="13" t="n"/>
      <c r="W143" s="107">
        <f>$A$4&amp;" "&amp;A144&amp;"("&amp;B144&amp;","&amp;C144&amp;"^)"</f>
        <v/>
      </c>
      <c r="X143" s="108" t="n"/>
      <c r="Y143" s="108" t="n"/>
      <c r="Z143" s="108" t="n"/>
      <c r="AA143" s="108" t="n"/>
      <c r="AB143" s="108" t="n"/>
      <c r="AC143" s="108" t="n"/>
      <c r="AD143" s="108" t="n"/>
      <c r="AE143" s="108" t="n"/>
      <c r="AF143" s="109" t="n"/>
      <c r="AH143" s="36">
        <f>IF(A143="","",A143)</f>
        <v/>
      </c>
      <c r="AI143" s="160">
        <f>IF(E143="","",E143)</f>
        <v/>
      </c>
      <c r="AJ143" s="113" t="n"/>
      <c r="AK143" s="113" t="n"/>
      <c r="AL143" s="113" t="n"/>
      <c r="AM143" s="113" t="n"/>
      <c r="AN143" s="113" t="n"/>
      <c r="AO143" s="113" t="n"/>
      <c r="AP143" s="113" t="n"/>
      <c r="AQ143" s="113" t="n"/>
      <c r="AR143" s="113" t="n"/>
      <c r="AS143" s="113" t="n"/>
      <c r="AT143" s="113" t="n"/>
      <c r="AU143" s="113" t="n"/>
      <c r="AV143" s="113" t="n"/>
    </row>
    <row r="144">
      <c r="A144" s="13" t="inlineStr">
        <is>
          <t>청라동문굿모닝힐</t>
        </is>
      </c>
      <c r="B144" s="16" t="inlineStr">
        <is>
          <t>'12.08.</t>
        </is>
      </c>
      <c r="C144" s="164" t="n">
        <v>734</v>
      </c>
      <c r="D144" s="161" t="n">
        <v>141.6</v>
      </c>
      <c r="E144" s="163" t="n">
        <v>43</v>
      </c>
      <c r="F144" s="161" t="n">
        <v>114.5</v>
      </c>
      <c r="G144" s="27" t="n">
        <v>35</v>
      </c>
      <c r="H144" s="164" t="n">
        <v>282</v>
      </c>
      <c r="I144" s="165" t="n"/>
      <c r="J144" s="165" t="n"/>
      <c r="K144" s="165" t="n"/>
      <c r="L144" s="165" t="n"/>
      <c r="M144" s="166">
        <f>I144-K144</f>
        <v/>
      </c>
      <c r="N144" s="7">
        <f>IF(ISERROR(K144/I144),"",K144/I144)</f>
        <v/>
      </c>
      <c r="O144" s="162">
        <f>I144/E144</f>
        <v/>
      </c>
      <c r="P144" s="162">
        <f>K144/E144</f>
        <v/>
      </c>
      <c r="Q144" s="113" t="n">
        <v>4</v>
      </c>
      <c r="R144" s="113" t="n">
        <v>2</v>
      </c>
      <c r="S144" s="113" t="inlineStr">
        <is>
          <t>계</t>
        </is>
      </c>
      <c r="T144" s="8" t="inlineStr">
        <is>
          <t>141A</t>
        </is>
      </c>
      <c r="U144" s="13" t="n"/>
      <c r="W144" s="161">
        <f>D144</f>
        <v/>
      </c>
      <c r="X144" s="163">
        <f>E144</f>
        <v/>
      </c>
      <c r="Y144" s="159">
        <f>H144</f>
        <v/>
      </c>
      <c r="Z144" s="166">
        <f>I144</f>
        <v/>
      </c>
      <c r="AA144" s="166">
        <f>K144</f>
        <v/>
      </c>
      <c r="AB144" s="166">
        <f>M144</f>
        <v/>
      </c>
      <c r="AC144" s="7">
        <f>N144</f>
        <v/>
      </c>
      <c r="AD144" s="162">
        <f>O144</f>
        <v/>
      </c>
      <c r="AE144" s="113">
        <f>S144</f>
        <v/>
      </c>
      <c r="AF144" s="113">
        <f>Q144&amp;"/"&amp;R144</f>
        <v/>
      </c>
      <c r="AH144" s="36">
        <f>IF(A144="","",A144)</f>
        <v/>
      </c>
      <c r="AI144" s="163">
        <f>IF(E144="","",E144)</f>
        <v/>
      </c>
      <c r="AJ144" s="113">
        <f>IF(AI144="","",$AJ$2)</f>
        <v/>
      </c>
      <c r="AK144" s="113" t="inlineStr">
        <is>
          <t>A</t>
        </is>
      </c>
      <c r="AL144" s="113" t="inlineStr">
        <is>
          <t>A+</t>
        </is>
      </c>
      <c r="AM144" s="113" t="inlineStr">
        <is>
          <t>B+</t>
        </is>
      </c>
      <c r="AN144" s="113">
        <f>IF(AI144="","",$AN$2)</f>
        <v/>
      </c>
      <c r="AO144" s="113">
        <f>IF(N144="","",IF(N144&gt;=$AO$1/100,"O","X"))</f>
        <v/>
      </c>
      <c r="AP144" s="113">
        <f>IF(I144="","",IF(I144&lt;=$AP$1,"O","X"))</f>
        <v/>
      </c>
      <c r="AQ144" s="113">
        <f>IF(O144="","",IF(O144&lt;=$AQ$1,"O","X"))</f>
        <v/>
      </c>
      <c r="AR144" s="113">
        <f>IF(M144="","",IF(M144&lt;=$AR$1,"O","X"))</f>
        <v/>
      </c>
      <c r="AS144" s="113" t="inlineStr">
        <is>
          <t>X</t>
        </is>
      </c>
      <c r="AT144" s="113">
        <f>IF(OR(F144="",AI144=""),"",IF(AND((F144&lt;=85),(AI144&gt;=15)),"O","X"))</f>
        <v/>
      </c>
      <c r="AU144" s="113">
        <f>IF(C144="","",IF(C144&gt;=$AU$1,"O","X"))</f>
        <v/>
      </c>
      <c r="AV144" s="113">
        <f>IF(AO144="","",IF(AND(AO144="O",AP144="O",AR144="O",AT144="O",AU144="O"),"후보","X"))</f>
        <v/>
      </c>
    </row>
    <row r="145">
      <c r="A145" s="13" t="inlineStr">
        <is>
          <t>청라동문굿모닝힐</t>
        </is>
      </c>
      <c r="B145" s="16" t="inlineStr">
        <is>
          <t>'12.08.</t>
        </is>
      </c>
      <c r="C145" s="164" t="n">
        <v>734</v>
      </c>
      <c r="D145" s="161" t="n">
        <v>141.5</v>
      </c>
      <c r="E145" s="163" t="n">
        <v>43</v>
      </c>
      <c r="F145" s="161" t="n">
        <v>114.5</v>
      </c>
      <c r="G145" s="27" t="n">
        <v>35</v>
      </c>
      <c r="H145" s="164" t="n">
        <v>112</v>
      </c>
      <c r="I145" s="165" t="n"/>
      <c r="J145" s="165" t="n"/>
      <c r="K145" s="165" t="n"/>
      <c r="L145" s="165" t="n"/>
      <c r="M145" s="166">
        <f>I145-K145</f>
        <v/>
      </c>
      <c r="N145" s="7">
        <f>IF(ISERROR(K145/I145),"",K145/I145)</f>
        <v/>
      </c>
      <c r="O145" s="162">
        <f>I145/E145</f>
        <v/>
      </c>
      <c r="P145" s="162">
        <f>K145/E145</f>
        <v/>
      </c>
      <c r="Q145" s="113" t="n">
        <v>4</v>
      </c>
      <c r="R145" s="113" t="n">
        <v>2</v>
      </c>
      <c r="S145" s="113" t="inlineStr">
        <is>
          <t>계</t>
        </is>
      </c>
      <c r="T145" s="8" t="inlineStr">
        <is>
          <t>141B</t>
        </is>
      </c>
      <c r="U145" s="13" t="n"/>
      <c r="W145" s="161">
        <f>D145</f>
        <v/>
      </c>
      <c r="X145" s="163">
        <f>E145</f>
        <v/>
      </c>
      <c r="Y145" s="159">
        <f>H145</f>
        <v/>
      </c>
      <c r="Z145" s="166">
        <f>I145</f>
        <v/>
      </c>
      <c r="AA145" s="166">
        <f>K145</f>
        <v/>
      </c>
      <c r="AB145" s="166">
        <f>M145</f>
        <v/>
      </c>
      <c r="AC145" s="7">
        <f>N145</f>
        <v/>
      </c>
      <c r="AD145" s="162">
        <f>O145</f>
        <v/>
      </c>
      <c r="AE145" s="113">
        <f>S145</f>
        <v/>
      </c>
      <c r="AF145" s="113">
        <f>Q145&amp;"/"&amp;R145</f>
        <v/>
      </c>
      <c r="AH145" s="36">
        <f>IF(A145="","",A145)</f>
        <v/>
      </c>
      <c r="AI145" s="163">
        <f>IF(E145="","",E145)</f>
        <v/>
      </c>
      <c r="AJ145" s="113">
        <f>IF(AI145="","",$AJ$2)</f>
        <v/>
      </c>
      <c r="AK145" s="113" t="inlineStr">
        <is>
          <t>A</t>
        </is>
      </c>
      <c r="AL145" s="113" t="inlineStr">
        <is>
          <t>A+</t>
        </is>
      </c>
      <c r="AM145" s="113" t="inlineStr">
        <is>
          <t>B+</t>
        </is>
      </c>
      <c r="AN145" s="113">
        <f>IF(AI145="","",$AN$2)</f>
        <v/>
      </c>
      <c r="AO145" s="113">
        <f>IF(N145="","",IF(N145&gt;=$AO$1/100,"O","X"))</f>
        <v/>
      </c>
      <c r="AP145" s="113">
        <f>IF(I145="","",IF(I145&lt;=$AP$1,"O","X"))</f>
        <v/>
      </c>
      <c r="AQ145" s="113">
        <f>IF(O145="","",IF(O145&lt;=$AQ$1,"O","X"))</f>
        <v/>
      </c>
      <c r="AR145" s="113">
        <f>IF(M145="","",IF(M145&lt;=$AR$1,"O","X"))</f>
        <v/>
      </c>
      <c r="AS145" s="113" t="inlineStr">
        <is>
          <t>X</t>
        </is>
      </c>
      <c r="AT145" s="113">
        <f>IF(OR(F145="",AI145=""),"",IF(AND((F145&lt;=85),(AI145&gt;=15)),"O","X"))</f>
        <v/>
      </c>
      <c r="AU145" s="113">
        <f>IF(C145="","",IF(C145&gt;=$AU$1,"O","X"))</f>
        <v/>
      </c>
      <c r="AV145" s="113">
        <f>IF(AO145="","",IF(AND(AO145="O",AP145="O",AR145="O",AT145="O",AU145="O"),"후보","X"))</f>
        <v/>
      </c>
    </row>
    <row r="146">
      <c r="A146" s="13" t="inlineStr">
        <is>
          <t>청라동문굿모닝힐</t>
        </is>
      </c>
      <c r="B146" s="16" t="inlineStr">
        <is>
          <t>'12.08.</t>
        </is>
      </c>
      <c r="C146" s="164" t="n">
        <v>734</v>
      </c>
      <c r="D146" s="161" t="n">
        <v>154.6</v>
      </c>
      <c r="E146" s="163" t="n">
        <v>47</v>
      </c>
      <c r="F146" s="161" t="n">
        <v>125.6</v>
      </c>
      <c r="G146" s="27" t="n">
        <v>38</v>
      </c>
      <c r="H146" s="164" t="n">
        <v>224</v>
      </c>
      <c r="I146" s="165" t="n"/>
      <c r="J146" s="165" t="n"/>
      <c r="K146" s="165" t="n"/>
      <c r="L146" s="165" t="n"/>
      <c r="M146" s="166">
        <f>I146-K146</f>
        <v/>
      </c>
      <c r="N146" s="7">
        <f>IF(ISERROR(K146/I146),"",K146/I146)</f>
        <v/>
      </c>
      <c r="O146" s="162">
        <f>I146/E146</f>
        <v/>
      </c>
      <c r="P146" s="162">
        <f>K146/E146</f>
        <v/>
      </c>
      <c r="Q146" s="113" t="n">
        <v>4</v>
      </c>
      <c r="R146" s="113" t="n">
        <v>2</v>
      </c>
      <c r="S146" s="113" t="inlineStr">
        <is>
          <t>계</t>
        </is>
      </c>
      <c r="T146" s="8" t="inlineStr">
        <is>
          <t>154A</t>
        </is>
      </c>
      <c r="U146" s="13" t="n"/>
      <c r="W146" s="161">
        <f>D146</f>
        <v/>
      </c>
      <c r="X146" s="163">
        <f>E146</f>
        <v/>
      </c>
      <c r="Y146" s="159">
        <f>H146</f>
        <v/>
      </c>
      <c r="Z146" s="166">
        <f>I146</f>
        <v/>
      </c>
      <c r="AA146" s="166">
        <f>K146</f>
        <v/>
      </c>
      <c r="AB146" s="166">
        <f>M146</f>
        <v/>
      </c>
      <c r="AC146" s="7">
        <f>N146</f>
        <v/>
      </c>
      <c r="AD146" s="162">
        <f>O146</f>
        <v/>
      </c>
      <c r="AE146" s="113">
        <f>S146</f>
        <v/>
      </c>
      <c r="AF146" s="113">
        <f>Q146&amp;"/"&amp;R146</f>
        <v/>
      </c>
      <c r="AH146" s="36">
        <f>IF(A146="","",A146)</f>
        <v/>
      </c>
      <c r="AI146" s="163">
        <f>IF(E146="","",E146)</f>
        <v/>
      </c>
      <c r="AJ146" s="113">
        <f>IF(AI146="","",$AJ$2)</f>
        <v/>
      </c>
      <c r="AK146" s="113" t="inlineStr">
        <is>
          <t>A</t>
        </is>
      </c>
      <c r="AL146" s="113" t="inlineStr">
        <is>
          <t>A+</t>
        </is>
      </c>
      <c r="AM146" s="113" t="inlineStr">
        <is>
          <t>B+</t>
        </is>
      </c>
      <c r="AN146" s="113">
        <f>IF(AI146="","",$AN$2)</f>
        <v/>
      </c>
      <c r="AO146" s="113">
        <f>IF(N146="","",IF(N146&gt;=$AO$1/100,"O","X"))</f>
        <v/>
      </c>
      <c r="AP146" s="113">
        <f>IF(I146="","",IF(I146&lt;=$AP$1,"O","X"))</f>
        <v/>
      </c>
      <c r="AQ146" s="113">
        <f>IF(O146="","",IF(O146&lt;=$AQ$1,"O","X"))</f>
        <v/>
      </c>
      <c r="AR146" s="113">
        <f>IF(M146="","",IF(M146&lt;=$AR$1,"O","X"))</f>
        <v/>
      </c>
      <c r="AS146" s="113" t="inlineStr">
        <is>
          <t>X</t>
        </is>
      </c>
      <c r="AT146" s="113">
        <f>IF(OR(F146="",AI146=""),"",IF(AND((F146&lt;=85),(AI146&gt;=15)),"O","X"))</f>
        <v/>
      </c>
      <c r="AU146" s="113">
        <f>IF(C146="","",IF(C146&gt;=$AU$1,"O","X"))</f>
        <v/>
      </c>
      <c r="AV146" s="113">
        <f>IF(AO146="","",IF(AND(AO146="O",AP146="O",AR146="O",AT146="O",AU146="O"),"후보","X"))</f>
        <v/>
      </c>
    </row>
    <row r="147">
      <c r="A147" s="13" t="inlineStr">
        <is>
          <t>청라동문굿모닝힐</t>
        </is>
      </c>
      <c r="B147" s="16" t="inlineStr">
        <is>
          <t>'12.08.</t>
        </is>
      </c>
      <c r="C147" s="164" t="n">
        <v>734</v>
      </c>
      <c r="D147" s="161" t="n">
        <v>154.7</v>
      </c>
      <c r="E147" s="163" t="n">
        <v>47</v>
      </c>
      <c r="F147" s="161" t="n">
        <v>125.1</v>
      </c>
      <c r="G147" s="27" t="n">
        <v>38</v>
      </c>
      <c r="H147" s="164" t="n">
        <v>116</v>
      </c>
      <c r="I147" s="165" t="n"/>
      <c r="J147" s="165" t="n"/>
      <c r="K147" s="165" t="n"/>
      <c r="L147" s="165" t="n"/>
      <c r="M147" s="166">
        <f>I147-K147</f>
        <v/>
      </c>
      <c r="N147" s="7">
        <f>IF(ISERROR(K147/I147),"",K147/I147)</f>
        <v/>
      </c>
      <c r="O147" s="162">
        <f>I147/E147</f>
        <v/>
      </c>
      <c r="P147" s="162">
        <f>K147/E147</f>
        <v/>
      </c>
      <c r="Q147" s="113" t="n">
        <v>4</v>
      </c>
      <c r="R147" s="113" t="n">
        <v>2</v>
      </c>
      <c r="S147" s="113" t="inlineStr">
        <is>
          <t>계</t>
        </is>
      </c>
      <c r="T147" s="8" t="inlineStr">
        <is>
          <t>154B</t>
        </is>
      </c>
      <c r="U147" s="13" t="n"/>
      <c r="W147" s="161">
        <f>D147</f>
        <v/>
      </c>
      <c r="X147" s="163">
        <f>E147</f>
        <v/>
      </c>
      <c r="Y147" s="159">
        <f>H147</f>
        <v/>
      </c>
      <c r="Z147" s="166">
        <f>I147</f>
        <v/>
      </c>
      <c r="AA147" s="166">
        <f>K147</f>
        <v/>
      </c>
      <c r="AB147" s="166">
        <f>M147</f>
        <v/>
      </c>
      <c r="AC147" s="7">
        <f>N147</f>
        <v/>
      </c>
      <c r="AD147" s="162">
        <f>O147</f>
        <v/>
      </c>
      <c r="AE147" s="113">
        <f>S147</f>
        <v/>
      </c>
      <c r="AF147" s="113">
        <f>Q147&amp;"/"&amp;R147</f>
        <v/>
      </c>
      <c r="AH147" s="36">
        <f>IF(A147="","",A147)</f>
        <v/>
      </c>
      <c r="AI147" s="163">
        <f>IF(E147="","",E147)</f>
        <v/>
      </c>
      <c r="AJ147" s="113">
        <f>IF(AI147="","",$AJ$2)</f>
        <v/>
      </c>
      <c r="AK147" s="113" t="inlineStr">
        <is>
          <t>A</t>
        </is>
      </c>
      <c r="AL147" s="113" t="inlineStr">
        <is>
          <t>A+</t>
        </is>
      </c>
      <c r="AM147" s="113" t="inlineStr">
        <is>
          <t>B+</t>
        </is>
      </c>
      <c r="AN147" s="113">
        <f>IF(AI147="","",$AN$2)</f>
        <v/>
      </c>
      <c r="AO147" s="113">
        <f>IF(N147="","",IF(N147&gt;=$AO$1/100,"O","X"))</f>
        <v/>
      </c>
      <c r="AP147" s="113">
        <f>IF(I147="","",IF(I147&lt;=$AP$1,"O","X"))</f>
        <v/>
      </c>
      <c r="AQ147" s="113">
        <f>IF(O147="","",IF(O147&lt;=$AQ$1,"O","X"))</f>
        <v/>
      </c>
      <c r="AR147" s="113">
        <f>IF(M147="","",IF(M147&lt;=$AR$1,"O","X"))</f>
        <v/>
      </c>
      <c r="AS147" s="113" t="inlineStr">
        <is>
          <t>X</t>
        </is>
      </c>
      <c r="AT147" s="113">
        <f>IF(OR(F147="",AI147=""),"",IF(AND((F147&lt;=85),(AI147&gt;=15)),"O","X"))</f>
        <v/>
      </c>
      <c r="AU147" s="113">
        <f>IF(C147="","",IF(C147&gt;=$AU$1,"O","X"))</f>
        <v/>
      </c>
      <c r="AV147" s="113">
        <f>IF(AO147="","",IF(AND(AO147="O",AP147="O",AR147="O",AT147="O",AU147="O"),"후보","X"))</f>
        <v/>
      </c>
    </row>
    <row r="148">
      <c r="A148" s="13" t="n"/>
      <c r="B148" s="113" t="n"/>
      <c r="C148" s="10" t="n"/>
      <c r="D148" s="13" t="n"/>
      <c r="E148" s="20" t="n"/>
      <c r="F148" s="161" t="n"/>
      <c r="G148" s="13" t="n"/>
      <c r="H148" s="13" t="n"/>
      <c r="I148" s="13" t="n"/>
      <c r="J148" s="13" t="n"/>
      <c r="K148" s="13" t="n"/>
      <c r="L148" s="13" t="n"/>
      <c r="M148" s="13" t="n"/>
      <c r="N148" s="13" t="n"/>
      <c r="O148" s="162" t="n"/>
      <c r="P148" s="162" t="n"/>
      <c r="Q148" s="163" t="n"/>
      <c r="R148" s="163" t="n"/>
      <c r="S148" s="13" t="n"/>
      <c r="T148" s="70" t="n"/>
      <c r="U148" s="13" t="n"/>
      <c r="W148" s="107">
        <f>$A$4&amp;" "&amp;A149&amp;"("&amp;B149&amp;","&amp;C149&amp;"^)"</f>
        <v/>
      </c>
      <c r="X148" s="108" t="n"/>
      <c r="Y148" s="108" t="n"/>
      <c r="Z148" s="108" t="n"/>
      <c r="AA148" s="108" t="n"/>
      <c r="AB148" s="108" t="n"/>
      <c r="AC148" s="108" t="n"/>
      <c r="AD148" s="108" t="n"/>
      <c r="AE148" s="108" t="n"/>
      <c r="AF148" s="109" t="n"/>
      <c r="AH148" s="36">
        <f>IF(A148="","",A148)</f>
        <v/>
      </c>
      <c r="AI148" s="160">
        <f>IF(E148="","",E148)</f>
        <v/>
      </c>
      <c r="AJ148" s="113" t="n"/>
      <c r="AK148" s="113" t="n"/>
      <c r="AL148" s="113" t="n"/>
      <c r="AM148" s="113" t="n"/>
      <c r="AN148" s="113" t="n"/>
      <c r="AO148" s="113" t="n"/>
      <c r="AP148" s="113" t="n"/>
      <c r="AQ148" s="113" t="n"/>
      <c r="AR148" s="113" t="n"/>
      <c r="AS148" s="113" t="n"/>
      <c r="AT148" s="113" t="n"/>
      <c r="AU148" s="113" t="n"/>
      <c r="AV148" s="113" t="n"/>
    </row>
    <row r="149">
      <c r="A149" s="13" t="inlineStr">
        <is>
          <t>우미린</t>
        </is>
      </c>
      <c r="B149" s="16" t="inlineStr">
        <is>
          <t>'11.10.</t>
        </is>
      </c>
      <c r="C149" s="164" t="n">
        <v>200</v>
      </c>
      <c r="D149" s="161" t="n">
        <v>111.4</v>
      </c>
      <c r="E149" s="163" t="n">
        <v>34</v>
      </c>
      <c r="F149" s="161" t="n">
        <v>84.90000000000001</v>
      </c>
      <c r="G149" s="27" t="n">
        <v>26</v>
      </c>
      <c r="H149" s="164" t="n">
        <v>85</v>
      </c>
      <c r="I149" s="165" t="n"/>
      <c r="J149" s="165" t="n"/>
      <c r="K149" s="165" t="n"/>
      <c r="L149" s="165" t="n"/>
      <c r="M149" s="166">
        <f>I149-K149</f>
        <v/>
      </c>
      <c r="N149" s="7">
        <f>IF(ISERROR(K149/I149),"",K149/I149)</f>
        <v/>
      </c>
      <c r="O149" s="162">
        <f>I149/E149</f>
        <v/>
      </c>
      <c r="P149" s="162">
        <f>K149/E149</f>
        <v/>
      </c>
      <c r="Q149" s="113" t="n">
        <v>3</v>
      </c>
      <c r="R149" s="113" t="n">
        <v>2</v>
      </c>
      <c r="S149" s="113" t="inlineStr">
        <is>
          <t>계</t>
        </is>
      </c>
      <c r="T149" s="8" t="inlineStr">
        <is>
          <t>111B</t>
        </is>
      </c>
      <c r="U149" s="13" t="n"/>
      <c r="W149" s="161">
        <f>D149</f>
        <v/>
      </c>
      <c r="X149" s="163">
        <f>E149</f>
        <v/>
      </c>
      <c r="Y149" s="159">
        <f>H149</f>
        <v/>
      </c>
      <c r="Z149" s="166">
        <f>I149</f>
        <v/>
      </c>
      <c r="AA149" s="166">
        <f>K149</f>
        <v/>
      </c>
      <c r="AB149" s="166">
        <f>M149</f>
        <v/>
      </c>
      <c r="AC149" s="7">
        <f>N149</f>
        <v/>
      </c>
      <c r="AD149" s="162">
        <f>O149</f>
        <v/>
      </c>
      <c r="AE149" s="113">
        <f>S149</f>
        <v/>
      </c>
      <c r="AF149" s="113">
        <f>Q149&amp;"/"&amp;R149</f>
        <v/>
      </c>
      <c r="AH149" s="36">
        <f>IF(A149="","",A149)</f>
        <v/>
      </c>
      <c r="AI149" s="163">
        <f>IF(E149="","",E149)</f>
        <v/>
      </c>
      <c r="AJ149" s="113">
        <f>IF(AI149="","",$AJ$2)</f>
        <v/>
      </c>
      <c r="AK149" s="113" t="inlineStr">
        <is>
          <t>A</t>
        </is>
      </c>
      <c r="AL149" s="113" t="inlineStr">
        <is>
          <t>A+</t>
        </is>
      </c>
      <c r="AM149" s="113" t="inlineStr">
        <is>
          <t>B+</t>
        </is>
      </c>
      <c r="AN149" s="113">
        <f>IF(AI149="","",$AN$2)</f>
        <v/>
      </c>
      <c r="AO149" s="113">
        <f>IF(N149="","",IF(N149&gt;=$AO$1/100,"O","X"))</f>
        <v/>
      </c>
      <c r="AP149" s="113">
        <f>IF(I149="","",IF(I149&lt;=$AP$1,"O","X"))</f>
        <v/>
      </c>
      <c r="AQ149" s="113">
        <f>IF(O149="","",IF(O149&lt;=$AQ$1,"O","X"))</f>
        <v/>
      </c>
      <c r="AR149" s="113">
        <f>IF(M149="","",IF(M149&lt;=$AR$1,"O","X"))</f>
        <v/>
      </c>
      <c r="AS149" s="113" t="inlineStr">
        <is>
          <t>X</t>
        </is>
      </c>
      <c r="AT149" s="113">
        <f>IF(OR(F149="",AI149=""),"",IF(AND((F149&lt;=85),(AI149&gt;=15)),"O","X"))</f>
        <v/>
      </c>
      <c r="AU149" s="113">
        <f>IF(C149="","",IF(C149&gt;=$AU$1,"O","X"))</f>
        <v/>
      </c>
      <c r="AV149" s="113">
        <f>IF(AO149="","",IF(AND(AO149="O",AP149="O",AR149="O",AT149="O",AU149="O"),"후보","X"))</f>
        <v/>
      </c>
    </row>
    <row r="150">
      <c r="A150" s="13" t="inlineStr">
        <is>
          <t>우미린</t>
        </is>
      </c>
      <c r="B150" s="16" t="inlineStr">
        <is>
          <t>'11.10.</t>
        </is>
      </c>
      <c r="C150" s="164" t="n">
        <v>200</v>
      </c>
      <c r="D150" s="161" t="n">
        <v>111.7</v>
      </c>
      <c r="E150" s="163" t="n">
        <v>34</v>
      </c>
      <c r="F150" s="161" t="n">
        <v>85</v>
      </c>
      <c r="G150" s="27" t="n">
        <v>26</v>
      </c>
      <c r="H150" s="164" t="n">
        <v>48</v>
      </c>
      <c r="I150" s="165" t="n"/>
      <c r="J150" s="165" t="n"/>
      <c r="K150" s="165" t="n"/>
      <c r="L150" s="165" t="n"/>
      <c r="M150" s="166">
        <f>I150-K150</f>
        <v/>
      </c>
      <c r="N150" s="7">
        <f>IF(ISERROR(K150/I150),"",K150/I150)</f>
        <v/>
      </c>
      <c r="O150" s="162">
        <f>I150/E150</f>
        <v/>
      </c>
      <c r="P150" s="162">
        <f>K150/E150</f>
        <v/>
      </c>
      <c r="Q150" s="113" t="n">
        <v>3</v>
      </c>
      <c r="R150" s="113" t="n">
        <v>2</v>
      </c>
      <c r="S150" s="113" t="inlineStr">
        <is>
          <t>계</t>
        </is>
      </c>
      <c r="T150" s="8" t="inlineStr">
        <is>
          <t>111A</t>
        </is>
      </c>
      <c r="U150" s="13" t="n"/>
      <c r="W150" s="161">
        <f>D150</f>
        <v/>
      </c>
      <c r="X150" s="163">
        <f>E150</f>
        <v/>
      </c>
      <c r="Y150" s="159">
        <f>H150</f>
        <v/>
      </c>
      <c r="Z150" s="166">
        <f>I150</f>
        <v/>
      </c>
      <c r="AA150" s="166">
        <f>K150</f>
        <v/>
      </c>
      <c r="AB150" s="166">
        <f>M150</f>
        <v/>
      </c>
      <c r="AC150" s="7">
        <f>N150</f>
        <v/>
      </c>
      <c r="AD150" s="162">
        <f>O150</f>
        <v/>
      </c>
      <c r="AE150" s="113">
        <f>S150</f>
        <v/>
      </c>
      <c r="AF150" s="113">
        <f>Q150&amp;"/"&amp;R150</f>
        <v/>
      </c>
      <c r="AH150" s="36">
        <f>IF(A150="","",A150)</f>
        <v/>
      </c>
      <c r="AI150" s="163">
        <f>IF(E150="","",E150)</f>
        <v/>
      </c>
      <c r="AJ150" s="113">
        <f>IF(AI150="","",$AJ$2)</f>
        <v/>
      </c>
      <c r="AK150" s="113" t="inlineStr">
        <is>
          <t>A</t>
        </is>
      </c>
      <c r="AL150" s="113" t="inlineStr">
        <is>
          <t>A+</t>
        </is>
      </c>
      <c r="AM150" s="113" t="inlineStr">
        <is>
          <t>B+</t>
        </is>
      </c>
      <c r="AN150" s="113">
        <f>IF(AI150="","",$AN$2)</f>
        <v/>
      </c>
      <c r="AO150" s="113">
        <f>IF(N150="","",IF(N150&gt;=$AO$1/100,"O","X"))</f>
        <v/>
      </c>
      <c r="AP150" s="113">
        <f>IF(I150="","",IF(I150&lt;=$AP$1,"O","X"))</f>
        <v/>
      </c>
      <c r="AQ150" s="113">
        <f>IF(O150="","",IF(O150&lt;=$AQ$1,"O","X"))</f>
        <v/>
      </c>
      <c r="AR150" s="113">
        <f>IF(M150="","",IF(M150&lt;=$AR$1,"O","X"))</f>
        <v/>
      </c>
      <c r="AS150" s="113" t="inlineStr">
        <is>
          <t>X</t>
        </is>
      </c>
      <c r="AT150" s="113">
        <f>IF(OR(F150="",AI150=""),"",IF(AND((F150&lt;=85),(AI150&gt;=15)),"O","X"))</f>
        <v/>
      </c>
      <c r="AU150" s="113">
        <f>IF(C150="","",IF(C150&gt;=$AU$1,"O","X"))</f>
        <v/>
      </c>
      <c r="AV150" s="113">
        <f>IF(AO150="","",IF(AND(AO150="O",AP150="O",AR150="O",AT150="O",AU150="O"),"후보","X"))</f>
        <v/>
      </c>
    </row>
    <row r="151">
      <c r="A151" s="13" t="inlineStr">
        <is>
          <t>우미린</t>
        </is>
      </c>
      <c r="B151" s="16" t="inlineStr">
        <is>
          <t>'11.10.</t>
        </is>
      </c>
      <c r="C151" s="164" t="n">
        <v>200</v>
      </c>
      <c r="D151" s="161" t="n">
        <v>112.4</v>
      </c>
      <c r="E151" s="163" t="n">
        <v>34</v>
      </c>
      <c r="F151" s="161" t="n">
        <v>85</v>
      </c>
      <c r="G151" s="27" t="n">
        <v>26</v>
      </c>
      <c r="H151" s="164" t="n">
        <v>67</v>
      </c>
      <c r="I151" s="165" t="n"/>
      <c r="J151" s="165" t="n"/>
      <c r="K151" s="165" t="n"/>
      <c r="L151" s="165" t="n"/>
      <c r="M151" s="166">
        <f>I151-K151</f>
        <v/>
      </c>
      <c r="N151" s="7">
        <f>IF(ISERROR(K151/I151),"",K151/I151)</f>
        <v/>
      </c>
      <c r="O151" s="162">
        <f>I151/E151</f>
        <v/>
      </c>
      <c r="P151" s="162">
        <f>K151/E151</f>
        <v/>
      </c>
      <c r="Q151" s="113" t="n">
        <v>3</v>
      </c>
      <c r="R151" s="113" t="n">
        <v>2</v>
      </c>
      <c r="S151" s="113" t="inlineStr">
        <is>
          <t>계</t>
        </is>
      </c>
      <c r="T151" s="8" t="inlineStr">
        <is>
          <t>112C</t>
        </is>
      </c>
      <c r="U151" s="13" t="n"/>
      <c r="W151" s="161">
        <f>D151</f>
        <v/>
      </c>
      <c r="X151" s="163">
        <f>E151</f>
        <v/>
      </c>
      <c r="Y151" s="159">
        <f>H151</f>
        <v/>
      </c>
      <c r="Z151" s="166">
        <f>I151</f>
        <v/>
      </c>
      <c r="AA151" s="166">
        <f>K151</f>
        <v/>
      </c>
      <c r="AB151" s="166">
        <f>M151</f>
        <v/>
      </c>
      <c r="AC151" s="7">
        <f>N151</f>
        <v/>
      </c>
      <c r="AD151" s="162">
        <f>O151</f>
        <v/>
      </c>
      <c r="AE151" s="113">
        <f>S151</f>
        <v/>
      </c>
      <c r="AF151" s="113">
        <f>Q151&amp;"/"&amp;R151</f>
        <v/>
      </c>
      <c r="AH151" s="36">
        <f>IF(A151="","",A151)</f>
        <v/>
      </c>
      <c r="AI151" s="163">
        <f>IF(E151="","",E151)</f>
        <v/>
      </c>
      <c r="AJ151" s="113">
        <f>IF(AI151="","",$AJ$2)</f>
        <v/>
      </c>
      <c r="AK151" s="113" t="inlineStr">
        <is>
          <t>A</t>
        </is>
      </c>
      <c r="AL151" s="113" t="inlineStr">
        <is>
          <t>A+</t>
        </is>
      </c>
      <c r="AM151" s="113" t="inlineStr">
        <is>
          <t>B+</t>
        </is>
      </c>
      <c r="AN151" s="113">
        <f>IF(AI151="","",$AN$2)</f>
        <v/>
      </c>
      <c r="AO151" s="113">
        <f>IF(N151="","",IF(N151&gt;=$AO$1/100,"O","X"))</f>
        <v/>
      </c>
      <c r="AP151" s="113">
        <f>IF(I151="","",IF(I151&lt;=$AP$1,"O","X"))</f>
        <v/>
      </c>
      <c r="AQ151" s="113">
        <f>IF(O151="","",IF(O151&lt;=$AQ$1,"O","X"))</f>
        <v/>
      </c>
      <c r="AR151" s="113">
        <f>IF(M151="","",IF(M151&lt;=$AR$1,"O","X"))</f>
        <v/>
      </c>
      <c r="AS151" s="113" t="inlineStr">
        <is>
          <t>X</t>
        </is>
      </c>
      <c r="AT151" s="113">
        <f>IF(OR(F151="",AI151=""),"",IF(AND((F151&lt;=85),(AI151&gt;=15)),"O","X"))</f>
        <v/>
      </c>
      <c r="AU151" s="113">
        <f>IF(C151="","",IF(C151&gt;=$AU$1,"O","X"))</f>
        <v/>
      </c>
      <c r="AV151" s="113">
        <f>IF(AO151="","",IF(AND(AO151="O",AP151="O",AR151="O",AT151="O",AU151="O"),"후보","X"))</f>
        <v/>
      </c>
    </row>
    <row r="152">
      <c r="A152" s="13" t="n"/>
      <c r="B152" s="113" t="n"/>
      <c r="C152" s="10" t="n"/>
      <c r="D152" s="13" t="n"/>
      <c r="E152" s="20" t="n"/>
      <c r="F152" s="161" t="n"/>
      <c r="G152" s="13" t="n"/>
      <c r="H152" s="13" t="n"/>
      <c r="I152" s="13" t="n"/>
      <c r="J152" s="13" t="n"/>
      <c r="K152" s="13" t="n"/>
      <c r="L152" s="13" t="n"/>
      <c r="M152" s="13" t="n"/>
      <c r="N152" s="13" t="n"/>
      <c r="O152" s="162" t="n"/>
      <c r="P152" s="162" t="n"/>
      <c r="Q152" s="163" t="n"/>
      <c r="R152" s="163" t="n"/>
      <c r="S152" s="13" t="n"/>
      <c r="T152" s="70" t="n"/>
      <c r="U152" s="13" t="n"/>
      <c r="W152" s="107">
        <f>$A$4&amp;" "&amp;A153&amp;"("&amp;B153&amp;","&amp;C153&amp;"^)"</f>
        <v/>
      </c>
      <c r="X152" s="108" t="n"/>
      <c r="Y152" s="108" t="n"/>
      <c r="Z152" s="108" t="n"/>
      <c r="AA152" s="108" t="n"/>
      <c r="AB152" s="108" t="n"/>
      <c r="AC152" s="108" t="n"/>
      <c r="AD152" s="108" t="n"/>
      <c r="AE152" s="108" t="n"/>
      <c r="AF152" s="109" t="n"/>
      <c r="AH152" s="36">
        <f>IF(A152="","",A152)</f>
        <v/>
      </c>
      <c r="AI152" s="160">
        <f>IF(E152="","",E152)</f>
        <v/>
      </c>
      <c r="AJ152" s="113" t="n"/>
      <c r="AK152" s="113" t="n"/>
      <c r="AL152" s="113" t="n"/>
      <c r="AM152" s="113" t="n"/>
      <c r="AN152" s="113" t="n"/>
      <c r="AO152" s="113" t="n"/>
      <c r="AP152" s="113" t="n"/>
      <c r="AQ152" s="113" t="n"/>
      <c r="AR152" s="113" t="n"/>
      <c r="AS152" s="113" t="n"/>
      <c r="AT152" s="113" t="n"/>
      <c r="AU152" s="113" t="n"/>
      <c r="AV152" s="113" t="n"/>
    </row>
    <row r="153">
      <c r="A153" s="13" t="inlineStr">
        <is>
          <t>청라롯데캐슬</t>
        </is>
      </c>
      <c r="B153" s="16" t="inlineStr">
        <is>
          <t>'13.02.</t>
        </is>
      </c>
      <c r="C153" s="164" t="n">
        <v>828</v>
      </c>
      <c r="D153" s="161" t="n">
        <v>144.6</v>
      </c>
      <c r="E153" s="163" t="n">
        <v>44</v>
      </c>
      <c r="F153" s="161" t="n">
        <v>113.8</v>
      </c>
      <c r="G153" s="27" t="n">
        <v>34</v>
      </c>
      <c r="H153" s="164" t="n">
        <v>184</v>
      </c>
      <c r="I153" s="165" t="n">
        <v>90000</v>
      </c>
      <c r="J153" s="165" t="inlineStr">
        <is>
          <t>14</t>
        </is>
      </c>
      <c r="K153" s="165" t="n">
        <v>56000</v>
      </c>
      <c r="L153" s="165" t="inlineStr">
        <is>
          <t>중</t>
        </is>
      </c>
      <c r="M153" s="166">
        <f>I153-K153</f>
        <v/>
      </c>
      <c r="N153" s="7">
        <f>IF(ISERROR(K153/I153),"",K153/I153)</f>
        <v/>
      </c>
      <c r="O153" s="162">
        <f>I153/E153</f>
        <v/>
      </c>
      <c r="P153" s="162">
        <f>K153/E153</f>
        <v/>
      </c>
      <c r="Q153" s="113" t="n">
        <v>4</v>
      </c>
      <c r="R153" s="113" t="n">
        <v>2</v>
      </c>
      <c r="S153" s="113" t="inlineStr">
        <is>
          <t>계</t>
        </is>
      </c>
      <c r="T153" s="8" t="n">
        <v>144</v>
      </c>
      <c r="U153" s="13" t="n"/>
      <c r="W153" s="161">
        <f>D153</f>
        <v/>
      </c>
      <c r="X153" s="163">
        <f>E153</f>
        <v/>
      </c>
      <c r="Y153" s="159">
        <f>H153</f>
        <v/>
      </c>
      <c r="Z153" s="166">
        <f>I153</f>
        <v/>
      </c>
      <c r="AA153" s="166">
        <f>K153</f>
        <v/>
      </c>
      <c r="AB153" s="166">
        <f>M153</f>
        <v/>
      </c>
      <c r="AC153" s="7">
        <f>N153</f>
        <v/>
      </c>
      <c r="AD153" s="162">
        <f>O153</f>
        <v/>
      </c>
      <c r="AE153" s="113">
        <f>S153</f>
        <v/>
      </c>
      <c r="AF153" s="113">
        <f>Q153&amp;"/"&amp;R153</f>
        <v/>
      </c>
      <c r="AH153" s="36">
        <f>IF(A153="","",A153)</f>
        <v/>
      </c>
      <c r="AI153" s="163">
        <f>IF(E153="","",E153)</f>
        <v/>
      </c>
      <c r="AJ153" s="113">
        <f>IF(AI153="","",$AJ$2)</f>
        <v/>
      </c>
      <c r="AK153" s="113" t="inlineStr">
        <is>
          <t>A</t>
        </is>
      </c>
      <c r="AL153" s="113" t="inlineStr">
        <is>
          <t>A+</t>
        </is>
      </c>
      <c r="AM153" s="113" t="inlineStr">
        <is>
          <t>B+</t>
        </is>
      </c>
      <c r="AN153" s="113">
        <f>IF(AI153="","",$AN$2)</f>
        <v/>
      </c>
      <c r="AO153" s="113">
        <f>IF(N153="","",IF(N153&gt;=$AO$1/100,"O","X"))</f>
        <v/>
      </c>
      <c r="AP153" s="113">
        <f>IF(I153="","",IF(I153&lt;=$AP$1,"O","X"))</f>
        <v/>
      </c>
      <c r="AQ153" s="113">
        <f>IF(O153="","",IF(O153&lt;=$AQ$1,"O","X"))</f>
        <v/>
      </c>
      <c r="AR153" s="113">
        <f>IF(M153="","",IF(M153&lt;=$AR$1,"O","X"))</f>
        <v/>
      </c>
      <c r="AS153" s="113" t="inlineStr">
        <is>
          <t>X</t>
        </is>
      </c>
      <c r="AT153" s="113">
        <f>IF(OR(F153="",AI153=""),"",IF(AND((F153&lt;=85),(AI153&gt;=15)),"O","X"))</f>
        <v/>
      </c>
      <c r="AU153" s="113">
        <f>IF(C153="","",IF(C153&gt;=$AU$1,"O","X"))</f>
        <v/>
      </c>
      <c r="AV153" s="113">
        <f>IF(AO153="","",IF(AND(AO153="O",AP153="O",AR153="O",AT153="O",AU153="O"),"후보","X"))</f>
        <v/>
      </c>
    </row>
    <row r="154">
      <c r="A154" s="13" t="inlineStr">
        <is>
          <t>청라롯데캐슬</t>
        </is>
      </c>
      <c r="B154" s="16" t="inlineStr">
        <is>
          <t>'13.02.</t>
        </is>
      </c>
      <c r="C154" s="164" t="n">
        <v>828</v>
      </c>
      <c r="D154" s="161" t="n">
        <v>159.1</v>
      </c>
      <c r="E154" s="163" t="n">
        <v>48</v>
      </c>
      <c r="F154" s="161" t="n">
        <v>125.6</v>
      </c>
      <c r="G154" s="27" t="n">
        <v>38</v>
      </c>
      <c r="H154" s="164" t="n">
        <v>228</v>
      </c>
      <c r="I154" s="165" t="n">
        <v>90000</v>
      </c>
      <c r="J154" s="165" t="inlineStr">
        <is>
          <t>6</t>
        </is>
      </c>
      <c r="K154" s="165" t="n">
        <v>58000</v>
      </c>
      <c r="L154" s="165" t="inlineStr">
        <is>
          <t>6</t>
        </is>
      </c>
      <c r="M154" s="166">
        <f>I154-K154</f>
        <v/>
      </c>
      <c r="N154" s="7">
        <f>IF(ISERROR(K154/I154),"",K154/I154)</f>
        <v/>
      </c>
      <c r="O154" s="162">
        <f>I154/E154</f>
        <v/>
      </c>
      <c r="P154" s="162">
        <f>K154/E154</f>
        <v/>
      </c>
      <c r="Q154" s="113" t="n">
        <v>4</v>
      </c>
      <c r="R154" s="113" t="n">
        <v>2</v>
      </c>
      <c r="S154" s="113" t="inlineStr">
        <is>
          <t>계</t>
        </is>
      </c>
      <c r="T154" s="8" t="inlineStr">
        <is>
          <t>159B</t>
        </is>
      </c>
      <c r="U154" s="13" t="n"/>
      <c r="W154" s="161">
        <f>D154</f>
        <v/>
      </c>
      <c r="X154" s="163">
        <f>E154</f>
        <v/>
      </c>
      <c r="Y154" s="159">
        <f>H154</f>
        <v/>
      </c>
      <c r="Z154" s="166">
        <f>I154</f>
        <v/>
      </c>
      <c r="AA154" s="166">
        <f>K154</f>
        <v/>
      </c>
      <c r="AB154" s="166">
        <f>M154</f>
        <v/>
      </c>
      <c r="AC154" s="7">
        <f>N154</f>
        <v/>
      </c>
      <c r="AD154" s="162">
        <f>O154</f>
        <v/>
      </c>
      <c r="AE154" s="113">
        <f>S154</f>
        <v/>
      </c>
      <c r="AF154" s="113">
        <f>Q154&amp;"/"&amp;R154</f>
        <v/>
      </c>
      <c r="AH154" s="36">
        <f>IF(A154="","",A154)</f>
        <v/>
      </c>
      <c r="AI154" s="163">
        <f>IF(E154="","",E154)</f>
        <v/>
      </c>
      <c r="AJ154" s="113">
        <f>IF(AI154="","",$AJ$2)</f>
        <v/>
      </c>
      <c r="AK154" s="113" t="inlineStr">
        <is>
          <t>A</t>
        </is>
      </c>
      <c r="AL154" s="113" t="inlineStr">
        <is>
          <t>A+</t>
        </is>
      </c>
      <c r="AM154" s="113" t="inlineStr">
        <is>
          <t>B+</t>
        </is>
      </c>
      <c r="AN154" s="113">
        <f>IF(AI154="","",$AN$2)</f>
        <v/>
      </c>
      <c r="AO154" s="113">
        <f>IF(N154="","",IF(N154&gt;=$AO$1/100,"O","X"))</f>
        <v/>
      </c>
      <c r="AP154" s="113">
        <f>IF(I154="","",IF(I154&lt;=$AP$1,"O","X"))</f>
        <v/>
      </c>
      <c r="AQ154" s="113">
        <f>IF(O154="","",IF(O154&lt;=$AQ$1,"O","X"))</f>
        <v/>
      </c>
      <c r="AR154" s="113">
        <f>IF(M154="","",IF(M154&lt;=$AR$1,"O","X"))</f>
        <v/>
      </c>
      <c r="AS154" s="113" t="inlineStr">
        <is>
          <t>X</t>
        </is>
      </c>
      <c r="AT154" s="113">
        <f>IF(OR(F154="",AI154=""),"",IF(AND((F154&lt;=85),(AI154&gt;=15)),"O","X"))</f>
        <v/>
      </c>
      <c r="AU154" s="113">
        <f>IF(C154="","",IF(C154&gt;=$AU$1,"O","X"))</f>
        <v/>
      </c>
      <c r="AV154" s="113">
        <f>IF(AO154="","",IF(AND(AO154="O",AP154="O",AR154="O",AT154="O",AU154="O"),"후보","X"))</f>
        <v/>
      </c>
    </row>
    <row r="155">
      <c r="A155" s="13" t="inlineStr">
        <is>
          <t>청라롯데캐슬</t>
        </is>
      </c>
      <c r="B155" s="16" t="inlineStr">
        <is>
          <t>'13.02.</t>
        </is>
      </c>
      <c r="C155" s="164" t="n">
        <v>828</v>
      </c>
      <c r="D155" s="161" t="n">
        <v>159.4</v>
      </c>
      <c r="E155" s="163" t="n">
        <v>48</v>
      </c>
      <c r="F155" s="161" t="n">
        <v>127.1</v>
      </c>
      <c r="G155" s="27" t="n">
        <v>38</v>
      </c>
      <c r="H155" s="164" t="n">
        <v>176</v>
      </c>
      <c r="I155" s="165" t="n">
        <v>110000</v>
      </c>
      <c r="J155" s="165" t="inlineStr">
        <is>
          <t>고</t>
        </is>
      </c>
      <c r="K155" s="165" t="n"/>
      <c r="L155" s="165" t="n"/>
      <c r="M155" s="166">
        <f>I155-K155</f>
        <v/>
      </c>
      <c r="N155" s="7">
        <f>IF(ISERROR(K155/I155),"",K155/I155)</f>
        <v/>
      </c>
      <c r="O155" s="162">
        <f>I155/E155</f>
        <v/>
      </c>
      <c r="P155" s="162">
        <f>K155/E155</f>
        <v/>
      </c>
      <c r="Q155" s="113" t="n">
        <v>4</v>
      </c>
      <c r="R155" s="113" t="n">
        <v>2</v>
      </c>
      <c r="S155" s="113" t="inlineStr">
        <is>
          <t>계</t>
        </is>
      </c>
      <c r="T155" s="8" t="inlineStr">
        <is>
          <t>159A</t>
        </is>
      </c>
      <c r="U155" s="13" t="n"/>
      <c r="W155" s="161">
        <f>D155</f>
        <v/>
      </c>
      <c r="X155" s="163">
        <f>E155</f>
        <v/>
      </c>
      <c r="Y155" s="159">
        <f>H155</f>
        <v/>
      </c>
      <c r="Z155" s="166">
        <f>I155</f>
        <v/>
      </c>
      <c r="AA155" s="166">
        <f>K155</f>
        <v/>
      </c>
      <c r="AB155" s="166">
        <f>M155</f>
        <v/>
      </c>
      <c r="AC155" s="7">
        <f>N155</f>
        <v/>
      </c>
      <c r="AD155" s="162">
        <f>O155</f>
        <v/>
      </c>
      <c r="AE155" s="113">
        <f>S155</f>
        <v/>
      </c>
      <c r="AF155" s="113">
        <f>Q155&amp;"/"&amp;R155</f>
        <v/>
      </c>
      <c r="AH155" s="36">
        <f>IF(A155="","",A155)</f>
        <v/>
      </c>
      <c r="AI155" s="163">
        <f>IF(E155="","",E155)</f>
        <v/>
      </c>
      <c r="AJ155" s="113">
        <f>IF(AI155="","",$AJ$2)</f>
        <v/>
      </c>
      <c r="AK155" s="113" t="inlineStr">
        <is>
          <t>A</t>
        </is>
      </c>
      <c r="AL155" s="113" t="inlineStr">
        <is>
          <t>A+</t>
        </is>
      </c>
      <c r="AM155" s="113" t="inlineStr">
        <is>
          <t>B+</t>
        </is>
      </c>
      <c r="AN155" s="113">
        <f>IF(AI155="","",$AN$2)</f>
        <v/>
      </c>
      <c r="AO155" s="113">
        <f>IF(N155="","",IF(N155&gt;=$AO$1/100,"O","X"))</f>
        <v/>
      </c>
      <c r="AP155" s="113">
        <f>IF(I155="","",IF(I155&lt;=$AP$1,"O","X"))</f>
        <v/>
      </c>
      <c r="AQ155" s="113">
        <f>IF(O155="","",IF(O155&lt;=$AQ$1,"O","X"))</f>
        <v/>
      </c>
      <c r="AR155" s="113">
        <f>IF(M155="","",IF(M155&lt;=$AR$1,"O","X"))</f>
        <v/>
      </c>
      <c r="AS155" s="113" t="inlineStr">
        <is>
          <t>X</t>
        </is>
      </c>
      <c r="AT155" s="113">
        <f>IF(OR(F155="",AI155=""),"",IF(AND((F155&lt;=85),(AI155&gt;=15)),"O","X"))</f>
        <v/>
      </c>
      <c r="AU155" s="113">
        <f>IF(C155="","",IF(C155&gt;=$AU$1,"O","X"))</f>
        <v/>
      </c>
      <c r="AV155" s="113">
        <f>IF(AO155="","",IF(AND(AO155="O",AP155="O",AR155="O",AT155="O",AU155="O"),"후보","X"))</f>
        <v/>
      </c>
    </row>
    <row r="156">
      <c r="A156" s="13" t="inlineStr">
        <is>
          <t>청라롯데캐슬</t>
        </is>
      </c>
      <c r="B156" s="16" t="inlineStr">
        <is>
          <t>'13.02.</t>
        </is>
      </c>
      <c r="C156" s="164" t="n">
        <v>828</v>
      </c>
      <c r="D156" s="161" t="n">
        <v>178</v>
      </c>
      <c r="E156" s="163" t="n">
        <v>54</v>
      </c>
      <c r="F156" s="161" t="n">
        <v>141.2</v>
      </c>
      <c r="G156" s="27" t="n">
        <v>43</v>
      </c>
      <c r="H156" s="164" t="n">
        <v>240</v>
      </c>
      <c r="I156" s="165" t="n">
        <v>125000</v>
      </c>
      <c r="J156" s="165" t="inlineStr">
        <is>
          <t>중</t>
        </is>
      </c>
      <c r="K156" s="165" t="n">
        <v>65000</v>
      </c>
      <c r="L156" s="165" t="inlineStr">
        <is>
          <t>고</t>
        </is>
      </c>
      <c r="M156" s="166">
        <f>I156-K156</f>
        <v/>
      </c>
      <c r="N156" s="7">
        <f>IF(ISERROR(K156/I156),"",K156/I156)</f>
        <v/>
      </c>
      <c r="O156" s="162">
        <f>I156/E156</f>
        <v/>
      </c>
      <c r="P156" s="162">
        <f>K156/E156</f>
        <v/>
      </c>
      <c r="Q156" s="113" t="n">
        <v>4</v>
      </c>
      <c r="R156" s="113" t="n">
        <v>2</v>
      </c>
      <c r="S156" s="113" t="inlineStr">
        <is>
          <t>계</t>
        </is>
      </c>
      <c r="T156" s="8" t="n">
        <v>177</v>
      </c>
      <c r="U156" s="13" t="n"/>
      <c r="W156" s="161">
        <f>D156</f>
        <v/>
      </c>
      <c r="X156" s="163">
        <f>E156</f>
        <v/>
      </c>
      <c r="Y156" s="159">
        <f>H156</f>
        <v/>
      </c>
      <c r="Z156" s="166">
        <f>I156</f>
        <v/>
      </c>
      <c r="AA156" s="166">
        <f>K156</f>
        <v/>
      </c>
      <c r="AB156" s="166">
        <f>M156</f>
        <v/>
      </c>
      <c r="AC156" s="7">
        <f>N156</f>
        <v/>
      </c>
      <c r="AD156" s="162">
        <f>O156</f>
        <v/>
      </c>
      <c r="AE156" s="113">
        <f>S156</f>
        <v/>
      </c>
      <c r="AF156" s="113">
        <f>Q156&amp;"/"&amp;R156</f>
        <v/>
      </c>
      <c r="AH156" s="36">
        <f>IF(A156="","",A156)</f>
        <v/>
      </c>
      <c r="AI156" s="163">
        <f>IF(E156="","",E156)</f>
        <v/>
      </c>
      <c r="AJ156" s="113">
        <f>IF(AI156="","",$AJ$2)</f>
        <v/>
      </c>
      <c r="AK156" s="113" t="inlineStr">
        <is>
          <t>A</t>
        </is>
      </c>
      <c r="AL156" s="113" t="inlineStr">
        <is>
          <t>A+</t>
        </is>
      </c>
      <c r="AM156" s="113" t="inlineStr">
        <is>
          <t>B+</t>
        </is>
      </c>
      <c r="AN156" s="113">
        <f>IF(AI156="","",$AN$2)</f>
        <v/>
      </c>
      <c r="AO156" s="113">
        <f>IF(N156="","",IF(N156&gt;=$AO$1/100,"O","X"))</f>
        <v/>
      </c>
      <c r="AP156" s="113">
        <f>IF(I156="","",IF(I156&lt;=$AP$1,"O","X"))</f>
        <v/>
      </c>
      <c r="AQ156" s="113">
        <f>IF(O156="","",IF(O156&lt;=$AQ$1,"O","X"))</f>
        <v/>
      </c>
      <c r="AR156" s="113">
        <f>IF(M156="","",IF(M156&lt;=$AR$1,"O","X"))</f>
        <v/>
      </c>
      <c r="AS156" s="113" t="inlineStr">
        <is>
          <t>X</t>
        </is>
      </c>
      <c r="AT156" s="113">
        <f>IF(OR(F156="",AI156=""),"",IF(AND((F156&lt;=85),(AI156&gt;=15)),"O","X"))</f>
        <v/>
      </c>
      <c r="AU156" s="113">
        <f>IF(C156="","",IF(C156&gt;=$AU$1,"O","X"))</f>
        <v/>
      </c>
      <c r="AV156" s="113">
        <f>IF(AO156="","",IF(AND(AO156="O",AP156="O",AR156="O",AT156="O",AU156="O"),"후보","X"))</f>
        <v/>
      </c>
    </row>
    <row r="157">
      <c r="A157" s="13" t="n"/>
      <c r="B157" s="113" t="n"/>
      <c r="C157" s="10" t="n"/>
      <c r="D157" s="13" t="n"/>
      <c r="E157" s="20" t="n"/>
      <c r="F157" s="161" t="n"/>
      <c r="G157" s="13" t="n"/>
      <c r="H157" s="13" t="n"/>
      <c r="I157" s="13" t="n"/>
      <c r="J157" s="13" t="n"/>
      <c r="K157" s="13" t="n"/>
      <c r="L157" s="13" t="n"/>
      <c r="M157" s="13" t="n"/>
      <c r="N157" s="13" t="n"/>
      <c r="O157" s="162" t="n"/>
      <c r="P157" s="162" t="n"/>
      <c r="Q157" s="163" t="n"/>
      <c r="R157" s="163" t="n"/>
      <c r="S157" s="13" t="n"/>
      <c r="T157" s="70" t="n"/>
      <c r="U157" s="13" t="n"/>
      <c r="W157" s="107">
        <f>$A$4&amp;" "&amp;A158&amp;"("&amp;B158&amp;","&amp;C158&amp;"^)"</f>
        <v/>
      </c>
      <c r="X157" s="108" t="n"/>
      <c r="Y157" s="108" t="n"/>
      <c r="Z157" s="108" t="n"/>
      <c r="AA157" s="108" t="n"/>
      <c r="AB157" s="108" t="n"/>
      <c r="AC157" s="108" t="n"/>
      <c r="AD157" s="108" t="n"/>
      <c r="AE157" s="108" t="n"/>
      <c r="AF157" s="109" t="n"/>
      <c r="AH157" s="36">
        <f>IF(A157="","",A157)</f>
        <v/>
      </c>
      <c r="AI157" s="160">
        <f>IF(E157="","",E157)</f>
        <v/>
      </c>
      <c r="AJ157" s="113" t="n"/>
      <c r="AK157" s="113" t="n"/>
      <c r="AL157" s="113" t="n"/>
      <c r="AM157" s="113" t="n"/>
      <c r="AN157" s="113" t="n"/>
      <c r="AO157" s="113" t="n"/>
      <c r="AP157" s="113" t="n"/>
      <c r="AQ157" s="113" t="n"/>
      <c r="AR157" s="113" t="n"/>
      <c r="AS157" s="113" t="n"/>
      <c r="AT157" s="113" t="n"/>
      <c r="AU157" s="113" t="n"/>
      <c r="AV157" s="113" t="n"/>
    </row>
    <row r="158">
      <c r="A158" s="13" t="inlineStr">
        <is>
          <t>청라한라비발디</t>
        </is>
      </c>
      <c r="B158" s="16" t="inlineStr">
        <is>
          <t>'11.10.</t>
        </is>
      </c>
      <c r="C158" s="164" t="n">
        <v>992</v>
      </c>
      <c r="D158" s="161" t="n">
        <v>130.9</v>
      </c>
      <c r="E158" s="163" t="n">
        <v>40</v>
      </c>
      <c r="F158" s="161" t="n">
        <v>102</v>
      </c>
      <c r="G158" s="27" t="n">
        <v>31</v>
      </c>
      <c r="H158" s="164" t="n">
        <v>138</v>
      </c>
      <c r="I158" s="165" t="n">
        <v>78000</v>
      </c>
      <c r="J158" s="165" t="inlineStr">
        <is>
          <t>9</t>
        </is>
      </c>
      <c r="K158" s="165" t="n">
        <v>43000</v>
      </c>
      <c r="L158" s="165" t="inlineStr">
        <is>
          <t>중</t>
        </is>
      </c>
      <c r="M158" s="166">
        <f>I158-K158</f>
        <v/>
      </c>
      <c r="N158" s="7">
        <f>IF(ISERROR(K158/I158),"",K158/I158)</f>
        <v/>
      </c>
      <c r="O158" s="162">
        <f>I158/E158</f>
        <v/>
      </c>
      <c r="P158" s="162">
        <f>K158/E158</f>
        <v/>
      </c>
      <c r="Q158" s="113" t="n">
        <v>4</v>
      </c>
      <c r="R158" s="113" t="n">
        <v>2</v>
      </c>
      <c r="S158" s="113" t="inlineStr">
        <is>
          <t>계</t>
        </is>
      </c>
      <c r="T158" s="8" t="n">
        <v>130</v>
      </c>
      <c r="U158" s="13" t="n"/>
      <c r="W158" s="161">
        <f>D158</f>
        <v/>
      </c>
      <c r="X158" s="163">
        <f>E158</f>
        <v/>
      </c>
      <c r="Y158" s="159">
        <f>H158</f>
        <v/>
      </c>
      <c r="Z158" s="166">
        <f>I158</f>
        <v/>
      </c>
      <c r="AA158" s="166">
        <f>K158</f>
        <v/>
      </c>
      <c r="AB158" s="166">
        <f>M158</f>
        <v/>
      </c>
      <c r="AC158" s="7">
        <f>N158</f>
        <v/>
      </c>
      <c r="AD158" s="162">
        <f>O158</f>
        <v/>
      </c>
      <c r="AE158" s="113">
        <f>S158</f>
        <v/>
      </c>
      <c r="AF158" s="113">
        <f>Q158&amp;"/"&amp;R158</f>
        <v/>
      </c>
      <c r="AH158" s="36">
        <f>IF(A158="","",A158)</f>
        <v/>
      </c>
      <c r="AI158" s="163">
        <f>IF(E158="","",E158)</f>
        <v/>
      </c>
      <c r="AJ158" s="113">
        <f>IF(AI158="","",$AJ$2)</f>
        <v/>
      </c>
      <c r="AK158" s="113" t="inlineStr">
        <is>
          <t>A</t>
        </is>
      </c>
      <c r="AL158" s="113" t="inlineStr">
        <is>
          <t>A+</t>
        </is>
      </c>
      <c r="AM158" s="113" t="inlineStr">
        <is>
          <t>B+</t>
        </is>
      </c>
      <c r="AN158" s="113">
        <f>IF(AI158="","",$AN$2)</f>
        <v/>
      </c>
      <c r="AO158" s="113">
        <f>IF(N158="","",IF(N158&gt;=$AO$1/100,"O","X"))</f>
        <v/>
      </c>
      <c r="AP158" s="113">
        <f>IF(I158="","",IF(I158&lt;=$AP$1,"O","X"))</f>
        <v/>
      </c>
      <c r="AQ158" s="113">
        <f>IF(O158="","",IF(O158&lt;=$AQ$1,"O","X"))</f>
        <v/>
      </c>
      <c r="AR158" s="113">
        <f>IF(M158="","",IF(M158&lt;=$AR$1,"O","X"))</f>
        <v/>
      </c>
      <c r="AS158" s="113" t="inlineStr">
        <is>
          <t>X</t>
        </is>
      </c>
      <c r="AT158" s="113">
        <f>IF(OR(F158="",AI158=""),"",IF(AND((F158&lt;=85),(AI158&gt;=15)),"O","X"))</f>
        <v/>
      </c>
      <c r="AU158" s="113">
        <f>IF(C158="","",IF(C158&gt;=$AU$1,"O","X"))</f>
        <v/>
      </c>
      <c r="AV158" s="113">
        <f>IF(AO158="","",IF(AND(AO158="O",AP158="O",AR158="O",AT158="O",AU158="O"),"후보","X"))</f>
        <v/>
      </c>
    </row>
    <row r="159">
      <c r="A159" s="13" t="inlineStr">
        <is>
          <t>청라한라비발디</t>
        </is>
      </c>
      <c r="B159" s="16" t="inlineStr">
        <is>
          <t>'11.10.</t>
        </is>
      </c>
      <c r="C159" s="164" t="n">
        <v>992</v>
      </c>
      <c r="D159" s="161" t="n">
        <v>131.6</v>
      </c>
      <c r="E159" s="163" t="n">
        <v>40</v>
      </c>
      <c r="F159" s="161" t="n">
        <v>101.7</v>
      </c>
      <c r="G159" s="27" t="n">
        <v>31</v>
      </c>
      <c r="H159" s="164" t="n">
        <v>85</v>
      </c>
      <c r="I159" s="165" t="n">
        <v>77000</v>
      </c>
      <c r="J159" s="165" t="inlineStr">
        <is>
          <t>8</t>
        </is>
      </c>
      <c r="K159" s="165" t="n">
        <v>44000</v>
      </c>
      <c r="L159" s="165" t="inlineStr">
        <is>
          <t>15</t>
        </is>
      </c>
      <c r="M159" s="166">
        <f>I159-K159</f>
        <v/>
      </c>
      <c r="N159" s="7">
        <f>IF(ISERROR(K159/I159),"",K159/I159)</f>
        <v/>
      </c>
      <c r="O159" s="162">
        <f>I159/E159</f>
        <v/>
      </c>
      <c r="P159" s="162">
        <f>K159/E159</f>
        <v/>
      </c>
      <c r="Q159" s="113" t="n">
        <v>4</v>
      </c>
      <c r="R159" s="113" t="n">
        <v>2</v>
      </c>
      <c r="S159" s="113" t="inlineStr">
        <is>
          <t>계</t>
        </is>
      </c>
      <c r="T159" s="8" t="inlineStr">
        <is>
          <t>131B</t>
        </is>
      </c>
      <c r="U159" s="13" t="n"/>
      <c r="W159" s="161">
        <f>D159</f>
        <v/>
      </c>
      <c r="X159" s="163">
        <f>E159</f>
        <v/>
      </c>
      <c r="Y159" s="159">
        <f>H159</f>
        <v/>
      </c>
      <c r="Z159" s="166">
        <f>I159</f>
        <v/>
      </c>
      <c r="AA159" s="166">
        <f>K159</f>
        <v/>
      </c>
      <c r="AB159" s="166">
        <f>M159</f>
        <v/>
      </c>
      <c r="AC159" s="7">
        <f>N159</f>
        <v/>
      </c>
      <c r="AD159" s="162">
        <f>O159</f>
        <v/>
      </c>
      <c r="AE159" s="113">
        <f>S159</f>
        <v/>
      </c>
      <c r="AF159" s="113">
        <f>Q159&amp;"/"&amp;R159</f>
        <v/>
      </c>
      <c r="AH159" s="36">
        <f>IF(A159="","",A159)</f>
        <v/>
      </c>
      <c r="AI159" s="163">
        <f>IF(E159="","",E159)</f>
        <v/>
      </c>
      <c r="AJ159" s="113">
        <f>IF(AI159="","",$AJ$2)</f>
        <v/>
      </c>
      <c r="AK159" s="113" t="inlineStr">
        <is>
          <t>A</t>
        </is>
      </c>
      <c r="AL159" s="113" t="inlineStr">
        <is>
          <t>A+</t>
        </is>
      </c>
      <c r="AM159" s="113" t="inlineStr">
        <is>
          <t>B+</t>
        </is>
      </c>
      <c r="AN159" s="113">
        <f>IF(AI159="","",$AN$2)</f>
        <v/>
      </c>
      <c r="AO159" s="113">
        <f>IF(N159="","",IF(N159&gt;=$AO$1/100,"O","X"))</f>
        <v/>
      </c>
      <c r="AP159" s="113">
        <f>IF(I159="","",IF(I159&lt;=$AP$1,"O","X"))</f>
        <v/>
      </c>
      <c r="AQ159" s="113">
        <f>IF(O159="","",IF(O159&lt;=$AQ$1,"O","X"))</f>
        <v/>
      </c>
      <c r="AR159" s="113">
        <f>IF(M159="","",IF(M159&lt;=$AR$1,"O","X"))</f>
        <v/>
      </c>
      <c r="AS159" s="113" t="inlineStr">
        <is>
          <t>X</t>
        </is>
      </c>
      <c r="AT159" s="113">
        <f>IF(OR(F159="",AI159=""),"",IF(AND((F159&lt;=85),(AI159&gt;=15)),"O","X"))</f>
        <v/>
      </c>
      <c r="AU159" s="113">
        <f>IF(C159="","",IF(C159&gt;=$AU$1,"O","X"))</f>
        <v/>
      </c>
      <c r="AV159" s="113">
        <f>IF(AO159="","",IF(AND(AO159="O",AP159="O",AR159="O",AT159="O",AU159="O"),"후보","X"))</f>
        <v/>
      </c>
    </row>
    <row r="160">
      <c r="A160" s="13" t="inlineStr">
        <is>
          <t>청라한라비발디</t>
        </is>
      </c>
      <c r="B160" s="16" t="inlineStr">
        <is>
          <t>'11.10.</t>
        </is>
      </c>
      <c r="C160" s="164" t="n">
        <v>992</v>
      </c>
      <c r="D160" s="161" t="n">
        <v>131.6</v>
      </c>
      <c r="E160" s="163" t="n">
        <v>40</v>
      </c>
      <c r="F160" s="161" t="n">
        <v>101.7</v>
      </c>
      <c r="G160" s="27" t="n">
        <v>31</v>
      </c>
      <c r="H160" s="164" t="n">
        <v>83</v>
      </c>
      <c r="I160" s="165" t="n">
        <v>77000</v>
      </c>
      <c r="J160" s="165" t="inlineStr">
        <is>
          <t>8</t>
        </is>
      </c>
      <c r="K160" s="165" t="n">
        <v>44000</v>
      </c>
      <c r="L160" s="165" t="inlineStr">
        <is>
          <t>15</t>
        </is>
      </c>
      <c r="M160" s="166">
        <f>I160-K160</f>
        <v/>
      </c>
      <c r="N160" s="7">
        <f>IF(ISERROR(K160/I160),"",K160/I160)</f>
        <v/>
      </c>
      <c r="O160" s="162">
        <f>I160/E160</f>
        <v/>
      </c>
      <c r="P160" s="162">
        <f>K160/E160</f>
        <v/>
      </c>
      <c r="Q160" s="113" t="n">
        <v>4</v>
      </c>
      <c r="R160" s="113" t="n">
        <v>2</v>
      </c>
      <c r="S160" s="113" t="inlineStr">
        <is>
          <t>계</t>
        </is>
      </c>
      <c r="T160" s="8" t="inlineStr">
        <is>
          <t>131A</t>
        </is>
      </c>
      <c r="U160" s="13" t="n"/>
      <c r="W160" s="161">
        <f>D160</f>
        <v/>
      </c>
      <c r="X160" s="163">
        <f>E160</f>
        <v/>
      </c>
      <c r="Y160" s="159">
        <f>H160</f>
        <v/>
      </c>
      <c r="Z160" s="166">
        <f>I160</f>
        <v/>
      </c>
      <c r="AA160" s="166">
        <f>K160</f>
        <v/>
      </c>
      <c r="AB160" s="166">
        <f>M160</f>
        <v/>
      </c>
      <c r="AC160" s="7">
        <f>N160</f>
        <v/>
      </c>
      <c r="AD160" s="162">
        <f>O160</f>
        <v/>
      </c>
      <c r="AE160" s="113">
        <f>S160</f>
        <v/>
      </c>
      <c r="AF160" s="113">
        <f>Q160&amp;"/"&amp;R160</f>
        <v/>
      </c>
      <c r="AH160" s="36">
        <f>IF(A160="","",A160)</f>
        <v/>
      </c>
      <c r="AI160" s="163">
        <f>IF(E160="","",E160)</f>
        <v/>
      </c>
      <c r="AJ160" s="113">
        <f>IF(AI160="","",$AJ$2)</f>
        <v/>
      </c>
      <c r="AK160" s="113" t="inlineStr">
        <is>
          <t>A</t>
        </is>
      </c>
      <c r="AL160" s="113" t="inlineStr">
        <is>
          <t>A+</t>
        </is>
      </c>
      <c r="AM160" s="113" t="inlineStr">
        <is>
          <t>B+</t>
        </is>
      </c>
      <c r="AN160" s="113">
        <f>IF(AI160="","",$AN$2)</f>
        <v/>
      </c>
      <c r="AO160" s="113">
        <f>IF(N160="","",IF(N160&gt;=$AO$1/100,"O","X"))</f>
        <v/>
      </c>
      <c r="AP160" s="113">
        <f>IF(I160="","",IF(I160&lt;=$AP$1,"O","X"))</f>
        <v/>
      </c>
      <c r="AQ160" s="113">
        <f>IF(O160="","",IF(O160&lt;=$AQ$1,"O","X"))</f>
        <v/>
      </c>
      <c r="AR160" s="113">
        <f>IF(M160="","",IF(M160&lt;=$AR$1,"O","X"))</f>
        <v/>
      </c>
      <c r="AS160" s="113" t="inlineStr">
        <is>
          <t>X</t>
        </is>
      </c>
      <c r="AT160" s="113">
        <f>IF(OR(F160="",AI160=""),"",IF(AND((F160&lt;=85),(AI160&gt;=15)),"O","X"))</f>
        <v/>
      </c>
      <c r="AU160" s="113">
        <f>IF(C160="","",IF(C160&gt;=$AU$1,"O","X"))</f>
        <v/>
      </c>
      <c r="AV160" s="113">
        <f>IF(AO160="","",IF(AND(AO160="O",AP160="O",AR160="O",AT160="O",AU160="O"),"후보","X"))</f>
        <v/>
      </c>
    </row>
    <row r="161">
      <c r="A161" s="13" t="inlineStr">
        <is>
          <t>청라한라비발디</t>
        </is>
      </c>
      <c r="B161" s="16" t="inlineStr">
        <is>
          <t>'11.10.</t>
        </is>
      </c>
      <c r="C161" s="164" t="n">
        <v>992</v>
      </c>
      <c r="D161" s="161" t="n">
        <v>145.3</v>
      </c>
      <c r="E161" s="163" t="n">
        <v>44</v>
      </c>
      <c r="F161" s="161" t="n">
        <v>113.7</v>
      </c>
      <c r="G161" s="27" t="n">
        <v>34</v>
      </c>
      <c r="H161" s="164" t="n">
        <v>258</v>
      </c>
      <c r="I161" s="165" t="n">
        <v>90000</v>
      </c>
      <c r="J161" s="165" t="inlineStr">
        <is>
          <t>중</t>
        </is>
      </c>
      <c r="K161" s="165" t="n">
        <v>46000</v>
      </c>
      <c r="L161" s="165" t="inlineStr">
        <is>
          <t>중</t>
        </is>
      </c>
      <c r="M161" s="166">
        <f>I161-K161</f>
        <v/>
      </c>
      <c r="N161" s="7">
        <f>IF(ISERROR(K161/I161),"",K161/I161)</f>
        <v/>
      </c>
      <c r="O161" s="162">
        <f>I161/E161</f>
        <v/>
      </c>
      <c r="P161" s="162">
        <f>K161/E161</f>
        <v/>
      </c>
      <c r="Q161" s="113" t="n">
        <v>4</v>
      </c>
      <c r="R161" s="113" t="n">
        <v>2</v>
      </c>
      <c r="S161" s="113" t="inlineStr">
        <is>
          <t>계</t>
        </is>
      </c>
      <c r="T161" s="8" t="inlineStr">
        <is>
          <t>145B</t>
        </is>
      </c>
      <c r="U161" s="13" t="n"/>
      <c r="W161" s="161">
        <f>D161</f>
        <v/>
      </c>
      <c r="X161" s="163">
        <f>E161</f>
        <v/>
      </c>
      <c r="Y161" s="159">
        <f>H161</f>
        <v/>
      </c>
      <c r="Z161" s="166">
        <f>I161</f>
        <v/>
      </c>
      <c r="AA161" s="166">
        <f>K161</f>
        <v/>
      </c>
      <c r="AB161" s="166">
        <f>M161</f>
        <v/>
      </c>
      <c r="AC161" s="7">
        <f>N161</f>
        <v/>
      </c>
      <c r="AD161" s="162">
        <f>O161</f>
        <v/>
      </c>
      <c r="AE161" s="113">
        <f>S161</f>
        <v/>
      </c>
      <c r="AF161" s="113">
        <f>Q161&amp;"/"&amp;R161</f>
        <v/>
      </c>
      <c r="AH161" s="36">
        <f>IF(A161="","",A161)</f>
        <v/>
      </c>
      <c r="AI161" s="163">
        <f>IF(E161="","",E161)</f>
        <v/>
      </c>
      <c r="AJ161" s="113">
        <f>IF(AI161="","",$AJ$2)</f>
        <v/>
      </c>
      <c r="AK161" s="113" t="inlineStr">
        <is>
          <t>A</t>
        </is>
      </c>
      <c r="AL161" s="113" t="inlineStr">
        <is>
          <t>A+</t>
        </is>
      </c>
      <c r="AM161" s="113" t="inlineStr">
        <is>
          <t>B+</t>
        </is>
      </c>
      <c r="AN161" s="113">
        <f>IF(AI161="","",$AN$2)</f>
        <v/>
      </c>
      <c r="AO161" s="113">
        <f>IF(N161="","",IF(N161&gt;=$AO$1/100,"O","X"))</f>
        <v/>
      </c>
      <c r="AP161" s="113">
        <f>IF(I161="","",IF(I161&lt;=$AP$1,"O","X"))</f>
        <v/>
      </c>
      <c r="AQ161" s="113">
        <f>IF(O161="","",IF(O161&lt;=$AQ$1,"O","X"))</f>
        <v/>
      </c>
      <c r="AR161" s="113">
        <f>IF(M161="","",IF(M161&lt;=$AR$1,"O","X"))</f>
        <v/>
      </c>
      <c r="AS161" s="113" t="inlineStr">
        <is>
          <t>X</t>
        </is>
      </c>
      <c r="AT161" s="113">
        <f>IF(OR(F161="",AI161=""),"",IF(AND((F161&lt;=85),(AI161&gt;=15)),"O","X"))</f>
        <v/>
      </c>
      <c r="AU161" s="113">
        <f>IF(C161="","",IF(C161&gt;=$AU$1,"O","X"))</f>
        <v/>
      </c>
      <c r="AV161" s="113">
        <f>IF(AO161="","",IF(AND(AO161="O",AP161="O",AR161="O",AT161="O",AU161="O"),"후보","X"))</f>
        <v/>
      </c>
    </row>
    <row r="162">
      <c r="A162" s="13" t="inlineStr">
        <is>
          <t>청라한라비발디</t>
        </is>
      </c>
      <c r="B162" s="16" t="inlineStr">
        <is>
          <t>'11.10.</t>
        </is>
      </c>
      <c r="C162" s="164" t="n">
        <v>992</v>
      </c>
      <c r="D162" s="161" t="n">
        <v>145</v>
      </c>
      <c r="E162" s="163" t="n">
        <v>44</v>
      </c>
      <c r="F162" s="161" t="n">
        <v>113.7</v>
      </c>
      <c r="G162" s="27" t="n">
        <v>34</v>
      </c>
      <c r="H162" s="164" t="n">
        <v>132</v>
      </c>
      <c r="I162" s="165" t="n">
        <v>93000</v>
      </c>
      <c r="J162" s="165" t="inlineStr">
        <is>
          <t>고</t>
        </is>
      </c>
      <c r="K162" s="165" t="n">
        <v>42000</v>
      </c>
      <c r="L162" s="165" t="inlineStr">
        <is>
          <t>고</t>
        </is>
      </c>
      <c r="M162" s="166">
        <f>I162-K162</f>
        <v/>
      </c>
      <c r="N162" s="7">
        <f>IF(ISERROR(K162/I162),"",K162/I162)</f>
        <v/>
      </c>
      <c r="O162" s="162">
        <f>I162/E162</f>
        <v/>
      </c>
      <c r="P162" s="162">
        <f>K162/E162</f>
        <v/>
      </c>
      <c r="Q162" s="113" t="n">
        <v>4</v>
      </c>
      <c r="R162" s="113" t="n">
        <v>2</v>
      </c>
      <c r="S162" s="113" t="inlineStr">
        <is>
          <t>계</t>
        </is>
      </c>
      <c r="T162" s="8" t="inlineStr">
        <is>
          <t>145A</t>
        </is>
      </c>
      <c r="U162" s="13" t="n"/>
      <c r="W162" s="161">
        <f>D162</f>
        <v/>
      </c>
      <c r="X162" s="163">
        <f>E162</f>
        <v/>
      </c>
      <c r="Y162" s="159">
        <f>H162</f>
        <v/>
      </c>
      <c r="Z162" s="166">
        <f>I162</f>
        <v/>
      </c>
      <c r="AA162" s="166">
        <f>K162</f>
        <v/>
      </c>
      <c r="AB162" s="166">
        <f>M162</f>
        <v/>
      </c>
      <c r="AC162" s="7">
        <f>N162</f>
        <v/>
      </c>
      <c r="AD162" s="162">
        <f>O162</f>
        <v/>
      </c>
      <c r="AE162" s="113">
        <f>S162</f>
        <v/>
      </c>
      <c r="AF162" s="113">
        <f>Q162&amp;"/"&amp;R162</f>
        <v/>
      </c>
      <c r="AH162" s="36">
        <f>IF(A162="","",A162)</f>
        <v/>
      </c>
      <c r="AI162" s="163">
        <f>IF(E162="","",E162)</f>
        <v/>
      </c>
      <c r="AJ162" s="113">
        <f>IF(AI162="","",$AJ$2)</f>
        <v/>
      </c>
      <c r="AK162" s="113" t="inlineStr">
        <is>
          <t>A</t>
        </is>
      </c>
      <c r="AL162" s="113" t="inlineStr">
        <is>
          <t>A+</t>
        </is>
      </c>
      <c r="AM162" s="113" t="inlineStr">
        <is>
          <t>B+</t>
        </is>
      </c>
      <c r="AN162" s="113">
        <f>IF(AI162="","",$AN$2)</f>
        <v/>
      </c>
      <c r="AO162" s="113">
        <f>IF(N162="","",IF(N162&gt;=$AO$1/100,"O","X"))</f>
        <v/>
      </c>
      <c r="AP162" s="113">
        <f>IF(I162="","",IF(I162&lt;=$AP$1,"O","X"))</f>
        <v/>
      </c>
      <c r="AQ162" s="113">
        <f>IF(O162="","",IF(O162&lt;=$AQ$1,"O","X"))</f>
        <v/>
      </c>
      <c r="AR162" s="113">
        <f>IF(M162="","",IF(M162&lt;=$AR$1,"O","X"))</f>
        <v/>
      </c>
      <c r="AS162" s="113" t="inlineStr">
        <is>
          <t>X</t>
        </is>
      </c>
      <c r="AT162" s="113">
        <f>IF(OR(F162="",AI162=""),"",IF(AND((F162&lt;=85),(AI162&gt;=15)),"O","X"))</f>
        <v/>
      </c>
      <c r="AU162" s="113">
        <f>IF(C162="","",IF(C162&gt;=$AU$1,"O","X"))</f>
        <v/>
      </c>
      <c r="AV162" s="113">
        <f>IF(AO162="","",IF(AND(AO162="O",AP162="O",AR162="O",AT162="O",AU162="O"),"후보","X"))</f>
        <v/>
      </c>
    </row>
    <row r="163">
      <c r="A163" s="13" t="inlineStr">
        <is>
          <t>청라한라비발디</t>
        </is>
      </c>
      <c r="B163" s="16" t="inlineStr">
        <is>
          <t>'11.10.</t>
        </is>
      </c>
      <c r="C163" s="164" t="n">
        <v>992</v>
      </c>
      <c r="D163" s="161" t="n">
        <v>147</v>
      </c>
      <c r="E163" s="163" t="n">
        <v>44</v>
      </c>
      <c r="F163" s="161" t="n">
        <v>113.9</v>
      </c>
      <c r="G163" s="27" t="n">
        <v>34</v>
      </c>
      <c r="H163" s="164" t="n">
        <v>100</v>
      </c>
      <c r="I163" s="165" t="n">
        <v>102000</v>
      </c>
      <c r="J163" s="165" t="inlineStr">
        <is>
          <t>고</t>
        </is>
      </c>
      <c r="K163" s="165" t="n">
        <v>45000</v>
      </c>
      <c r="L163" s="165" t="inlineStr">
        <is>
          <t>중</t>
        </is>
      </c>
      <c r="M163" s="166">
        <f>I163-K163</f>
        <v/>
      </c>
      <c r="N163" s="7">
        <f>IF(ISERROR(K163/I163),"",K163/I163)</f>
        <v/>
      </c>
      <c r="O163" s="162">
        <f>I163/E163</f>
        <v/>
      </c>
      <c r="P163" s="162">
        <f>K163/E163</f>
        <v/>
      </c>
      <c r="Q163" s="113" t="n">
        <v>4</v>
      </c>
      <c r="R163" s="113" t="n">
        <v>2</v>
      </c>
      <c r="S163" s="113" t="inlineStr">
        <is>
          <t>계</t>
        </is>
      </c>
      <c r="T163" s="8" t="n">
        <v>146</v>
      </c>
      <c r="U163" s="13" t="n"/>
      <c r="W163" s="161">
        <f>D163</f>
        <v/>
      </c>
      <c r="X163" s="163">
        <f>E163</f>
        <v/>
      </c>
      <c r="Y163" s="159">
        <f>H163</f>
        <v/>
      </c>
      <c r="Z163" s="166">
        <f>I163</f>
        <v/>
      </c>
      <c r="AA163" s="166">
        <f>K163</f>
        <v/>
      </c>
      <c r="AB163" s="166">
        <f>M163</f>
        <v/>
      </c>
      <c r="AC163" s="7">
        <f>N163</f>
        <v/>
      </c>
      <c r="AD163" s="162">
        <f>O163</f>
        <v/>
      </c>
      <c r="AE163" s="113">
        <f>S163</f>
        <v/>
      </c>
      <c r="AF163" s="113">
        <f>Q163&amp;"/"&amp;R163</f>
        <v/>
      </c>
      <c r="AH163" s="36">
        <f>IF(A163="","",A163)</f>
        <v/>
      </c>
      <c r="AI163" s="163">
        <f>IF(E163="","",E163)</f>
        <v/>
      </c>
      <c r="AJ163" s="113">
        <f>IF(AI163="","",$AJ$2)</f>
        <v/>
      </c>
      <c r="AK163" s="113" t="inlineStr">
        <is>
          <t>A</t>
        </is>
      </c>
      <c r="AL163" s="113" t="inlineStr">
        <is>
          <t>A+</t>
        </is>
      </c>
      <c r="AM163" s="113" t="inlineStr">
        <is>
          <t>B+</t>
        </is>
      </c>
      <c r="AN163" s="113">
        <f>IF(AI163="","",$AN$2)</f>
        <v/>
      </c>
      <c r="AO163" s="113">
        <f>IF(N163="","",IF(N163&gt;=$AO$1/100,"O","X"))</f>
        <v/>
      </c>
      <c r="AP163" s="113">
        <f>IF(I163="","",IF(I163&lt;=$AP$1,"O","X"))</f>
        <v/>
      </c>
      <c r="AQ163" s="113">
        <f>IF(O163="","",IF(O163&lt;=$AQ$1,"O","X"))</f>
        <v/>
      </c>
      <c r="AR163" s="113">
        <f>IF(M163="","",IF(M163&lt;=$AR$1,"O","X"))</f>
        <v/>
      </c>
      <c r="AS163" s="113" t="inlineStr">
        <is>
          <t>X</t>
        </is>
      </c>
      <c r="AT163" s="113">
        <f>IF(OR(F163="",AI163=""),"",IF(AND((F163&lt;=85),(AI163&gt;=15)),"O","X"))</f>
        <v/>
      </c>
      <c r="AU163" s="113">
        <f>IF(C163="","",IF(C163&gt;=$AU$1,"O","X"))</f>
        <v/>
      </c>
      <c r="AV163" s="113">
        <f>IF(AO163="","",IF(AND(AO163="O",AP163="O",AR163="O",AT163="O",AU163="O"),"후보","X"))</f>
        <v/>
      </c>
    </row>
    <row r="164">
      <c r="A164" s="13" t="inlineStr">
        <is>
          <t>청라한라비발디</t>
        </is>
      </c>
      <c r="B164" s="16" t="inlineStr">
        <is>
          <t>'11.10.</t>
        </is>
      </c>
      <c r="C164" s="164" t="n">
        <v>992</v>
      </c>
      <c r="D164" s="161" t="n">
        <v>171.8</v>
      </c>
      <c r="E164" s="163" t="n">
        <v>52</v>
      </c>
      <c r="F164" s="161" t="n">
        <v>133.9</v>
      </c>
      <c r="G164" s="27" t="n">
        <v>40</v>
      </c>
      <c r="H164" s="164" t="n">
        <v>100</v>
      </c>
      <c r="I164" s="165" t="n"/>
      <c r="J164" s="165" t="n"/>
      <c r="K164" s="165" t="n"/>
      <c r="L164" s="165" t="n"/>
      <c r="M164" s="166">
        <f>I164-K164</f>
        <v/>
      </c>
      <c r="N164" s="7">
        <f>IF(ISERROR(K164/I164),"",K164/I164)</f>
        <v/>
      </c>
      <c r="O164" s="162">
        <f>I164/E164</f>
        <v/>
      </c>
      <c r="P164" s="162">
        <f>K164/E164</f>
        <v/>
      </c>
      <c r="Q164" s="113" t="n">
        <v>4</v>
      </c>
      <c r="R164" s="113" t="n">
        <v>2</v>
      </c>
      <c r="S164" s="113" t="inlineStr">
        <is>
          <t>계</t>
        </is>
      </c>
      <c r="T164" s="8" t="inlineStr">
        <is>
          <t>171B</t>
        </is>
      </c>
      <c r="U164" s="13" t="n"/>
      <c r="W164" s="161">
        <f>D164</f>
        <v/>
      </c>
      <c r="X164" s="163">
        <f>E164</f>
        <v/>
      </c>
      <c r="Y164" s="159">
        <f>H164</f>
        <v/>
      </c>
      <c r="Z164" s="166">
        <f>I164</f>
        <v/>
      </c>
      <c r="AA164" s="166">
        <f>K164</f>
        <v/>
      </c>
      <c r="AB164" s="166">
        <f>M164</f>
        <v/>
      </c>
      <c r="AC164" s="7">
        <f>N164</f>
        <v/>
      </c>
      <c r="AD164" s="162">
        <f>O164</f>
        <v/>
      </c>
      <c r="AE164" s="113">
        <f>S164</f>
        <v/>
      </c>
      <c r="AF164" s="113">
        <f>Q164&amp;"/"&amp;R164</f>
        <v/>
      </c>
      <c r="AH164" s="36">
        <f>IF(A164="","",A164)</f>
        <v/>
      </c>
      <c r="AI164" s="163">
        <f>IF(E164="","",E164)</f>
        <v/>
      </c>
      <c r="AJ164" s="113">
        <f>IF(AI164="","",$AJ$2)</f>
        <v/>
      </c>
      <c r="AK164" s="113" t="inlineStr">
        <is>
          <t>A</t>
        </is>
      </c>
      <c r="AL164" s="113" t="inlineStr">
        <is>
          <t>A+</t>
        </is>
      </c>
      <c r="AM164" s="113" t="inlineStr">
        <is>
          <t>B+</t>
        </is>
      </c>
      <c r="AN164" s="113">
        <f>IF(AI164="","",$AN$2)</f>
        <v/>
      </c>
      <c r="AO164" s="113">
        <f>IF(N164="","",IF(N164&gt;=$AO$1/100,"O","X"))</f>
        <v/>
      </c>
      <c r="AP164" s="113">
        <f>IF(I164="","",IF(I164&lt;=$AP$1,"O","X"))</f>
        <v/>
      </c>
      <c r="AQ164" s="113">
        <f>IF(O164="","",IF(O164&lt;=$AQ$1,"O","X"))</f>
        <v/>
      </c>
      <c r="AR164" s="113">
        <f>IF(M164="","",IF(M164&lt;=$AR$1,"O","X"))</f>
        <v/>
      </c>
      <c r="AS164" s="113" t="inlineStr">
        <is>
          <t>X</t>
        </is>
      </c>
      <c r="AT164" s="113">
        <f>IF(OR(F164="",AI164=""),"",IF(AND((F164&lt;=85),(AI164&gt;=15)),"O","X"))</f>
        <v/>
      </c>
      <c r="AU164" s="113">
        <f>IF(C164="","",IF(C164&gt;=$AU$1,"O","X"))</f>
        <v/>
      </c>
      <c r="AV164" s="113">
        <f>IF(AO164="","",IF(AND(AO164="O",AP164="O",AR164="O",AT164="O",AU164="O"),"후보","X"))</f>
        <v/>
      </c>
    </row>
    <row r="165">
      <c r="A165" s="13" t="inlineStr">
        <is>
          <t>청라한라비발디</t>
        </is>
      </c>
      <c r="B165" s="16" t="inlineStr">
        <is>
          <t>'11.10.</t>
        </is>
      </c>
      <c r="C165" s="164" t="n">
        <v>992</v>
      </c>
      <c r="D165" s="161" t="n">
        <v>171</v>
      </c>
      <c r="E165" s="163" t="n">
        <v>52</v>
      </c>
      <c r="F165" s="161" t="n">
        <v>134</v>
      </c>
      <c r="G165" s="27" t="n">
        <v>41</v>
      </c>
      <c r="H165" s="164" t="n">
        <v>96</v>
      </c>
      <c r="I165" s="165" t="n">
        <v>180000</v>
      </c>
      <c r="J165" s="165" t="inlineStr">
        <is>
          <t>고</t>
        </is>
      </c>
      <c r="K165" s="165" t="n">
        <v>45000</v>
      </c>
      <c r="L165" s="165" t="inlineStr">
        <is>
          <t>19</t>
        </is>
      </c>
      <c r="M165" s="166">
        <f>I165-K165</f>
        <v/>
      </c>
      <c r="N165" s="7">
        <f>IF(ISERROR(K165/I165),"",K165/I165)</f>
        <v/>
      </c>
      <c r="O165" s="162">
        <f>I165/E165</f>
        <v/>
      </c>
      <c r="P165" s="162">
        <f>K165/E165</f>
        <v/>
      </c>
      <c r="Q165" s="113" t="n">
        <v>4</v>
      </c>
      <c r="R165" s="113" t="n">
        <v>2</v>
      </c>
      <c r="S165" s="113" t="inlineStr">
        <is>
          <t>계</t>
        </is>
      </c>
      <c r="T165" s="8" t="inlineStr">
        <is>
          <t>171A</t>
        </is>
      </c>
      <c r="U165" s="13" t="n"/>
      <c r="W165" s="161">
        <f>D165</f>
        <v/>
      </c>
      <c r="X165" s="163">
        <f>E165</f>
        <v/>
      </c>
      <c r="Y165" s="159">
        <f>H165</f>
        <v/>
      </c>
      <c r="Z165" s="166">
        <f>I165</f>
        <v/>
      </c>
      <c r="AA165" s="166">
        <f>K165</f>
        <v/>
      </c>
      <c r="AB165" s="166">
        <f>M165</f>
        <v/>
      </c>
      <c r="AC165" s="7">
        <f>N165</f>
        <v/>
      </c>
      <c r="AD165" s="162">
        <f>O165</f>
        <v/>
      </c>
      <c r="AE165" s="113">
        <f>S165</f>
        <v/>
      </c>
      <c r="AF165" s="113">
        <f>Q165&amp;"/"&amp;R165</f>
        <v/>
      </c>
      <c r="AH165" s="36">
        <f>IF(A165="","",A165)</f>
        <v/>
      </c>
      <c r="AI165" s="163">
        <f>IF(E165="","",E165)</f>
        <v/>
      </c>
      <c r="AJ165" s="113">
        <f>IF(AI165="","",$AJ$2)</f>
        <v/>
      </c>
      <c r="AK165" s="113" t="inlineStr">
        <is>
          <t>A</t>
        </is>
      </c>
      <c r="AL165" s="113" t="inlineStr">
        <is>
          <t>A+</t>
        </is>
      </c>
      <c r="AM165" s="113" t="inlineStr">
        <is>
          <t>B+</t>
        </is>
      </c>
      <c r="AN165" s="113">
        <f>IF(AI165="","",$AN$2)</f>
        <v/>
      </c>
      <c r="AO165" s="113">
        <f>IF(N165="","",IF(N165&gt;=$AO$1/100,"O","X"))</f>
        <v/>
      </c>
      <c r="AP165" s="113">
        <f>IF(I165="","",IF(I165&lt;=$AP$1,"O","X"))</f>
        <v/>
      </c>
      <c r="AQ165" s="113">
        <f>IF(O165="","",IF(O165&lt;=$AQ$1,"O","X"))</f>
        <v/>
      </c>
      <c r="AR165" s="113">
        <f>IF(M165="","",IF(M165&lt;=$AR$1,"O","X"))</f>
        <v/>
      </c>
      <c r="AS165" s="113" t="inlineStr">
        <is>
          <t>X</t>
        </is>
      </c>
      <c r="AT165" s="113">
        <f>IF(OR(F165="",AI165=""),"",IF(AND((F165&lt;=85),(AI165&gt;=15)),"O","X"))</f>
        <v/>
      </c>
      <c r="AU165" s="113">
        <f>IF(C165="","",IF(C165&gt;=$AU$1,"O","X"))</f>
        <v/>
      </c>
      <c r="AV165" s="113">
        <f>IF(AO165="","",IF(AND(AO165="O",AP165="O",AR165="O",AT165="O",AU165="O"),"후보","X"))</f>
        <v/>
      </c>
    </row>
    <row r="166">
      <c r="A166" s="13" t="n"/>
      <c r="B166" s="113" t="n"/>
      <c r="C166" s="10" t="n"/>
      <c r="D166" s="13" t="n"/>
      <c r="E166" s="20" t="n"/>
      <c r="F166" s="161" t="n"/>
      <c r="G166" s="13" t="n"/>
      <c r="H166" s="13" t="n"/>
      <c r="I166" s="13" t="n"/>
      <c r="J166" s="13" t="n"/>
      <c r="K166" s="13" t="n"/>
      <c r="L166" s="13" t="n"/>
      <c r="M166" s="13" t="n"/>
      <c r="N166" s="13" t="n"/>
      <c r="O166" s="162" t="n"/>
      <c r="P166" s="162" t="n"/>
      <c r="Q166" s="163" t="n"/>
      <c r="R166" s="163" t="n"/>
      <c r="S166" s="13" t="n"/>
      <c r="T166" s="70" t="n"/>
      <c r="U166" s="13" t="n"/>
      <c r="W166" s="107">
        <f>$A$4&amp;" "&amp;A167&amp;"("&amp;B167&amp;","&amp;C167&amp;"^)"</f>
        <v/>
      </c>
      <c r="X166" s="108" t="n"/>
      <c r="Y166" s="108" t="n"/>
      <c r="Z166" s="108" t="n"/>
      <c r="AA166" s="108" t="n"/>
      <c r="AB166" s="108" t="n"/>
      <c r="AC166" s="108" t="n"/>
      <c r="AD166" s="108" t="n"/>
      <c r="AE166" s="108" t="n"/>
      <c r="AF166" s="109" t="n"/>
      <c r="AH166" s="36">
        <f>IF(A166="","",A166)</f>
        <v/>
      </c>
      <c r="AI166" s="160">
        <f>IF(E166="","",E166)</f>
        <v/>
      </c>
      <c r="AJ166" s="113" t="n"/>
      <c r="AK166" s="113" t="n"/>
      <c r="AL166" s="113" t="n"/>
      <c r="AM166" s="113" t="n"/>
      <c r="AN166" s="113" t="n"/>
      <c r="AO166" s="113" t="n"/>
      <c r="AP166" s="113" t="n"/>
      <c r="AQ166" s="113" t="n"/>
      <c r="AR166" s="113" t="n"/>
      <c r="AS166" s="113" t="n"/>
      <c r="AT166" s="113" t="n"/>
      <c r="AU166" s="113" t="n"/>
      <c r="AV166" s="113" t="n"/>
    </row>
    <row r="167">
      <c r="A167" s="13" t="inlineStr">
        <is>
          <t>청라엘에이치</t>
        </is>
      </c>
      <c r="B167" s="16" t="inlineStr">
        <is>
          <t>'11.09.</t>
        </is>
      </c>
      <c r="C167" s="164" t="n">
        <v>1767</v>
      </c>
      <c r="D167" s="161" t="n">
        <v>100.2</v>
      </c>
      <c r="E167" s="163" t="n">
        <v>30</v>
      </c>
      <c r="F167" s="161" t="n">
        <v>74.7</v>
      </c>
      <c r="G167" s="27" t="n">
        <v>23</v>
      </c>
      <c r="H167" s="164" t="n">
        <v>54</v>
      </c>
      <c r="I167" s="165" t="n">
        <v>55000</v>
      </c>
      <c r="J167" s="165" t="inlineStr">
        <is>
          <t>중</t>
        </is>
      </c>
      <c r="K167" s="165" t="n">
        <v>33000</v>
      </c>
      <c r="L167" s="165" t="inlineStr">
        <is>
          <t>중</t>
        </is>
      </c>
      <c r="M167" s="166">
        <f>I167-K167</f>
        <v/>
      </c>
      <c r="N167" s="7">
        <f>IF(ISERROR(K167/I167),"",K167/I167)</f>
        <v/>
      </c>
      <c r="O167" s="162">
        <f>I167/E167</f>
        <v/>
      </c>
      <c r="P167" s="162">
        <f>K167/E167</f>
        <v/>
      </c>
      <c r="Q167" s="113" t="n">
        <v>3</v>
      </c>
      <c r="R167" s="113" t="n">
        <v>2</v>
      </c>
      <c r="S167" s="113" t="inlineStr">
        <is>
          <t>계</t>
        </is>
      </c>
      <c r="T167" s="8" t="n">
        <v>100</v>
      </c>
      <c r="U167" s="13" t="n"/>
      <c r="W167" s="161">
        <f>D167</f>
        <v/>
      </c>
      <c r="X167" s="163">
        <f>E167</f>
        <v/>
      </c>
      <c r="Y167" s="159">
        <f>H167</f>
        <v/>
      </c>
      <c r="Z167" s="166">
        <f>I167</f>
        <v/>
      </c>
      <c r="AA167" s="166">
        <f>K167</f>
        <v/>
      </c>
      <c r="AB167" s="166">
        <f>M167</f>
        <v/>
      </c>
      <c r="AC167" s="7">
        <f>N167</f>
        <v/>
      </c>
      <c r="AD167" s="162">
        <f>O167</f>
        <v/>
      </c>
      <c r="AE167" s="113">
        <f>S167</f>
        <v/>
      </c>
      <c r="AF167" s="113">
        <f>Q167&amp;"/"&amp;R167</f>
        <v/>
      </c>
      <c r="AH167" s="36">
        <f>IF(A167="","",A167)</f>
        <v/>
      </c>
      <c r="AI167" s="163">
        <f>IF(E167="","",E167)</f>
        <v/>
      </c>
      <c r="AJ167" s="113">
        <f>IF(AI167="","",$AJ$2)</f>
        <v/>
      </c>
      <c r="AK167" s="113" t="inlineStr">
        <is>
          <t>A</t>
        </is>
      </c>
      <c r="AL167" s="113" t="inlineStr">
        <is>
          <t>A+</t>
        </is>
      </c>
      <c r="AM167" s="113" t="inlineStr">
        <is>
          <t>B+</t>
        </is>
      </c>
      <c r="AN167" s="113">
        <f>IF(AI167="","",$AN$2)</f>
        <v/>
      </c>
      <c r="AO167" s="113">
        <f>IF(N167="","",IF(N167&gt;=$AO$1/100,"O","X"))</f>
        <v/>
      </c>
      <c r="AP167" s="113">
        <f>IF(I167="","",IF(I167&lt;=$AP$1,"O","X"))</f>
        <v/>
      </c>
      <c r="AQ167" s="113">
        <f>IF(O167="","",IF(O167&lt;=$AQ$1,"O","X"))</f>
        <v/>
      </c>
      <c r="AR167" s="113">
        <f>IF(M167="","",IF(M167&lt;=$AR$1,"O","X"))</f>
        <v/>
      </c>
      <c r="AS167" s="113" t="inlineStr">
        <is>
          <t>X</t>
        </is>
      </c>
      <c r="AT167" s="113">
        <f>IF(OR(F167="",AI167=""),"",IF(AND((F167&lt;=85),(AI167&gt;=15)),"O","X"))</f>
        <v/>
      </c>
      <c r="AU167" s="113">
        <f>IF(C167="","",IF(C167&gt;=$AU$1,"O","X"))</f>
        <v/>
      </c>
      <c r="AV167" s="113">
        <f>IF(AO167="","",IF(AND(AO167="O",AP167="O",AR167="O",AT167="O",AU167="O"),"후보","X"))</f>
        <v/>
      </c>
    </row>
    <row r="168">
      <c r="A168" s="13" t="inlineStr">
        <is>
          <t>청라엘에이치</t>
        </is>
      </c>
      <c r="B168" s="16" t="inlineStr">
        <is>
          <t>'11.09.</t>
        </is>
      </c>
      <c r="C168" s="164" t="n">
        <v>1767</v>
      </c>
      <c r="D168" s="161" t="n">
        <v>113.9</v>
      </c>
      <c r="E168" s="163" t="n">
        <v>34</v>
      </c>
      <c r="F168" s="161" t="n">
        <v>84.90000000000001</v>
      </c>
      <c r="G168" s="27" t="n">
        <v>26</v>
      </c>
      <c r="H168" s="164" t="n">
        <v>352</v>
      </c>
      <c r="I168" s="165" t="n"/>
      <c r="J168" s="165" t="n"/>
      <c r="K168" s="165" t="n"/>
      <c r="L168" s="165" t="n"/>
      <c r="M168" s="166">
        <f>I168-K168</f>
        <v/>
      </c>
      <c r="N168" s="7">
        <f>IF(ISERROR(K168/I168),"",K168/I168)</f>
        <v/>
      </c>
      <c r="O168" s="162">
        <f>I168/E168</f>
        <v/>
      </c>
      <c r="P168" s="162">
        <f>K168/E168</f>
        <v/>
      </c>
      <c r="Q168" s="113" t="n">
        <v>3</v>
      </c>
      <c r="R168" s="113" t="n">
        <v>2</v>
      </c>
      <c r="S168" s="113" t="inlineStr">
        <is>
          <t>계</t>
        </is>
      </c>
      <c r="T168" s="8" t="inlineStr">
        <is>
          <t>113A</t>
        </is>
      </c>
      <c r="U168" s="13" t="n"/>
      <c r="W168" s="161">
        <f>D168</f>
        <v/>
      </c>
      <c r="X168" s="163">
        <f>E168</f>
        <v/>
      </c>
      <c r="Y168" s="159">
        <f>H168</f>
        <v/>
      </c>
      <c r="Z168" s="166">
        <f>I168</f>
        <v/>
      </c>
      <c r="AA168" s="166">
        <f>K168</f>
        <v/>
      </c>
      <c r="AB168" s="166">
        <f>M168</f>
        <v/>
      </c>
      <c r="AC168" s="7">
        <f>N168</f>
        <v/>
      </c>
      <c r="AD168" s="162">
        <f>O168</f>
        <v/>
      </c>
      <c r="AE168" s="113">
        <f>S168</f>
        <v/>
      </c>
      <c r="AF168" s="113">
        <f>Q168&amp;"/"&amp;R168</f>
        <v/>
      </c>
      <c r="AH168" s="36">
        <f>IF(A168="","",A168)</f>
        <v/>
      </c>
      <c r="AI168" s="163">
        <f>IF(E168="","",E168)</f>
        <v/>
      </c>
      <c r="AJ168" s="113">
        <f>IF(AI168="","",$AJ$2)</f>
        <v/>
      </c>
      <c r="AK168" s="113" t="inlineStr">
        <is>
          <t>A</t>
        </is>
      </c>
      <c r="AL168" s="113" t="inlineStr">
        <is>
          <t>A+</t>
        </is>
      </c>
      <c r="AM168" s="113" t="inlineStr">
        <is>
          <t>B+</t>
        </is>
      </c>
      <c r="AN168" s="113">
        <f>IF(AI168="","",$AN$2)</f>
        <v/>
      </c>
      <c r="AO168" s="113">
        <f>IF(N168="","",IF(N168&gt;=$AO$1/100,"O","X"))</f>
        <v/>
      </c>
      <c r="AP168" s="113">
        <f>IF(I168="","",IF(I168&lt;=$AP$1,"O","X"))</f>
        <v/>
      </c>
      <c r="AQ168" s="113">
        <f>IF(O168="","",IF(O168&lt;=$AQ$1,"O","X"))</f>
        <v/>
      </c>
      <c r="AR168" s="113">
        <f>IF(M168="","",IF(M168&lt;=$AR$1,"O","X"))</f>
        <v/>
      </c>
      <c r="AS168" s="113" t="inlineStr">
        <is>
          <t>X</t>
        </is>
      </c>
      <c r="AT168" s="113">
        <f>IF(OR(F168="",AI168=""),"",IF(AND((F168&lt;=85),(AI168&gt;=15)),"O","X"))</f>
        <v/>
      </c>
      <c r="AU168" s="113">
        <f>IF(C168="","",IF(C168&gt;=$AU$1,"O","X"))</f>
        <v/>
      </c>
      <c r="AV168" s="113">
        <f>IF(AO168="","",IF(AND(AO168="O",AP168="O",AR168="O",AT168="O",AU168="O"),"후보","X"))</f>
        <v/>
      </c>
    </row>
    <row r="169">
      <c r="A169" s="13" t="inlineStr">
        <is>
          <t>청라엘에이치</t>
        </is>
      </c>
      <c r="B169" s="16" t="inlineStr">
        <is>
          <t>'11.09.</t>
        </is>
      </c>
      <c r="C169" s="164" t="n">
        <v>1767</v>
      </c>
      <c r="D169" s="161" t="n">
        <v>114</v>
      </c>
      <c r="E169" s="163" t="n">
        <v>34</v>
      </c>
      <c r="F169" s="161" t="n">
        <v>85</v>
      </c>
      <c r="G169" s="27" t="n">
        <v>26</v>
      </c>
      <c r="H169" s="164" t="n">
        <v>36</v>
      </c>
      <c r="I169" s="165" t="n">
        <v>70000</v>
      </c>
      <c r="J169" s="165" t="inlineStr">
        <is>
          <t>9</t>
        </is>
      </c>
      <c r="K169" s="165" t="n"/>
      <c r="L169" s="165" t="n"/>
      <c r="M169" s="166">
        <f>I169-K169</f>
        <v/>
      </c>
      <c r="N169" s="7">
        <f>IF(ISERROR(K169/I169),"",K169/I169)</f>
        <v/>
      </c>
      <c r="O169" s="162">
        <f>I169/E169</f>
        <v/>
      </c>
      <c r="P169" s="162">
        <f>K169/E169</f>
        <v/>
      </c>
      <c r="Q169" s="113" t="n">
        <v>3</v>
      </c>
      <c r="R169" s="113" t="n">
        <v>2</v>
      </c>
      <c r="S169" s="113" t="inlineStr">
        <is>
          <t>계</t>
        </is>
      </c>
      <c r="T169" s="8" t="inlineStr">
        <is>
          <t>113B</t>
        </is>
      </c>
      <c r="U169" s="13" t="n"/>
      <c r="W169" s="161">
        <f>D169</f>
        <v/>
      </c>
      <c r="X169" s="163">
        <f>E169</f>
        <v/>
      </c>
      <c r="Y169" s="159">
        <f>H169</f>
        <v/>
      </c>
      <c r="Z169" s="166">
        <f>I169</f>
        <v/>
      </c>
      <c r="AA169" s="166">
        <f>K169</f>
        <v/>
      </c>
      <c r="AB169" s="166">
        <f>M169</f>
        <v/>
      </c>
      <c r="AC169" s="7">
        <f>N169</f>
        <v/>
      </c>
      <c r="AD169" s="162">
        <f>O169</f>
        <v/>
      </c>
      <c r="AE169" s="113">
        <f>S169</f>
        <v/>
      </c>
      <c r="AF169" s="113">
        <f>Q169&amp;"/"&amp;R169</f>
        <v/>
      </c>
      <c r="AH169" s="36">
        <f>IF(A169="","",A169)</f>
        <v/>
      </c>
      <c r="AI169" s="163">
        <f>IF(E169="","",E169)</f>
        <v/>
      </c>
      <c r="AJ169" s="113">
        <f>IF(AI169="","",$AJ$2)</f>
        <v/>
      </c>
      <c r="AK169" s="113" t="inlineStr">
        <is>
          <t>A</t>
        </is>
      </c>
      <c r="AL169" s="113" t="inlineStr">
        <is>
          <t>A+</t>
        </is>
      </c>
      <c r="AM169" s="113" t="inlineStr">
        <is>
          <t>B+</t>
        </is>
      </c>
      <c r="AN169" s="113">
        <f>IF(AI169="","",$AN$2)</f>
        <v/>
      </c>
      <c r="AO169" s="113">
        <f>IF(N169="","",IF(N169&gt;=$AO$1/100,"O","X"))</f>
        <v/>
      </c>
      <c r="AP169" s="113">
        <f>IF(I169="","",IF(I169&lt;=$AP$1,"O","X"))</f>
        <v/>
      </c>
      <c r="AQ169" s="113">
        <f>IF(O169="","",IF(O169&lt;=$AQ$1,"O","X"))</f>
        <v/>
      </c>
      <c r="AR169" s="113">
        <f>IF(M169="","",IF(M169&lt;=$AR$1,"O","X"))</f>
        <v/>
      </c>
      <c r="AS169" s="113" t="inlineStr">
        <is>
          <t>X</t>
        </is>
      </c>
      <c r="AT169" s="113">
        <f>IF(OR(F169="",AI169=""),"",IF(AND((F169&lt;=85),(AI169&gt;=15)),"O","X"))</f>
        <v/>
      </c>
      <c r="AU169" s="113">
        <f>IF(C169="","",IF(C169&gt;=$AU$1,"O","X"))</f>
        <v/>
      </c>
      <c r="AV169" s="113">
        <f>IF(AO169="","",IF(AND(AO169="O",AP169="O",AR169="O",AT169="O",AU169="O"),"후보","X"))</f>
        <v/>
      </c>
    </row>
    <row r="170">
      <c r="A170" s="13" t="inlineStr">
        <is>
          <t>청라엘에이치</t>
        </is>
      </c>
      <c r="B170" s="16" t="inlineStr">
        <is>
          <t>'11.09.</t>
        </is>
      </c>
      <c r="C170" s="164" t="n">
        <v>1767</v>
      </c>
      <c r="D170" s="161" t="n">
        <v>113.8</v>
      </c>
      <c r="E170" s="163" t="n">
        <v>34</v>
      </c>
      <c r="F170" s="161" t="n">
        <v>84.8</v>
      </c>
      <c r="G170" s="27" t="n">
        <v>26</v>
      </c>
      <c r="H170" s="164" t="n">
        <v>35</v>
      </c>
      <c r="I170" s="165" t="n">
        <v>57000</v>
      </c>
      <c r="J170" s="165" t="inlineStr">
        <is>
          <t>14</t>
        </is>
      </c>
      <c r="K170" s="165" t="n"/>
      <c r="L170" s="165" t="n"/>
      <c r="M170" s="166">
        <f>I170-K170</f>
        <v/>
      </c>
      <c r="N170" s="7">
        <f>IF(ISERROR(K170/I170),"",K170/I170)</f>
        <v/>
      </c>
      <c r="O170" s="162">
        <f>I170/E170</f>
        <v/>
      </c>
      <c r="P170" s="162">
        <f>K170/E170</f>
        <v/>
      </c>
      <c r="Q170" s="113" t="n">
        <v>3</v>
      </c>
      <c r="R170" s="113" t="n">
        <v>2</v>
      </c>
      <c r="S170" s="113" t="inlineStr">
        <is>
          <t>계</t>
        </is>
      </c>
      <c r="T170" s="8" t="inlineStr">
        <is>
          <t>113C</t>
        </is>
      </c>
      <c r="U170" s="13" t="n"/>
      <c r="W170" s="161">
        <f>D170</f>
        <v/>
      </c>
      <c r="X170" s="163">
        <f>E170</f>
        <v/>
      </c>
      <c r="Y170" s="159">
        <f>H170</f>
        <v/>
      </c>
      <c r="Z170" s="166">
        <f>I170</f>
        <v/>
      </c>
      <c r="AA170" s="166">
        <f>K170</f>
        <v/>
      </c>
      <c r="AB170" s="166">
        <f>M170</f>
        <v/>
      </c>
      <c r="AC170" s="7">
        <f>N170</f>
        <v/>
      </c>
      <c r="AD170" s="162">
        <f>O170</f>
        <v/>
      </c>
      <c r="AE170" s="113">
        <f>S170</f>
        <v/>
      </c>
      <c r="AF170" s="113">
        <f>Q170&amp;"/"&amp;R170</f>
        <v/>
      </c>
      <c r="AH170" s="36">
        <f>IF(A170="","",A170)</f>
        <v/>
      </c>
      <c r="AI170" s="163">
        <f>IF(E170="","",E170)</f>
        <v/>
      </c>
      <c r="AJ170" s="113">
        <f>IF(AI170="","",$AJ$2)</f>
        <v/>
      </c>
      <c r="AK170" s="113" t="inlineStr">
        <is>
          <t>A</t>
        </is>
      </c>
      <c r="AL170" s="113" t="inlineStr">
        <is>
          <t>A+</t>
        </is>
      </c>
      <c r="AM170" s="113" t="inlineStr">
        <is>
          <t>B+</t>
        </is>
      </c>
      <c r="AN170" s="113">
        <f>IF(AI170="","",$AN$2)</f>
        <v/>
      </c>
      <c r="AO170" s="113">
        <f>IF(N170="","",IF(N170&gt;=$AO$1/100,"O","X"))</f>
        <v/>
      </c>
      <c r="AP170" s="113">
        <f>IF(I170="","",IF(I170&lt;=$AP$1,"O","X"))</f>
        <v/>
      </c>
      <c r="AQ170" s="113">
        <f>IF(O170="","",IF(O170&lt;=$AQ$1,"O","X"))</f>
        <v/>
      </c>
      <c r="AR170" s="113">
        <f>IF(M170="","",IF(M170&lt;=$AR$1,"O","X"))</f>
        <v/>
      </c>
      <c r="AS170" s="113" t="inlineStr">
        <is>
          <t>X</t>
        </is>
      </c>
      <c r="AT170" s="113">
        <f>IF(OR(F170="",AI170=""),"",IF(AND((F170&lt;=85),(AI170&gt;=15)),"O","X"))</f>
        <v/>
      </c>
      <c r="AU170" s="113">
        <f>IF(C170="","",IF(C170&gt;=$AU$1,"O","X"))</f>
        <v/>
      </c>
      <c r="AV170" s="113">
        <f>IF(AO170="","",IF(AND(AO170="O",AP170="O",AR170="O",AT170="O",AU170="O"),"후보","X"))</f>
        <v/>
      </c>
    </row>
    <row r="171">
      <c r="A171" s="13" t="inlineStr">
        <is>
          <t>청라엘에이치</t>
        </is>
      </c>
      <c r="B171" s="16" t="inlineStr">
        <is>
          <t>'11.09.</t>
        </is>
      </c>
      <c r="C171" s="164" t="n">
        <v>1767</v>
      </c>
      <c r="D171" s="161" t="n">
        <v>113.8</v>
      </c>
      <c r="E171" s="163" t="n">
        <v>34</v>
      </c>
      <c r="F171" s="161" t="n">
        <v>84.8</v>
      </c>
      <c r="G171" s="27" t="n">
        <v>26</v>
      </c>
      <c r="H171" s="164" t="n">
        <v>35</v>
      </c>
      <c r="I171" s="165" t="n">
        <v>57000</v>
      </c>
      <c r="J171" s="165" t="inlineStr">
        <is>
          <t>14</t>
        </is>
      </c>
      <c r="K171" s="165" t="n"/>
      <c r="L171" s="165" t="n"/>
      <c r="M171" s="166">
        <f>I171-K171</f>
        <v/>
      </c>
      <c r="N171" s="7">
        <f>IF(ISERROR(K171/I171),"",K171/I171)</f>
        <v/>
      </c>
      <c r="O171" s="162">
        <f>I171/E171</f>
        <v/>
      </c>
      <c r="P171" s="162">
        <f>K171/E171</f>
        <v/>
      </c>
      <c r="Q171" s="113" t="n">
        <v>3</v>
      </c>
      <c r="R171" s="113" t="n">
        <v>2</v>
      </c>
      <c r="S171" s="113" t="inlineStr">
        <is>
          <t>계</t>
        </is>
      </c>
      <c r="T171" s="8" t="inlineStr">
        <is>
          <t>113D</t>
        </is>
      </c>
      <c r="U171" s="13" t="n"/>
      <c r="W171" s="161">
        <f>D171</f>
        <v/>
      </c>
      <c r="X171" s="163">
        <f>E171</f>
        <v/>
      </c>
      <c r="Y171" s="159">
        <f>H171</f>
        <v/>
      </c>
      <c r="Z171" s="166">
        <f>I171</f>
        <v/>
      </c>
      <c r="AA171" s="166">
        <f>K171</f>
        <v/>
      </c>
      <c r="AB171" s="166">
        <f>M171</f>
        <v/>
      </c>
      <c r="AC171" s="7">
        <f>N171</f>
        <v/>
      </c>
      <c r="AD171" s="162">
        <f>O171</f>
        <v/>
      </c>
      <c r="AE171" s="113">
        <f>S171</f>
        <v/>
      </c>
      <c r="AF171" s="113">
        <f>Q171&amp;"/"&amp;R171</f>
        <v/>
      </c>
      <c r="AH171" s="36">
        <f>IF(A171="","",A171)</f>
        <v/>
      </c>
      <c r="AI171" s="163">
        <f>IF(E171="","",E171)</f>
        <v/>
      </c>
      <c r="AJ171" s="113">
        <f>IF(AI171="","",$AJ$2)</f>
        <v/>
      </c>
      <c r="AK171" s="113" t="inlineStr">
        <is>
          <t>A</t>
        </is>
      </c>
      <c r="AL171" s="113" t="inlineStr">
        <is>
          <t>A+</t>
        </is>
      </c>
      <c r="AM171" s="113" t="inlineStr">
        <is>
          <t>B+</t>
        </is>
      </c>
      <c r="AN171" s="113">
        <f>IF(AI171="","",$AN$2)</f>
        <v/>
      </c>
      <c r="AO171" s="113">
        <f>IF(N171="","",IF(N171&gt;=$AO$1/100,"O","X"))</f>
        <v/>
      </c>
      <c r="AP171" s="113">
        <f>IF(I171="","",IF(I171&lt;=$AP$1,"O","X"))</f>
        <v/>
      </c>
      <c r="AQ171" s="113">
        <f>IF(O171="","",IF(O171&lt;=$AQ$1,"O","X"))</f>
        <v/>
      </c>
      <c r="AR171" s="113">
        <f>IF(M171="","",IF(M171&lt;=$AR$1,"O","X"))</f>
        <v/>
      </c>
      <c r="AS171" s="113" t="inlineStr">
        <is>
          <t>X</t>
        </is>
      </c>
      <c r="AT171" s="113">
        <f>IF(OR(F171="",AI171=""),"",IF(AND((F171&lt;=85),(AI171&gt;=15)),"O","X"))</f>
        <v/>
      </c>
      <c r="AU171" s="113">
        <f>IF(C171="","",IF(C171&gt;=$AU$1,"O","X"))</f>
        <v/>
      </c>
      <c r="AV171" s="113">
        <f>IF(AO171="","",IF(AND(AO171="O",AP171="O",AR171="O",AT171="O",AU171="O"),"후보","X"))</f>
        <v/>
      </c>
    </row>
    <row r="172">
      <c r="A172" s="13" t="n"/>
      <c r="B172" s="113" t="n"/>
      <c r="C172" s="10" t="n"/>
      <c r="D172" s="13" t="n"/>
      <c r="E172" s="20" t="n"/>
      <c r="F172" s="161" t="n"/>
      <c r="G172" s="13" t="n"/>
      <c r="H172" s="13" t="n"/>
      <c r="I172" s="13" t="n"/>
      <c r="J172" s="13" t="n"/>
      <c r="K172" s="13" t="n"/>
      <c r="L172" s="13" t="n"/>
      <c r="M172" s="13" t="n"/>
      <c r="N172" s="13" t="n"/>
      <c r="O172" s="162" t="n"/>
      <c r="P172" s="162" t="n"/>
      <c r="Q172" s="163" t="n"/>
      <c r="R172" s="163" t="n"/>
      <c r="S172" s="13" t="n"/>
      <c r="T172" s="70" t="n"/>
      <c r="U172" s="13" t="n"/>
      <c r="W172" s="107">
        <f>$A$4&amp;" "&amp;A173&amp;"("&amp;B173&amp;","&amp;C173&amp;"^)"</f>
        <v/>
      </c>
      <c r="X172" s="108" t="n"/>
      <c r="Y172" s="108" t="n"/>
      <c r="Z172" s="108" t="n"/>
      <c r="AA172" s="108" t="n"/>
      <c r="AB172" s="108" t="n"/>
      <c r="AC172" s="108" t="n"/>
      <c r="AD172" s="108" t="n"/>
      <c r="AE172" s="108" t="n"/>
      <c r="AF172" s="109" t="n"/>
      <c r="AH172" s="36">
        <f>IF(A172="","",A172)</f>
        <v/>
      </c>
      <c r="AI172" s="160">
        <f>IF(E172="","",E172)</f>
        <v/>
      </c>
      <c r="AJ172" s="113" t="n"/>
      <c r="AK172" s="113" t="n"/>
      <c r="AL172" s="113" t="n"/>
      <c r="AM172" s="113" t="n"/>
      <c r="AN172" s="113" t="n"/>
      <c r="AO172" s="113" t="n"/>
      <c r="AP172" s="113" t="n"/>
      <c r="AQ172" s="113" t="n"/>
      <c r="AR172" s="113" t="n"/>
      <c r="AS172" s="113" t="n"/>
      <c r="AT172" s="113" t="n"/>
      <c r="AU172" s="113" t="n"/>
      <c r="AV172" s="113" t="n"/>
    </row>
    <row r="173">
      <c r="A173" s="13" t="inlineStr">
        <is>
          <t>청라힐데스하임</t>
        </is>
      </c>
      <c r="B173" s="16" t="inlineStr">
        <is>
          <t>'11.07.</t>
        </is>
      </c>
      <c r="C173" s="164" t="n">
        <v>1284</v>
      </c>
      <c r="D173" s="161" t="n">
        <v>84.2</v>
      </c>
      <c r="E173" s="163" t="n">
        <v>25</v>
      </c>
      <c r="F173" s="161" t="n">
        <v>59.9</v>
      </c>
      <c r="G173" s="27" t="n">
        <v>18</v>
      </c>
      <c r="H173" s="164" t="n">
        <v>240</v>
      </c>
      <c r="I173" s="165" t="n">
        <v>60000</v>
      </c>
      <c r="J173" s="165" t="inlineStr">
        <is>
          <t>고</t>
        </is>
      </c>
      <c r="K173" s="165" t="n">
        <v>38000</v>
      </c>
      <c r="L173" s="165" t="inlineStr">
        <is>
          <t>고</t>
        </is>
      </c>
      <c r="M173" s="166">
        <f>I173-K173</f>
        <v/>
      </c>
      <c r="N173" s="7">
        <f>IF(ISERROR(K173/I173),"",K173/I173)</f>
        <v/>
      </c>
      <c r="O173" s="162">
        <f>I173/E173</f>
        <v/>
      </c>
      <c r="P173" s="162">
        <f>K173/E173</f>
        <v/>
      </c>
      <c r="Q173" s="113" t="n">
        <v>3</v>
      </c>
      <c r="R173" s="113" t="n">
        <v>2</v>
      </c>
      <c r="S173" s="113" t="inlineStr">
        <is>
          <t>합</t>
        </is>
      </c>
      <c r="T173" s="8" t="inlineStr">
        <is>
          <t>84D</t>
        </is>
      </c>
      <c r="U173" s="13" t="n"/>
      <c r="W173" s="161">
        <f>D173</f>
        <v/>
      </c>
      <c r="X173" s="163">
        <f>E173</f>
        <v/>
      </c>
      <c r="Y173" s="159">
        <f>H173</f>
        <v/>
      </c>
      <c r="Z173" s="166">
        <f>I173</f>
        <v/>
      </c>
      <c r="AA173" s="166">
        <f>K173</f>
        <v/>
      </c>
      <c r="AB173" s="166">
        <f>M173</f>
        <v/>
      </c>
      <c r="AC173" s="7">
        <f>N173</f>
        <v/>
      </c>
      <c r="AD173" s="162">
        <f>O173</f>
        <v/>
      </c>
      <c r="AE173" s="113">
        <f>S173</f>
        <v/>
      </c>
      <c r="AF173" s="113">
        <f>Q173&amp;"/"&amp;R173</f>
        <v/>
      </c>
      <c r="AH173" s="36">
        <f>IF(A173="","",A173)</f>
        <v/>
      </c>
      <c r="AI173" s="163">
        <f>IF(E173="","",E173)</f>
        <v/>
      </c>
      <c r="AJ173" s="113">
        <f>IF(AI173="","",$AJ$2)</f>
        <v/>
      </c>
      <c r="AK173" s="113" t="inlineStr">
        <is>
          <t>A</t>
        </is>
      </c>
      <c r="AL173" s="113" t="inlineStr">
        <is>
          <t>A+</t>
        </is>
      </c>
      <c r="AM173" s="113" t="inlineStr">
        <is>
          <t>B+</t>
        </is>
      </c>
      <c r="AN173" s="113">
        <f>IF(AI173="","",$AN$2)</f>
        <v/>
      </c>
      <c r="AO173" s="113">
        <f>IF(N173="","",IF(N173&gt;=$AO$1/100,"O","X"))</f>
        <v/>
      </c>
      <c r="AP173" s="113">
        <f>IF(I173="","",IF(I173&lt;=$AP$1,"O","X"))</f>
        <v/>
      </c>
      <c r="AQ173" s="113">
        <f>IF(O173="","",IF(O173&lt;=$AQ$1,"O","X"))</f>
        <v/>
      </c>
      <c r="AR173" s="113">
        <f>IF(M173="","",IF(M173&lt;=$AR$1,"O","X"))</f>
        <v/>
      </c>
      <c r="AS173" s="113" t="inlineStr">
        <is>
          <t>X</t>
        </is>
      </c>
      <c r="AT173" s="113">
        <f>IF(OR(F173="",AI173=""),"",IF(AND((F173&lt;=85),(AI173&gt;=15)),"O","X"))</f>
        <v/>
      </c>
      <c r="AU173" s="113">
        <f>IF(C173="","",IF(C173&gt;=$AU$1,"O","X"))</f>
        <v/>
      </c>
      <c r="AV173" s="113">
        <f>IF(AO173="","",IF(AND(AO173="O",AP173="O",AR173="O",AT173="O",AU173="O"),"후보","X"))</f>
        <v/>
      </c>
    </row>
    <row r="174">
      <c r="A174" s="13" t="inlineStr">
        <is>
          <t>청라힐데스하임</t>
        </is>
      </c>
      <c r="B174" s="16" t="inlineStr">
        <is>
          <t>'11.07.</t>
        </is>
      </c>
      <c r="C174" s="164" t="n">
        <v>1284</v>
      </c>
      <c r="D174" s="161" t="n">
        <v>85.8</v>
      </c>
      <c r="E174" s="163" t="n">
        <v>26</v>
      </c>
      <c r="F174" s="161" t="n">
        <v>59.9</v>
      </c>
      <c r="G174" s="27" t="n">
        <v>18</v>
      </c>
      <c r="H174" s="164" t="n">
        <v>352</v>
      </c>
      <c r="I174" s="165" t="n">
        <v>54000</v>
      </c>
      <c r="J174" s="165" t="inlineStr">
        <is>
          <t>10</t>
        </is>
      </c>
      <c r="K174" s="165" t="n">
        <v>30000</v>
      </c>
      <c r="L174" s="165" t="inlineStr">
        <is>
          <t>10</t>
        </is>
      </c>
      <c r="M174" s="166">
        <f>I174-K174</f>
        <v/>
      </c>
      <c r="N174" s="7">
        <f>IF(ISERROR(K174/I174),"",K174/I174)</f>
        <v/>
      </c>
      <c r="O174" s="162">
        <f>I174/E174</f>
        <v/>
      </c>
      <c r="P174" s="162">
        <f>K174/E174</f>
        <v/>
      </c>
      <c r="Q174" s="113" t="n">
        <v>3</v>
      </c>
      <c r="R174" s="113" t="n">
        <v>2</v>
      </c>
      <c r="S174" s="113" t="inlineStr">
        <is>
          <t>합</t>
        </is>
      </c>
      <c r="T174" s="8" t="inlineStr">
        <is>
          <t>85B</t>
        </is>
      </c>
      <c r="U174" s="13" t="n"/>
      <c r="W174" s="161">
        <f>D174</f>
        <v/>
      </c>
      <c r="X174" s="163">
        <f>E174</f>
        <v/>
      </c>
      <c r="Y174" s="159">
        <f>H174</f>
        <v/>
      </c>
      <c r="Z174" s="166">
        <f>I174</f>
        <v/>
      </c>
      <c r="AA174" s="166">
        <f>K174</f>
        <v/>
      </c>
      <c r="AB174" s="166">
        <f>M174</f>
        <v/>
      </c>
      <c r="AC174" s="7">
        <f>N174</f>
        <v/>
      </c>
      <c r="AD174" s="162">
        <f>O174</f>
        <v/>
      </c>
      <c r="AE174" s="113">
        <f>S174</f>
        <v/>
      </c>
      <c r="AF174" s="113">
        <f>Q174&amp;"/"&amp;R174</f>
        <v/>
      </c>
      <c r="AH174" s="36">
        <f>IF(A174="","",A174)</f>
        <v/>
      </c>
      <c r="AI174" s="163">
        <f>IF(E174="","",E174)</f>
        <v/>
      </c>
      <c r="AJ174" s="113">
        <f>IF(AI174="","",$AJ$2)</f>
        <v/>
      </c>
      <c r="AK174" s="113" t="inlineStr">
        <is>
          <t>A</t>
        </is>
      </c>
      <c r="AL174" s="113" t="inlineStr">
        <is>
          <t>A+</t>
        </is>
      </c>
      <c r="AM174" s="113" t="inlineStr">
        <is>
          <t>B+</t>
        </is>
      </c>
      <c r="AN174" s="113">
        <f>IF(AI174="","",$AN$2)</f>
        <v/>
      </c>
      <c r="AO174" s="113">
        <f>IF(N174="","",IF(N174&gt;=$AO$1/100,"O","X"))</f>
        <v/>
      </c>
      <c r="AP174" s="113">
        <f>IF(I174="","",IF(I174&lt;=$AP$1,"O","X"))</f>
        <v/>
      </c>
      <c r="AQ174" s="113">
        <f>IF(O174="","",IF(O174&lt;=$AQ$1,"O","X"))</f>
        <v/>
      </c>
      <c r="AR174" s="113">
        <f>IF(M174="","",IF(M174&lt;=$AR$1,"O","X"))</f>
        <v/>
      </c>
      <c r="AS174" s="113" t="inlineStr">
        <is>
          <t>X</t>
        </is>
      </c>
      <c r="AT174" s="113">
        <f>IF(OR(F174="",AI174=""),"",IF(AND((F174&lt;=85),(AI174&gt;=15)),"O","X"))</f>
        <v/>
      </c>
      <c r="AU174" s="113">
        <f>IF(C174="","",IF(C174&gt;=$AU$1,"O","X"))</f>
        <v/>
      </c>
      <c r="AV174" s="113">
        <f>IF(AO174="","",IF(AND(AO174="O",AP174="O",AR174="O",AT174="O",AU174="O"),"후보","X"))</f>
        <v/>
      </c>
    </row>
    <row r="175">
      <c r="A175" s="13" t="inlineStr">
        <is>
          <t>청라힐데스하임</t>
        </is>
      </c>
      <c r="B175" s="16" t="inlineStr">
        <is>
          <t>'11.07.</t>
        </is>
      </c>
      <c r="C175" s="164" t="n">
        <v>1284</v>
      </c>
      <c r="D175" s="161" t="n">
        <v>85.8</v>
      </c>
      <c r="E175" s="163" t="n">
        <v>26</v>
      </c>
      <c r="F175" s="161" t="n">
        <v>59.9</v>
      </c>
      <c r="G175" s="27" t="n">
        <v>18</v>
      </c>
      <c r="H175" s="164" t="n">
        <v>344</v>
      </c>
      <c r="I175" s="165" t="n">
        <v>54000</v>
      </c>
      <c r="J175" s="165" t="inlineStr">
        <is>
          <t>10</t>
        </is>
      </c>
      <c r="K175" s="165" t="n">
        <v>30000</v>
      </c>
      <c r="L175" s="165" t="inlineStr">
        <is>
          <t>10</t>
        </is>
      </c>
      <c r="M175" s="166">
        <f>I175-K175</f>
        <v/>
      </c>
      <c r="N175" s="7">
        <f>IF(ISERROR(K175/I175),"",K175/I175)</f>
        <v/>
      </c>
      <c r="O175" s="162">
        <f>I175/E175</f>
        <v/>
      </c>
      <c r="P175" s="162">
        <f>K175/E175</f>
        <v/>
      </c>
      <c r="Q175" s="113" t="n">
        <v>3</v>
      </c>
      <c r="R175" s="113" t="n">
        <v>2</v>
      </c>
      <c r="S175" s="113" t="inlineStr">
        <is>
          <t>합</t>
        </is>
      </c>
      <c r="T175" s="8" t="inlineStr">
        <is>
          <t>85A</t>
        </is>
      </c>
      <c r="U175" s="13" t="n"/>
      <c r="W175" s="161">
        <f>D175</f>
        <v/>
      </c>
      <c r="X175" s="163">
        <f>E175</f>
        <v/>
      </c>
      <c r="Y175" s="159">
        <f>H175</f>
        <v/>
      </c>
      <c r="Z175" s="166">
        <f>I175</f>
        <v/>
      </c>
      <c r="AA175" s="166">
        <f>K175</f>
        <v/>
      </c>
      <c r="AB175" s="166">
        <f>M175</f>
        <v/>
      </c>
      <c r="AC175" s="7">
        <f>N175</f>
        <v/>
      </c>
      <c r="AD175" s="162">
        <f>O175</f>
        <v/>
      </c>
      <c r="AE175" s="113">
        <f>S175</f>
        <v/>
      </c>
      <c r="AF175" s="113">
        <f>Q175&amp;"/"&amp;R175</f>
        <v/>
      </c>
      <c r="AH175" s="36">
        <f>IF(A175="","",A175)</f>
        <v/>
      </c>
      <c r="AI175" s="163">
        <f>IF(E175="","",E175)</f>
        <v/>
      </c>
      <c r="AJ175" s="113">
        <f>IF(AI175="","",$AJ$2)</f>
        <v/>
      </c>
      <c r="AK175" s="113" t="inlineStr">
        <is>
          <t>A</t>
        </is>
      </c>
      <c r="AL175" s="113" t="inlineStr">
        <is>
          <t>A+</t>
        </is>
      </c>
      <c r="AM175" s="113" t="inlineStr">
        <is>
          <t>B+</t>
        </is>
      </c>
      <c r="AN175" s="113">
        <f>IF(AI175="","",$AN$2)</f>
        <v/>
      </c>
      <c r="AO175" s="113">
        <f>IF(N175="","",IF(N175&gt;=$AO$1/100,"O","X"))</f>
        <v/>
      </c>
      <c r="AP175" s="113">
        <f>IF(I175="","",IF(I175&lt;=$AP$1,"O","X"))</f>
        <v/>
      </c>
      <c r="AQ175" s="113">
        <f>IF(O175="","",IF(O175&lt;=$AQ$1,"O","X"))</f>
        <v/>
      </c>
      <c r="AR175" s="113">
        <f>IF(M175="","",IF(M175&lt;=$AR$1,"O","X"))</f>
        <v/>
      </c>
      <c r="AS175" s="113" t="inlineStr">
        <is>
          <t>X</t>
        </is>
      </c>
      <c r="AT175" s="113">
        <f>IF(OR(F175="",AI175=""),"",IF(AND((F175&lt;=85),(AI175&gt;=15)),"O","X"))</f>
        <v/>
      </c>
      <c r="AU175" s="113">
        <f>IF(C175="","",IF(C175&gt;=$AU$1,"O","X"))</f>
        <v/>
      </c>
      <c r="AV175" s="113">
        <f>IF(AO175="","",IF(AND(AO175="O",AP175="O",AR175="O",AT175="O",AU175="O"),"후보","X"))</f>
        <v/>
      </c>
    </row>
    <row r="176">
      <c r="A176" s="13" t="inlineStr">
        <is>
          <t>청라힐데스하임</t>
        </is>
      </c>
      <c r="B176" s="16" t="inlineStr">
        <is>
          <t>'11.07.</t>
        </is>
      </c>
      <c r="C176" s="164" t="n">
        <v>1284</v>
      </c>
      <c r="D176" s="161" t="n">
        <v>86.2</v>
      </c>
      <c r="E176" s="163" t="n">
        <v>26</v>
      </c>
      <c r="F176" s="161" t="n">
        <v>59.9</v>
      </c>
      <c r="G176" s="27" t="n">
        <v>18</v>
      </c>
      <c r="H176" s="164" t="n">
        <v>348</v>
      </c>
      <c r="I176" s="165" t="n">
        <v>55000</v>
      </c>
      <c r="J176" s="165" t="inlineStr">
        <is>
          <t>22</t>
        </is>
      </c>
      <c r="K176" s="165" t="n">
        <v>32000</v>
      </c>
      <c r="L176" s="165" t="inlineStr">
        <is>
          <t>고</t>
        </is>
      </c>
      <c r="M176" s="166">
        <f>I176-K176</f>
        <v/>
      </c>
      <c r="N176" s="7">
        <f>IF(ISERROR(K176/I176),"",K176/I176)</f>
        <v/>
      </c>
      <c r="O176" s="162">
        <f>I176/E176</f>
        <v/>
      </c>
      <c r="P176" s="162">
        <f>K176/E176</f>
        <v/>
      </c>
      <c r="Q176" s="113" t="n">
        <v>3</v>
      </c>
      <c r="R176" s="113" t="n">
        <v>2</v>
      </c>
      <c r="S176" s="113" t="inlineStr">
        <is>
          <t>합</t>
        </is>
      </c>
      <c r="T176" s="8" t="inlineStr">
        <is>
          <t>86C</t>
        </is>
      </c>
      <c r="U176" s="13" t="n"/>
      <c r="W176" s="161">
        <f>D176</f>
        <v/>
      </c>
      <c r="X176" s="163">
        <f>E176</f>
        <v/>
      </c>
      <c r="Y176" s="159">
        <f>H176</f>
        <v/>
      </c>
      <c r="Z176" s="166">
        <f>I176</f>
        <v/>
      </c>
      <c r="AA176" s="166">
        <f>K176</f>
        <v/>
      </c>
      <c r="AB176" s="166">
        <f>M176</f>
        <v/>
      </c>
      <c r="AC176" s="7">
        <f>N176</f>
        <v/>
      </c>
      <c r="AD176" s="162">
        <f>O176</f>
        <v/>
      </c>
      <c r="AE176" s="113">
        <f>S176</f>
        <v/>
      </c>
      <c r="AF176" s="113">
        <f>Q176&amp;"/"&amp;R176</f>
        <v/>
      </c>
      <c r="AH176" s="36">
        <f>IF(A176="","",A176)</f>
        <v/>
      </c>
      <c r="AI176" s="163">
        <f>IF(E176="","",E176)</f>
        <v/>
      </c>
      <c r="AJ176" s="113">
        <f>IF(AI176="","",$AJ$2)</f>
        <v/>
      </c>
      <c r="AK176" s="113" t="inlineStr">
        <is>
          <t>A</t>
        </is>
      </c>
      <c r="AL176" s="113" t="inlineStr">
        <is>
          <t>A+</t>
        </is>
      </c>
      <c r="AM176" s="113" t="inlineStr">
        <is>
          <t>B+</t>
        </is>
      </c>
      <c r="AN176" s="113">
        <f>IF(AI176="","",$AN$2)</f>
        <v/>
      </c>
      <c r="AO176" s="113">
        <f>IF(N176="","",IF(N176&gt;=$AO$1/100,"O","X"))</f>
        <v/>
      </c>
      <c r="AP176" s="113">
        <f>IF(I176="","",IF(I176&lt;=$AP$1,"O","X"))</f>
        <v/>
      </c>
      <c r="AQ176" s="113">
        <f>IF(O176="","",IF(O176&lt;=$AQ$1,"O","X"))</f>
        <v/>
      </c>
      <c r="AR176" s="113">
        <f>IF(M176="","",IF(M176&lt;=$AR$1,"O","X"))</f>
        <v/>
      </c>
      <c r="AS176" s="113" t="inlineStr">
        <is>
          <t>X</t>
        </is>
      </c>
      <c r="AT176" s="113">
        <f>IF(OR(F176="",AI176=""),"",IF(AND((F176&lt;=85),(AI176&gt;=15)),"O","X"))</f>
        <v/>
      </c>
      <c r="AU176" s="113">
        <f>IF(C176="","",IF(C176&gt;=$AU$1,"O","X"))</f>
        <v/>
      </c>
      <c r="AV176" s="113">
        <f>IF(AO176="","",IF(AND(AO176="O",AP176="O",AR176="O",AT176="O",AU176="O"),"후보","X"))</f>
        <v/>
      </c>
    </row>
    <row r="177">
      <c r="A177" s="13" t="n"/>
      <c r="B177" s="113" t="n"/>
      <c r="C177" s="10" t="n"/>
      <c r="D177" s="13" t="n"/>
      <c r="E177" s="20" t="n"/>
      <c r="F177" s="161" t="n"/>
      <c r="G177" s="13" t="n"/>
      <c r="H177" s="13" t="n"/>
      <c r="I177" s="13" t="n"/>
      <c r="J177" s="13" t="n"/>
      <c r="K177" s="13" t="n"/>
      <c r="L177" s="13" t="n"/>
      <c r="M177" s="13" t="n"/>
      <c r="N177" s="13" t="n"/>
      <c r="O177" s="162" t="n"/>
      <c r="P177" s="162" t="n"/>
      <c r="Q177" s="163" t="n"/>
      <c r="R177" s="163" t="n"/>
      <c r="S177" s="13" t="n"/>
      <c r="T177" s="70" t="n"/>
      <c r="U177" s="13" t="n"/>
      <c r="W177" s="107">
        <f>$A$4&amp;" "&amp;A178&amp;"("&amp;B178&amp;","&amp;C178&amp;"^)"</f>
        <v/>
      </c>
      <c r="X177" s="108" t="n"/>
      <c r="Y177" s="108" t="n"/>
      <c r="Z177" s="108" t="n"/>
      <c r="AA177" s="108" t="n"/>
      <c r="AB177" s="108" t="n"/>
      <c r="AC177" s="108" t="n"/>
      <c r="AD177" s="108" t="n"/>
      <c r="AE177" s="108" t="n"/>
      <c r="AF177" s="109" t="n"/>
      <c r="AH177" s="36">
        <f>IF(A177="","",A177)</f>
        <v/>
      </c>
      <c r="AI177" s="160">
        <f>IF(E177="","",E177)</f>
        <v/>
      </c>
      <c r="AJ177" s="113" t="n"/>
      <c r="AK177" s="113" t="n"/>
      <c r="AL177" s="113" t="n"/>
      <c r="AM177" s="113" t="n"/>
      <c r="AN177" s="113" t="n"/>
      <c r="AO177" s="113" t="n"/>
      <c r="AP177" s="113" t="n"/>
      <c r="AQ177" s="113" t="n"/>
      <c r="AR177" s="113" t="n"/>
      <c r="AS177" s="113" t="n"/>
      <c r="AT177" s="113" t="n"/>
      <c r="AU177" s="113" t="n"/>
      <c r="AV177" s="113" t="n"/>
    </row>
    <row r="178">
      <c r="A178" s="13" t="inlineStr">
        <is>
          <t>청라골드클래스커낼웨이</t>
        </is>
      </c>
      <c r="B178" s="16" t="inlineStr">
        <is>
          <t>'16.11.</t>
        </is>
      </c>
      <c r="C178" s="164" t="n">
        <v>269</v>
      </c>
      <c r="D178" s="161" t="n">
        <v>108.5</v>
      </c>
      <c r="E178" s="163" t="n">
        <v>33</v>
      </c>
      <c r="F178" s="161" t="n">
        <v>82.90000000000001</v>
      </c>
      <c r="G178" s="27" t="n">
        <v>25</v>
      </c>
      <c r="H178" s="164" t="n">
        <v>269</v>
      </c>
      <c r="I178" s="165" t="n"/>
      <c r="J178" s="165" t="n"/>
      <c r="K178" s="165" t="n"/>
      <c r="L178" s="165" t="n"/>
      <c r="M178" s="166">
        <f>I178-K178</f>
        <v/>
      </c>
      <c r="N178" s="7">
        <f>IF(ISERROR(K178/I178),"",K178/I178)</f>
        <v/>
      </c>
      <c r="O178" s="162">
        <f>I178/E178</f>
        <v/>
      </c>
      <c r="P178" s="162">
        <f>K178/E178</f>
        <v/>
      </c>
      <c r="Q178" s="113" t="n">
        <v>4</v>
      </c>
      <c r="R178" s="113" t="n">
        <v>2</v>
      </c>
      <c r="S178" s="113" t="inlineStr">
        <is>
          <t>계</t>
        </is>
      </c>
      <c r="T178" s="8" t="n">
        <v>108</v>
      </c>
      <c r="U178" s="13" t="n"/>
      <c r="W178" s="161">
        <f>D178</f>
        <v/>
      </c>
      <c r="X178" s="163">
        <f>E178</f>
        <v/>
      </c>
      <c r="Y178" s="159">
        <f>H178</f>
        <v/>
      </c>
      <c r="Z178" s="166">
        <f>I178</f>
        <v/>
      </c>
      <c r="AA178" s="166">
        <f>K178</f>
        <v/>
      </c>
      <c r="AB178" s="166">
        <f>M178</f>
        <v/>
      </c>
      <c r="AC178" s="7">
        <f>N178</f>
        <v/>
      </c>
      <c r="AD178" s="162">
        <f>O178</f>
        <v/>
      </c>
      <c r="AE178" s="113">
        <f>S178</f>
        <v/>
      </c>
      <c r="AF178" s="113">
        <f>Q178&amp;"/"&amp;R178</f>
        <v/>
      </c>
      <c r="AH178" s="36">
        <f>IF(A178="","",A178)</f>
        <v/>
      </c>
      <c r="AI178" s="163">
        <f>IF(E178="","",E178)</f>
        <v/>
      </c>
      <c r="AJ178" s="113">
        <f>IF(AI178="","",$AJ$2)</f>
        <v/>
      </c>
      <c r="AK178" s="113" t="inlineStr">
        <is>
          <t>A</t>
        </is>
      </c>
      <c r="AL178" s="113" t="inlineStr">
        <is>
          <t>A+</t>
        </is>
      </c>
      <c r="AM178" s="113" t="inlineStr">
        <is>
          <t>B+</t>
        </is>
      </c>
      <c r="AN178" s="113">
        <f>IF(AI178="","",$AN$2)</f>
        <v/>
      </c>
      <c r="AO178" s="113">
        <f>IF(N178="","",IF(N178&gt;=$AO$1/100,"O","X"))</f>
        <v/>
      </c>
      <c r="AP178" s="113">
        <f>IF(I178="","",IF(I178&lt;=$AP$1,"O","X"))</f>
        <v/>
      </c>
      <c r="AQ178" s="113">
        <f>IF(O178="","",IF(O178&lt;=$AQ$1,"O","X"))</f>
        <v/>
      </c>
      <c r="AR178" s="113">
        <f>IF(M178="","",IF(M178&lt;=$AR$1,"O","X"))</f>
        <v/>
      </c>
      <c r="AS178" s="113" t="inlineStr">
        <is>
          <t>X</t>
        </is>
      </c>
      <c r="AT178" s="113">
        <f>IF(OR(F178="",AI178=""),"",IF(AND((F178&lt;=85),(AI178&gt;=15)),"O","X"))</f>
        <v/>
      </c>
      <c r="AU178" s="113">
        <f>IF(C178="","",IF(C178&gt;=$AU$1,"O","X"))</f>
        <v/>
      </c>
      <c r="AV178" s="113">
        <f>IF(AO178="","",IF(AND(AO178="O",AP178="O",AR178="O",AT178="O",AU178="O"),"후보","X"))</f>
        <v/>
      </c>
    </row>
    <row r="179">
      <c r="A179" s="13" t="n"/>
      <c r="B179" s="113" t="n"/>
      <c r="C179" s="10" t="n"/>
      <c r="D179" s="13" t="n"/>
      <c r="E179" s="20" t="n"/>
      <c r="F179" s="161" t="n"/>
      <c r="G179" s="13" t="n"/>
      <c r="H179" s="13" t="n"/>
      <c r="I179" s="13" t="n"/>
      <c r="J179" s="13" t="n"/>
      <c r="K179" s="13" t="n"/>
      <c r="L179" s="13" t="n"/>
      <c r="M179" s="13" t="n"/>
      <c r="N179" s="13" t="n"/>
      <c r="O179" s="162" t="n"/>
      <c r="P179" s="162" t="n"/>
      <c r="Q179" s="163" t="n"/>
      <c r="R179" s="163" t="n"/>
      <c r="S179" s="13" t="n"/>
      <c r="T179" s="70" t="n"/>
      <c r="U179" s="13" t="n"/>
      <c r="W179" s="107">
        <f>$A$4&amp;" "&amp;A180&amp;"("&amp;B180&amp;","&amp;C180&amp;"^)"</f>
        <v/>
      </c>
      <c r="X179" s="108" t="n"/>
      <c r="Y179" s="108" t="n"/>
      <c r="Z179" s="108" t="n"/>
      <c r="AA179" s="108" t="n"/>
      <c r="AB179" s="108" t="n"/>
      <c r="AC179" s="108" t="n"/>
      <c r="AD179" s="108" t="n"/>
      <c r="AE179" s="108" t="n"/>
      <c r="AF179" s="109" t="n"/>
      <c r="AH179" s="36">
        <f>IF(A179="","",A179)</f>
        <v/>
      </c>
      <c r="AI179" s="160">
        <f>IF(E179="","",E179)</f>
        <v/>
      </c>
      <c r="AJ179" s="113" t="n"/>
      <c r="AK179" s="113" t="n"/>
      <c r="AL179" s="113" t="n"/>
      <c r="AM179" s="113" t="n"/>
      <c r="AN179" s="113" t="n"/>
      <c r="AO179" s="113" t="n"/>
      <c r="AP179" s="113" t="n"/>
      <c r="AQ179" s="113" t="n"/>
      <c r="AR179" s="113" t="n"/>
      <c r="AS179" s="113" t="n"/>
      <c r="AT179" s="113" t="n"/>
      <c r="AU179" s="113" t="n"/>
      <c r="AV179" s="113" t="n"/>
    </row>
    <row r="180">
      <c r="A180" s="13" t="inlineStr">
        <is>
          <t>인천청라한일베라체</t>
        </is>
      </c>
      <c r="B180" s="16" t="inlineStr">
        <is>
          <t>'11.05.</t>
        </is>
      </c>
      <c r="C180" s="164" t="n">
        <v>257</v>
      </c>
      <c r="D180" s="161" t="n">
        <v>130.1</v>
      </c>
      <c r="E180" s="163" t="n">
        <v>39</v>
      </c>
      <c r="F180" s="161" t="n">
        <v>104.4</v>
      </c>
      <c r="G180" s="27" t="n">
        <v>32</v>
      </c>
      <c r="H180" s="164" t="n">
        <v>149</v>
      </c>
      <c r="I180" s="165" t="n"/>
      <c r="J180" s="165" t="n"/>
      <c r="K180" s="165" t="n"/>
      <c r="L180" s="165" t="n"/>
      <c r="M180" s="166">
        <f>I180-K180</f>
        <v/>
      </c>
      <c r="N180" s="7">
        <f>IF(ISERROR(K180/I180),"",K180/I180)</f>
        <v/>
      </c>
      <c r="O180" s="162">
        <f>I180/E180</f>
        <v/>
      </c>
      <c r="P180" s="162">
        <f>K180/E180</f>
        <v/>
      </c>
      <c r="Q180" s="113" t="n">
        <v>3</v>
      </c>
      <c r="R180" s="113" t="n">
        <v>2</v>
      </c>
      <c r="S180" s="113" t="inlineStr">
        <is>
          <t>계</t>
        </is>
      </c>
      <c r="T180" s="8" t="n">
        <v>130</v>
      </c>
      <c r="U180" s="13" t="n"/>
      <c r="W180" s="161">
        <f>D180</f>
        <v/>
      </c>
      <c r="X180" s="163">
        <f>E180</f>
        <v/>
      </c>
      <c r="Y180" s="159">
        <f>H180</f>
        <v/>
      </c>
      <c r="Z180" s="166">
        <f>I180</f>
        <v/>
      </c>
      <c r="AA180" s="166">
        <f>K180</f>
        <v/>
      </c>
      <c r="AB180" s="166">
        <f>M180</f>
        <v/>
      </c>
      <c r="AC180" s="7">
        <f>N180</f>
        <v/>
      </c>
      <c r="AD180" s="162">
        <f>O180</f>
        <v/>
      </c>
      <c r="AE180" s="113">
        <f>S180</f>
        <v/>
      </c>
      <c r="AF180" s="113">
        <f>Q180&amp;"/"&amp;R180</f>
        <v/>
      </c>
      <c r="AH180" s="36">
        <f>IF(A180="","",A180)</f>
        <v/>
      </c>
      <c r="AI180" s="163">
        <f>IF(E180="","",E180)</f>
        <v/>
      </c>
      <c r="AJ180" s="113">
        <f>IF(AI180="","",$AJ$2)</f>
        <v/>
      </c>
      <c r="AK180" s="113" t="inlineStr">
        <is>
          <t>A</t>
        </is>
      </c>
      <c r="AL180" s="113" t="inlineStr">
        <is>
          <t>A+</t>
        </is>
      </c>
      <c r="AM180" s="113" t="inlineStr">
        <is>
          <t>B+</t>
        </is>
      </c>
      <c r="AN180" s="113">
        <f>IF(AI180="","",$AN$2)</f>
        <v/>
      </c>
      <c r="AO180" s="113">
        <f>IF(N180="","",IF(N180&gt;=$AO$1/100,"O","X"))</f>
        <v/>
      </c>
      <c r="AP180" s="113">
        <f>IF(I180="","",IF(I180&lt;=$AP$1,"O","X"))</f>
        <v/>
      </c>
      <c r="AQ180" s="113">
        <f>IF(O180="","",IF(O180&lt;=$AQ$1,"O","X"))</f>
        <v/>
      </c>
      <c r="AR180" s="113">
        <f>IF(M180="","",IF(M180&lt;=$AR$1,"O","X"))</f>
        <v/>
      </c>
      <c r="AS180" s="113" t="inlineStr">
        <is>
          <t>X</t>
        </is>
      </c>
      <c r="AT180" s="113">
        <f>IF(OR(F180="",AI180=""),"",IF(AND((F180&lt;=85),(AI180&gt;=15)),"O","X"))</f>
        <v/>
      </c>
      <c r="AU180" s="113">
        <f>IF(C180="","",IF(C180&gt;=$AU$1,"O","X"))</f>
        <v/>
      </c>
      <c r="AV180" s="113">
        <f>IF(AO180="","",IF(AND(AO180="O",AP180="O",AR180="O",AT180="O",AU180="O"),"후보","X"))</f>
        <v/>
      </c>
    </row>
    <row r="181">
      <c r="A181" s="13" t="inlineStr">
        <is>
          <t>인천청라한일베라체</t>
        </is>
      </c>
      <c r="B181" s="16" t="inlineStr">
        <is>
          <t>'11.05.</t>
        </is>
      </c>
      <c r="C181" s="164" t="n">
        <v>257</v>
      </c>
      <c r="D181" s="161" t="n">
        <v>155.6</v>
      </c>
      <c r="E181" s="163" t="n">
        <v>47</v>
      </c>
      <c r="F181" s="161" t="n">
        <v>122.8</v>
      </c>
      <c r="G181" s="27" t="n">
        <v>37</v>
      </c>
      <c r="H181" s="164" t="n">
        <v>42</v>
      </c>
      <c r="I181" s="165" t="n"/>
      <c r="J181" s="165" t="n"/>
      <c r="K181" s="165" t="n"/>
      <c r="L181" s="165" t="n"/>
      <c r="M181" s="166">
        <f>I181-K181</f>
        <v/>
      </c>
      <c r="N181" s="7">
        <f>IF(ISERROR(K181/I181),"",K181/I181)</f>
        <v/>
      </c>
      <c r="O181" s="162">
        <f>I181/E181</f>
        <v/>
      </c>
      <c r="P181" s="162">
        <f>K181/E181</f>
        <v/>
      </c>
      <c r="Q181" s="113" t="n">
        <v>4</v>
      </c>
      <c r="R181" s="113" t="n">
        <v>2</v>
      </c>
      <c r="S181" s="113" t="inlineStr">
        <is>
          <t>계</t>
        </is>
      </c>
      <c r="T181" s="8" t="n">
        <v>155</v>
      </c>
      <c r="U181" s="13" t="n"/>
      <c r="W181" s="161">
        <f>D181</f>
        <v/>
      </c>
      <c r="X181" s="163">
        <f>E181</f>
        <v/>
      </c>
      <c r="Y181" s="159">
        <f>H181</f>
        <v/>
      </c>
      <c r="Z181" s="166">
        <f>I181</f>
        <v/>
      </c>
      <c r="AA181" s="166">
        <f>K181</f>
        <v/>
      </c>
      <c r="AB181" s="166">
        <f>M181</f>
        <v/>
      </c>
      <c r="AC181" s="7">
        <f>N181</f>
        <v/>
      </c>
      <c r="AD181" s="162">
        <f>O181</f>
        <v/>
      </c>
      <c r="AE181" s="113">
        <f>S181</f>
        <v/>
      </c>
      <c r="AF181" s="113">
        <f>Q181&amp;"/"&amp;R181</f>
        <v/>
      </c>
      <c r="AH181" s="36">
        <f>IF(A181="","",A181)</f>
        <v/>
      </c>
      <c r="AI181" s="163">
        <f>IF(E181="","",E181)</f>
        <v/>
      </c>
      <c r="AJ181" s="113">
        <f>IF(AI181="","",$AJ$2)</f>
        <v/>
      </c>
      <c r="AK181" s="113" t="inlineStr">
        <is>
          <t>A</t>
        </is>
      </c>
      <c r="AL181" s="113" t="inlineStr">
        <is>
          <t>A+</t>
        </is>
      </c>
      <c r="AM181" s="113" t="inlineStr">
        <is>
          <t>B+</t>
        </is>
      </c>
      <c r="AN181" s="113">
        <f>IF(AI181="","",$AN$2)</f>
        <v/>
      </c>
      <c r="AO181" s="113">
        <f>IF(N181="","",IF(N181&gt;=$AO$1/100,"O","X"))</f>
        <v/>
      </c>
      <c r="AP181" s="113">
        <f>IF(I181="","",IF(I181&lt;=$AP$1,"O","X"))</f>
        <v/>
      </c>
      <c r="AQ181" s="113">
        <f>IF(O181="","",IF(O181&lt;=$AQ$1,"O","X"))</f>
        <v/>
      </c>
      <c r="AR181" s="113">
        <f>IF(M181="","",IF(M181&lt;=$AR$1,"O","X"))</f>
        <v/>
      </c>
      <c r="AS181" s="113" t="inlineStr">
        <is>
          <t>X</t>
        </is>
      </c>
      <c r="AT181" s="113">
        <f>IF(OR(F181="",AI181=""),"",IF(AND((F181&lt;=85),(AI181&gt;=15)),"O","X"))</f>
        <v/>
      </c>
      <c r="AU181" s="113">
        <f>IF(C181="","",IF(C181&gt;=$AU$1,"O","X"))</f>
        <v/>
      </c>
      <c r="AV181" s="113">
        <f>IF(AO181="","",IF(AND(AO181="O",AP181="O",AR181="O",AT181="O",AU181="O"),"후보","X"))</f>
        <v/>
      </c>
    </row>
    <row r="182">
      <c r="A182" s="13" t="inlineStr">
        <is>
          <t>인천청라한일베라체</t>
        </is>
      </c>
      <c r="B182" s="16" t="inlineStr">
        <is>
          <t>'11.05.</t>
        </is>
      </c>
      <c r="C182" s="164" t="n">
        <v>257</v>
      </c>
      <c r="D182" s="161" t="n">
        <v>167.8</v>
      </c>
      <c r="E182" s="163" t="n">
        <v>51</v>
      </c>
      <c r="F182" s="161" t="n">
        <v>135.2</v>
      </c>
      <c r="G182" s="27" t="n">
        <v>41</v>
      </c>
      <c r="H182" s="164" t="n">
        <v>4</v>
      </c>
      <c r="I182" s="165" t="n"/>
      <c r="J182" s="165" t="n"/>
      <c r="K182" s="165" t="n"/>
      <c r="L182" s="165" t="n"/>
      <c r="M182" s="166">
        <f>I182-K182</f>
        <v/>
      </c>
      <c r="N182" s="7">
        <f>IF(ISERROR(K182/I182),"",K182/I182)</f>
        <v/>
      </c>
      <c r="O182" s="162">
        <f>I182/E182</f>
        <v/>
      </c>
      <c r="P182" s="162">
        <f>K182/E182</f>
        <v/>
      </c>
      <c r="Q182" s="113" t="n">
        <v>3</v>
      </c>
      <c r="R182" s="113" t="n">
        <v>2</v>
      </c>
      <c r="S182" s="113" t="inlineStr">
        <is>
          <t>계</t>
        </is>
      </c>
      <c r="T182" s="8" t="n">
        <v>167</v>
      </c>
      <c r="U182" s="13" t="n"/>
      <c r="W182" s="161">
        <f>D182</f>
        <v/>
      </c>
      <c r="X182" s="163">
        <f>E182</f>
        <v/>
      </c>
      <c r="Y182" s="159">
        <f>H182</f>
        <v/>
      </c>
      <c r="Z182" s="166">
        <f>I182</f>
        <v/>
      </c>
      <c r="AA182" s="166">
        <f>K182</f>
        <v/>
      </c>
      <c r="AB182" s="166">
        <f>M182</f>
        <v/>
      </c>
      <c r="AC182" s="7">
        <f>N182</f>
        <v/>
      </c>
      <c r="AD182" s="162">
        <f>O182</f>
        <v/>
      </c>
      <c r="AE182" s="113">
        <f>S182</f>
        <v/>
      </c>
      <c r="AF182" s="113">
        <f>Q182&amp;"/"&amp;R182</f>
        <v/>
      </c>
      <c r="AH182" s="36">
        <f>IF(A182="","",A182)</f>
        <v/>
      </c>
      <c r="AI182" s="163">
        <f>IF(E182="","",E182)</f>
        <v/>
      </c>
      <c r="AJ182" s="113">
        <f>IF(AI182="","",$AJ$2)</f>
        <v/>
      </c>
      <c r="AK182" s="113" t="inlineStr">
        <is>
          <t>A</t>
        </is>
      </c>
      <c r="AL182" s="113" t="inlineStr">
        <is>
          <t>A+</t>
        </is>
      </c>
      <c r="AM182" s="113" t="inlineStr">
        <is>
          <t>B+</t>
        </is>
      </c>
      <c r="AN182" s="113">
        <f>IF(AI182="","",$AN$2)</f>
        <v/>
      </c>
      <c r="AO182" s="113">
        <f>IF(N182="","",IF(N182&gt;=$AO$1/100,"O","X"))</f>
        <v/>
      </c>
      <c r="AP182" s="113">
        <f>IF(I182="","",IF(I182&lt;=$AP$1,"O","X"))</f>
        <v/>
      </c>
      <c r="AQ182" s="113">
        <f>IF(O182="","",IF(O182&lt;=$AQ$1,"O","X"))</f>
        <v/>
      </c>
      <c r="AR182" s="113">
        <f>IF(M182="","",IF(M182&lt;=$AR$1,"O","X"))</f>
        <v/>
      </c>
      <c r="AS182" s="113" t="inlineStr">
        <is>
          <t>X</t>
        </is>
      </c>
      <c r="AT182" s="113">
        <f>IF(OR(F182="",AI182=""),"",IF(AND((F182&lt;=85),(AI182&gt;=15)),"O","X"))</f>
        <v/>
      </c>
      <c r="AU182" s="113">
        <f>IF(C182="","",IF(C182&gt;=$AU$1,"O","X"))</f>
        <v/>
      </c>
      <c r="AV182" s="113">
        <f>IF(AO182="","",IF(AND(AO182="O",AP182="O",AR182="O",AT182="O",AU182="O"),"후보","X"))</f>
        <v/>
      </c>
    </row>
    <row r="183">
      <c r="A183" s="13" t="inlineStr">
        <is>
          <t>인천청라한일베라체</t>
        </is>
      </c>
      <c r="B183" s="16" t="inlineStr">
        <is>
          <t>'11.05.</t>
        </is>
      </c>
      <c r="C183" s="164" t="n">
        <v>257</v>
      </c>
      <c r="D183" s="161" t="n">
        <v>173.6</v>
      </c>
      <c r="E183" s="163" t="n">
        <v>53</v>
      </c>
      <c r="F183" s="161" t="n">
        <v>139.7</v>
      </c>
      <c r="G183" s="27" t="n">
        <v>42</v>
      </c>
      <c r="H183" s="164" t="n">
        <v>36</v>
      </c>
      <c r="I183" s="165" t="n"/>
      <c r="J183" s="165" t="n"/>
      <c r="K183" s="165" t="n"/>
      <c r="L183" s="165" t="n"/>
      <c r="M183" s="166">
        <f>I183-K183</f>
        <v/>
      </c>
      <c r="N183" s="7">
        <f>IF(ISERROR(K183/I183),"",K183/I183)</f>
        <v/>
      </c>
      <c r="O183" s="162">
        <f>I183/E183</f>
        <v/>
      </c>
      <c r="P183" s="162">
        <f>K183/E183</f>
        <v/>
      </c>
      <c r="Q183" s="113" t="n">
        <v>3</v>
      </c>
      <c r="R183" s="113" t="n">
        <v>2</v>
      </c>
      <c r="S183" s="113" t="inlineStr">
        <is>
          <t>계</t>
        </is>
      </c>
      <c r="T183" s="8" t="n">
        <v>173</v>
      </c>
      <c r="U183" s="13" t="n"/>
      <c r="W183" s="161">
        <f>D183</f>
        <v/>
      </c>
      <c r="X183" s="163">
        <f>E183</f>
        <v/>
      </c>
      <c r="Y183" s="159">
        <f>H183</f>
        <v/>
      </c>
      <c r="Z183" s="166">
        <f>I183</f>
        <v/>
      </c>
      <c r="AA183" s="166">
        <f>K183</f>
        <v/>
      </c>
      <c r="AB183" s="166">
        <f>M183</f>
        <v/>
      </c>
      <c r="AC183" s="7">
        <f>N183</f>
        <v/>
      </c>
      <c r="AD183" s="162">
        <f>O183</f>
        <v/>
      </c>
      <c r="AE183" s="113">
        <f>S183</f>
        <v/>
      </c>
      <c r="AF183" s="113">
        <f>Q183&amp;"/"&amp;R183</f>
        <v/>
      </c>
      <c r="AH183" s="36">
        <f>IF(A183="","",A183)</f>
        <v/>
      </c>
      <c r="AI183" s="163">
        <f>IF(E183="","",E183)</f>
        <v/>
      </c>
      <c r="AJ183" s="113">
        <f>IF(AI183="","",$AJ$2)</f>
        <v/>
      </c>
      <c r="AK183" s="113" t="inlineStr">
        <is>
          <t>A</t>
        </is>
      </c>
      <c r="AL183" s="113" t="inlineStr">
        <is>
          <t>A+</t>
        </is>
      </c>
      <c r="AM183" s="113" t="inlineStr">
        <is>
          <t>B+</t>
        </is>
      </c>
      <c r="AN183" s="113">
        <f>IF(AI183="","",$AN$2)</f>
        <v/>
      </c>
      <c r="AO183" s="113">
        <f>IF(N183="","",IF(N183&gt;=$AO$1/100,"O","X"))</f>
        <v/>
      </c>
      <c r="AP183" s="113">
        <f>IF(I183="","",IF(I183&lt;=$AP$1,"O","X"))</f>
        <v/>
      </c>
      <c r="AQ183" s="113">
        <f>IF(O183="","",IF(O183&lt;=$AQ$1,"O","X"))</f>
        <v/>
      </c>
      <c r="AR183" s="113">
        <f>IF(M183="","",IF(M183&lt;=$AR$1,"O","X"))</f>
        <v/>
      </c>
      <c r="AS183" s="113" t="inlineStr">
        <is>
          <t>X</t>
        </is>
      </c>
      <c r="AT183" s="113">
        <f>IF(OR(F183="",AI183=""),"",IF(AND((F183&lt;=85),(AI183&gt;=15)),"O","X"))</f>
        <v/>
      </c>
      <c r="AU183" s="113">
        <f>IF(C183="","",IF(C183&gt;=$AU$1,"O","X"))</f>
        <v/>
      </c>
      <c r="AV183" s="113">
        <f>IF(AO183="","",IF(AND(AO183="O",AP183="O",AR183="O",AT183="O",AU183="O"),"후보","X"))</f>
        <v/>
      </c>
    </row>
    <row r="184">
      <c r="A184" s="13" t="inlineStr">
        <is>
          <t>인천청라한일베라체</t>
        </is>
      </c>
      <c r="B184" s="16" t="inlineStr">
        <is>
          <t>'11.05.</t>
        </is>
      </c>
      <c r="C184" s="164" t="n">
        <v>257</v>
      </c>
      <c r="D184" s="161" t="n">
        <v>173.3</v>
      </c>
      <c r="E184" s="163" t="n">
        <v>52</v>
      </c>
      <c r="F184" s="161" t="n">
        <v>139.5</v>
      </c>
      <c r="G184" s="27" t="n">
        <v>42</v>
      </c>
      <c r="H184" s="164" t="n">
        <v>26</v>
      </c>
      <c r="I184" s="165" t="n"/>
      <c r="J184" s="165" t="n"/>
      <c r="K184" s="165" t="n"/>
      <c r="L184" s="165" t="n"/>
      <c r="M184" s="166">
        <f>I184-K184</f>
        <v/>
      </c>
      <c r="N184" s="7">
        <f>IF(ISERROR(K184/I184),"",K184/I184)</f>
        <v/>
      </c>
      <c r="O184" s="162">
        <f>I184/E184</f>
        <v/>
      </c>
      <c r="P184" s="162">
        <f>K184/E184</f>
        <v/>
      </c>
      <c r="Q184" s="113" t="n">
        <v>3</v>
      </c>
      <c r="R184" s="113" t="n">
        <v>2</v>
      </c>
      <c r="S184" s="113" t="inlineStr">
        <is>
          <t>계</t>
        </is>
      </c>
      <c r="T184" s="8" t="n">
        <v>173</v>
      </c>
      <c r="U184" s="13" t="n"/>
      <c r="W184" s="161">
        <f>D184</f>
        <v/>
      </c>
      <c r="X184" s="163">
        <f>E184</f>
        <v/>
      </c>
      <c r="Y184" s="159">
        <f>H184</f>
        <v/>
      </c>
      <c r="Z184" s="166">
        <f>I184</f>
        <v/>
      </c>
      <c r="AA184" s="166">
        <f>K184</f>
        <v/>
      </c>
      <c r="AB184" s="166">
        <f>M184</f>
        <v/>
      </c>
      <c r="AC184" s="7">
        <f>N184</f>
        <v/>
      </c>
      <c r="AD184" s="162">
        <f>O184</f>
        <v/>
      </c>
      <c r="AE184" s="113">
        <f>S184</f>
        <v/>
      </c>
      <c r="AF184" s="113">
        <f>Q184&amp;"/"&amp;R184</f>
        <v/>
      </c>
      <c r="AH184" s="36">
        <f>IF(A184="","",A184)</f>
        <v/>
      </c>
      <c r="AI184" s="163">
        <f>IF(E184="","",E184)</f>
        <v/>
      </c>
      <c r="AJ184" s="113">
        <f>IF(AI184="","",$AJ$2)</f>
        <v/>
      </c>
      <c r="AK184" s="113" t="inlineStr">
        <is>
          <t>A</t>
        </is>
      </c>
      <c r="AL184" s="113" t="inlineStr">
        <is>
          <t>A+</t>
        </is>
      </c>
      <c r="AM184" s="113" t="inlineStr">
        <is>
          <t>B+</t>
        </is>
      </c>
      <c r="AN184" s="113">
        <f>IF(AI184="","",$AN$2)</f>
        <v/>
      </c>
      <c r="AO184" s="113">
        <f>IF(N184="","",IF(N184&gt;=$AO$1/100,"O","X"))</f>
        <v/>
      </c>
      <c r="AP184" s="113">
        <f>IF(I184="","",IF(I184&lt;=$AP$1,"O","X"))</f>
        <v/>
      </c>
      <c r="AQ184" s="113">
        <f>IF(O184="","",IF(O184&lt;=$AQ$1,"O","X"))</f>
        <v/>
      </c>
      <c r="AR184" s="113">
        <f>IF(M184="","",IF(M184&lt;=$AR$1,"O","X"))</f>
        <v/>
      </c>
      <c r="AS184" s="113" t="inlineStr">
        <is>
          <t>X</t>
        </is>
      </c>
      <c r="AT184" s="113">
        <f>IF(OR(F184="",AI184=""),"",IF(AND((F184&lt;=85),(AI184&gt;=15)),"O","X"))</f>
        <v/>
      </c>
      <c r="AU184" s="113">
        <f>IF(C184="","",IF(C184&gt;=$AU$1,"O","X"))</f>
        <v/>
      </c>
      <c r="AV184" s="113">
        <f>IF(AO184="","",IF(AND(AO184="O",AP184="O",AR184="O",AT184="O",AU184="O"),"후보","X"))</f>
        <v/>
      </c>
    </row>
    <row r="185">
      <c r="A185" s="13" t="n"/>
      <c r="B185" s="113" t="n"/>
      <c r="C185" s="10" t="n"/>
      <c r="D185" s="13" t="n"/>
      <c r="E185" s="20" t="n"/>
      <c r="F185" s="161" t="n"/>
      <c r="G185" s="13" t="n"/>
      <c r="H185" s="13" t="n"/>
      <c r="I185" s="13" t="n"/>
      <c r="J185" s="13" t="n"/>
      <c r="K185" s="13" t="n"/>
      <c r="L185" s="13" t="n"/>
      <c r="M185" s="13" t="n"/>
      <c r="N185" s="13" t="n"/>
      <c r="O185" s="162" t="n"/>
      <c r="P185" s="162" t="n"/>
      <c r="Q185" s="163" t="n"/>
      <c r="R185" s="163" t="n"/>
      <c r="S185" s="13" t="n"/>
      <c r="T185" s="70" t="n"/>
      <c r="U185" s="13" t="n"/>
      <c r="W185" s="107">
        <f>$A$4&amp;" "&amp;A186&amp;"("&amp;B186&amp;","&amp;C186&amp;"^)"</f>
        <v/>
      </c>
      <c r="X185" s="108" t="n"/>
      <c r="Y185" s="108" t="n"/>
      <c r="Z185" s="108" t="n"/>
      <c r="AA185" s="108" t="n"/>
      <c r="AB185" s="108" t="n"/>
      <c r="AC185" s="108" t="n"/>
      <c r="AD185" s="108" t="n"/>
      <c r="AE185" s="108" t="n"/>
      <c r="AF185" s="109" t="n"/>
      <c r="AH185" s="36">
        <f>IF(A185="","",A185)</f>
        <v/>
      </c>
      <c r="AI185" s="160">
        <f>IF(E185="","",E185)</f>
        <v/>
      </c>
      <c r="AJ185" s="113" t="n"/>
      <c r="AK185" s="113" t="n"/>
      <c r="AL185" s="113" t="n"/>
      <c r="AM185" s="113" t="n"/>
      <c r="AN185" s="113" t="n"/>
      <c r="AO185" s="113" t="n"/>
      <c r="AP185" s="113" t="n"/>
      <c r="AQ185" s="113" t="n"/>
      <c r="AR185" s="113" t="n"/>
      <c r="AS185" s="113" t="n"/>
      <c r="AT185" s="113" t="n"/>
      <c r="AU185" s="113" t="n"/>
      <c r="AV185" s="113" t="n"/>
    </row>
    <row r="186">
      <c r="A186" s="13" t="inlineStr">
        <is>
          <t>서해그랑블</t>
        </is>
      </c>
      <c r="B186" s="16" t="inlineStr">
        <is>
          <t>'10.12.</t>
        </is>
      </c>
      <c r="C186" s="164" t="n">
        <v>336</v>
      </c>
      <c r="D186" s="161" t="n">
        <v>86.7</v>
      </c>
      <c r="E186" s="163" t="n">
        <v>26</v>
      </c>
      <c r="F186" s="161" t="n">
        <v>60</v>
      </c>
      <c r="G186" s="27" t="n">
        <v>18</v>
      </c>
      <c r="H186" s="164" t="n">
        <v>168</v>
      </c>
      <c r="I186" s="165" t="n">
        <v>60000</v>
      </c>
      <c r="J186" s="165" t="inlineStr">
        <is>
          <t>15</t>
        </is>
      </c>
      <c r="K186" s="165" t="n">
        <v>35000</v>
      </c>
      <c r="L186" s="165" t="inlineStr">
        <is>
          <t>중</t>
        </is>
      </c>
      <c r="M186" s="166">
        <f>I186-K186</f>
        <v/>
      </c>
      <c r="N186" s="7">
        <f>IF(ISERROR(K186/I186),"",K186/I186)</f>
        <v/>
      </c>
      <c r="O186" s="162">
        <f>I186/E186</f>
        <v/>
      </c>
      <c r="P186" s="162">
        <f>K186/E186</f>
        <v/>
      </c>
      <c r="Q186" s="113" t="n">
        <v>3</v>
      </c>
      <c r="R186" s="113" t="n">
        <v>2</v>
      </c>
      <c r="S186" s="113" t="inlineStr">
        <is>
          <t>합</t>
        </is>
      </c>
      <c r="T186" s="8" t="n">
        <v>86</v>
      </c>
      <c r="U186" s="13" t="n"/>
      <c r="W186" s="161">
        <f>D186</f>
        <v/>
      </c>
      <c r="X186" s="163">
        <f>E186</f>
        <v/>
      </c>
      <c r="Y186" s="159">
        <f>H186</f>
        <v/>
      </c>
      <c r="Z186" s="166">
        <f>I186</f>
        <v/>
      </c>
      <c r="AA186" s="166">
        <f>K186</f>
        <v/>
      </c>
      <c r="AB186" s="166">
        <f>M186</f>
        <v/>
      </c>
      <c r="AC186" s="7">
        <f>N186</f>
        <v/>
      </c>
      <c r="AD186" s="162">
        <f>O186</f>
        <v/>
      </c>
      <c r="AE186" s="113">
        <f>S186</f>
        <v/>
      </c>
      <c r="AF186" s="113">
        <f>Q186&amp;"/"&amp;R186</f>
        <v/>
      </c>
      <c r="AH186" s="36">
        <f>IF(A186="","",A186)</f>
        <v/>
      </c>
      <c r="AI186" s="163">
        <f>IF(E186="","",E186)</f>
        <v/>
      </c>
      <c r="AJ186" s="113">
        <f>IF(AI186="","",$AJ$2)</f>
        <v/>
      </c>
      <c r="AK186" s="113" t="inlineStr">
        <is>
          <t>A</t>
        </is>
      </c>
      <c r="AL186" s="113" t="inlineStr">
        <is>
          <t>A+</t>
        </is>
      </c>
      <c r="AM186" s="113" t="inlineStr">
        <is>
          <t>B+</t>
        </is>
      </c>
      <c r="AN186" s="113">
        <f>IF(AI186="","",$AN$2)</f>
        <v/>
      </c>
      <c r="AO186" s="113">
        <f>IF(N186="","",IF(N186&gt;=$AO$1/100,"O","X"))</f>
        <v/>
      </c>
      <c r="AP186" s="113">
        <f>IF(I186="","",IF(I186&lt;=$AP$1,"O","X"))</f>
        <v/>
      </c>
      <c r="AQ186" s="113">
        <f>IF(O186="","",IF(O186&lt;=$AQ$1,"O","X"))</f>
        <v/>
      </c>
      <c r="AR186" s="113">
        <f>IF(M186="","",IF(M186&lt;=$AR$1,"O","X"))</f>
        <v/>
      </c>
      <c r="AS186" s="113" t="inlineStr">
        <is>
          <t>X</t>
        </is>
      </c>
      <c r="AT186" s="113">
        <f>IF(OR(F186="",AI186=""),"",IF(AND((F186&lt;=85),(AI186&gt;=15)),"O","X"))</f>
        <v/>
      </c>
      <c r="AU186" s="113">
        <f>IF(C186="","",IF(C186&gt;=$AU$1,"O","X"))</f>
        <v/>
      </c>
      <c r="AV186" s="113">
        <f>IF(AO186="","",IF(AND(AO186="O",AP186="O",AR186="O",AT186="O",AU186="O"),"후보","X"))</f>
        <v/>
      </c>
    </row>
    <row r="187">
      <c r="A187" s="13" t="inlineStr">
        <is>
          <t>서해그랑블</t>
        </is>
      </c>
      <c r="B187" s="16" t="inlineStr">
        <is>
          <t>'10.12.</t>
        </is>
      </c>
      <c r="C187" s="164" t="n">
        <v>336</v>
      </c>
      <c r="D187" s="161" t="n">
        <v>88.5</v>
      </c>
      <c r="E187" s="163" t="n">
        <v>27</v>
      </c>
      <c r="F187" s="161" t="n">
        <v>60</v>
      </c>
      <c r="G187" s="27" t="n">
        <v>18</v>
      </c>
      <c r="H187" s="164" t="n">
        <v>168</v>
      </c>
      <c r="I187" s="165" t="n">
        <v>54000</v>
      </c>
      <c r="J187" s="165" t="inlineStr">
        <is>
          <t>고</t>
        </is>
      </c>
      <c r="K187" s="165" t="n">
        <v>32000</v>
      </c>
      <c r="L187" s="165" t="inlineStr">
        <is>
          <t>고</t>
        </is>
      </c>
      <c r="M187" s="166">
        <f>I187-K187</f>
        <v/>
      </c>
      <c r="N187" s="7">
        <f>IF(ISERROR(K187/I187),"",K187/I187)</f>
        <v/>
      </c>
      <c r="O187" s="162">
        <f>I187/E187</f>
        <v/>
      </c>
      <c r="P187" s="162">
        <f>K187/E187</f>
        <v/>
      </c>
      <c r="Q187" s="113" t="n">
        <v>3</v>
      </c>
      <c r="R187" s="113" t="n">
        <v>2</v>
      </c>
      <c r="S187" s="113" t="inlineStr">
        <is>
          <t>계</t>
        </is>
      </c>
      <c r="T187" s="8" t="n">
        <v>88</v>
      </c>
      <c r="U187" s="13" t="n"/>
      <c r="W187" s="161">
        <f>D187</f>
        <v/>
      </c>
      <c r="X187" s="163">
        <f>E187</f>
        <v/>
      </c>
      <c r="Y187" s="159">
        <f>H187</f>
        <v/>
      </c>
      <c r="Z187" s="166">
        <f>I187</f>
        <v/>
      </c>
      <c r="AA187" s="166">
        <f>K187</f>
        <v/>
      </c>
      <c r="AB187" s="166">
        <f>M187</f>
        <v/>
      </c>
      <c r="AC187" s="7">
        <f>N187</f>
        <v/>
      </c>
      <c r="AD187" s="162">
        <f>O187</f>
        <v/>
      </c>
      <c r="AE187" s="113">
        <f>S187</f>
        <v/>
      </c>
      <c r="AF187" s="113">
        <f>Q187&amp;"/"&amp;R187</f>
        <v/>
      </c>
      <c r="AH187" s="36">
        <f>IF(A187="","",A187)</f>
        <v/>
      </c>
      <c r="AI187" s="163">
        <f>IF(E187="","",E187)</f>
        <v/>
      </c>
      <c r="AJ187" s="113">
        <f>IF(AI187="","",$AJ$2)</f>
        <v/>
      </c>
      <c r="AK187" s="113" t="inlineStr">
        <is>
          <t>A</t>
        </is>
      </c>
      <c r="AL187" s="113" t="inlineStr">
        <is>
          <t>A+</t>
        </is>
      </c>
      <c r="AM187" s="113" t="inlineStr">
        <is>
          <t>B+</t>
        </is>
      </c>
      <c r="AN187" s="113">
        <f>IF(AI187="","",$AN$2)</f>
        <v/>
      </c>
      <c r="AO187" s="113">
        <f>IF(N187="","",IF(N187&gt;=$AO$1/100,"O","X"))</f>
        <v/>
      </c>
      <c r="AP187" s="113">
        <f>IF(I187="","",IF(I187&lt;=$AP$1,"O","X"))</f>
        <v/>
      </c>
      <c r="AQ187" s="113">
        <f>IF(O187="","",IF(O187&lt;=$AQ$1,"O","X"))</f>
        <v/>
      </c>
      <c r="AR187" s="113">
        <f>IF(M187="","",IF(M187&lt;=$AR$1,"O","X"))</f>
        <v/>
      </c>
      <c r="AS187" s="113" t="inlineStr">
        <is>
          <t>X</t>
        </is>
      </c>
      <c r="AT187" s="113">
        <f>IF(OR(F187="",AI187=""),"",IF(AND((F187&lt;=85),(AI187&gt;=15)),"O","X"))</f>
        <v/>
      </c>
      <c r="AU187" s="113">
        <f>IF(C187="","",IF(C187&gt;=$AU$1,"O","X"))</f>
        <v/>
      </c>
      <c r="AV187" s="113">
        <f>IF(AO187="","",IF(AND(AO187="O",AP187="O",AR187="O",AT187="O",AU187="O"),"후보","X"))</f>
        <v/>
      </c>
    </row>
    <row r="188">
      <c r="A188" s="13" t="n"/>
      <c r="B188" s="113" t="n"/>
      <c r="C188" s="10" t="n"/>
      <c r="D188" s="13" t="n"/>
      <c r="E188" s="20" t="n"/>
      <c r="F188" s="161" t="n"/>
      <c r="G188" s="13" t="n"/>
      <c r="H188" s="13" t="n"/>
      <c r="I188" s="13" t="n"/>
      <c r="J188" s="13" t="n"/>
      <c r="K188" s="13" t="n"/>
      <c r="L188" s="13" t="n"/>
      <c r="M188" s="13" t="n"/>
      <c r="N188" s="13" t="n"/>
      <c r="O188" s="162" t="n"/>
      <c r="P188" s="162" t="n"/>
      <c r="Q188" s="163" t="n"/>
      <c r="R188" s="163" t="n"/>
      <c r="S188" s="13" t="n"/>
      <c r="T188" s="70" t="n"/>
      <c r="U188" s="13" t="n"/>
      <c r="W188" s="107">
        <f>$A$4&amp;" "&amp;A189&amp;"("&amp;B189&amp;","&amp;C189&amp;"^)"</f>
        <v/>
      </c>
      <c r="X188" s="108" t="n"/>
      <c r="Y188" s="108" t="n"/>
      <c r="Z188" s="108" t="n"/>
      <c r="AA188" s="108" t="n"/>
      <c r="AB188" s="108" t="n"/>
      <c r="AC188" s="108" t="n"/>
      <c r="AD188" s="108" t="n"/>
      <c r="AE188" s="108" t="n"/>
      <c r="AF188" s="109" t="n"/>
      <c r="AH188" s="36">
        <f>IF(A188="","",A188)</f>
        <v/>
      </c>
      <c r="AI188" s="160">
        <f>IF(E188="","",E188)</f>
        <v/>
      </c>
      <c r="AJ188" s="113" t="n"/>
      <c r="AK188" s="113" t="n"/>
      <c r="AL188" s="113" t="n"/>
      <c r="AM188" s="113" t="n"/>
      <c r="AN188" s="113" t="n"/>
      <c r="AO188" s="113" t="n"/>
      <c r="AP188" s="113" t="n"/>
      <c r="AQ188" s="113" t="n"/>
      <c r="AR188" s="113" t="n"/>
      <c r="AS188" s="113" t="n"/>
      <c r="AT188" s="113" t="n"/>
      <c r="AU188" s="113" t="n"/>
      <c r="AV188" s="113" t="n"/>
    </row>
    <row r="189">
      <c r="A189" s="13" t="inlineStr">
        <is>
          <t>청라동양엔파트5단지</t>
        </is>
      </c>
      <c r="B189" s="16" t="inlineStr">
        <is>
          <t>'12.07.</t>
        </is>
      </c>
      <c r="C189" s="164" t="n">
        <v>564</v>
      </c>
      <c r="D189" s="161" t="n">
        <v>147</v>
      </c>
      <c r="E189" s="163" t="n">
        <v>44</v>
      </c>
      <c r="F189" s="161" t="n">
        <v>118.8</v>
      </c>
      <c r="G189" s="27" t="n">
        <v>36</v>
      </c>
      <c r="H189" s="164" t="n">
        <v>150</v>
      </c>
      <c r="I189" s="165" t="n"/>
      <c r="J189" s="165" t="n"/>
      <c r="K189" s="165" t="n"/>
      <c r="L189" s="165" t="n"/>
      <c r="M189" s="166">
        <f>I189-K189</f>
        <v/>
      </c>
      <c r="N189" s="7">
        <f>IF(ISERROR(K189/I189),"",K189/I189)</f>
        <v/>
      </c>
      <c r="O189" s="162">
        <f>I189/E189</f>
        <v/>
      </c>
      <c r="P189" s="162">
        <f>K189/E189</f>
        <v/>
      </c>
      <c r="Q189" s="113" t="n">
        <v>4</v>
      </c>
      <c r="R189" s="113" t="n">
        <v>2</v>
      </c>
      <c r="S189" s="113" t="inlineStr">
        <is>
          <t>계</t>
        </is>
      </c>
      <c r="T189" s="8" t="inlineStr">
        <is>
          <t>146A2</t>
        </is>
      </c>
      <c r="U189" s="13" t="n"/>
      <c r="W189" s="161">
        <f>D189</f>
        <v/>
      </c>
      <c r="X189" s="163">
        <f>E189</f>
        <v/>
      </c>
      <c r="Y189" s="159">
        <f>H189</f>
        <v/>
      </c>
      <c r="Z189" s="166">
        <f>I189</f>
        <v/>
      </c>
      <c r="AA189" s="166">
        <f>K189</f>
        <v/>
      </c>
      <c r="AB189" s="166">
        <f>M189</f>
        <v/>
      </c>
      <c r="AC189" s="7">
        <f>N189</f>
        <v/>
      </c>
      <c r="AD189" s="162">
        <f>O189</f>
        <v/>
      </c>
      <c r="AE189" s="113">
        <f>S189</f>
        <v/>
      </c>
      <c r="AF189" s="113">
        <f>Q189&amp;"/"&amp;R189</f>
        <v/>
      </c>
      <c r="AH189" s="36">
        <f>IF(A189="","",A189)</f>
        <v/>
      </c>
      <c r="AI189" s="163">
        <f>IF(E189="","",E189)</f>
        <v/>
      </c>
      <c r="AJ189" s="113">
        <f>IF(AI189="","",$AJ$2)</f>
        <v/>
      </c>
      <c r="AK189" s="113" t="inlineStr">
        <is>
          <t>A</t>
        </is>
      </c>
      <c r="AL189" s="113" t="inlineStr">
        <is>
          <t>A+</t>
        </is>
      </c>
      <c r="AM189" s="113" t="inlineStr">
        <is>
          <t>B+</t>
        </is>
      </c>
      <c r="AN189" s="113">
        <f>IF(AI189="","",$AN$2)</f>
        <v/>
      </c>
      <c r="AO189" s="113">
        <f>IF(N189="","",IF(N189&gt;=$AO$1/100,"O","X"))</f>
        <v/>
      </c>
      <c r="AP189" s="113">
        <f>IF(I189="","",IF(I189&lt;=$AP$1,"O","X"))</f>
        <v/>
      </c>
      <c r="AQ189" s="113">
        <f>IF(O189="","",IF(O189&lt;=$AQ$1,"O","X"))</f>
        <v/>
      </c>
      <c r="AR189" s="113">
        <f>IF(M189="","",IF(M189&lt;=$AR$1,"O","X"))</f>
        <v/>
      </c>
      <c r="AS189" s="113" t="inlineStr">
        <is>
          <t>X</t>
        </is>
      </c>
      <c r="AT189" s="113">
        <f>IF(OR(F189="",AI189=""),"",IF(AND((F189&lt;=85),(AI189&gt;=15)),"O","X"))</f>
        <v/>
      </c>
      <c r="AU189" s="113">
        <f>IF(C189="","",IF(C189&gt;=$AU$1,"O","X"))</f>
        <v/>
      </c>
      <c r="AV189" s="113">
        <f>IF(AO189="","",IF(AND(AO189="O",AP189="O",AR189="O",AT189="O",AU189="O"),"후보","X"))</f>
        <v/>
      </c>
    </row>
    <row r="190">
      <c r="A190" s="13" t="inlineStr">
        <is>
          <t>청라동양엔파트5단지</t>
        </is>
      </c>
      <c r="B190" s="16" t="inlineStr">
        <is>
          <t>'12.07.</t>
        </is>
      </c>
      <c r="C190" s="164" t="n">
        <v>564</v>
      </c>
      <c r="D190" s="161" t="n">
        <v>146.8</v>
      </c>
      <c r="E190" s="163" t="n">
        <v>44</v>
      </c>
      <c r="F190" s="161" t="n">
        <v>118.4</v>
      </c>
      <c r="G190" s="27" t="n">
        <v>36</v>
      </c>
      <c r="H190" s="164" t="n">
        <v>82</v>
      </c>
      <c r="I190" s="165" t="n">
        <v>80000</v>
      </c>
      <c r="J190" s="165" t="inlineStr">
        <is>
          <t>고</t>
        </is>
      </c>
      <c r="K190" s="165" t="n">
        <v>38000</v>
      </c>
      <c r="L190" s="165" t="inlineStr">
        <is>
          <t>중</t>
        </is>
      </c>
      <c r="M190" s="166">
        <f>I190-K190</f>
        <v/>
      </c>
      <c r="N190" s="7">
        <f>IF(ISERROR(K190/I190),"",K190/I190)</f>
        <v/>
      </c>
      <c r="O190" s="162">
        <f>I190/E190</f>
        <v/>
      </c>
      <c r="P190" s="162">
        <f>K190/E190</f>
        <v/>
      </c>
      <c r="Q190" s="113" t="n">
        <v>4</v>
      </c>
      <c r="R190" s="113" t="n">
        <v>2</v>
      </c>
      <c r="S190" s="113" t="inlineStr">
        <is>
          <t>계</t>
        </is>
      </c>
      <c r="T190" s="8" t="inlineStr">
        <is>
          <t>146B</t>
        </is>
      </c>
      <c r="U190" s="13" t="n"/>
      <c r="W190" s="161">
        <f>D190</f>
        <v/>
      </c>
      <c r="X190" s="163">
        <f>E190</f>
        <v/>
      </c>
      <c r="Y190" s="159">
        <f>H190</f>
        <v/>
      </c>
      <c r="Z190" s="166">
        <f>I190</f>
        <v/>
      </c>
      <c r="AA190" s="166">
        <f>K190</f>
        <v/>
      </c>
      <c r="AB190" s="166">
        <f>M190</f>
        <v/>
      </c>
      <c r="AC190" s="7">
        <f>N190</f>
        <v/>
      </c>
      <c r="AD190" s="162">
        <f>O190</f>
        <v/>
      </c>
      <c r="AE190" s="113">
        <f>S190</f>
        <v/>
      </c>
      <c r="AF190" s="113">
        <f>Q190&amp;"/"&amp;R190</f>
        <v/>
      </c>
      <c r="AH190" s="36">
        <f>IF(A190="","",A190)</f>
        <v/>
      </c>
      <c r="AI190" s="163">
        <f>IF(E190="","",E190)</f>
        <v/>
      </c>
      <c r="AJ190" s="113">
        <f>IF(AI190="","",$AJ$2)</f>
        <v/>
      </c>
      <c r="AK190" s="113" t="inlineStr">
        <is>
          <t>A</t>
        </is>
      </c>
      <c r="AL190" s="113" t="inlineStr">
        <is>
          <t>A+</t>
        </is>
      </c>
      <c r="AM190" s="113" t="inlineStr">
        <is>
          <t>B+</t>
        </is>
      </c>
      <c r="AN190" s="113">
        <f>IF(AI190="","",$AN$2)</f>
        <v/>
      </c>
      <c r="AO190" s="113">
        <f>IF(N190="","",IF(N190&gt;=$AO$1/100,"O","X"))</f>
        <v/>
      </c>
      <c r="AP190" s="113">
        <f>IF(I190="","",IF(I190&lt;=$AP$1,"O","X"))</f>
        <v/>
      </c>
      <c r="AQ190" s="113">
        <f>IF(O190="","",IF(O190&lt;=$AQ$1,"O","X"))</f>
        <v/>
      </c>
      <c r="AR190" s="113">
        <f>IF(M190="","",IF(M190&lt;=$AR$1,"O","X"))</f>
        <v/>
      </c>
      <c r="AS190" s="113" t="inlineStr">
        <is>
          <t>X</t>
        </is>
      </c>
      <c r="AT190" s="113">
        <f>IF(OR(F190="",AI190=""),"",IF(AND((F190&lt;=85),(AI190&gt;=15)),"O","X"))</f>
        <v/>
      </c>
      <c r="AU190" s="113">
        <f>IF(C190="","",IF(C190&gt;=$AU$1,"O","X"))</f>
        <v/>
      </c>
      <c r="AV190" s="113">
        <f>IF(AO190="","",IF(AND(AO190="O",AP190="O",AR190="O",AT190="O",AU190="O"),"후보","X"))</f>
        <v/>
      </c>
    </row>
    <row r="191">
      <c r="A191" s="13" t="inlineStr">
        <is>
          <t>청라동양엔파트5단지</t>
        </is>
      </c>
      <c r="B191" s="16" t="inlineStr">
        <is>
          <t>'12.07.</t>
        </is>
      </c>
      <c r="C191" s="164" t="n">
        <v>564</v>
      </c>
      <c r="D191" s="161" t="n">
        <v>147.1</v>
      </c>
      <c r="E191" s="163" t="n">
        <v>44</v>
      </c>
      <c r="F191" s="161" t="n">
        <v>118.8</v>
      </c>
      <c r="G191" s="27" t="n">
        <v>36</v>
      </c>
      <c r="H191" s="164" t="n">
        <v>90</v>
      </c>
      <c r="I191" s="165" t="n">
        <v>73000</v>
      </c>
      <c r="J191" s="165" t="inlineStr">
        <is>
          <t>중</t>
        </is>
      </c>
      <c r="K191" s="165" t="n">
        <v>40000</v>
      </c>
      <c r="L191" s="165" t="inlineStr">
        <is>
          <t>중</t>
        </is>
      </c>
      <c r="M191" s="166">
        <f>I191-K191</f>
        <v/>
      </c>
      <c r="N191" s="7">
        <f>IF(ISERROR(K191/I191),"",K191/I191)</f>
        <v/>
      </c>
      <c r="O191" s="162">
        <f>I191/E191</f>
        <v/>
      </c>
      <c r="P191" s="162">
        <f>K191/E191</f>
        <v/>
      </c>
      <c r="Q191" s="113" t="n">
        <v>4</v>
      </c>
      <c r="R191" s="113" t="n">
        <v>2</v>
      </c>
      <c r="S191" s="113" t="inlineStr">
        <is>
          <t>계</t>
        </is>
      </c>
      <c r="T191" s="8" t="inlineStr">
        <is>
          <t>147A1</t>
        </is>
      </c>
      <c r="U191" s="13" t="n"/>
      <c r="W191" s="161">
        <f>D191</f>
        <v/>
      </c>
      <c r="X191" s="163">
        <f>E191</f>
        <v/>
      </c>
      <c r="Y191" s="159">
        <f>H191</f>
        <v/>
      </c>
      <c r="Z191" s="166">
        <f>I191</f>
        <v/>
      </c>
      <c r="AA191" s="166">
        <f>K191</f>
        <v/>
      </c>
      <c r="AB191" s="166">
        <f>M191</f>
        <v/>
      </c>
      <c r="AC191" s="7">
        <f>N191</f>
        <v/>
      </c>
      <c r="AD191" s="162">
        <f>O191</f>
        <v/>
      </c>
      <c r="AE191" s="113">
        <f>S191</f>
        <v/>
      </c>
      <c r="AF191" s="113">
        <f>Q191&amp;"/"&amp;R191</f>
        <v/>
      </c>
      <c r="AH191" s="36">
        <f>IF(A191="","",A191)</f>
        <v/>
      </c>
      <c r="AI191" s="163">
        <f>IF(E191="","",E191)</f>
        <v/>
      </c>
      <c r="AJ191" s="113">
        <f>IF(AI191="","",$AJ$2)</f>
        <v/>
      </c>
      <c r="AK191" s="113" t="inlineStr">
        <is>
          <t>A</t>
        </is>
      </c>
      <c r="AL191" s="113" t="inlineStr">
        <is>
          <t>A+</t>
        </is>
      </c>
      <c r="AM191" s="113" t="inlineStr">
        <is>
          <t>B+</t>
        </is>
      </c>
      <c r="AN191" s="113">
        <f>IF(AI191="","",$AN$2)</f>
        <v/>
      </c>
      <c r="AO191" s="113">
        <f>IF(N191="","",IF(N191&gt;=$AO$1/100,"O","X"))</f>
        <v/>
      </c>
      <c r="AP191" s="113">
        <f>IF(I191="","",IF(I191&lt;=$AP$1,"O","X"))</f>
        <v/>
      </c>
      <c r="AQ191" s="113">
        <f>IF(O191="","",IF(O191&lt;=$AQ$1,"O","X"))</f>
        <v/>
      </c>
      <c r="AR191" s="113">
        <f>IF(M191="","",IF(M191&lt;=$AR$1,"O","X"))</f>
        <v/>
      </c>
      <c r="AS191" s="113" t="inlineStr">
        <is>
          <t>X</t>
        </is>
      </c>
      <c r="AT191" s="113">
        <f>IF(OR(F191="",AI191=""),"",IF(AND((F191&lt;=85),(AI191&gt;=15)),"O","X"))</f>
        <v/>
      </c>
      <c r="AU191" s="113">
        <f>IF(C191="","",IF(C191&gt;=$AU$1,"O","X"))</f>
        <v/>
      </c>
      <c r="AV191" s="113">
        <f>IF(AO191="","",IF(AND(AO191="O",AP191="O",AR191="O",AT191="O",AU191="O"),"후보","X"))</f>
        <v/>
      </c>
    </row>
    <row r="192">
      <c r="A192" s="13" t="inlineStr">
        <is>
          <t>청라동양엔파트5단지</t>
        </is>
      </c>
      <c r="B192" s="16" t="inlineStr">
        <is>
          <t>'12.07.</t>
        </is>
      </c>
      <c r="C192" s="164" t="n">
        <v>564</v>
      </c>
      <c r="D192" s="161" t="n">
        <v>147.5</v>
      </c>
      <c r="E192" s="163" t="n">
        <v>45</v>
      </c>
      <c r="F192" s="161" t="n">
        <v>118.4</v>
      </c>
      <c r="G192" s="27" t="n">
        <v>36</v>
      </c>
      <c r="H192" s="164" t="n">
        <v>88</v>
      </c>
      <c r="I192" s="165" t="n"/>
      <c r="J192" s="165" t="n"/>
      <c r="K192" s="165" t="n"/>
      <c r="L192" s="165" t="n"/>
      <c r="M192" s="166">
        <f>I192-K192</f>
        <v/>
      </c>
      <c r="N192" s="7">
        <f>IF(ISERROR(K192/I192),"",K192/I192)</f>
        <v/>
      </c>
      <c r="O192" s="162">
        <f>I192/E192</f>
        <v/>
      </c>
      <c r="P192" s="162">
        <f>K192/E192</f>
        <v/>
      </c>
      <c r="Q192" s="113" t="n">
        <v>4</v>
      </c>
      <c r="R192" s="113" t="n">
        <v>2</v>
      </c>
      <c r="S192" s="113" t="inlineStr">
        <is>
          <t>계</t>
        </is>
      </c>
      <c r="T192" s="8" t="inlineStr">
        <is>
          <t>147C</t>
        </is>
      </c>
      <c r="U192" s="13" t="n"/>
      <c r="W192" s="161">
        <f>D192</f>
        <v/>
      </c>
      <c r="X192" s="163">
        <f>E192</f>
        <v/>
      </c>
      <c r="Y192" s="159">
        <f>H192</f>
        <v/>
      </c>
      <c r="Z192" s="166">
        <f>I192</f>
        <v/>
      </c>
      <c r="AA192" s="166">
        <f>K192</f>
        <v/>
      </c>
      <c r="AB192" s="166">
        <f>M192</f>
        <v/>
      </c>
      <c r="AC192" s="7">
        <f>N192</f>
        <v/>
      </c>
      <c r="AD192" s="162">
        <f>O192</f>
        <v/>
      </c>
      <c r="AE192" s="113">
        <f>S192</f>
        <v/>
      </c>
      <c r="AF192" s="113">
        <f>Q192&amp;"/"&amp;R192</f>
        <v/>
      </c>
      <c r="AH192" s="36">
        <f>IF(A192="","",A192)</f>
        <v/>
      </c>
      <c r="AI192" s="163">
        <f>IF(E192="","",E192)</f>
        <v/>
      </c>
      <c r="AJ192" s="113">
        <f>IF(AI192="","",$AJ$2)</f>
        <v/>
      </c>
      <c r="AK192" s="113" t="inlineStr">
        <is>
          <t>A</t>
        </is>
      </c>
      <c r="AL192" s="113" t="inlineStr">
        <is>
          <t>A+</t>
        </is>
      </c>
      <c r="AM192" s="113" t="inlineStr">
        <is>
          <t>B+</t>
        </is>
      </c>
      <c r="AN192" s="113">
        <f>IF(AI192="","",$AN$2)</f>
        <v/>
      </c>
      <c r="AO192" s="113">
        <f>IF(N192="","",IF(N192&gt;=$AO$1/100,"O","X"))</f>
        <v/>
      </c>
      <c r="AP192" s="113">
        <f>IF(I192="","",IF(I192&lt;=$AP$1,"O","X"))</f>
        <v/>
      </c>
      <c r="AQ192" s="113">
        <f>IF(O192="","",IF(O192&lt;=$AQ$1,"O","X"))</f>
        <v/>
      </c>
      <c r="AR192" s="113">
        <f>IF(M192="","",IF(M192&lt;=$AR$1,"O","X"))</f>
        <v/>
      </c>
      <c r="AS192" s="113" t="inlineStr">
        <is>
          <t>X</t>
        </is>
      </c>
      <c r="AT192" s="113">
        <f>IF(OR(F192="",AI192=""),"",IF(AND((F192&lt;=85),(AI192&gt;=15)),"O","X"))</f>
        <v/>
      </c>
      <c r="AU192" s="113">
        <f>IF(C192="","",IF(C192&gt;=$AU$1,"O","X"))</f>
        <v/>
      </c>
      <c r="AV192" s="113">
        <f>IF(AO192="","",IF(AND(AO192="O",AP192="O",AR192="O",AT192="O",AU192="O"),"후보","X"))</f>
        <v/>
      </c>
    </row>
    <row r="193">
      <c r="A193" s="13" t="inlineStr">
        <is>
          <t>청라동양엔파트5단지</t>
        </is>
      </c>
      <c r="B193" s="16" t="inlineStr">
        <is>
          <t>'12.07.</t>
        </is>
      </c>
      <c r="C193" s="164" t="n">
        <v>564</v>
      </c>
      <c r="D193" s="161" t="n">
        <v>147.4</v>
      </c>
      <c r="E193" s="163" t="n">
        <v>45</v>
      </c>
      <c r="F193" s="161" t="n">
        <v>118.8</v>
      </c>
      <c r="G193" s="27" t="n">
        <v>36</v>
      </c>
      <c r="H193" s="164" t="n">
        <v>85</v>
      </c>
      <c r="I193" s="165" t="n">
        <v>90000</v>
      </c>
      <c r="J193" s="165" t="inlineStr">
        <is>
          <t>중</t>
        </is>
      </c>
      <c r="K193" s="165" t="n"/>
      <c r="L193" s="165" t="n"/>
      <c r="M193" s="166">
        <f>I193-K193</f>
        <v/>
      </c>
      <c r="N193" s="7">
        <f>IF(ISERROR(K193/I193),"",K193/I193)</f>
        <v/>
      </c>
      <c r="O193" s="162">
        <f>I193/E193</f>
        <v/>
      </c>
      <c r="P193" s="162">
        <f>K193/E193</f>
        <v/>
      </c>
      <c r="Q193" s="113" t="n">
        <v>4</v>
      </c>
      <c r="R193" s="113" t="n">
        <v>2</v>
      </c>
      <c r="S193" s="113" t="inlineStr">
        <is>
          <t>계</t>
        </is>
      </c>
      <c r="T193" s="8" t="inlineStr">
        <is>
          <t>147A</t>
        </is>
      </c>
      <c r="U193" s="13" t="n"/>
      <c r="W193" s="161">
        <f>D193</f>
        <v/>
      </c>
      <c r="X193" s="163">
        <f>E193</f>
        <v/>
      </c>
      <c r="Y193" s="159">
        <f>H193</f>
        <v/>
      </c>
      <c r="Z193" s="166">
        <f>I193</f>
        <v/>
      </c>
      <c r="AA193" s="166">
        <f>K193</f>
        <v/>
      </c>
      <c r="AB193" s="166">
        <f>M193</f>
        <v/>
      </c>
      <c r="AC193" s="7">
        <f>N193</f>
        <v/>
      </c>
      <c r="AD193" s="162">
        <f>O193</f>
        <v/>
      </c>
      <c r="AE193" s="113">
        <f>S193</f>
        <v/>
      </c>
      <c r="AF193" s="113">
        <f>Q193&amp;"/"&amp;R193</f>
        <v/>
      </c>
      <c r="AH193" s="36">
        <f>IF(A193="","",A193)</f>
        <v/>
      </c>
      <c r="AI193" s="163">
        <f>IF(E193="","",E193)</f>
        <v/>
      </c>
      <c r="AJ193" s="113">
        <f>IF(AI193="","",$AJ$2)</f>
        <v/>
      </c>
      <c r="AK193" s="113" t="inlineStr">
        <is>
          <t>A</t>
        </is>
      </c>
      <c r="AL193" s="113" t="inlineStr">
        <is>
          <t>A+</t>
        </is>
      </c>
      <c r="AM193" s="113" t="inlineStr">
        <is>
          <t>B+</t>
        </is>
      </c>
      <c r="AN193" s="113">
        <f>IF(AI193="","",$AN$2)</f>
        <v/>
      </c>
      <c r="AO193" s="113">
        <f>IF(N193="","",IF(N193&gt;=$AO$1/100,"O","X"))</f>
        <v/>
      </c>
      <c r="AP193" s="113">
        <f>IF(I193="","",IF(I193&lt;=$AP$1,"O","X"))</f>
        <v/>
      </c>
      <c r="AQ193" s="113">
        <f>IF(O193="","",IF(O193&lt;=$AQ$1,"O","X"))</f>
        <v/>
      </c>
      <c r="AR193" s="113">
        <f>IF(M193="","",IF(M193&lt;=$AR$1,"O","X"))</f>
        <v/>
      </c>
      <c r="AS193" s="113" t="inlineStr">
        <is>
          <t>X</t>
        </is>
      </c>
      <c r="AT193" s="113">
        <f>IF(OR(F193="",AI193=""),"",IF(AND((F193&lt;=85),(AI193&gt;=15)),"O","X"))</f>
        <v/>
      </c>
      <c r="AU193" s="113">
        <f>IF(C193="","",IF(C193&gt;=$AU$1,"O","X"))</f>
        <v/>
      </c>
      <c r="AV193" s="113">
        <f>IF(AO193="","",IF(AND(AO193="O",AP193="O",AR193="O",AT193="O",AU193="O"),"후보","X"))</f>
        <v/>
      </c>
    </row>
    <row r="194">
      <c r="A194" s="13" t="inlineStr">
        <is>
          <t>청라동양엔파트5단지</t>
        </is>
      </c>
      <c r="B194" s="16" t="inlineStr">
        <is>
          <t>'12.07.</t>
        </is>
      </c>
      <c r="C194" s="164" t="n">
        <v>564</v>
      </c>
      <c r="D194" s="161" t="n">
        <v>148.1</v>
      </c>
      <c r="E194" s="163" t="n">
        <v>45</v>
      </c>
      <c r="F194" s="161" t="n">
        <v>118.9</v>
      </c>
      <c r="G194" s="27" t="n">
        <v>36</v>
      </c>
      <c r="H194" s="164" t="n">
        <v>69</v>
      </c>
      <c r="I194" s="165" t="n"/>
      <c r="J194" s="165" t="n"/>
      <c r="K194" s="165" t="n"/>
      <c r="L194" s="165" t="n"/>
      <c r="M194" s="166">
        <f>I194-K194</f>
        <v/>
      </c>
      <c r="N194" s="7">
        <f>IF(ISERROR(K194/I194),"",K194/I194)</f>
        <v/>
      </c>
      <c r="O194" s="162">
        <f>I194/E194</f>
        <v/>
      </c>
      <c r="P194" s="162">
        <f>K194/E194</f>
        <v/>
      </c>
      <c r="Q194" s="113" t="n">
        <v>4</v>
      </c>
      <c r="R194" s="113" t="n">
        <v>2</v>
      </c>
      <c r="S194" s="113" t="inlineStr">
        <is>
          <t>계</t>
        </is>
      </c>
      <c r="T194" s="8" t="inlineStr">
        <is>
          <t>148C1</t>
        </is>
      </c>
      <c r="U194" s="13" t="n"/>
      <c r="W194" s="161">
        <f>D194</f>
        <v/>
      </c>
      <c r="X194" s="163">
        <f>E194</f>
        <v/>
      </c>
      <c r="Y194" s="159">
        <f>H194</f>
        <v/>
      </c>
      <c r="Z194" s="166">
        <f>I194</f>
        <v/>
      </c>
      <c r="AA194" s="166">
        <f>K194</f>
        <v/>
      </c>
      <c r="AB194" s="166">
        <f>M194</f>
        <v/>
      </c>
      <c r="AC194" s="7">
        <f>N194</f>
        <v/>
      </c>
      <c r="AD194" s="162">
        <f>O194</f>
        <v/>
      </c>
      <c r="AE194" s="113">
        <f>S194</f>
        <v/>
      </c>
      <c r="AF194" s="113">
        <f>Q194&amp;"/"&amp;R194</f>
        <v/>
      </c>
      <c r="AH194" s="36">
        <f>IF(A194="","",A194)</f>
        <v/>
      </c>
      <c r="AI194" s="163">
        <f>IF(E194="","",E194)</f>
        <v/>
      </c>
      <c r="AJ194" s="113">
        <f>IF(AI194="","",$AJ$2)</f>
        <v/>
      </c>
      <c r="AK194" s="113" t="inlineStr">
        <is>
          <t>A</t>
        </is>
      </c>
      <c r="AL194" s="113" t="inlineStr">
        <is>
          <t>A+</t>
        </is>
      </c>
      <c r="AM194" s="113" t="inlineStr">
        <is>
          <t>B+</t>
        </is>
      </c>
      <c r="AN194" s="113">
        <f>IF(AI194="","",$AN$2)</f>
        <v/>
      </c>
      <c r="AO194" s="113">
        <f>IF(N194="","",IF(N194&gt;=$AO$1/100,"O","X"))</f>
        <v/>
      </c>
      <c r="AP194" s="113">
        <f>IF(I194="","",IF(I194&lt;=$AP$1,"O","X"))</f>
        <v/>
      </c>
      <c r="AQ194" s="113">
        <f>IF(O194="","",IF(O194&lt;=$AQ$1,"O","X"))</f>
        <v/>
      </c>
      <c r="AR194" s="113">
        <f>IF(M194="","",IF(M194&lt;=$AR$1,"O","X"))</f>
        <v/>
      </c>
      <c r="AS194" s="113" t="inlineStr">
        <is>
          <t>X</t>
        </is>
      </c>
      <c r="AT194" s="113">
        <f>IF(OR(F194="",AI194=""),"",IF(AND((F194&lt;=85),(AI194&gt;=15)),"O","X"))</f>
        <v/>
      </c>
      <c r="AU194" s="113">
        <f>IF(C194="","",IF(C194&gt;=$AU$1,"O","X"))</f>
        <v/>
      </c>
      <c r="AV194" s="113">
        <f>IF(AO194="","",IF(AND(AO194="O",AP194="O",AR194="O",AT194="O",AU194="O"),"후보","X"))</f>
        <v/>
      </c>
    </row>
    <row r="195">
      <c r="A195" s="13" t="n"/>
      <c r="B195" s="113" t="n"/>
      <c r="C195" s="10" t="n"/>
      <c r="D195" s="13" t="n"/>
      <c r="E195" s="20" t="n"/>
      <c r="F195" s="161" t="n"/>
      <c r="G195" s="13" t="n"/>
      <c r="H195" s="13" t="n"/>
      <c r="I195" s="13" t="n"/>
      <c r="J195" s="13" t="n"/>
      <c r="K195" s="13" t="n"/>
      <c r="L195" s="13" t="n"/>
      <c r="M195" s="13" t="n"/>
      <c r="N195" s="13" t="n"/>
      <c r="O195" s="162" t="n"/>
      <c r="P195" s="162" t="n"/>
      <c r="Q195" s="163" t="n"/>
      <c r="R195" s="163" t="n"/>
      <c r="S195" s="13" t="n"/>
      <c r="T195" s="70" t="n"/>
      <c r="U195" s="13" t="n"/>
      <c r="W195" s="107">
        <f>$A$4&amp;" "&amp;A196&amp;"("&amp;B196&amp;","&amp;C196&amp;"^)"</f>
        <v/>
      </c>
      <c r="X195" s="108" t="n"/>
      <c r="Y195" s="108" t="n"/>
      <c r="Z195" s="108" t="n"/>
      <c r="AA195" s="108" t="n"/>
      <c r="AB195" s="108" t="n"/>
      <c r="AC195" s="108" t="n"/>
      <c r="AD195" s="108" t="n"/>
      <c r="AE195" s="108" t="n"/>
      <c r="AF195" s="109" t="n"/>
      <c r="AH195" s="36">
        <f>IF(A195="","",A195)</f>
        <v/>
      </c>
      <c r="AI195" s="160">
        <f>IF(E195="","",E195)</f>
        <v/>
      </c>
      <c r="AJ195" s="113" t="n"/>
      <c r="AK195" s="113" t="n"/>
      <c r="AL195" s="113" t="n"/>
      <c r="AM195" s="113" t="n"/>
      <c r="AN195" s="113" t="n"/>
      <c r="AO195" s="113" t="n"/>
      <c r="AP195" s="113" t="n"/>
      <c r="AQ195" s="113" t="n"/>
      <c r="AR195" s="113" t="n"/>
      <c r="AS195" s="113" t="n"/>
      <c r="AT195" s="113" t="n"/>
      <c r="AU195" s="113" t="n"/>
      <c r="AV195" s="113" t="n"/>
    </row>
    <row r="196">
      <c r="A196" s="13" t="inlineStr">
        <is>
          <t>청라힐스테이트커낼뷰</t>
        </is>
      </c>
      <c r="B196" s="16" t="inlineStr">
        <is>
          <t>'12.03.</t>
        </is>
      </c>
      <c r="C196" s="164" t="n">
        <v>244</v>
      </c>
      <c r="D196" s="161" t="n">
        <v>153.7</v>
      </c>
      <c r="E196" s="163" t="n">
        <v>46</v>
      </c>
      <c r="F196" s="161" t="n">
        <v>121.3</v>
      </c>
      <c r="G196" s="27" t="n">
        <v>37</v>
      </c>
      <c r="H196" s="164" t="n">
        <v>108</v>
      </c>
      <c r="I196" s="165" t="n"/>
      <c r="J196" s="165" t="n"/>
      <c r="K196" s="165" t="n"/>
      <c r="L196" s="165" t="n"/>
      <c r="M196" s="166">
        <f>I196-K196</f>
        <v/>
      </c>
      <c r="N196" s="7">
        <f>IF(ISERROR(K196/I196),"",K196/I196)</f>
        <v/>
      </c>
      <c r="O196" s="162">
        <f>I196/E196</f>
        <v/>
      </c>
      <c r="P196" s="162">
        <f>K196/E196</f>
        <v/>
      </c>
      <c r="Q196" s="113" t="n">
        <v>4</v>
      </c>
      <c r="R196" s="113" t="n">
        <v>2</v>
      </c>
      <c r="S196" s="113" t="inlineStr">
        <is>
          <t>계</t>
        </is>
      </c>
      <c r="T196" s="8" t="inlineStr">
        <is>
          <t>153B</t>
        </is>
      </c>
      <c r="U196" s="13" t="n"/>
      <c r="W196" s="161">
        <f>D196</f>
        <v/>
      </c>
      <c r="X196" s="163">
        <f>E196</f>
        <v/>
      </c>
      <c r="Y196" s="159">
        <f>H196</f>
        <v/>
      </c>
      <c r="Z196" s="166">
        <f>I196</f>
        <v/>
      </c>
      <c r="AA196" s="166">
        <f>K196</f>
        <v/>
      </c>
      <c r="AB196" s="166">
        <f>M196</f>
        <v/>
      </c>
      <c r="AC196" s="7">
        <f>N196</f>
        <v/>
      </c>
      <c r="AD196" s="162">
        <f>O196</f>
        <v/>
      </c>
      <c r="AE196" s="113">
        <f>S196</f>
        <v/>
      </c>
      <c r="AF196" s="113">
        <f>Q196&amp;"/"&amp;R196</f>
        <v/>
      </c>
      <c r="AH196" s="36">
        <f>IF(A196="","",A196)</f>
        <v/>
      </c>
      <c r="AI196" s="163">
        <f>IF(E196="","",E196)</f>
        <v/>
      </c>
      <c r="AJ196" s="113">
        <f>IF(AI196="","",$AJ$2)</f>
        <v/>
      </c>
      <c r="AK196" s="113" t="inlineStr">
        <is>
          <t>A</t>
        </is>
      </c>
      <c r="AL196" s="113" t="inlineStr">
        <is>
          <t>A+</t>
        </is>
      </c>
      <c r="AM196" s="113" t="inlineStr">
        <is>
          <t>B+</t>
        </is>
      </c>
      <c r="AN196" s="113">
        <f>IF(AI196="","",$AN$2)</f>
        <v/>
      </c>
      <c r="AO196" s="113">
        <f>IF(N196="","",IF(N196&gt;=$AO$1/100,"O","X"))</f>
        <v/>
      </c>
      <c r="AP196" s="113">
        <f>IF(I196="","",IF(I196&lt;=$AP$1,"O","X"))</f>
        <v/>
      </c>
      <c r="AQ196" s="113">
        <f>IF(O196="","",IF(O196&lt;=$AQ$1,"O","X"))</f>
        <v/>
      </c>
      <c r="AR196" s="113">
        <f>IF(M196="","",IF(M196&lt;=$AR$1,"O","X"))</f>
        <v/>
      </c>
      <c r="AS196" s="113" t="inlineStr">
        <is>
          <t>X</t>
        </is>
      </c>
      <c r="AT196" s="113">
        <f>IF(OR(F196="",AI196=""),"",IF(AND((F196&lt;=85),(AI196&gt;=15)),"O","X"))</f>
        <v/>
      </c>
      <c r="AU196" s="113">
        <f>IF(C196="","",IF(C196&gt;=$AU$1,"O","X"))</f>
        <v/>
      </c>
      <c r="AV196" s="113">
        <f>IF(AO196="","",IF(AND(AO196="O",AP196="O",AR196="O",AT196="O",AU196="O"),"후보","X"))</f>
        <v/>
      </c>
    </row>
    <row r="197">
      <c r="A197" s="13" t="inlineStr">
        <is>
          <t>청라힐스테이트커낼뷰</t>
        </is>
      </c>
      <c r="B197" s="16" t="inlineStr">
        <is>
          <t>'12.03.</t>
        </is>
      </c>
      <c r="C197" s="164" t="n">
        <v>244</v>
      </c>
      <c r="D197" s="161" t="n">
        <v>153.4</v>
      </c>
      <c r="E197" s="163" t="n">
        <v>46</v>
      </c>
      <c r="F197" s="161" t="n">
        <v>121.3</v>
      </c>
      <c r="G197" s="27" t="n">
        <v>37</v>
      </c>
      <c r="H197" s="164" t="n">
        <v>86</v>
      </c>
      <c r="I197" s="165" t="n"/>
      <c r="J197" s="165" t="n"/>
      <c r="K197" s="165" t="n"/>
      <c r="L197" s="165" t="n"/>
      <c r="M197" s="166">
        <f>I197-K197</f>
        <v/>
      </c>
      <c r="N197" s="7">
        <f>IF(ISERROR(K197/I197),"",K197/I197)</f>
        <v/>
      </c>
      <c r="O197" s="162">
        <f>I197/E197</f>
        <v/>
      </c>
      <c r="P197" s="162">
        <f>K197/E197</f>
        <v/>
      </c>
      <c r="Q197" s="113" t="n">
        <v>4</v>
      </c>
      <c r="R197" s="113" t="n">
        <v>2</v>
      </c>
      <c r="S197" s="113" t="inlineStr">
        <is>
          <t>계</t>
        </is>
      </c>
      <c r="T197" s="8" t="inlineStr">
        <is>
          <t>153C</t>
        </is>
      </c>
      <c r="U197" s="13" t="n"/>
      <c r="W197" s="161">
        <f>D197</f>
        <v/>
      </c>
      <c r="X197" s="163">
        <f>E197</f>
        <v/>
      </c>
      <c r="Y197" s="159">
        <f>H197</f>
        <v/>
      </c>
      <c r="Z197" s="166">
        <f>I197</f>
        <v/>
      </c>
      <c r="AA197" s="166">
        <f>K197</f>
        <v/>
      </c>
      <c r="AB197" s="166">
        <f>M197</f>
        <v/>
      </c>
      <c r="AC197" s="7">
        <f>N197</f>
        <v/>
      </c>
      <c r="AD197" s="162">
        <f>O197</f>
        <v/>
      </c>
      <c r="AE197" s="113">
        <f>S197</f>
        <v/>
      </c>
      <c r="AF197" s="113">
        <f>Q197&amp;"/"&amp;R197</f>
        <v/>
      </c>
      <c r="AH197" s="36">
        <f>IF(A197="","",A197)</f>
        <v/>
      </c>
      <c r="AI197" s="163">
        <f>IF(E197="","",E197)</f>
        <v/>
      </c>
      <c r="AJ197" s="113">
        <f>IF(AI197="","",$AJ$2)</f>
        <v/>
      </c>
      <c r="AK197" s="113" t="inlineStr">
        <is>
          <t>A</t>
        </is>
      </c>
      <c r="AL197" s="113" t="inlineStr">
        <is>
          <t>A+</t>
        </is>
      </c>
      <c r="AM197" s="113" t="inlineStr">
        <is>
          <t>B+</t>
        </is>
      </c>
      <c r="AN197" s="113">
        <f>IF(AI197="","",$AN$2)</f>
        <v/>
      </c>
      <c r="AO197" s="113">
        <f>IF(N197="","",IF(N197&gt;=$AO$1/100,"O","X"))</f>
        <v/>
      </c>
      <c r="AP197" s="113">
        <f>IF(I197="","",IF(I197&lt;=$AP$1,"O","X"))</f>
        <v/>
      </c>
      <c r="AQ197" s="113">
        <f>IF(O197="","",IF(O197&lt;=$AQ$1,"O","X"))</f>
        <v/>
      </c>
      <c r="AR197" s="113">
        <f>IF(M197="","",IF(M197&lt;=$AR$1,"O","X"))</f>
        <v/>
      </c>
      <c r="AS197" s="113" t="inlineStr">
        <is>
          <t>X</t>
        </is>
      </c>
      <c r="AT197" s="113">
        <f>IF(OR(F197="",AI197=""),"",IF(AND((F197&lt;=85),(AI197&gt;=15)),"O","X"))</f>
        <v/>
      </c>
      <c r="AU197" s="113">
        <f>IF(C197="","",IF(C197&gt;=$AU$1,"O","X"))</f>
        <v/>
      </c>
      <c r="AV197" s="113">
        <f>IF(AO197="","",IF(AND(AO197="O",AP197="O",AR197="O",AT197="O",AU197="O"),"후보","X"))</f>
        <v/>
      </c>
    </row>
    <row r="198">
      <c r="A198" s="13" t="inlineStr">
        <is>
          <t>청라힐스테이트커낼뷰</t>
        </is>
      </c>
      <c r="B198" s="16" t="inlineStr">
        <is>
          <t>'12.03.</t>
        </is>
      </c>
      <c r="C198" s="164" t="n">
        <v>244</v>
      </c>
      <c r="D198" s="161" t="n">
        <v>153</v>
      </c>
      <c r="E198" s="163" t="n">
        <v>46</v>
      </c>
      <c r="F198" s="161" t="n">
        <v>121.3</v>
      </c>
      <c r="G198" s="27" t="n">
        <v>37</v>
      </c>
      <c r="H198" s="164" t="n">
        <v>50</v>
      </c>
      <c r="I198" s="165" t="n"/>
      <c r="J198" s="165" t="n"/>
      <c r="K198" s="165" t="n"/>
      <c r="L198" s="165" t="n"/>
      <c r="M198" s="166">
        <f>I198-K198</f>
        <v/>
      </c>
      <c r="N198" s="7">
        <f>IF(ISERROR(K198/I198),"",K198/I198)</f>
        <v/>
      </c>
      <c r="O198" s="162">
        <f>I198/E198</f>
        <v/>
      </c>
      <c r="P198" s="162">
        <f>K198/E198</f>
        <v/>
      </c>
      <c r="Q198" s="113" t="n">
        <v>4</v>
      </c>
      <c r="R198" s="113" t="n">
        <v>2</v>
      </c>
      <c r="S198" s="113" t="inlineStr">
        <is>
          <t>계</t>
        </is>
      </c>
      <c r="T198" s="8" t="inlineStr">
        <is>
          <t>153A</t>
        </is>
      </c>
      <c r="U198" s="13" t="n"/>
      <c r="W198" s="161">
        <f>D198</f>
        <v/>
      </c>
      <c r="X198" s="163">
        <f>E198</f>
        <v/>
      </c>
      <c r="Y198" s="159">
        <f>H198</f>
        <v/>
      </c>
      <c r="Z198" s="166">
        <f>I198</f>
        <v/>
      </c>
      <c r="AA198" s="166">
        <f>K198</f>
        <v/>
      </c>
      <c r="AB198" s="166">
        <f>M198</f>
        <v/>
      </c>
      <c r="AC198" s="7">
        <f>N198</f>
        <v/>
      </c>
      <c r="AD198" s="162">
        <f>O198</f>
        <v/>
      </c>
      <c r="AE198" s="113">
        <f>S198</f>
        <v/>
      </c>
      <c r="AF198" s="113">
        <f>Q198&amp;"/"&amp;R198</f>
        <v/>
      </c>
      <c r="AH198" s="36">
        <f>IF(A198="","",A198)</f>
        <v/>
      </c>
      <c r="AI198" s="163">
        <f>IF(E198="","",E198)</f>
        <v/>
      </c>
      <c r="AJ198" s="113">
        <f>IF(AI198="","",$AJ$2)</f>
        <v/>
      </c>
      <c r="AK198" s="113" t="inlineStr">
        <is>
          <t>A</t>
        </is>
      </c>
      <c r="AL198" s="113" t="inlineStr">
        <is>
          <t>A+</t>
        </is>
      </c>
      <c r="AM198" s="113" t="inlineStr">
        <is>
          <t>B+</t>
        </is>
      </c>
      <c r="AN198" s="113">
        <f>IF(AI198="","",$AN$2)</f>
        <v/>
      </c>
      <c r="AO198" s="113">
        <f>IF(N198="","",IF(N198&gt;=$AO$1/100,"O","X"))</f>
        <v/>
      </c>
      <c r="AP198" s="113">
        <f>IF(I198="","",IF(I198&lt;=$AP$1,"O","X"))</f>
        <v/>
      </c>
      <c r="AQ198" s="113">
        <f>IF(O198="","",IF(O198&lt;=$AQ$1,"O","X"))</f>
        <v/>
      </c>
      <c r="AR198" s="113">
        <f>IF(M198="","",IF(M198&lt;=$AR$1,"O","X"))</f>
        <v/>
      </c>
      <c r="AS198" s="113" t="inlineStr">
        <is>
          <t>X</t>
        </is>
      </c>
      <c r="AT198" s="113">
        <f>IF(OR(F198="",AI198=""),"",IF(AND((F198&lt;=85),(AI198&gt;=15)),"O","X"))</f>
        <v/>
      </c>
      <c r="AU198" s="113">
        <f>IF(C198="","",IF(C198&gt;=$AU$1,"O","X"))</f>
        <v/>
      </c>
      <c r="AV198" s="113">
        <f>IF(AO198="","",IF(AND(AO198="O",AP198="O",AR198="O",AT198="O",AU198="O"),"후보","X"))</f>
        <v/>
      </c>
    </row>
    <row r="199">
      <c r="A199" s="13" t="n"/>
      <c r="B199" s="113" t="n"/>
      <c r="C199" s="10" t="n"/>
      <c r="D199" s="13" t="n"/>
      <c r="E199" s="20" t="n"/>
      <c r="F199" s="161" t="n"/>
      <c r="G199" s="13" t="n"/>
      <c r="H199" s="13" t="n"/>
      <c r="I199" s="13" t="n"/>
      <c r="J199" s="13" t="n"/>
      <c r="K199" s="13" t="n"/>
      <c r="L199" s="13" t="n"/>
      <c r="M199" s="13" t="n"/>
      <c r="N199" s="13" t="n"/>
      <c r="O199" s="162" t="n"/>
      <c r="P199" s="162" t="n"/>
      <c r="Q199" s="163" t="n"/>
      <c r="R199" s="163" t="n"/>
      <c r="S199" s="13" t="n"/>
      <c r="T199" s="70" t="n"/>
      <c r="U199" s="13" t="n"/>
      <c r="W199" s="107">
        <f>$A$4&amp;" "&amp;A200&amp;"("&amp;B200&amp;","&amp;C200&amp;"^)"</f>
        <v/>
      </c>
      <c r="X199" s="108" t="n"/>
      <c r="Y199" s="108" t="n"/>
      <c r="Z199" s="108" t="n"/>
      <c r="AA199" s="108" t="n"/>
      <c r="AB199" s="108" t="n"/>
      <c r="AC199" s="108" t="n"/>
      <c r="AD199" s="108" t="n"/>
      <c r="AE199" s="108" t="n"/>
      <c r="AF199" s="109" t="n"/>
      <c r="AH199" s="36">
        <f>IF(A199="","",A199)</f>
        <v/>
      </c>
      <c r="AI199" s="160">
        <f>IF(E199="","",E199)</f>
        <v/>
      </c>
      <c r="AJ199" s="113" t="n"/>
      <c r="AK199" s="113" t="n"/>
      <c r="AL199" s="113" t="n"/>
      <c r="AM199" s="113" t="n"/>
      <c r="AN199" s="113" t="n"/>
      <c r="AO199" s="113" t="n"/>
      <c r="AP199" s="113" t="n"/>
      <c r="AQ199" s="113" t="n"/>
      <c r="AR199" s="113" t="n"/>
      <c r="AS199" s="113" t="n"/>
      <c r="AT199" s="113" t="n"/>
      <c r="AU199" s="113" t="n"/>
      <c r="AV199" s="113" t="n"/>
    </row>
    <row r="200">
      <c r="A200" s="13" t="inlineStr">
        <is>
          <t>청라센트럴에일린의뜰</t>
        </is>
      </c>
      <c r="B200" s="16" t="inlineStr">
        <is>
          <t>'18.09.</t>
        </is>
      </c>
      <c r="C200" s="164" t="n">
        <v>1163</v>
      </c>
      <c r="D200" s="161" t="n">
        <v>117.1</v>
      </c>
      <c r="E200" s="163" t="n">
        <v>35</v>
      </c>
      <c r="F200" s="161" t="n">
        <v>85</v>
      </c>
      <c r="G200" s="27" t="n">
        <v>26</v>
      </c>
      <c r="H200" s="164" t="n">
        <v>546</v>
      </c>
      <c r="I200" s="165" t="n"/>
      <c r="J200" s="165" t="n"/>
      <c r="K200" s="165" t="n"/>
      <c r="L200" s="165" t="n"/>
      <c r="M200" s="166">
        <f>I200-K200</f>
        <v/>
      </c>
      <c r="N200" s="7">
        <f>IF(ISERROR(K200/I200),"",K200/I200)</f>
        <v/>
      </c>
      <c r="O200" s="162">
        <f>I200/E200</f>
        <v/>
      </c>
      <c r="P200" s="162">
        <f>K200/E200</f>
        <v/>
      </c>
      <c r="Q200" s="113" t="n">
        <v>3</v>
      </c>
      <c r="R200" s="113" t="n">
        <v>2</v>
      </c>
      <c r="S200" s="113" t="inlineStr">
        <is>
          <t>계</t>
        </is>
      </c>
      <c r="T200" s="8" t="inlineStr">
        <is>
          <t>117A</t>
        </is>
      </c>
      <c r="U200" s="13" t="n"/>
      <c r="W200" s="161">
        <f>D200</f>
        <v/>
      </c>
      <c r="X200" s="163">
        <f>E200</f>
        <v/>
      </c>
      <c r="Y200" s="159">
        <f>H200</f>
        <v/>
      </c>
      <c r="Z200" s="166">
        <f>I200</f>
        <v/>
      </c>
      <c r="AA200" s="166">
        <f>K200</f>
        <v/>
      </c>
      <c r="AB200" s="166">
        <f>M200</f>
        <v/>
      </c>
      <c r="AC200" s="7">
        <f>N200</f>
        <v/>
      </c>
      <c r="AD200" s="162">
        <f>O200</f>
        <v/>
      </c>
      <c r="AE200" s="113">
        <f>S200</f>
        <v/>
      </c>
      <c r="AF200" s="113">
        <f>Q200&amp;"/"&amp;R200</f>
        <v/>
      </c>
      <c r="AH200" s="36">
        <f>IF(A200="","",A200)</f>
        <v/>
      </c>
      <c r="AI200" s="163">
        <f>IF(E200="","",E200)</f>
        <v/>
      </c>
      <c r="AJ200" s="113">
        <f>IF(AI200="","",$AJ$2)</f>
        <v/>
      </c>
      <c r="AK200" s="113" t="inlineStr">
        <is>
          <t>A</t>
        </is>
      </c>
      <c r="AL200" s="113" t="inlineStr">
        <is>
          <t>A+</t>
        </is>
      </c>
      <c r="AM200" s="113" t="inlineStr">
        <is>
          <t>B+</t>
        </is>
      </c>
      <c r="AN200" s="113">
        <f>IF(AI200="","",$AN$2)</f>
        <v/>
      </c>
      <c r="AO200" s="113">
        <f>IF(N200="","",IF(N200&gt;=$AO$1/100,"O","X"))</f>
        <v/>
      </c>
      <c r="AP200" s="113">
        <f>IF(I200="","",IF(I200&lt;=$AP$1,"O","X"))</f>
        <v/>
      </c>
      <c r="AQ200" s="113">
        <f>IF(O200="","",IF(O200&lt;=$AQ$1,"O","X"))</f>
        <v/>
      </c>
      <c r="AR200" s="113">
        <f>IF(M200="","",IF(M200&lt;=$AR$1,"O","X"))</f>
        <v/>
      </c>
      <c r="AS200" s="113" t="inlineStr">
        <is>
          <t>X</t>
        </is>
      </c>
      <c r="AT200" s="113">
        <f>IF(OR(F200="",AI200=""),"",IF(AND((F200&lt;=85),(AI200&gt;=15)),"O","X"))</f>
        <v/>
      </c>
      <c r="AU200" s="113">
        <f>IF(C200="","",IF(C200&gt;=$AU$1,"O","X"))</f>
        <v/>
      </c>
      <c r="AV200" s="113">
        <f>IF(AO200="","",IF(AND(AO200="O",AP200="O",AR200="O",AT200="O",AU200="O"),"후보","X"))</f>
        <v/>
      </c>
    </row>
    <row r="201">
      <c r="A201" s="13" t="inlineStr">
        <is>
          <t>청라센트럴에일린의뜰</t>
        </is>
      </c>
      <c r="B201" s="16" t="inlineStr">
        <is>
          <t>'18.09.</t>
        </is>
      </c>
      <c r="C201" s="164" t="n">
        <v>1163</v>
      </c>
      <c r="D201" s="161" t="n">
        <v>117.6</v>
      </c>
      <c r="E201" s="163" t="n">
        <v>36</v>
      </c>
      <c r="F201" s="161" t="n">
        <v>85</v>
      </c>
      <c r="G201" s="27" t="n">
        <v>26</v>
      </c>
      <c r="H201" s="164" t="n">
        <v>123</v>
      </c>
      <c r="I201" s="165" t="n"/>
      <c r="J201" s="165" t="n"/>
      <c r="K201" s="165" t="n"/>
      <c r="L201" s="165" t="n"/>
      <c r="M201" s="166">
        <f>I201-K201</f>
        <v/>
      </c>
      <c r="N201" s="7">
        <f>IF(ISERROR(K201/I201),"",K201/I201)</f>
        <v/>
      </c>
      <c r="O201" s="162">
        <f>I201/E201</f>
        <v/>
      </c>
      <c r="P201" s="162">
        <f>K201/E201</f>
        <v/>
      </c>
      <c r="Q201" s="113" t="n">
        <v>3</v>
      </c>
      <c r="R201" s="113" t="n">
        <v>2</v>
      </c>
      <c r="S201" s="113" t="inlineStr">
        <is>
          <t>계</t>
        </is>
      </c>
      <c r="T201" s="8" t="inlineStr">
        <is>
          <t>117B</t>
        </is>
      </c>
      <c r="U201" s="13" t="n"/>
      <c r="W201" s="161">
        <f>D201</f>
        <v/>
      </c>
      <c r="X201" s="163">
        <f>E201</f>
        <v/>
      </c>
      <c r="Y201" s="159">
        <f>H201</f>
        <v/>
      </c>
      <c r="Z201" s="166">
        <f>I201</f>
        <v/>
      </c>
      <c r="AA201" s="166">
        <f>K201</f>
        <v/>
      </c>
      <c r="AB201" s="166">
        <f>M201</f>
        <v/>
      </c>
      <c r="AC201" s="7">
        <f>N201</f>
        <v/>
      </c>
      <c r="AD201" s="162">
        <f>O201</f>
        <v/>
      </c>
      <c r="AE201" s="113">
        <f>S201</f>
        <v/>
      </c>
      <c r="AF201" s="113">
        <f>Q201&amp;"/"&amp;R201</f>
        <v/>
      </c>
      <c r="AH201" s="36">
        <f>IF(A201="","",A201)</f>
        <v/>
      </c>
      <c r="AI201" s="163">
        <f>IF(E201="","",E201)</f>
        <v/>
      </c>
      <c r="AJ201" s="113">
        <f>IF(AI201="","",$AJ$2)</f>
        <v/>
      </c>
      <c r="AK201" s="113" t="inlineStr">
        <is>
          <t>A</t>
        </is>
      </c>
      <c r="AL201" s="113" t="inlineStr">
        <is>
          <t>A+</t>
        </is>
      </c>
      <c r="AM201" s="113" t="inlineStr">
        <is>
          <t>B+</t>
        </is>
      </c>
      <c r="AN201" s="113">
        <f>IF(AI201="","",$AN$2)</f>
        <v/>
      </c>
      <c r="AO201" s="113">
        <f>IF(N201="","",IF(N201&gt;=$AO$1/100,"O","X"))</f>
        <v/>
      </c>
      <c r="AP201" s="113">
        <f>IF(I201="","",IF(I201&lt;=$AP$1,"O","X"))</f>
        <v/>
      </c>
      <c r="AQ201" s="113">
        <f>IF(O201="","",IF(O201&lt;=$AQ$1,"O","X"))</f>
        <v/>
      </c>
      <c r="AR201" s="113">
        <f>IF(M201="","",IF(M201&lt;=$AR$1,"O","X"))</f>
        <v/>
      </c>
      <c r="AS201" s="113" t="inlineStr">
        <is>
          <t>X</t>
        </is>
      </c>
      <c r="AT201" s="113">
        <f>IF(OR(F201="",AI201=""),"",IF(AND((F201&lt;=85),(AI201&gt;=15)),"O","X"))</f>
        <v/>
      </c>
      <c r="AU201" s="113">
        <f>IF(C201="","",IF(C201&gt;=$AU$1,"O","X"))</f>
        <v/>
      </c>
      <c r="AV201" s="113">
        <f>IF(AO201="","",IF(AND(AO201="O",AP201="O",AR201="O",AT201="O",AU201="O"),"후보","X"))</f>
        <v/>
      </c>
    </row>
    <row r="202">
      <c r="A202" s="13" t="inlineStr">
        <is>
          <t>청라센트럴에일린의뜰</t>
        </is>
      </c>
      <c r="B202" s="16" t="inlineStr">
        <is>
          <t>'18.09.</t>
        </is>
      </c>
      <c r="C202" s="164" t="n">
        <v>1163</v>
      </c>
      <c r="D202" s="161" t="n">
        <v>118.3</v>
      </c>
      <c r="E202" s="163" t="n">
        <v>36</v>
      </c>
      <c r="F202" s="161" t="n">
        <v>85</v>
      </c>
      <c r="G202" s="27" t="n">
        <v>26</v>
      </c>
      <c r="H202" s="164" t="n">
        <v>219</v>
      </c>
      <c r="I202" s="165" t="n"/>
      <c r="J202" s="165" t="n"/>
      <c r="K202" s="165" t="n"/>
      <c r="L202" s="165" t="n"/>
      <c r="M202" s="166">
        <f>I202-K202</f>
        <v/>
      </c>
      <c r="N202" s="7">
        <f>IF(ISERROR(K202/I202),"",K202/I202)</f>
        <v/>
      </c>
      <c r="O202" s="162">
        <f>I202/E202</f>
        <v/>
      </c>
      <c r="P202" s="162">
        <f>K202/E202</f>
        <v/>
      </c>
      <c r="Q202" s="113" t="n">
        <v>3</v>
      </c>
      <c r="R202" s="113" t="n">
        <v>2</v>
      </c>
      <c r="S202" s="113" t="inlineStr">
        <is>
          <t>계</t>
        </is>
      </c>
      <c r="T202" s="8" t="inlineStr">
        <is>
          <t>118C</t>
        </is>
      </c>
      <c r="U202" s="13" t="n"/>
      <c r="W202" s="161">
        <f>D202</f>
        <v/>
      </c>
      <c r="X202" s="163">
        <f>E202</f>
        <v/>
      </c>
      <c r="Y202" s="159">
        <f>H202</f>
        <v/>
      </c>
      <c r="Z202" s="166">
        <f>I202</f>
        <v/>
      </c>
      <c r="AA202" s="166">
        <f>K202</f>
        <v/>
      </c>
      <c r="AB202" s="166">
        <f>M202</f>
        <v/>
      </c>
      <c r="AC202" s="7">
        <f>N202</f>
        <v/>
      </c>
      <c r="AD202" s="162">
        <f>O202</f>
        <v/>
      </c>
      <c r="AE202" s="113">
        <f>S202</f>
        <v/>
      </c>
      <c r="AF202" s="113">
        <f>Q202&amp;"/"&amp;R202</f>
        <v/>
      </c>
      <c r="AH202" s="36">
        <f>IF(A202="","",A202)</f>
        <v/>
      </c>
      <c r="AI202" s="163">
        <f>IF(E202="","",E202)</f>
        <v/>
      </c>
      <c r="AJ202" s="113">
        <f>IF(AI202="","",$AJ$2)</f>
        <v/>
      </c>
      <c r="AK202" s="113" t="inlineStr">
        <is>
          <t>A</t>
        </is>
      </c>
      <c r="AL202" s="113" t="inlineStr">
        <is>
          <t>A+</t>
        </is>
      </c>
      <c r="AM202" s="113" t="inlineStr">
        <is>
          <t>B+</t>
        </is>
      </c>
      <c r="AN202" s="113">
        <f>IF(AI202="","",$AN$2)</f>
        <v/>
      </c>
      <c r="AO202" s="113">
        <f>IF(N202="","",IF(N202&gt;=$AO$1/100,"O","X"))</f>
        <v/>
      </c>
      <c r="AP202" s="113">
        <f>IF(I202="","",IF(I202&lt;=$AP$1,"O","X"))</f>
        <v/>
      </c>
      <c r="AQ202" s="113">
        <f>IF(O202="","",IF(O202&lt;=$AQ$1,"O","X"))</f>
        <v/>
      </c>
      <c r="AR202" s="113">
        <f>IF(M202="","",IF(M202&lt;=$AR$1,"O","X"))</f>
        <v/>
      </c>
      <c r="AS202" s="113" t="inlineStr">
        <is>
          <t>X</t>
        </is>
      </c>
      <c r="AT202" s="113">
        <f>IF(OR(F202="",AI202=""),"",IF(AND((F202&lt;=85),(AI202&gt;=15)),"O","X"))</f>
        <v/>
      </c>
      <c r="AU202" s="113">
        <f>IF(C202="","",IF(C202&gt;=$AU$1,"O","X"))</f>
        <v/>
      </c>
      <c r="AV202" s="113">
        <f>IF(AO202="","",IF(AND(AO202="O",AP202="O",AR202="O",AT202="O",AU202="O"),"후보","X"))</f>
        <v/>
      </c>
    </row>
    <row r="203">
      <c r="A203" s="13" t="inlineStr">
        <is>
          <t>청라센트럴에일린의뜰</t>
        </is>
      </c>
      <c r="B203" s="16" t="inlineStr">
        <is>
          <t>'18.09.</t>
        </is>
      </c>
      <c r="C203" s="164" t="n">
        <v>1163</v>
      </c>
      <c r="D203" s="161" t="n">
        <v>131</v>
      </c>
      <c r="E203" s="163" t="n">
        <v>40</v>
      </c>
      <c r="F203" s="161" t="n">
        <v>95.3</v>
      </c>
      <c r="G203" s="27" t="n">
        <v>29</v>
      </c>
      <c r="H203" s="164" t="n">
        <v>275</v>
      </c>
      <c r="I203" s="165" t="n"/>
      <c r="J203" s="165" t="n"/>
      <c r="K203" s="165" t="n"/>
      <c r="L203" s="165" t="n"/>
      <c r="M203" s="166">
        <f>I203-K203</f>
        <v/>
      </c>
      <c r="N203" s="7">
        <f>IF(ISERROR(K203/I203),"",K203/I203)</f>
        <v/>
      </c>
      <c r="O203" s="162">
        <f>I203/E203</f>
        <v/>
      </c>
      <c r="P203" s="162">
        <f>K203/E203</f>
        <v/>
      </c>
      <c r="Q203" s="113" t="n">
        <v>4</v>
      </c>
      <c r="R203" s="113" t="n">
        <v>2</v>
      </c>
      <c r="S203" s="113" t="inlineStr">
        <is>
          <t>계</t>
        </is>
      </c>
      <c r="T203" s="8" t="n">
        <v>131</v>
      </c>
      <c r="U203" s="13" t="n"/>
      <c r="W203" s="161">
        <f>D203</f>
        <v/>
      </c>
      <c r="X203" s="163">
        <f>E203</f>
        <v/>
      </c>
      <c r="Y203" s="159">
        <f>H203</f>
        <v/>
      </c>
      <c r="Z203" s="166">
        <f>I203</f>
        <v/>
      </c>
      <c r="AA203" s="166">
        <f>K203</f>
        <v/>
      </c>
      <c r="AB203" s="166">
        <f>M203</f>
        <v/>
      </c>
      <c r="AC203" s="7">
        <f>N203</f>
        <v/>
      </c>
      <c r="AD203" s="162">
        <f>O203</f>
        <v/>
      </c>
      <c r="AE203" s="113">
        <f>S203</f>
        <v/>
      </c>
      <c r="AF203" s="113">
        <f>Q203&amp;"/"&amp;R203</f>
        <v/>
      </c>
      <c r="AH203" s="36">
        <f>IF(A203="","",A203)</f>
        <v/>
      </c>
      <c r="AI203" s="163">
        <f>IF(E203="","",E203)</f>
        <v/>
      </c>
      <c r="AJ203" s="113">
        <f>IF(AI203="","",$AJ$2)</f>
        <v/>
      </c>
      <c r="AK203" s="113" t="inlineStr">
        <is>
          <t>A</t>
        </is>
      </c>
      <c r="AL203" s="113" t="inlineStr">
        <is>
          <t>A+</t>
        </is>
      </c>
      <c r="AM203" s="113" t="inlineStr">
        <is>
          <t>B+</t>
        </is>
      </c>
      <c r="AN203" s="113">
        <f>IF(AI203="","",$AN$2)</f>
        <v/>
      </c>
      <c r="AO203" s="113">
        <f>IF(N203="","",IF(N203&gt;=$AO$1/100,"O","X"))</f>
        <v/>
      </c>
      <c r="AP203" s="113">
        <f>IF(I203="","",IF(I203&lt;=$AP$1,"O","X"))</f>
        <v/>
      </c>
      <c r="AQ203" s="113">
        <f>IF(O203="","",IF(O203&lt;=$AQ$1,"O","X"))</f>
        <v/>
      </c>
      <c r="AR203" s="113">
        <f>IF(M203="","",IF(M203&lt;=$AR$1,"O","X"))</f>
        <v/>
      </c>
      <c r="AS203" s="113" t="inlineStr">
        <is>
          <t>X</t>
        </is>
      </c>
      <c r="AT203" s="113">
        <f>IF(OR(F203="",AI203=""),"",IF(AND((F203&lt;=85),(AI203&gt;=15)),"O","X"))</f>
        <v/>
      </c>
      <c r="AU203" s="113">
        <f>IF(C203="","",IF(C203&gt;=$AU$1,"O","X"))</f>
        <v/>
      </c>
      <c r="AV203" s="113">
        <f>IF(AO203="","",IF(AND(AO203="O",AP203="O",AR203="O",AT203="O",AU203="O"),"후보","X"))</f>
        <v/>
      </c>
    </row>
    <row r="204">
      <c r="A204" s="13" t="n"/>
      <c r="B204" s="113" t="n"/>
      <c r="C204" s="10" t="n"/>
      <c r="D204" s="13" t="n"/>
      <c r="E204" s="20" t="n"/>
      <c r="F204" s="161" t="n"/>
      <c r="G204" s="13" t="n"/>
      <c r="H204" s="13" t="n"/>
      <c r="I204" s="13" t="n"/>
      <c r="J204" s="13" t="n"/>
      <c r="K204" s="13" t="n"/>
      <c r="L204" s="13" t="n"/>
      <c r="M204" s="13" t="n"/>
      <c r="N204" s="13" t="n"/>
      <c r="O204" s="162" t="n"/>
      <c r="P204" s="162" t="n"/>
      <c r="Q204" s="163" t="n"/>
      <c r="R204" s="163" t="n"/>
      <c r="S204" s="13" t="n"/>
      <c r="T204" s="70" t="n"/>
      <c r="U204" s="13" t="n"/>
      <c r="W204" s="107">
        <f>$A$4&amp;" "&amp;A205&amp;"("&amp;B205&amp;","&amp;C205&amp;"^)"</f>
        <v/>
      </c>
      <c r="X204" s="108" t="n"/>
      <c r="Y204" s="108" t="n"/>
      <c r="Z204" s="108" t="n"/>
      <c r="AA204" s="108" t="n"/>
      <c r="AB204" s="108" t="n"/>
      <c r="AC204" s="108" t="n"/>
      <c r="AD204" s="108" t="n"/>
      <c r="AE204" s="108" t="n"/>
      <c r="AF204" s="109" t="n"/>
      <c r="AH204" s="36">
        <f>IF(A204="","",A204)</f>
        <v/>
      </c>
      <c r="AI204" s="160">
        <f>IF(E204="","",E204)</f>
        <v/>
      </c>
      <c r="AJ204" s="113" t="n"/>
      <c r="AK204" s="113" t="n"/>
      <c r="AL204" s="113" t="n"/>
      <c r="AM204" s="113" t="n"/>
      <c r="AN204" s="113" t="n"/>
      <c r="AO204" s="113" t="n"/>
      <c r="AP204" s="113" t="n"/>
      <c r="AQ204" s="113" t="n"/>
      <c r="AR204" s="113" t="n"/>
      <c r="AS204" s="113" t="n"/>
      <c r="AT204" s="113" t="n"/>
      <c r="AU204" s="113" t="n"/>
      <c r="AV204" s="113" t="n"/>
    </row>
    <row r="205">
      <c r="A205" s="13" t="inlineStr">
        <is>
          <t>청라푸르지오</t>
        </is>
      </c>
      <c r="B205" s="16" t="inlineStr">
        <is>
          <t>'13.06.</t>
        </is>
      </c>
      <c r="C205" s="164" t="n">
        <v>751</v>
      </c>
      <c r="D205" s="161" t="n">
        <v>125.9</v>
      </c>
      <c r="E205" s="163" t="n">
        <v>38</v>
      </c>
      <c r="F205" s="161" t="n">
        <v>94.7</v>
      </c>
      <c r="G205" s="27" t="n">
        <v>29</v>
      </c>
      <c r="H205" s="164" t="n">
        <v>133</v>
      </c>
      <c r="I205" s="165" t="n">
        <v>119000</v>
      </c>
      <c r="J205" s="165" t="inlineStr">
        <is>
          <t>중</t>
        </is>
      </c>
      <c r="K205" s="165" t="n">
        <v>50000</v>
      </c>
      <c r="L205" s="165" t="inlineStr">
        <is>
          <t>중</t>
        </is>
      </c>
      <c r="M205" s="166">
        <f>I205-K205</f>
        <v/>
      </c>
      <c r="N205" s="7">
        <f>IF(ISERROR(K205/I205),"",K205/I205)</f>
        <v/>
      </c>
      <c r="O205" s="162">
        <f>I205/E205</f>
        <v/>
      </c>
      <c r="P205" s="162">
        <f>K205/E205</f>
        <v/>
      </c>
      <c r="Q205" s="113" t="n">
        <v>3</v>
      </c>
      <c r="R205" s="113" t="n">
        <v>2</v>
      </c>
      <c r="S205" s="113" t="inlineStr">
        <is>
          <t>계</t>
        </is>
      </c>
      <c r="T205" s="8" t="inlineStr">
        <is>
          <t>125A</t>
        </is>
      </c>
      <c r="U205" s="13" t="n"/>
      <c r="W205" s="161">
        <f>D205</f>
        <v/>
      </c>
      <c r="X205" s="163">
        <f>E205</f>
        <v/>
      </c>
      <c r="Y205" s="159">
        <f>H205</f>
        <v/>
      </c>
      <c r="Z205" s="166">
        <f>I205</f>
        <v/>
      </c>
      <c r="AA205" s="166">
        <f>K205</f>
        <v/>
      </c>
      <c r="AB205" s="166">
        <f>M205</f>
        <v/>
      </c>
      <c r="AC205" s="7">
        <f>N205</f>
        <v/>
      </c>
      <c r="AD205" s="162">
        <f>O205</f>
        <v/>
      </c>
      <c r="AE205" s="113">
        <f>S205</f>
        <v/>
      </c>
      <c r="AF205" s="113">
        <f>Q205&amp;"/"&amp;R205</f>
        <v/>
      </c>
      <c r="AH205" s="36">
        <f>IF(A205="","",A205)</f>
        <v/>
      </c>
      <c r="AI205" s="163">
        <f>IF(E205="","",E205)</f>
        <v/>
      </c>
      <c r="AJ205" s="113">
        <f>IF(AI205="","",$AJ$2)</f>
        <v/>
      </c>
      <c r="AK205" s="113" t="inlineStr">
        <is>
          <t>A</t>
        </is>
      </c>
      <c r="AL205" s="113" t="inlineStr">
        <is>
          <t>A+</t>
        </is>
      </c>
      <c r="AM205" s="113" t="inlineStr">
        <is>
          <t>B+</t>
        </is>
      </c>
      <c r="AN205" s="113">
        <f>IF(AI205="","",$AN$2)</f>
        <v/>
      </c>
      <c r="AO205" s="113">
        <f>IF(N205="","",IF(N205&gt;=$AO$1/100,"O","X"))</f>
        <v/>
      </c>
      <c r="AP205" s="113">
        <f>IF(I205="","",IF(I205&lt;=$AP$1,"O","X"))</f>
        <v/>
      </c>
      <c r="AQ205" s="113">
        <f>IF(O205="","",IF(O205&lt;=$AQ$1,"O","X"))</f>
        <v/>
      </c>
      <c r="AR205" s="113">
        <f>IF(M205="","",IF(M205&lt;=$AR$1,"O","X"))</f>
        <v/>
      </c>
      <c r="AS205" s="113" t="inlineStr">
        <is>
          <t>X</t>
        </is>
      </c>
      <c r="AT205" s="113">
        <f>IF(OR(F205="",AI205=""),"",IF(AND((F205&lt;=85),(AI205&gt;=15)),"O","X"))</f>
        <v/>
      </c>
      <c r="AU205" s="113">
        <f>IF(C205="","",IF(C205&gt;=$AU$1,"O","X"))</f>
        <v/>
      </c>
      <c r="AV205" s="113">
        <f>IF(AO205="","",IF(AND(AO205="O",AP205="O",AR205="O",AT205="O",AU205="O"),"후보","X"))</f>
        <v/>
      </c>
    </row>
    <row r="206">
      <c r="A206" s="13" t="inlineStr">
        <is>
          <t>청라푸르지오</t>
        </is>
      </c>
      <c r="B206" s="16" t="inlineStr">
        <is>
          <t>'13.06.</t>
        </is>
      </c>
      <c r="C206" s="164" t="n">
        <v>751</v>
      </c>
      <c r="D206" s="161" t="n">
        <v>126.1</v>
      </c>
      <c r="E206" s="163" t="n">
        <v>38</v>
      </c>
      <c r="F206" s="161" t="n">
        <v>94.90000000000001</v>
      </c>
      <c r="G206" s="27" t="n">
        <v>29</v>
      </c>
      <c r="H206" s="164" t="n">
        <v>125</v>
      </c>
      <c r="I206" s="165" t="n">
        <v>109000</v>
      </c>
      <c r="J206" s="165" t="inlineStr">
        <is>
          <t>고</t>
        </is>
      </c>
      <c r="K206" s="165" t="n">
        <v>53000</v>
      </c>
      <c r="L206" s="165" t="inlineStr">
        <is>
          <t>고</t>
        </is>
      </c>
      <c r="M206" s="166">
        <f>I206-K206</f>
        <v/>
      </c>
      <c r="N206" s="7">
        <f>IF(ISERROR(K206/I206),"",K206/I206)</f>
        <v/>
      </c>
      <c r="O206" s="162">
        <f>I206/E206</f>
        <v/>
      </c>
      <c r="P206" s="162">
        <f>K206/E206</f>
        <v/>
      </c>
      <c r="Q206" s="113" t="n">
        <v>3</v>
      </c>
      <c r="R206" s="113" t="n">
        <v>2</v>
      </c>
      <c r="S206" s="113" t="inlineStr">
        <is>
          <t>계</t>
        </is>
      </c>
      <c r="T206" s="8" t="inlineStr">
        <is>
          <t>126B</t>
        </is>
      </c>
      <c r="U206" s="13" t="n"/>
      <c r="W206" s="161">
        <f>D206</f>
        <v/>
      </c>
      <c r="X206" s="163">
        <f>E206</f>
        <v/>
      </c>
      <c r="Y206" s="159">
        <f>H206</f>
        <v/>
      </c>
      <c r="Z206" s="166">
        <f>I206</f>
        <v/>
      </c>
      <c r="AA206" s="166">
        <f>K206</f>
        <v/>
      </c>
      <c r="AB206" s="166">
        <f>M206</f>
        <v/>
      </c>
      <c r="AC206" s="7">
        <f>N206</f>
        <v/>
      </c>
      <c r="AD206" s="162">
        <f>O206</f>
        <v/>
      </c>
      <c r="AE206" s="113">
        <f>S206</f>
        <v/>
      </c>
      <c r="AF206" s="113">
        <f>Q206&amp;"/"&amp;R206</f>
        <v/>
      </c>
      <c r="AH206" s="36">
        <f>IF(A206="","",A206)</f>
        <v/>
      </c>
      <c r="AI206" s="163">
        <f>IF(E206="","",E206)</f>
        <v/>
      </c>
      <c r="AJ206" s="113">
        <f>IF(AI206="","",$AJ$2)</f>
        <v/>
      </c>
      <c r="AK206" s="113" t="inlineStr">
        <is>
          <t>A</t>
        </is>
      </c>
      <c r="AL206" s="113" t="inlineStr">
        <is>
          <t>A+</t>
        </is>
      </c>
      <c r="AM206" s="113" t="inlineStr">
        <is>
          <t>B+</t>
        </is>
      </c>
      <c r="AN206" s="113">
        <f>IF(AI206="","",$AN$2)</f>
        <v/>
      </c>
      <c r="AO206" s="113">
        <f>IF(N206="","",IF(N206&gt;=$AO$1/100,"O","X"))</f>
        <v/>
      </c>
      <c r="AP206" s="113">
        <f>IF(I206="","",IF(I206&lt;=$AP$1,"O","X"))</f>
        <v/>
      </c>
      <c r="AQ206" s="113">
        <f>IF(O206="","",IF(O206&lt;=$AQ$1,"O","X"))</f>
        <v/>
      </c>
      <c r="AR206" s="113">
        <f>IF(M206="","",IF(M206&lt;=$AR$1,"O","X"))</f>
        <v/>
      </c>
      <c r="AS206" s="113" t="inlineStr">
        <is>
          <t>X</t>
        </is>
      </c>
      <c r="AT206" s="113">
        <f>IF(OR(F206="",AI206=""),"",IF(AND((F206&lt;=85),(AI206&gt;=15)),"O","X"))</f>
        <v/>
      </c>
      <c r="AU206" s="113">
        <f>IF(C206="","",IF(C206&gt;=$AU$1,"O","X"))</f>
        <v/>
      </c>
      <c r="AV206" s="113">
        <f>IF(AO206="","",IF(AND(AO206="O",AP206="O",AR206="O",AT206="O",AU206="O"),"후보","X"))</f>
        <v/>
      </c>
    </row>
    <row r="207">
      <c r="A207" s="13" t="inlineStr">
        <is>
          <t>청라푸르지오</t>
        </is>
      </c>
      <c r="B207" s="16" t="inlineStr">
        <is>
          <t>'13.06.</t>
        </is>
      </c>
      <c r="C207" s="164" t="n">
        <v>751</v>
      </c>
      <c r="D207" s="161" t="n">
        <v>151.1</v>
      </c>
      <c r="E207" s="163" t="n">
        <v>46</v>
      </c>
      <c r="F207" s="161" t="n">
        <v>114.1</v>
      </c>
      <c r="G207" s="27" t="n">
        <v>35</v>
      </c>
      <c r="H207" s="164" t="n">
        <v>276</v>
      </c>
      <c r="I207" s="165" t="n">
        <v>123000</v>
      </c>
      <c r="J207" s="165" t="inlineStr">
        <is>
          <t>12</t>
        </is>
      </c>
      <c r="K207" s="165" t="n">
        <v>57000</v>
      </c>
      <c r="L207" s="165" t="inlineStr">
        <is>
          <t>15</t>
        </is>
      </c>
      <c r="M207" s="166">
        <f>I207-K207</f>
        <v/>
      </c>
      <c r="N207" s="7">
        <f>IF(ISERROR(K207/I207),"",K207/I207)</f>
        <v/>
      </c>
      <c r="O207" s="162">
        <f>I207/E207</f>
        <v/>
      </c>
      <c r="P207" s="162">
        <f>K207/E207</f>
        <v/>
      </c>
      <c r="Q207" s="113" t="n">
        <v>4</v>
      </c>
      <c r="R207" s="113" t="n">
        <v>2</v>
      </c>
      <c r="S207" s="113" t="inlineStr">
        <is>
          <t>계</t>
        </is>
      </c>
      <c r="T207" s="8" t="n">
        <v>151</v>
      </c>
      <c r="U207" s="13" t="n"/>
      <c r="W207" s="161">
        <f>D207</f>
        <v/>
      </c>
      <c r="X207" s="163">
        <f>E207</f>
        <v/>
      </c>
      <c r="Y207" s="159">
        <f>H207</f>
        <v/>
      </c>
      <c r="Z207" s="166">
        <f>I207</f>
        <v/>
      </c>
      <c r="AA207" s="166">
        <f>K207</f>
        <v/>
      </c>
      <c r="AB207" s="166">
        <f>M207</f>
        <v/>
      </c>
      <c r="AC207" s="7">
        <f>N207</f>
        <v/>
      </c>
      <c r="AD207" s="162">
        <f>O207</f>
        <v/>
      </c>
      <c r="AE207" s="113">
        <f>S207</f>
        <v/>
      </c>
      <c r="AF207" s="113">
        <f>Q207&amp;"/"&amp;R207</f>
        <v/>
      </c>
      <c r="AH207" s="36">
        <f>IF(A207="","",A207)</f>
        <v/>
      </c>
      <c r="AI207" s="163">
        <f>IF(E207="","",E207)</f>
        <v/>
      </c>
      <c r="AJ207" s="113">
        <f>IF(AI207="","",$AJ$2)</f>
        <v/>
      </c>
      <c r="AK207" s="113" t="inlineStr">
        <is>
          <t>A</t>
        </is>
      </c>
      <c r="AL207" s="113" t="inlineStr">
        <is>
          <t>A+</t>
        </is>
      </c>
      <c r="AM207" s="113" t="inlineStr">
        <is>
          <t>B+</t>
        </is>
      </c>
      <c r="AN207" s="113">
        <f>IF(AI207="","",$AN$2)</f>
        <v/>
      </c>
      <c r="AO207" s="113">
        <f>IF(N207="","",IF(N207&gt;=$AO$1/100,"O","X"))</f>
        <v/>
      </c>
      <c r="AP207" s="113">
        <f>IF(I207="","",IF(I207&lt;=$AP$1,"O","X"))</f>
        <v/>
      </c>
      <c r="AQ207" s="113">
        <f>IF(O207="","",IF(O207&lt;=$AQ$1,"O","X"))</f>
        <v/>
      </c>
      <c r="AR207" s="113">
        <f>IF(M207="","",IF(M207&lt;=$AR$1,"O","X"))</f>
        <v/>
      </c>
      <c r="AS207" s="113" t="inlineStr">
        <is>
          <t>X</t>
        </is>
      </c>
      <c r="AT207" s="113">
        <f>IF(OR(F207="",AI207=""),"",IF(AND((F207&lt;=85),(AI207&gt;=15)),"O","X"))</f>
        <v/>
      </c>
      <c r="AU207" s="113">
        <f>IF(C207="","",IF(C207&gt;=$AU$1,"O","X"))</f>
        <v/>
      </c>
      <c r="AV207" s="113">
        <f>IF(AO207="","",IF(AND(AO207="O",AP207="O",AR207="O",AT207="O",AU207="O"),"후보","X"))</f>
        <v/>
      </c>
    </row>
    <row r="208">
      <c r="A208" s="13" t="inlineStr">
        <is>
          <t>청라푸르지오</t>
        </is>
      </c>
      <c r="B208" s="16" t="inlineStr">
        <is>
          <t>'13.06.</t>
        </is>
      </c>
      <c r="C208" s="164" t="n">
        <v>751</v>
      </c>
      <c r="D208" s="161" t="n">
        <v>157.8</v>
      </c>
      <c r="E208" s="163" t="n">
        <v>48</v>
      </c>
      <c r="F208" s="161" t="n">
        <v>120.3</v>
      </c>
      <c r="G208" s="27" t="n">
        <v>36</v>
      </c>
      <c r="H208" s="164" t="n">
        <v>108</v>
      </c>
      <c r="I208" s="165" t="n">
        <v>150000</v>
      </c>
      <c r="J208" s="165" t="inlineStr">
        <is>
          <t>고</t>
        </is>
      </c>
      <c r="K208" s="165" t="n">
        <v>55000</v>
      </c>
      <c r="L208" s="165" t="inlineStr">
        <is>
          <t>중</t>
        </is>
      </c>
      <c r="M208" s="166">
        <f>I208-K208</f>
        <v/>
      </c>
      <c r="N208" s="7">
        <f>IF(ISERROR(K208/I208),"",K208/I208)</f>
        <v/>
      </c>
      <c r="O208" s="162">
        <f>I208/E208</f>
        <v/>
      </c>
      <c r="P208" s="162">
        <f>K208/E208</f>
        <v/>
      </c>
      <c r="Q208" s="113" t="n">
        <v>4</v>
      </c>
      <c r="R208" s="113" t="n">
        <v>2</v>
      </c>
      <c r="S208" s="113" t="inlineStr">
        <is>
          <t>계</t>
        </is>
      </c>
      <c r="T208" s="8" t="n">
        <v>157</v>
      </c>
      <c r="U208" s="13" t="n"/>
      <c r="W208" s="161">
        <f>D208</f>
        <v/>
      </c>
      <c r="X208" s="163">
        <f>E208</f>
        <v/>
      </c>
      <c r="Y208" s="159">
        <f>H208</f>
        <v/>
      </c>
      <c r="Z208" s="166">
        <f>I208</f>
        <v/>
      </c>
      <c r="AA208" s="166">
        <f>K208</f>
        <v/>
      </c>
      <c r="AB208" s="166">
        <f>M208</f>
        <v/>
      </c>
      <c r="AC208" s="7">
        <f>N208</f>
        <v/>
      </c>
      <c r="AD208" s="162">
        <f>O208</f>
        <v/>
      </c>
      <c r="AE208" s="113">
        <f>S208</f>
        <v/>
      </c>
      <c r="AF208" s="113">
        <f>Q208&amp;"/"&amp;R208</f>
        <v/>
      </c>
      <c r="AH208" s="36">
        <f>IF(A208="","",A208)</f>
        <v/>
      </c>
      <c r="AI208" s="163">
        <f>IF(E208="","",E208)</f>
        <v/>
      </c>
      <c r="AJ208" s="113">
        <f>IF(AI208="","",$AJ$2)</f>
        <v/>
      </c>
      <c r="AK208" s="113" t="inlineStr">
        <is>
          <t>A</t>
        </is>
      </c>
      <c r="AL208" s="113" t="inlineStr">
        <is>
          <t>A+</t>
        </is>
      </c>
      <c r="AM208" s="113" t="inlineStr">
        <is>
          <t>B+</t>
        </is>
      </c>
      <c r="AN208" s="113">
        <f>IF(AI208="","",$AN$2)</f>
        <v/>
      </c>
      <c r="AO208" s="113">
        <f>IF(N208="","",IF(N208&gt;=$AO$1/100,"O","X"))</f>
        <v/>
      </c>
      <c r="AP208" s="113">
        <f>IF(I208="","",IF(I208&lt;=$AP$1,"O","X"))</f>
        <v/>
      </c>
      <c r="AQ208" s="113">
        <f>IF(O208="","",IF(O208&lt;=$AQ$1,"O","X"))</f>
        <v/>
      </c>
      <c r="AR208" s="113">
        <f>IF(M208="","",IF(M208&lt;=$AR$1,"O","X"))</f>
        <v/>
      </c>
      <c r="AS208" s="113" t="inlineStr">
        <is>
          <t>X</t>
        </is>
      </c>
      <c r="AT208" s="113">
        <f>IF(OR(F208="",AI208=""),"",IF(AND((F208&lt;=85),(AI208&gt;=15)),"O","X"))</f>
        <v/>
      </c>
      <c r="AU208" s="113">
        <f>IF(C208="","",IF(C208&gt;=$AU$1,"O","X"))</f>
        <v/>
      </c>
      <c r="AV208" s="113">
        <f>IF(AO208="","",IF(AND(AO208="O",AP208="O",AR208="O",AT208="O",AU208="O"),"후보","X"))</f>
        <v/>
      </c>
    </row>
    <row r="209">
      <c r="A209" s="13" t="inlineStr">
        <is>
          <t>청라푸르지오</t>
        </is>
      </c>
      <c r="B209" s="16" t="inlineStr">
        <is>
          <t>'13.06.</t>
        </is>
      </c>
      <c r="C209" s="164" t="n">
        <v>751</v>
      </c>
      <c r="D209" s="161" t="n">
        <v>187.4</v>
      </c>
      <c r="E209" s="163" t="n">
        <v>57</v>
      </c>
      <c r="F209" s="161" t="n">
        <v>139.5</v>
      </c>
      <c r="G209" s="27" t="n">
        <v>42</v>
      </c>
      <c r="H209" s="164" t="n">
        <v>108</v>
      </c>
      <c r="I209" s="165" t="n">
        <v>195000</v>
      </c>
      <c r="J209" s="165" t="inlineStr">
        <is>
          <t>고</t>
        </is>
      </c>
      <c r="K209" s="165" t="n"/>
      <c r="L209" s="165" t="n"/>
      <c r="M209" s="166">
        <f>I209-K209</f>
        <v/>
      </c>
      <c r="N209" s="7">
        <f>IF(ISERROR(K209/I209),"",K209/I209)</f>
        <v/>
      </c>
      <c r="O209" s="162">
        <f>I209/E209</f>
        <v/>
      </c>
      <c r="P209" s="162">
        <f>K209/E209</f>
        <v/>
      </c>
      <c r="Q209" s="113" t="n">
        <v>4</v>
      </c>
      <c r="R209" s="113" t="n">
        <v>3</v>
      </c>
      <c r="S209" s="113" t="inlineStr">
        <is>
          <t>계</t>
        </is>
      </c>
      <c r="T209" s="8" t="n">
        <v>187</v>
      </c>
      <c r="U209" s="13" t="n"/>
      <c r="W209" s="161">
        <f>D209</f>
        <v/>
      </c>
      <c r="X209" s="163">
        <f>E209</f>
        <v/>
      </c>
      <c r="Y209" s="159">
        <f>H209</f>
        <v/>
      </c>
      <c r="Z209" s="166">
        <f>I209</f>
        <v/>
      </c>
      <c r="AA209" s="166">
        <f>K209</f>
        <v/>
      </c>
      <c r="AB209" s="166">
        <f>M209</f>
        <v/>
      </c>
      <c r="AC209" s="7">
        <f>N209</f>
        <v/>
      </c>
      <c r="AD209" s="162">
        <f>O209</f>
        <v/>
      </c>
      <c r="AE209" s="113">
        <f>S209</f>
        <v/>
      </c>
      <c r="AF209" s="113">
        <f>Q209&amp;"/"&amp;R209</f>
        <v/>
      </c>
      <c r="AH209" s="36">
        <f>IF(A209="","",A209)</f>
        <v/>
      </c>
      <c r="AI209" s="163">
        <f>IF(E209="","",E209)</f>
        <v/>
      </c>
      <c r="AJ209" s="113">
        <f>IF(AI209="","",$AJ$2)</f>
        <v/>
      </c>
      <c r="AK209" s="113" t="inlineStr">
        <is>
          <t>A</t>
        </is>
      </c>
      <c r="AL209" s="113" t="inlineStr">
        <is>
          <t>A+</t>
        </is>
      </c>
      <c r="AM209" s="113" t="inlineStr">
        <is>
          <t>B+</t>
        </is>
      </c>
      <c r="AN209" s="113">
        <f>IF(AI209="","",$AN$2)</f>
        <v/>
      </c>
      <c r="AO209" s="113">
        <f>IF(N209="","",IF(N209&gt;=$AO$1/100,"O","X"))</f>
        <v/>
      </c>
      <c r="AP209" s="113">
        <f>IF(I209="","",IF(I209&lt;=$AP$1,"O","X"))</f>
        <v/>
      </c>
      <c r="AQ209" s="113">
        <f>IF(O209="","",IF(O209&lt;=$AQ$1,"O","X"))</f>
        <v/>
      </c>
      <c r="AR209" s="113">
        <f>IF(M209="","",IF(M209&lt;=$AR$1,"O","X"))</f>
        <v/>
      </c>
      <c r="AS209" s="113" t="inlineStr">
        <is>
          <t>X</t>
        </is>
      </c>
      <c r="AT209" s="113">
        <f>IF(OR(F209="",AI209=""),"",IF(AND((F209&lt;=85),(AI209&gt;=15)),"O","X"))</f>
        <v/>
      </c>
      <c r="AU209" s="113">
        <f>IF(C209="","",IF(C209&gt;=$AU$1,"O","X"))</f>
        <v/>
      </c>
      <c r="AV209" s="113">
        <f>IF(AO209="","",IF(AND(AO209="O",AP209="O",AR209="O",AT209="O",AU209="O"),"후보","X"))</f>
        <v/>
      </c>
    </row>
    <row r="210">
      <c r="A210" s="13" t="inlineStr">
        <is>
          <t>청라푸르지오</t>
        </is>
      </c>
      <c r="B210" s="16" t="inlineStr">
        <is>
          <t>'13.06.</t>
        </is>
      </c>
      <c r="C210" s="164" t="n">
        <v>751</v>
      </c>
      <c r="D210" s="161" t="n">
        <v>378.9</v>
      </c>
      <c r="E210" s="163" t="n">
        <v>115</v>
      </c>
      <c r="F210" s="161" t="n">
        <v>283.1</v>
      </c>
      <c r="G210" s="27" t="n">
        <v>86</v>
      </c>
      <c r="H210" s="164" t="n">
        <v>1</v>
      </c>
      <c r="I210" s="165" t="n"/>
      <c r="J210" s="165" t="n"/>
      <c r="K210" s="165" t="n"/>
      <c r="L210" s="165" t="n"/>
      <c r="M210" s="166">
        <f>I210-K210</f>
        <v/>
      </c>
      <c r="N210" s="7">
        <f>IF(ISERROR(K210/I210),"",K210/I210)</f>
        <v/>
      </c>
      <c r="O210" s="162">
        <f>I210/E210</f>
        <v/>
      </c>
      <c r="P210" s="162">
        <f>K210/E210</f>
        <v/>
      </c>
      <c r="Q210" s="113" t="n">
        <v>6</v>
      </c>
      <c r="R210" s="113" t="n">
        <v>4</v>
      </c>
      <c r="S210" s="113" t="inlineStr">
        <is>
          <t>계</t>
        </is>
      </c>
      <c r="T210" s="8" t="n">
        <v>378</v>
      </c>
      <c r="U210" s="13" t="n"/>
      <c r="W210" s="161">
        <f>D210</f>
        <v/>
      </c>
      <c r="X210" s="163">
        <f>E210</f>
        <v/>
      </c>
      <c r="Y210" s="159">
        <f>H210</f>
        <v/>
      </c>
      <c r="Z210" s="166">
        <f>I210</f>
        <v/>
      </c>
      <c r="AA210" s="166">
        <f>K210</f>
        <v/>
      </c>
      <c r="AB210" s="166">
        <f>M210</f>
        <v/>
      </c>
      <c r="AC210" s="7">
        <f>N210</f>
        <v/>
      </c>
      <c r="AD210" s="162">
        <f>O210</f>
        <v/>
      </c>
      <c r="AE210" s="113">
        <f>S210</f>
        <v/>
      </c>
      <c r="AF210" s="113">
        <f>Q210&amp;"/"&amp;R210</f>
        <v/>
      </c>
      <c r="AH210" s="36">
        <f>IF(A210="","",A210)</f>
        <v/>
      </c>
      <c r="AI210" s="163">
        <f>IF(E210="","",E210)</f>
        <v/>
      </c>
      <c r="AJ210" s="113">
        <f>IF(AI210="","",$AJ$2)</f>
        <v/>
      </c>
      <c r="AK210" s="113" t="inlineStr">
        <is>
          <t>A</t>
        </is>
      </c>
      <c r="AL210" s="113" t="inlineStr">
        <is>
          <t>A+</t>
        </is>
      </c>
      <c r="AM210" s="113" t="inlineStr">
        <is>
          <t>B+</t>
        </is>
      </c>
      <c r="AN210" s="113">
        <f>IF(AI210="","",$AN$2)</f>
        <v/>
      </c>
      <c r="AO210" s="113">
        <f>IF(N210="","",IF(N210&gt;=$AO$1/100,"O","X"))</f>
        <v/>
      </c>
      <c r="AP210" s="113">
        <f>IF(I210="","",IF(I210&lt;=$AP$1,"O","X"))</f>
        <v/>
      </c>
      <c r="AQ210" s="113">
        <f>IF(O210="","",IF(O210&lt;=$AQ$1,"O","X"))</f>
        <v/>
      </c>
      <c r="AR210" s="113">
        <f>IF(M210="","",IF(M210&lt;=$AR$1,"O","X"))</f>
        <v/>
      </c>
      <c r="AS210" s="113" t="inlineStr">
        <is>
          <t>X</t>
        </is>
      </c>
      <c r="AT210" s="113">
        <f>IF(OR(F210="",AI210=""),"",IF(AND((F210&lt;=85),(AI210&gt;=15)),"O","X"))</f>
        <v/>
      </c>
      <c r="AU210" s="113">
        <f>IF(C210="","",IF(C210&gt;=$AU$1,"O","X"))</f>
        <v/>
      </c>
      <c r="AV210" s="113">
        <f>IF(AO210="","",IF(AND(AO210="O",AP210="O",AR210="O",AT210="O",AU210="O"),"후보","X"))</f>
        <v/>
      </c>
    </row>
    <row r="211">
      <c r="A211" s="13" t="n"/>
      <c r="B211" s="113" t="n"/>
      <c r="C211" s="10" t="n"/>
      <c r="D211" s="13" t="n"/>
      <c r="E211" s="20" t="n"/>
      <c r="F211" s="161" t="n"/>
      <c r="G211" s="13" t="n"/>
      <c r="H211" s="13" t="n"/>
      <c r="I211" s="13" t="n"/>
      <c r="J211" s="13" t="n"/>
      <c r="K211" s="13" t="n"/>
      <c r="L211" s="13" t="n"/>
      <c r="M211" s="13" t="n"/>
      <c r="N211" s="13" t="n"/>
      <c r="O211" s="162" t="n"/>
      <c r="P211" s="162" t="n"/>
      <c r="Q211" s="163" t="n"/>
      <c r="R211" s="163" t="n"/>
      <c r="S211" s="13" t="n"/>
      <c r="T211" s="70" t="n"/>
      <c r="U211" s="13" t="n"/>
      <c r="W211" s="107">
        <f>$A$4&amp;" "&amp;A212&amp;"("&amp;B212&amp;","&amp;C212&amp;"^)"</f>
        <v/>
      </c>
      <c r="X211" s="108" t="n"/>
      <c r="Y211" s="108" t="n"/>
      <c r="Z211" s="108" t="n"/>
      <c r="AA211" s="108" t="n"/>
      <c r="AB211" s="108" t="n"/>
      <c r="AC211" s="108" t="n"/>
      <c r="AD211" s="108" t="n"/>
      <c r="AE211" s="108" t="n"/>
      <c r="AF211" s="109" t="n"/>
      <c r="AH211" s="36">
        <f>IF(A211="","",A211)</f>
        <v/>
      </c>
      <c r="AI211" s="160">
        <f>IF(E211="","",E211)</f>
        <v/>
      </c>
      <c r="AJ211" s="113" t="n"/>
      <c r="AK211" s="113" t="n"/>
      <c r="AL211" s="113" t="n"/>
      <c r="AM211" s="113" t="n"/>
      <c r="AN211" s="113" t="n"/>
      <c r="AO211" s="113" t="n"/>
      <c r="AP211" s="113" t="n"/>
      <c r="AQ211" s="113" t="n"/>
      <c r="AR211" s="113" t="n"/>
      <c r="AS211" s="113" t="n"/>
      <c r="AT211" s="113" t="n"/>
      <c r="AU211" s="113" t="n"/>
      <c r="AV211" s="113" t="n"/>
    </row>
    <row r="212">
      <c r="A212" s="13" t="inlineStr">
        <is>
          <t>청라제일풍경채</t>
        </is>
      </c>
      <c r="B212" s="16" t="inlineStr">
        <is>
          <t>'12.04.</t>
        </is>
      </c>
      <c r="C212" s="164" t="n">
        <v>1071</v>
      </c>
      <c r="D212" s="161" t="n">
        <v>132.4</v>
      </c>
      <c r="E212" s="163" t="n">
        <v>40</v>
      </c>
      <c r="F212" s="161" t="n">
        <v>102</v>
      </c>
      <c r="G212" s="27" t="n">
        <v>31</v>
      </c>
      <c r="H212" s="164" t="n">
        <v>150</v>
      </c>
      <c r="I212" s="165" t="n">
        <v>80000</v>
      </c>
      <c r="J212" s="165" t="inlineStr">
        <is>
          <t>고</t>
        </is>
      </c>
      <c r="K212" s="165" t="n">
        <v>43000</v>
      </c>
      <c r="L212" s="165" t="inlineStr">
        <is>
          <t>고</t>
        </is>
      </c>
      <c r="M212" s="166">
        <f>I212-K212</f>
        <v/>
      </c>
      <c r="N212" s="7">
        <f>IF(ISERROR(K212/I212),"",K212/I212)</f>
        <v/>
      </c>
      <c r="O212" s="162">
        <f>I212/E212</f>
        <v/>
      </c>
      <c r="P212" s="162">
        <f>K212/E212</f>
        <v/>
      </c>
      <c r="Q212" s="113" t="n">
        <v>3</v>
      </c>
      <c r="R212" s="113" t="n">
        <v>2</v>
      </c>
      <c r="S212" s="113" t="inlineStr">
        <is>
          <t>계</t>
        </is>
      </c>
      <c r="T212" s="8" t="inlineStr">
        <is>
          <t>132B</t>
        </is>
      </c>
      <c r="U212" s="13" t="n"/>
      <c r="W212" s="161">
        <f>D212</f>
        <v/>
      </c>
      <c r="X212" s="163">
        <f>E212</f>
        <v/>
      </c>
      <c r="Y212" s="159">
        <f>H212</f>
        <v/>
      </c>
      <c r="Z212" s="166">
        <f>I212</f>
        <v/>
      </c>
      <c r="AA212" s="166">
        <f>K212</f>
        <v/>
      </c>
      <c r="AB212" s="166">
        <f>M212</f>
        <v/>
      </c>
      <c r="AC212" s="7">
        <f>N212</f>
        <v/>
      </c>
      <c r="AD212" s="162">
        <f>O212</f>
        <v/>
      </c>
      <c r="AE212" s="113">
        <f>S212</f>
        <v/>
      </c>
      <c r="AF212" s="113">
        <f>Q212&amp;"/"&amp;R212</f>
        <v/>
      </c>
      <c r="AH212" s="36">
        <f>IF(A212="","",A212)</f>
        <v/>
      </c>
      <c r="AI212" s="163">
        <f>IF(E212="","",E212)</f>
        <v/>
      </c>
      <c r="AJ212" s="113">
        <f>IF(AI212="","",$AJ$2)</f>
        <v/>
      </c>
      <c r="AK212" s="113" t="inlineStr">
        <is>
          <t>A</t>
        </is>
      </c>
      <c r="AL212" s="113" t="inlineStr">
        <is>
          <t>A+</t>
        </is>
      </c>
      <c r="AM212" s="113" t="inlineStr">
        <is>
          <t>B+</t>
        </is>
      </c>
      <c r="AN212" s="113">
        <f>IF(AI212="","",$AN$2)</f>
        <v/>
      </c>
      <c r="AO212" s="113">
        <f>IF(N212="","",IF(N212&gt;=$AO$1/100,"O","X"))</f>
        <v/>
      </c>
      <c r="AP212" s="113">
        <f>IF(I212="","",IF(I212&lt;=$AP$1,"O","X"))</f>
        <v/>
      </c>
      <c r="AQ212" s="113">
        <f>IF(O212="","",IF(O212&lt;=$AQ$1,"O","X"))</f>
        <v/>
      </c>
      <c r="AR212" s="113">
        <f>IF(M212="","",IF(M212&lt;=$AR$1,"O","X"))</f>
        <v/>
      </c>
      <c r="AS212" s="113" t="inlineStr">
        <is>
          <t>X</t>
        </is>
      </c>
      <c r="AT212" s="113">
        <f>IF(OR(F212="",AI212=""),"",IF(AND((F212&lt;=85),(AI212&gt;=15)),"O","X"))</f>
        <v/>
      </c>
      <c r="AU212" s="113">
        <f>IF(C212="","",IF(C212&gt;=$AU$1,"O","X"))</f>
        <v/>
      </c>
      <c r="AV212" s="113">
        <f>IF(AO212="","",IF(AND(AO212="O",AP212="O",AR212="O",AT212="O",AU212="O"),"후보","X"))</f>
        <v/>
      </c>
    </row>
    <row r="213">
      <c r="A213" s="13" t="inlineStr">
        <is>
          <t>청라제일풍경채</t>
        </is>
      </c>
      <c r="B213" s="16" t="inlineStr">
        <is>
          <t>'12.04.</t>
        </is>
      </c>
      <c r="C213" s="164" t="n">
        <v>1071</v>
      </c>
      <c r="D213" s="161" t="n">
        <v>134</v>
      </c>
      <c r="E213" s="163" t="n">
        <v>41</v>
      </c>
      <c r="F213" s="161" t="n">
        <v>102</v>
      </c>
      <c r="G213" s="27" t="n">
        <v>31</v>
      </c>
      <c r="H213" s="164" t="n">
        <v>276</v>
      </c>
      <c r="I213" s="165" t="n">
        <v>81000</v>
      </c>
      <c r="J213" s="165" t="inlineStr">
        <is>
          <t>중</t>
        </is>
      </c>
      <c r="K213" s="165" t="n">
        <v>40000</v>
      </c>
      <c r="L213" s="165" t="inlineStr">
        <is>
          <t>중</t>
        </is>
      </c>
      <c r="M213" s="166">
        <f>I213-K213</f>
        <v/>
      </c>
      <c r="N213" s="7">
        <f>IF(ISERROR(K213/I213),"",K213/I213)</f>
        <v/>
      </c>
      <c r="O213" s="162">
        <f>I213/E213</f>
        <v/>
      </c>
      <c r="P213" s="162">
        <f>K213/E213</f>
        <v/>
      </c>
      <c r="Q213" s="113" t="n">
        <v>3</v>
      </c>
      <c r="R213" s="113" t="n">
        <v>2</v>
      </c>
      <c r="S213" s="113" t="inlineStr">
        <is>
          <t>계</t>
        </is>
      </c>
      <c r="T213" s="8" t="inlineStr">
        <is>
          <t>134A</t>
        </is>
      </c>
      <c r="U213" s="13" t="n"/>
      <c r="W213" s="161">
        <f>D213</f>
        <v/>
      </c>
      <c r="X213" s="163">
        <f>E213</f>
        <v/>
      </c>
      <c r="Y213" s="159">
        <f>H213</f>
        <v/>
      </c>
      <c r="Z213" s="166">
        <f>I213</f>
        <v/>
      </c>
      <c r="AA213" s="166">
        <f>K213</f>
        <v/>
      </c>
      <c r="AB213" s="166">
        <f>M213</f>
        <v/>
      </c>
      <c r="AC213" s="7">
        <f>N213</f>
        <v/>
      </c>
      <c r="AD213" s="162">
        <f>O213</f>
        <v/>
      </c>
      <c r="AE213" s="113">
        <f>S213</f>
        <v/>
      </c>
      <c r="AF213" s="113">
        <f>Q213&amp;"/"&amp;R213</f>
        <v/>
      </c>
      <c r="AH213" s="36">
        <f>IF(A213="","",A213)</f>
        <v/>
      </c>
      <c r="AI213" s="163">
        <f>IF(E213="","",E213)</f>
        <v/>
      </c>
      <c r="AJ213" s="113">
        <f>IF(AI213="","",$AJ$2)</f>
        <v/>
      </c>
      <c r="AK213" s="113" t="inlineStr">
        <is>
          <t>A</t>
        </is>
      </c>
      <c r="AL213" s="113" t="inlineStr">
        <is>
          <t>A+</t>
        </is>
      </c>
      <c r="AM213" s="113" t="inlineStr">
        <is>
          <t>B+</t>
        </is>
      </c>
      <c r="AN213" s="113">
        <f>IF(AI213="","",$AN$2)</f>
        <v/>
      </c>
      <c r="AO213" s="113">
        <f>IF(N213="","",IF(N213&gt;=$AO$1/100,"O","X"))</f>
        <v/>
      </c>
      <c r="AP213" s="113">
        <f>IF(I213="","",IF(I213&lt;=$AP$1,"O","X"))</f>
        <v/>
      </c>
      <c r="AQ213" s="113">
        <f>IF(O213="","",IF(O213&lt;=$AQ$1,"O","X"))</f>
        <v/>
      </c>
      <c r="AR213" s="113">
        <f>IF(M213="","",IF(M213&lt;=$AR$1,"O","X"))</f>
        <v/>
      </c>
      <c r="AS213" s="113" t="inlineStr">
        <is>
          <t>X</t>
        </is>
      </c>
      <c r="AT213" s="113">
        <f>IF(OR(F213="",AI213=""),"",IF(AND((F213&lt;=85),(AI213&gt;=15)),"O","X"))</f>
        <v/>
      </c>
      <c r="AU213" s="113">
        <f>IF(C213="","",IF(C213&gt;=$AU$1,"O","X"))</f>
        <v/>
      </c>
      <c r="AV213" s="113">
        <f>IF(AO213="","",IF(AND(AO213="O",AP213="O",AR213="O",AT213="O",AU213="O"),"후보","X"))</f>
        <v/>
      </c>
    </row>
    <row r="214">
      <c r="A214" s="13" t="inlineStr">
        <is>
          <t>청라제일풍경채</t>
        </is>
      </c>
      <c r="B214" s="16" t="inlineStr">
        <is>
          <t>'12.04.</t>
        </is>
      </c>
      <c r="C214" s="164" t="n">
        <v>1071</v>
      </c>
      <c r="D214" s="161" t="n">
        <v>149.1</v>
      </c>
      <c r="E214" s="163" t="n">
        <v>45</v>
      </c>
      <c r="F214" s="161" t="n">
        <v>115.1</v>
      </c>
      <c r="G214" s="27" t="n">
        <v>35</v>
      </c>
      <c r="H214" s="164" t="n">
        <v>112</v>
      </c>
      <c r="I214" s="165" t="n">
        <v>78000</v>
      </c>
      <c r="J214" s="165" t="inlineStr">
        <is>
          <t>중</t>
        </is>
      </c>
      <c r="K214" s="165" t="n">
        <v>55000</v>
      </c>
      <c r="L214" s="165" t="inlineStr">
        <is>
          <t>고</t>
        </is>
      </c>
      <c r="M214" s="166">
        <f>I214-K214</f>
        <v/>
      </c>
      <c r="N214" s="7">
        <f>IF(ISERROR(K214/I214),"",K214/I214)</f>
        <v/>
      </c>
      <c r="O214" s="162">
        <f>I214/E214</f>
        <v/>
      </c>
      <c r="P214" s="162">
        <f>K214/E214</f>
        <v/>
      </c>
      <c r="Q214" s="113" t="n">
        <v>3</v>
      </c>
      <c r="R214" s="113" t="n">
        <v>2</v>
      </c>
      <c r="S214" s="113" t="inlineStr">
        <is>
          <t>계</t>
        </is>
      </c>
      <c r="T214" s="8" t="inlineStr">
        <is>
          <t>149B</t>
        </is>
      </c>
      <c r="U214" s="13" t="n"/>
      <c r="W214" s="161">
        <f>D214</f>
        <v/>
      </c>
      <c r="X214" s="163">
        <f>E214</f>
        <v/>
      </c>
      <c r="Y214" s="159">
        <f>H214</f>
        <v/>
      </c>
      <c r="Z214" s="166">
        <f>I214</f>
        <v/>
      </c>
      <c r="AA214" s="166">
        <f>K214</f>
        <v/>
      </c>
      <c r="AB214" s="166">
        <f>M214</f>
        <v/>
      </c>
      <c r="AC214" s="7">
        <f>N214</f>
        <v/>
      </c>
      <c r="AD214" s="162">
        <f>O214</f>
        <v/>
      </c>
      <c r="AE214" s="113">
        <f>S214</f>
        <v/>
      </c>
      <c r="AF214" s="113">
        <f>Q214&amp;"/"&amp;R214</f>
        <v/>
      </c>
      <c r="AH214" s="36">
        <f>IF(A214="","",A214)</f>
        <v/>
      </c>
      <c r="AI214" s="163">
        <f>IF(E214="","",E214)</f>
        <v/>
      </c>
      <c r="AJ214" s="113">
        <f>IF(AI214="","",$AJ$2)</f>
        <v/>
      </c>
      <c r="AK214" s="113" t="inlineStr">
        <is>
          <t>A</t>
        </is>
      </c>
      <c r="AL214" s="113" t="inlineStr">
        <is>
          <t>A+</t>
        </is>
      </c>
      <c r="AM214" s="113" t="inlineStr">
        <is>
          <t>B+</t>
        </is>
      </c>
      <c r="AN214" s="113">
        <f>IF(AI214="","",$AN$2)</f>
        <v/>
      </c>
      <c r="AO214" s="113">
        <f>IF(N214="","",IF(N214&gt;=$AO$1/100,"O","X"))</f>
        <v/>
      </c>
      <c r="AP214" s="113">
        <f>IF(I214="","",IF(I214&lt;=$AP$1,"O","X"))</f>
        <v/>
      </c>
      <c r="AQ214" s="113">
        <f>IF(O214="","",IF(O214&lt;=$AQ$1,"O","X"))</f>
        <v/>
      </c>
      <c r="AR214" s="113">
        <f>IF(M214="","",IF(M214&lt;=$AR$1,"O","X"))</f>
        <v/>
      </c>
      <c r="AS214" s="113" t="inlineStr">
        <is>
          <t>X</t>
        </is>
      </c>
      <c r="AT214" s="113">
        <f>IF(OR(F214="",AI214=""),"",IF(AND((F214&lt;=85),(AI214&gt;=15)),"O","X"))</f>
        <v/>
      </c>
      <c r="AU214" s="113">
        <f>IF(C214="","",IF(C214&gt;=$AU$1,"O","X"))</f>
        <v/>
      </c>
      <c r="AV214" s="113">
        <f>IF(AO214="","",IF(AND(AO214="O",AP214="O",AR214="O",AT214="O",AU214="O"),"후보","X"))</f>
        <v/>
      </c>
    </row>
    <row r="215">
      <c r="A215" s="13" t="inlineStr">
        <is>
          <t>청라제일풍경채</t>
        </is>
      </c>
      <c r="B215" s="16" t="inlineStr">
        <is>
          <t>'12.04.</t>
        </is>
      </c>
      <c r="C215" s="164" t="n">
        <v>1071</v>
      </c>
      <c r="D215" s="161" t="n">
        <v>150.1</v>
      </c>
      <c r="E215" s="163" t="n">
        <v>45</v>
      </c>
      <c r="F215" s="161" t="n">
        <v>116</v>
      </c>
      <c r="G215" s="27" t="n">
        <v>35</v>
      </c>
      <c r="H215" s="164" t="n">
        <v>343</v>
      </c>
      <c r="I215" s="165" t="n">
        <v>83000</v>
      </c>
      <c r="J215" s="165" t="inlineStr">
        <is>
          <t>8</t>
        </is>
      </c>
      <c r="K215" s="165" t="n">
        <v>45000</v>
      </c>
      <c r="L215" s="165" t="inlineStr">
        <is>
          <t>중</t>
        </is>
      </c>
      <c r="M215" s="166">
        <f>I215-K215</f>
        <v/>
      </c>
      <c r="N215" s="7">
        <f>IF(ISERROR(K215/I215),"",K215/I215)</f>
        <v/>
      </c>
      <c r="O215" s="162">
        <f>I215/E215</f>
        <v/>
      </c>
      <c r="P215" s="162">
        <f>K215/E215</f>
        <v/>
      </c>
      <c r="Q215" s="113" t="n">
        <v>3</v>
      </c>
      <c r="R215" s="113" t="n">
        <v>2</v>
      </c>
      <c r="S215" s="113" t="inlineStr">
        <is>
          <t>계</t>
        </is>
      </c>
      <c r="T215" s="8" t="inlineStr">
        <is>
          <t>150A</t>
        </is>
      </c>
      <c r="U215" s="13" t="n"/>
      <c r="W215" s="161">
        <f>D215</f>
        <v/>
      </c>
      <c r="X215" s="163">
        <f>E215</f>
        <v/>
      </c>
      <c r="Y215" s="159">
        <f>H215</f>
        <v/>
      </c>
      <c r="Z215" s="166">
        <f>I215</f>
        <v/>
      </c>
      <c r="AA215" s="166">
        <f>K215</f>
        <v/>
      </c>
      <c r="AB215" s="166">
        <f>M215</f>
        <v/>
      </c>
      <c r="AC215" s="7">
        <f>N215</f>
        <v/>
      </c>
      <c r="AD215" s="162">
        <f>O215</f>
        <v/>
      </c>
      <c r="AE215" s="113">
        <f>S215</f>
        <v/>
      </c>
      <c r="AF215" s="113">
        <f>Q215&amp;"/"&amp;R215</f>
        <v/>
      </c>
      <c r="AH215" s="36">
        <f>IF(A215="","",A215)</f>
        <v/>
      </c>
      <c r="AI215" s="163">
        <f>IF(E215="","",E215)</f>
        <v/>
      </c>
      <c r="AJ215" s="113">
        <f>IF(AI215="","",$AJ$2)</f>
        <v/>
      </c>
      <c r="AK215" s="113" t="inlineStr">
        <is>
          <t>A</t>
        </is>
      </c>
      <c r="AL215" s="113" t="inlineStr">
        <is>
          <t>A+</t>
        </is>
      </c>
      <c r="AM215" s="113" t="inlineStr">
        <is>
          <t>B+</t>
        </is>
      </c>
      <c r="AN215" s="113">
        <f>IF(AI215="","",$AN$2)</f>
        <v/>
      </c>
      <c r="AO215" s="113">
        <f>IF(N215="","",IF(N215&gt;=$AO$1/100,"O","X"))</f>
        <v/>
      </c>
      <c r="AP215" s="113">
        <f>IF(I215="","",IF(I215&lt;=$AP$1,"O","X"))</f>
        <v/>
      </c>
      <c r="AQ215" s="113">
        <f>IF(O215="","",IF(O215&lt;=$AQ$1,"O","X"))</f>
        <v/>
      </c>
      <c r="AR215" s="113">
        <f>IF(M215="","",IF(M215&lt;=$AR$1,"O","X"))</f>
        <v/>
      </c>
      <c r="AS215" s="113" t="inlineStr">
        <is>
          <t>X</t>
        </is>
      </c>
      <c r="AT215" s="113">
        <f>IF(OR(F215="",AI215=""),"",IF(AND((F215&lt;=85),(AI215&gt;=15)),"O","X"))</f>
        <v/>
      </c>
      <c r="AU215" s="113">
        <f>IF(C215="","",IF(C215&gt;=$AU$1,"O","X"))</f>
        <v/>
      </c>
      <c r="AV215" s="113">
        <f>IF(AO215="","",IF(AND(AO215="O",AP215="O",AR215="O",AT215="O",AU215="O"),"후보","X"))</f>
        <v/>
      </c>
    </row>
    <row r="216">
      <c r="A216" s="13" t="inlineStr">
        <is>
          <t>청라제일풍경채</t>
        </is>
      </c>
      <c r="B216" s="16" t="inlineStr">
        <is>
          <t>'12.04.</t>
        </is>
      </c>
      <c r="C216" s="164" t="n">
        <v>1071</v>
      </c>
      <c r="D216" s="161" t="n">
        <v>150.5</v>
      </c>
      <c r="E216" s="163" t="n">
        <v>46</v>
      </c>
      <c r="F216" s="161" t="n">
        <v>115.1</v>
      </c>
      <c r="G216" s="27" t="n">
        <v>35</v>
      </c>
      <c r="H216" s="164" t="n">
        <v>115</v>
      </c>
      <c r="I216" s="165" t="n">
        <v>90000</v>
      </c>
      <c r="J216" s="165" t="inlineStr">
        <is>
          <t>5</t>
        </is>
      </c>
      <c r="K216" s="165" t="n">
        <v>45000</v>
      </c>
      <c r="L216" s="165" t="inlineStr">
        <is>
          <t>고</t>
        </is>
      </c>
      <c r="M216" s="166">
        <f>I216-K216</f>
        <v/>
      </c>
      <c r="N216" s="7">
        <f>IF(ISERROR(K216/I216),"",K216/I216)</f>
        <v/>
      </c>
      <c r="O216" s="162">
        <f>I216/E216</f>
        <v/>
      </c>
      <c r="P216" s="162">
        <f>K216/E216</f>
        <v/>
      </c>
      <c r="Q216" s="113" t="n">
        <v>3</v>
      </c>
      <c r="R216" s="113" t="n">
        <v>2</v>
      </c>
      <c r="S216" s="113" t="inlineStr">
        <is>
          <t>계</t>
        </is>
      </c>
      <c r="T216" s="8" t="inlineStr">
        <is>
          <t>150C</t>
        </is>
      </c>
      <c r="U216" s="13" t="n"/>
      <c r="W216" s="161">
        <f>D216</f>
        <v/>
      </c>
      <c r="X216" s="163">
        <f>E216</f>
        <v/>
      </c>
      <c r="Y216" s="159">
        <f>H216</f>
        <v/>
      </c>
      <c r="Z216" s="166">
        <f>I216</f>
        <v/>
      </c>
      <c r="AA216" s="166">
        <f>K216</f>
        <v/>
      </c>
      <c r="AB216" s="166">
        <f>M216</f>
        <v/>
      </c>
      <c r="AC216" s="7">
        <f>N216</f>
        <v/>
      </c>
      <c r="AD216" s="162">
        <f>O216</f>
        <v/>
      </c>
      <c r="AE216" s="113">
        <f>S216</f>
        <v/>
      </c>
      <c r="AF216" s="113">
        <f>Q216&amp;"/"&amp;R216</f>
        <v/>
      </c>
      <c r="AH216" s="36">
        <f>IF(A216="","",A216)</f>
        <v/>
      </c>
      <c r="AI216" s="163">
        <f>IF(E216="","",E216)</f>
        <v/>
      </c>
      <c r="AJ216" s="113">
        <f>IF(AI216="","",$AJ$2)</f>
        <v/>
      </c>
      <c r="AK216" s="113" t="inlineStr">
        <is>
          <t>A</t>
        </is>
      </c>
      <c r="AL216" s="113" t="inlineStr">
        <is>
          <t>A+</t>
        </is>
      </c>
      <c r="AM216" s="113" t="inlineStr">
        <is>
          <t>B+</t>
        </is>
      </c>
      <c r="AN216" s="113">
        <f>IF(AI216="","",$AN$2)</f>
        <v/>
      </c>
      <c r="AO216" s="113">
        <f>IF(N216="","",IF(N216&gt;=$AO$1/100,"O","X"))</f>
        <v/>
      </c>
      <c r="AP216" s="113">
        <f>IF(I216="","",IF(I216&lt;=$AP$1,"O","X"))</f>
        <v/>
      </c>
      <c r="AQ216" s="113">
        <f>IF(O216="","",IF(O216&lt;=$AQ$1,"O","X"))</f>
        <v/>
      </c>
      <c r="AR216" s="113">
        <f>IF(M216="","",IF(M216&lt;=$AR$1,"O","X"))</f>
        <v/>
      </c>
      <c r="AS216" s="113" t="inlineStr">
        <is>
          <t>X</t>
        </is>
      </c>
      <c r="AT216" s="113">
        <f>IF(OR(F216="",AI216=""),"",IF(AND((F216&lt;=85),(AI216&gt;=15)),"O","X"))</f>
        <v/>
      </c>
      <c r="AU216" s="113">
        <f>IF(C216="","",IF(C216&gt;=$AU$1,"O","X"))</f>
        <v/>
      </c>
      <c r="AV216" s="113">
        <f>IF(AO216="","",IF(AND(AO216="O",AP216="O",AR216="O",AT216="O",AU216="O"),"후보","X"))</f>
        <v/>
      </c>
    </row>
    <row r="217">
      <c r="A217" s="13" t="inlineStr">
        <is>
          <t>청라제일풍경채</t>
        </is>
      </c>
      <c r="B217" s="16" t="inlineStr">
        <is>
          <t>'12.04.</t>
        </is>
      </c>
      <c r="C217" s="164" t="n">
        <v>1071</v>
      </c>
      <c r="D217" s="161" t="n">
        <v>175.1</v>
      </c>
      <c r="E217" s="163" t="n">
        <v>53</v>
      </c>
      <c r="F217" s="161" t="n">
        <v>134.1</v>
      </c>
      <c r="G217" s="27" t="n">
        <v>41</v>
      </c>
      <c r="H217" s="164" t="n">
        <v>75</v>
      </c>
      <c r="I217" s="165" t="n">
        <v>92000</v>
      </c>
      <c r="J217" s="165" t="inlineStr">
        <is>
          <t>중</t>
        </is>
      </c>
      <c r="K217" s="165" t="n">
        <v>42000</v>
      </c>
      <c r="L217" s="165" t="inlineStr">
        <is>
          <t>고</t>
        </is>
      </c>
      <c r="M217" s="166">
        <f>I217-K217</f>
        <v/>
      </c>
      <c r="N217" s="7">
        <f>IF(ISERROR(K217/I217),"",K217/I217)</f>
        <v/>
      </c>
      <c r="O217" s="162">
        <f>I217/E217</f>
        <v/>
      </c>
      <c r="P217" s="162">
        <f>K217/E217</f>
        <v/>
      </c>
      <c r="Q217" s="113" t="n">
        <v>4</v>
      </c>
      <c r="R217" s="113" t="n">
        <v>2</v>
      </c>
      <c r="S217" s="113" t="inlineStr">
        <is>
          <t>계</t>
        </is>
      </c>
      <c r="T217" s="8" t="n">
        <v>175</v>
      </c>
      <c r="U217" s="13" t="n"/>
      <c r="W217" s="161">
        <f>D217</f>
        <v/>
      </c>
      <c r="X217" s="163">
        <f>E217</f>
        <v/>
      </c>
      <c r="Y217" s="159">
        <f>H217</f>
        <v/>
      </c>
      <c r="Z217" s="166">
        <f>I217</f>
        <v/>
      </c>
      <c r="AA217" s="166">
        <f>K217</f>
        <v/>
      </c>
      <c r="AB217" s="166">
        <f>M217</f>
        <v/>
      </c>
      <c r="AC217" s="7">
        <f>N217</f>
        <v/>
      </c>
      <c r="AD217" s="162">
        <f>O217</f>
        <v/>
      </c>
      <c r="AE217" s="113">
        <f>S217</f>
        <v/>
      </c>
      <c r="AF217" s="113">
        <f>Q217&amp;"/"&amp;R217</f>
        <v/>
      </c>
      <c r="AH217" s="36">
        <f>IF(A217="","",A217)</f>
        <v/>
      </c>
      <c r="AI217" s="163">
        <f>IF(E217="","",E217)</f>
        <v/>
      </c>
      <c r="AJ217" s="113">
        <f>IF(AI217="","",$AJ$2)</f>
        <v/>
      </c>
      <c r="AK217" s="113" t="inlineStr">
        <is>
          <t>A</t>
        </is>
      </c>
      <c r="AL217" s="113" t="inlineStr">
        <is>
          <t>A+</t>
        </is>
      </c>
      <c r="AM217" s="113" t="inlineStr">
        <is>
          <t>B+</t>
        </is>
      </c>
      <c r="AN217" s="113">
        <f>IF(AI217="","",$AN$2)</f>
        <v/>
      </c>
      <c r="AO217" s="113">
        <f>IF(N217="","",IF(N217&gt;=$AO$1/100,"O","X"))</f>
        <v/>
      </c>
      <c r="AP217" s="113">
        <f>IF(I217="","",IF(I217&lt;=$AP$1,"O","X"))</f>
        <v/>
      </c>
      <c r="AQ217" s="113">
        <f>IF(O217="","",IF(O217&lt;=$AQ$1,"O","X"))</f>
        <v/>
      </c>
      <c r="AR217" s="113">
        <f>IF(M217="","",IF(M217&lt;=$AR$1,"O","X"))</f>
        <v/>
      </c>
      <c r="AS217" s="113" t="inlineStr">
        <is>
          <t>X</t>
        </is>
      </c>
      <c r="AT217" s="113">
        <f>IF(OR(F217="",AI217=""),"",IF(AND((F217&lt;=85),(AI217&gt;=15)),"O","X"))</f>
        <v/>
      </c>
      <c r="AU217" s="113">
        <f>IF(C217="","",IF(C217&gt;=$AU$1,"O","X"))</f>
        <v/>
      </c>
      <c r="AV217" s="113">
        <f>IF(AO217="","",IF(AND(AO217="O",AP217="O",AR217="O",AT217="O",AU217="O"),"후보","X"))</f>
        <v/>
      </c>
    </row>
    <row r="218">
      <c r="A218" s="13" t="n"/>
      <c r="B218" s="113" t="n"/>
      <c r="C218" s="10" t="n"/>
      <c r="D218" s="13" t="n"/>
      <c r="E218" s="20" t="n"/>
      <c r="F218" s="161" t="n"/>
      <c r="G218" s="13" t="n"/>
      <c r="H218" s="13" t="n"/>
      <c r="I218" s="13" t="n"/>
      <c r="J218" s="13" t="n"/>
      <c r="K218" s="13" t="n"/>
      <c r="L218" s="13" t="n"/>
      <c r="M218" s="13" t="n"/>
      <c r="N218" s="13" t="n"/>
      <c r="O218" s="162" t="n"/>
      <c r="P218" s="162" t="n"/>
      <c r="Q218" s="163" t="n"/>
      <c r="R218" s="163" t="n"/>
      <c r="S218" s="13" t="n"/>
      <c r="T218" s="70" t="n"/>
      <c r="U218" s="13" t="n"/>
      <c r="W218" s="107">
        <f>$A$4&amp;" "&amp;A219&amp;"("&amp;B219&amp;","&amp;C219&amp;"^)"</f>
        <v/>
      </c>
      <c r="X218" s="108" t="n"/>
      <c r="Y218" s="108" t="n"/>
      <c r="Z218" s="108" t="n"/>
      <c r="AA218" s="108" t="n"/>
      <c r="AB218" s="108" t="n"/>
      <c r="AC218" s="108" t="n"/>
      <c r="AD218" s="108" t="n"/>
      <c r="AE218" s="108" t="n"/>
      <c r="AF218" s="109" t="n"/>
      <c r="AH218" s="36">
        <f>IF(A218="","",A218)</f>
        <v/>
      </c>
      <c r="AI218" s="160">
        <f>IF(E218="","",E218)</f>
        <v/>
      </c>
      <c r="AJ218" s="113" t="n"/>
      <c r="AK218" s="113" t="n"/>
      <c r="AL218" s="113" t="n"/>
      <c r="AM218" s="113" t="n"/>
      <c r="AN218" s="113" t="n"/>
      <c r="AO218" s="113" t="n"/>
      <c r="AP218" s="113" t="n"/>
      <c r="AQ218" s="113" t="n"/>
      <c r="AR218" s="113" t="n"/>
      <c r="AS218" s="113" t="n"/>
      <c r="AT218" s="113" t="n"/>
      <c r="AU218" s="113" t="n"/>
      <c r="AV218" s="113" t="n"/>
    </row>
    <row r="219">
      <c r="A219" s="13" t="inlineStr">
        <is>
          <t>청라제일풍경채에듀&amp;파크2차</t>
        </is>
      </c>
      <c r="B219" s="16" t="inlineStr">
        <is>
          <t>'17.12.</t>
        </is>
      </c>
      <c r="C219" s="164" t="n">
        <v>1581</v>
      </c>
      <c r="D219" s="161" t="n">
        <v>99</v>
      </c>
      <c r="E219" s="163" t="n">
        <v>30</v>
      </c>
      <c r="F219" s="161" t="n">
        <v>74.3</v>
      </c>
      <c r="G219" s="27" t="n">
        <v>22</v>
      </c>
      <c r="H219" s="164" t="n">
        <v>203</v>
      </c>
      <c r="I219" s="165" t="n"/>
      <c r="J219" s="165" t="n"/>
      <c r="K219" s="165" t="n"/>
      <c r="L219" s="165" t="n"/>
      <c r="M219" s="166">
        <f>I219-K219</f>
        <v/>
      </c>
      <c r="N219" s="7">
        <f>IF(ISERROR(K219/I219),"",K219/I219)</f>
        <v/>
      </c>
      <c r="O219" s="162">
        <f>I219/E219</f>
        <v/>
      </c>
      <c r="P219" s="162">
        <f>K219/E219</f>
        <v/>
      </c>
      <c r="Q219" s="113" t="n">
        <v>3</v>
      </c>
      <c r="R219" s="113" t="n">
        <v>2</v>
      </c>
      <c r="S219" s="113" t="inlineStr">
        <is>
          <t>계</t>
        </is>
      </c>
      <c r="T219" s="8" t="inlineStr">
        <is>
          <t>99A</t>
        </is>
      </c>
      <c r="U219" s="13" t="n"/>
      <c r="W219" s="161">
        <f>D219</f>
        <v/>
      </c>
      <c r="X219" s="163">
        <f>E219</f>
        <v/>
      </c>
      <c r="Y219" s="159">
        <f>H219</f>
        <v/>
      </c>
      <c r="Z219" s="166">
        <f>I219</f>
        <v/>
      </c>
      <c r="AA219" s="166">
        <f>K219</f>
        <v/>
      </c>
      <c r="AB219" s="166">
        <f>M219</f>
        <v/>
      </c>
      <c r="AC219" s="7">
        <f>N219</f>
        <v/>
      </c>
      <c r="AD219" s="162">
        <f>O219</f>
        <v/>
      </c>
      <c r="AE219" s="113">
        <f>S219</f>
        <v/>
      </c>
      <c r="AF219" s="113">
        <f>Q219&amp;"/"&amp;R219</f>
        <v/>
      </c>
      <c r="AH219" s="36">
        <f>IF(A219="","",A219)</f>
        <v/>
      </c>
      <c r="AI219" s="163">
        <f>IF(E219="","",E219)</f>
        <v/>
      </c>
      <c r="AJ219" s="113">
        <f>IF(AI219="","",$AJ$2)</f>
        <v/>
      </c>
      <c r="AK219" s="113" t="inlineStr">
        <is>
          <t>A</t>
        </is>
      </c>
      <c r="AL219" s="113" t="inlineStr">
        <is>
          <t>A+</t>
        </is>
      </c>
      <c r="AM219" s="113" t="inlineStr">
        <is>
          <t>B+</t>
        </is>
      </c>
      <c r="AN219" s="113">
        <f>IF(AI219="","",$AN$2)</f>
        <v/>
      </c>
      <c r="AO219" s="113">
        <f>IF(N219="","",IF(N219&gt;=$AO$1/100,"O","X"))</f>
        <v/>
      </c>
      <c r="AP219" s="113">
        <f>IF(I219="","",IF(I219&lt;=$AP$1,"O","X"))</f>
        <v/>
      </c>
      <c r="AQ219" s="113">
        <f>IF(O219="","",IF(O219&lt;=$AQ$1,"O","X"))</f>
        <v/>
      </c>
      <c r="AR219" s="113">
        <f>IF(M219="","",IF(M219&lt;=$AR$1,"O","X"))</f>
        <v/>
      </c>
      <c r="AS219" s="113" t="inlineStr">
        <is>
          <t>X</t>
        </is>
      </c>
      <c r="AT219" s="113">
        <f>IF(OR(F219="",AI219=""),"",IF(AND((F219&lt;=85),(AI219&gt;=15)),"O","X"))</f>
        <v/>
      </c>
      <c r="AU219" s="113">
        <f>IF(C219="","",IF(C219&gt;=$AU$1,"O","X"))</f>
        <v/>
      </c>
      <c r="AV219" s="113">
        <f>IF(AO219="","",IF(AND(AO219="O",AP219="O",AR219="O",AT219="O",AU219="O"),"후보","X"))</f>
        <v/>
      </c>
    </row>
    <row r="220">
      <c r="A220" s="13" t="inlineStr">
        <is>
          <t>청라제일풍경채에듀&amp;파크2차</t>
        </is>
      </c>
      <c r="B220" s="16" t="inlineStr">
        <is>
          <t>'17.12.</t>
        </is>
      </c>
      <c r="C220" s="164" t="n">
        <v>1581</v>
      </c>
      <c r="D220" s="161" t="n">
        <v>113.3</v>
      </c>
      <c r="E220" s="163" t="n">
        <v>34</v>
      </c>
      <c r="F220" s="161" t="n">
        <v>85</v>
      </c>
      <c r="G220" s="27" t="n">
        <v>26</v>
      </c>
      <c r="H220" s="164" t="n">
        <v>788</v>
      </c>
      <c r="I220" s="165" t="n"/>
      <c r="J220" s="165" t="n"/>
      <c r="K220" s="165" t="n"/>
      <c r="L220" s="165" t="n"/>
      <c r="M220" s="166">
        <f>I220-K220</f>
        <v/>
      </c>
      <c r="N220" s="7">
        <f>IF(ISERROR(K220/I220),"",K220/I220)</f>
        <v/>
      </c>
      <c r="O220" s="162">
        <f>I220/E220</f>
        <v/>
      </c>
      <c r="P220" s="162">
        <f>K220/E220</f>
        <v/>
      </c>
      <c r="Q220" s="113" t="n">
        <v>3</v>
      </c>
      <c r="R220" s="113" t="n">
        <v>2</v>
      </c>
      <c r="S220" s="113" t="inlineStr">
        <is>
          <t>계</t>
        </is>
      </c>
      <c r="T220" s="8" t="inlineStr">
        <is>
          <t>113A</t>
        </is>
      </c>
      <c r="U220" s="13" t="n"/>
      <c r="W220" s="161">
        <f>D220</f>
        <v/>
      </c>
      <c r="X220" s="163">
        <f>E220</f>
        <v/>
      </c>
      <c r="Y220" s="159">
        <f>H220</f>
        <v/>
      </c>
      <c r="Z220" s="166">
        <f>I220</f>
        <v/>
      </c>
      <c r="AA220" s="166">
        <f>K220</f>
        <v/>
      </c>
      <c r="AB220" s="166">
        <f>M220</f>
        <v/>
      </c>
      <c r="AC220" s="7">
        <f>N220</f>
        <v/>
      </c>
      <c r="AD220" s="162">
        <f>O220</f>
        <v/>
      </c>
      <c r="AE220" s="113">
        <f>S220</f>
        <v/>
      </c>
      <c r="AF220" s="113">
        <f>Q220&amp;"/"&amp;R220</f>
        <v/>
      </c>
      <c r="AH220" s="36">
        <f>IF(A220="","",A220)</f>
        <v/>
      </c>
      <c r="AI220" s="163">
        <f>IF(E220="","",E220)</f>
        <v/>
      </c>
      <c r="AJ220" s="113">
        <f>IF(AI220="","",$AJ$2)</f>
        <v/>
      </c>
      <c r="AK220" s="113" t="inlineStr">
        <is>
          <t>A</t>
        </is>
      </c>
      <c r="AL220" s="113" t="inlineStr">
        <is>
          <t>A+</t>
        </is>
      </c>
      <c r="AM220" s="113" t="inlineStr">
        <is>
          <t>B+</t>
        </is>
      </c>
      <c r="AN220" s="113">
        <f>IF(AI220="","",$AN$2)</f>
        <v/>
      </c>
      <c r="AO220" s="113">
        <f>IF(N220="","",IF(N220&gt;=$AO$1/100,"O","X"))</f>
        <v/>
      </c>
      <c r="AP220" s="113">
        <f>IF(I220="","",IF(I220&lt;=$AP$1,"O","X"))</f>
        <v/>
      </c>
      <c r="AQ220" s="113">
        <f>IF(O220="","",IF(O220&lt;=$AQ$1,"O","X"))</f>
        <v/>
      </c>
      <c r="AR220" s="113">
        <f>IF(M220="","",IF(M220&lt;=$AR$1,"O","X"))</f>
        <v/>
      </c>
      <c r="AS220" s="113" t="inlineStr">
        <is>
          <t>X</t>
        </is>
      </c>
      <c r="AT220" s="113">
        <f>IF(OR(F220="",AI220=""),"",IF(AND((F220&lt;=85),(AI220&gt;=15)),"O","X"))</f>
        <v/>
      </c>
      <c r="AU220" s="113">
        <f>IF(C220="","",IF(C220&gt;=$AU$1,"O","X"))</f>
        <v/>
      </c>
      <c r="AV220" s="113">
        <f>IF(AO220="","",IF(AND(AO220="O",AP220="O",AR220="O",AT220="O",AU220="O"),"후보","X"))</f>
        <v/>
      </c>
    </row>
    <row r="221">
      <c r="A221" s="13" t="inlineStr">
        <is>
          <t>청라제일풍경채에듀&amp;파크2차</t>
        </is>
      </c>
      <c r="B221" s="16" t="inlineStr">
        <is>
          <t>'17.12.</t>
        </is>
      </c>
      <c r="C221" s="164" t="n">
        <v>1581</v>
      </c>
      <c r="D221" s="161" t="n">
        <v>113.1</v>
      </c>
      <c r="E221" s="163" t="n">
        <v>34</v>
      </c>
      <c r="F221" s="161" t="n">
        <v>84.8</v>
      </c>
      <c r="G221" s="27" t="n">
        <v>26</v>
      </c>
      <c r="H221" s="164" t="n">
        <v>262</v>
      </c>
      <c r="I221" s="165" t="n"/>
      <c r="J221" s="165" t="n"/>
      <c r="K221" s="165" t="n"/>
      <c r="L221" s="165" t="n"/>
      <c r="M221" s="166">
        <f>I221-K221</f>
        <v/>
      </c>
      <c r="N221" s="7">
        <f>IF(ISERROR(K221/I221),"",K221/I221)</f>
        <v/>
      </c>
      <c r="O221" s="162">
        <f>I221/E221</f>
        <v/>
      </c>
      <c r="P221" s="162">
        <f>K221/E221</f>
        <v/>
      </c>
      <c r="Q221" s="113" t="n">
        <v>3</v>
      </c>
      <c r="R221" s="113" t="n">
        <v>2</v>
      </c>
      <c r="S221" s="113" t="inlineStr">
        <is>
          <t>계</t>
        </is>
      </c>
      <c r="T221" s="8" t="inlineStr">
        <is>
          <t>113C</t>
        </is>
      </c>
      <c r="U221" s="13" t="n"/>
      <c r="W221" s="161">
        <f>D221</f>
        <v/>
      </c>
      <c r="X221" s="163">
        <f>E221</f>
        <v/>
      </c>
      <c r="Y221" s="159">
        <f>H221</f>
        <v/>
      </c>
      <c r="Z221" s="166">
        <f>I221</f>
        <v/>
      </c>
      <c r="AA221" s="166">
        <f>K221</f>
        <v/>
      </c>
      <c r="AB221" s="166">
        <f>M221</f>
        <v/>
      </c>
      <c r="AC221" s="7">
        <f>N221</f>
        <v/>
      </c>
      <c r="AD221" s="162">
        <f>O221</f>
        <v/>
      </c>
      <c r="AE221" s="113">
        <f>S221</f>
        <v/>
      </c>
      <c r="AF221" s="113">
        <f>Q221&amp;"/"&amp;R221</f>
        <v/>
      </c>
      <c r="AH221" s="36">
        <f>IF(A221="","",A221)</f>
        <v/>
      </c>
      <c r="AI221" s="163">
        <f>IF(E221="","",E221)</f>
        <v/>
      </c>
      <c r="AJ221" s="113">
        <f>IF(AI221="","",$AJ$2)</f>
        <v/>
      </c>
      <c r="AK221" s="113" t="inlineStr">
        <is>
          <t>A</t>
        </is>
      </c>
      <c r="AL221" s="113" t="inlineStr">
        <is>
          <t>A+</t>
        </is>
      </c>
      <c r="AM221" s="113" t="inlineStr">
        <is>
          <t>B+</t>
        </is>
      </c>
      <c r="AN221" s="113">
        <f>IF(AI221="","",$AN$2)</f>
        <v/>
      </c>
      <c r="AO221" s="113">
        <f>IF(N221="","",IF(N221&gt;=$AO$1/100,"O","X"))</f>
        <v/>
      </c>
      <c r="AP221" s="113">
        <f>IF(I221="","",IF(I221&lt;=$AP$1,"O","X"))</f>
        <v/>
      </c>
      <c r="AQ221" s="113">
        <f>IF(O221="","",IF(O221&lt;=$AQ$1,"O","X"))</f>
        <v/>
      </c>
      <c r="AR221" s="113">
        <f>IF(M221="","",IF(M221&lt;=$AR$1,"O","X"))</f>
        <v/>
      </c>
      <c r="AS221" s="113" t="inlineStr">
        <is>
          <t>X</t>
        </is>
      </c>
      <c r="AT221" s="113">
        <f>IF(OR(F221="",AI221=""),"",IF(AND((F221&lt;=85),(AI221&gt;=15)),"O","X"))</f>
        <v/>
      </c>
      <c r="AU221" s="113">
        <f>IF(C221="","",IF(C221&gt;=$AU$1,"O","X"))</f>
        <v/>
      </c>
      <c r="AV221" s="113">
        <f>IF(AO221="","",IF(AND(AO221="O",AP221="O",AR221="O",AT221="O",AU221="O"),"후보","X"))</f>
        <v/>
      </c>
    </row>
    <row r="222">
      <c r="A222" s="13" t="inlineStr">
        <is>
          <t>청라제일풍경채에듀&amp;파크2차</t>
        </is>
      </c>
      <c r="B222" s="16" t="inlineStr">
        <is>
          <t>'17.12.</t>
        </is>
      </c>
      <c r="C222" s="164" t="n">
        <v>1581</v>
      </c>
      <c r="D222" s="161" t="n">
        <v>113.2</v>
      </c>
      <c r="E222" s="163" t="n">
        <v>34</v>
      </c>
      <c r="F222" s="161" t="n">
        <v>84.90000000000001</v>
      </c>
      <c r="G222" s="27" t="n">
        <v>26</v>
      </c>
      <c r="H222" s="164" t="n">
        <v>159</v>
      </c>
      <c r="I222" s="165" t="n"/>
      <c r="J222" s="165" t="n"/>
      <c r="K222" s="165" t="n"/>
      <c r="L222" s="165" t="n"/>
      <c r="M222" s="166">
        <f>I222-K222</f>
        <v/>
      </c>
      <c r="N222" s="7">
        <f>IF(ISERROR(K222/I222),"",K222/I222)</f>
        <v/>
      </c>
      <c r="O222" s="162">
        <f>I222/E222</f>
        <v/>
      </c>
      <c r="P222" s="162">
        <f>K222/E222</f>
        <v/>
      </c>
      <c r="Q222" s="113" t="n">
        <v>3</v>
      </c>
      <c r="R222" s="113" t="n">
        <v>2</v>
      </c>
      <c r="S222" s="113" t="inlineStr">
        <is>
          <t>계</t>
        </is>
      </c>
      <c r="T222" s="8" t="inlineStr">
        <is>
          <t>113B</t>
        </is>
      </c>
      <c r="U222" s="13" t="n"/>
      <c r="W222" s="161">
        <f>D222</f>
        <v/>
      </c>
      <c r="X222" s="163">
        <f>E222</f>
        <v/>
      </c>
      <c r="Y222" s="159">
        <f>H222</f>
        <v/>
      </c>
      <c r="Z222" s="166">
        <f>I222</f>
        <v/>
      </c>
      <c r="AA222" s="166">
        <f>K222</f>
        <v/>
      </c>
      <c r="AB222" s="166">
        <f>M222</f>
        <v/>
      </c>
      <c r="AC222" s="7">
        <f>N222</f>
        <v/>
      </c>
      <c r="AD222" s="162">
        <f>O222</f>
        <v/>
      </c>
      <c r="AE222" s="113">
        <f>S222</f>
        <v/>
      </c>
      <c r="AF222" s="113">
        <f>Q222&amp;"/"&amp;R222</f>
        <v/>
      </c>
      <c r="AH222" s="36">
        <f>IF(A222="","",A222)</f>
        <v/>
      </c>
      <c r="AI222" s="163">
        <f>IF(E222="","",E222)</f>
        <v/>
      </c>
      <c r="AJ222" s="113">
        <f>IF(AI222="","",$AJ$2)</f>
        <v/>
      </c>
      <c r="AK222" s="113" t="inlineStr">
        <is>
          <t>A</t>
        </is>
      </c>
      <c r="AL222" s="113" t="inlineStr">
        <is>
          <t>A+</t>
        </is>
      </c>
      <c r="AM222" s="113" t="inlineStr">
        <is>
          <t>B+</t>
        </is>
      </c>
      <c r="AN222" s="113">
        <f>IF(AI222="","",$AN$2)</f>
        <v/>
      </c>
      <c r="AO222" s="113">
        <f>IF(N222="","",IF(N222&gt;=$AO$1/100,"O","X"))</f>
        <v/>
      </c>
      <c r="AP222" s="113">
        <f>IF(I222="","",IF(I222&lt;=$AP$1,"O","X"))</f>
        <v/>
      </c>
      <c r="AQ222" s="113">
        <f>IF(O222="","",IF(O222&lt;=$AQ$1,"O","X"))</f>
        <v/>
      </c>
      <c r="AR222" s="113">
        <f>IF(M222="","",IF(M222&lt;=$AR$1,"O","X"))</f>
        <v/>
      </c>
      <c r="AS222" s="113" t="inlineStr">
        <is>
          <t>X</t>
        </is>
      </c>
      <c r="AT222" s="113">
        <f>IF(OR(F222="",AI222=""),"",IF(AND((F222&lt;=85),(AI222&gt;=15)),"O","X"))</f>
        <v/>
      </c>
      <c r="AU222" s="113">
        <f>IF(C222="","",IF(C222&gt;=$AU$1,"O","X"))</f>
        <v/>
      </c>
      <c r="AV222" s="113">
        <f>IF(AO222="","",IF(AND(AO222="O",AP222="O",AR222="O",AT222="O",AU222="O"),"후보","X"))</f>
        <v/>
      </c>
    </row>
    <row r="223">
      <c r="A223" s="13" t="inlineStr">
        <is>
          <t>청라제일풍경채에듀&amp;파크2차</t>
        </is>
      </c>
      <c r="B223" s="16" t="inlineStr">
        <is>
          <t>'17.12.</t>
        </is>
      </c>
      <c r="C223" s="164" t="n">
        <v>1581</v>
      </c>
      <c r="D223" s="161" t="n">
        <v>133</v>
      </c>
      <c r="E223" s="163" t="n">
        <v>40</v>
      </c>
      <c r="F223" s="161" t="n">
        <v>99.8</v>
      </c>
      <c r="G223" s="27" t="n">
        <v>30</v>
      </c>
      <c r="H223" s="164" t="n">
        <v>169</v>
      </c>
      <c r="I223" s="165" t="n"/>
      <c r="J223" s="165" t="n"/>
      <c r="K223" s="165" t="n"/>
      <c r="L223" s="165" t="n"/>
      <c r="M223" s="166">
        <f>I223-K223</f>
        <v/>
      </c>
      <c r="N223" s="7">
        <f>IF(ISERROR(K223/I223),"",K223/I223)</f>
        <v/>
      </c>
      <c r="O223" s="162">
        <f>I223/E223</f>
        <v/>
      </c>
      <c r="P223" s="162">
        <f>K223/E223</f>
        <v/>
      </c>
      <c r="Q223" s="113" t="n">
        <v>4</v>
      </c>
      <c r="R223" s="113" t="n">
        <v>2</v>
      </c>
      <c r="S223" s="113" t="inlineStr">
        <is>
          <t>계</t>
        </is>
      </c>
      <c r="T223" s="8" t="inlineStr">
        <is>
          <t>132A</t>
        </is>
      </c>
      <c r="U223" s="13" t="n"/>
      <c r="W223" s="161">
        <f>D223</f>
        <v/>
      </c>
      <c r="X223" s="163">
        <f>E223</f>
        <v/>
      </c>
      <c r="Y223" s="159">
        <f>H223</f>
        <v/>
      </c>
      <c r="Z223" s="166">
        <f>I223</f>
        <v/>
      </c>
      <c r="AA223" s="166">
        <f>K223</f>
        <v/>
      </c>
      <c r="AB223" s="166">
        <f>M223</f>
        <v/>
      </c>
      <c r="AC223" s="7">
        <f>N223</f>
        <v/>
      </c>
      <c r="AD223" s="162">
        <f>O223</f>
        <v/>
      </c>
      <c r="AE223" s="113">
        <f>S223</f>
        <v/>
      </c>
      <c r="AF223" s="113">
        <f>Q223&amp;"/"&amp;R223</f>
        <v/>
      </c>
      <c r="AH223" s="36">
        <f>IF(A223="","",A223)</f>
        <v/>
      </c>
      <c r="AI223" s="163">
        <f>IF(E223="","",E223)</f>
        <v/>
      </c>
      <c r="AJ223" s="113">
        <f>IF(AI223="","",$AJ$2)</f>
        <v/>
      </c>
      <c r="AK223" s="113" t="inlineStr">
        <is>
          <t>A</t>
        </is>
      </c>
      <c r="AL223" s="113" t="inlineStr">
        <is>
          <t>A+</t>
        </is>
      </c>
      <c r="AM223" s="113" t="inlineStr">
        <is>
          <t>B+</t>
        </is>
      </c>
      <c r="AN223" s="113">
        <f>IF(AI223="","",$AN$2)</f>
        <v/>
      </c>
      <c r="AO223" s="113">
        <f>IF(N223="","",IF(N223&gt;=$AO$1/100,"O","X"))</f>
        <v/>
      </c>
      <c r="AP223" s="113">
        <f>IF(I223="","",IF(I223&lt;=$AP$1,"O","X"))</f>
        <v/>
      </c>
      <c r="AQ223" s="113">
        <f>IF(O223="","",IF(O223&lt;=$AQ$1,"O","X"))</f>
        <v/>
      </c>
      <c r="AR223" s="113">
        <f>IF(M223="","",IF(M223&lt;=$AR$1,"O","X"))</f>
        <v/>
      </c>
      <c r="AS223" s="113" t="inlineStr">
        <is>
          <t>X</t>
        </is>
      </c>
      <c r="AT223" s="113">
        <f>IF(OR(F223="",AI223=""),"",IF(AND((F223&lt;=85),(AI223&gt;=15)),"O","X"))</f>
        <v/>
      </c>
      <c r="AU223" s="113">
        <f>IF(C223="","",IF(C223&gt;=$AU$1,"O","X"))</f>
        <v/>
      </c>
      <c r="AV223" s="113">
        <f>IF(AO223="","",IF(AND(AO223="O",AP223="O",AR223="O",AT223="O",AU223="O"),"후보","X"))</f>
        <v/>
      </c>
    </row>
    <row r="224">
      <c r="A224" s="13" t="n"/>
      <c r="B224" s="113" t="n"/>
      <c r="C224" s="10" t="n"/>
      <c r="D224" s="13" t="n"/>
      <c r="E224" s="20" t="n"/>
      <c r="F224" s="161" t="n"/>
      <c r="G224" s="13" t="n"/>
      <c r="H224" s="13" t="n"/>
      <c r="I224" s="13" t="n"/>
      <c r="J224" s="13" t="n"/>
      <c r="K224" s="13" t="n"/>
      <c r="L224" s="13" t="n"/>
      <c r="M224" s="13" t="n"/>
      <c r="N224" s="13" t="n"/>
      <c r="O224" s="162" t="n"/>
      <c r="P224" s="162" t="n"/>
      <c r="Q224" s="163" t="n"/>
      <c r="R224" s="163" t="n"/>
      <c r="S224" s="13" t="n"/>
      <c r="T224" s="70" t="n"/>
      <c r="U224" s="13" t="n"/>
      <c r="W224" s="107">
        <f>$A$4&amp;" "&amp;A225&amp;"("&amp;B225&amp;","&amp;C225&amp;"^)"</f>
        <v/>
      </c>
      <c r="X224" s="108" t="n"/>
      <c r="Y224" s="108" t="n"/>
      <c r="Z224" s="108" t="n"/>
      <c r="AA224" s="108" t="n"/>
      <c r="AB224" s="108" t="n"/>
      <c r="AC224" s="108" t="n"/>
      <c r="AD224" s="108" t="n"/>
      <c r="AE224" s="108" t="n"/>
      <c r="AF224" s="109" t="n"/>
      <c r="AH224" s="36">
        <f>IF(A224="","",A224)</f>
        <v/>
      </c>
      <c r="AI224" s="160">
        <f>IF(E224="","",E224)</f>
        <v/>
      </c>
      <c r="AJ224" s="113" t="n"/>
      <c r="AK224" s="113" t="n"/>
      <c r="AL224" s="113" t="n"/>
      <c r="AM224" s="113" t="n"/>
      <c r="AN224" s="113" t="n"/>
      <c r="AO224" s="113" t="n"/>
      <c r="AP224" s="113" t="n"/>
      <c r="AQ224" s="113" t="n"/>
      <c r="AR224" s="113" t="n"/>
      <c r="AS224" s="113" t="n"/>
      <c r="AT224" s="113" t="n"/>
      <c r="AU224" s="113" t="n"/>
      <c r="AV224" s="113" t="n"/>
    </row>
    <row r="225">
      <c r="A225" s="13" t="inlineStr">
        <is>
          <t>청라국제업무단지센텀대광로제비앙</t>
        </is>
      </c>
      <c r="B225" s="16" t="inlineStr">
        <is>
          <t>'18.12.</t>
        </is>
      </c>
      <c r="C225" s="164" t="n">
        <v>674</v>
      </c>
      <c r="D225" s="161" t="n">
        <v>106</v>
      </c>
      <c r="E225" s="163" t="n">
        <v>32</v>
      </c>
      <c r="F225" s="161" t="n">
        <v>82.90000000000001</v>
      </c>
      <c r="G225" s="27" t="n">
        <v>25</v>
      </c>
      <c r="H225" s="164" t="n">
        <v>461</v>
      </c>
      <c r="I225" s="165" t="n">
        <v>72000</v>
      </c>
      <c r="J225" s="165" t="inlineStr">
        <is>
          <t>고</t>
        </is>
      </c>
      <c r="K225" s="165" t="n">
        <v>36000</v>
      </c>
      <c r="L225" s="165" t="inlineStr">
        <is>
          <t>11</t>
        </is>
      </c>
      <c r="M225" s="166">
        <f>I225-K225</f>
        <v/>
      </c>
      <c r="N225" s="7">
        <f>IF(ISERROR(K225/I225),"",K225/I225)</f>
        <v/>
      </c>
      <c r="O225" s="162">
        <f>I225/E225</f>
        <v/>
      </c>
      <c r="P225" s="162">
        <f>K225/E225</f>
        <v/>
      </c>
      <c r="Q225" s="113" t="n">
        <v>3</v>
      </c>
      <c r="R225" s="113" t="n">
        <v>2</v>
      </c>
      <c r="S225" s="113" t="inlineStr">
        <is>
          <t>계</t>
        </is>
      </c>
      <c r="T225" s="8" t="inlineStr">
        <is>
          <t>105A</t>
        </is>
      </c>
      <c r="U225" s="13" t="n"/>
      <c r="W225" s="161">
        <f>D225</f>
        <v/>
      </c>
      <c r="X225" s="163">
        <f>E225</f>
        <v/>
      </c>
      <c r="Y225" s="159">
        <f>H225</f>
        <v/>
      </c>
      <c r="Z225" s="166">
        <f>I225</f>
        <v/>
      </c>
      <c r="AA225" s="166">
        <f>K225</f>
        <v/>
      </c>
      <c r="AB225" s="166">
        <f>M225</f>
        <v/>
      </c>
      <c r="AC225" s="7">
        <f>N225</f>
        <v/>
      </c>
      <c r="AD225" s="162">
        <f>O225</f>
        <v/>
      </c>
      <c r="AE225" s="113">
        <f>S225</f>
        <v/>
      </c>
      <c r="AF225" s="113">
        <f>Q225&amp;"/"&amp;R225</f>
        <v/>
      </c>
      <c r="AH225" s="36">
        <f>IF(A225="","",A225)</f>
        <v/>
      </c>
      <c r="AI225" s="163">
        <f>IF(E225="","",E225)</f>
        <v/>
      </c>
      <c r="AJ225" s="113">
        <f>IF(AI225="","",$AJ$2)</f>
        <v/>
      </c>
      <c r="AK225" s="113" t="inlineStr">
        <is>
          <t>A</t>
        </is>
      </c>
      <c r="AL225" s="113" t="inlineStr">
        <is>
          <t>A+</t>
        </is>
      </c>
      <c r="AM225" s="113" t="inlineStr">
        <is>
          <t>B+</t>
        </is>
      </c>
      <c r="AN225" s="113">
        <f>IF(AI225="","",$AN$2)</f>
        <v/>
      </c>
      <c r="AO225" s="113">
        <f>IF(N225="","",IF(N225&gt;=$AO$1/100,"O","X"))</f>
        <v/>
      </c>
      <c r="AP225" s="113">
        <f>IF(I225="","",IF(I225&lt;=$AP$1,"O","X"))</f>
        <v/>
      </c>
      <c r="AQ225" s="113">
        <f>IF(O225="","",IF(O225&lt;=$AQ$1,"O","X"))</f>
        <v/>
      </c>
      <c r="AR225" s="113">
        <f>IF(M225="","",IF(M225&lt;=$AR$1,"O","X"))</f>
        <v/>
      </c>
      <c r="AS225" s="113" t="inlineStr">
        <is>
          <t>X</t>
        </is>
      </c>
      <c r="AT225" s="113">
        <f>IF(OR(F225="",AI225=""),"",IF(AND((F225&lt;=85),(AI225&gt;=15)),"O","X"))</f>
        <v/>
      </c>
      <c r="AU225" s="113">
        <f>IF(C225="","",IF(C225&gt;=$AU$1,"O","X"))</f>
        <v/>
      </c>
      <c r="AV225" s="113">
        <f>IF(AO225="","",IF(AND(AO225="O",AP225="O",AR225="O",AT225="O",AU225="O"),"후보","X"))</f>
        <v/>
      </c>
    </row>
    <row r="226">
      <c r="A226" s="13" t="inlineStr">
        <is>
          <t>청라국제업무단지센텀대광로제비앙</t>
        </is>
      </c>
      <c r="B226" s="16" t="inlineStr">
        <is>
          <t>'18.12.</t>
        </is>
      </c>
      <c r="C226" s="164" t="n">
        <v>674</v>
      </c>
      <c r="D226" s="161" t="n">
        <v>105.8</v>
      </c>
      <c r="E226" s="163" t="n">
        <v>32</v>
      </c>
      <c r="F226" s="161" t="n">
        <v>82.7</v>
      </c>
      <c r="G226" s="27" t="n">
        <v>25</v>
      </c>
      <c r="H226" s="164" t="n">
        <v>171</v>
      </c>
      <c r="I226" s="165" t="n">
        <v>71000</v>
      </c>
      <c r="J226" s="165" t="inlineStr">
        <is>
          <t>21</t>
        </is>
      </c>
      <c r="K226" s="165" t="n">
        <v>37000</v>
      </c>
      <c r="L226" s="165" t="inlineStr">
        <is>
          <t>고</t>
        </is>
      </c>
      <c r="M226" s="166">
        <f>I226-K226</f>
        <v/>
      </c>
      <c r="N226" s="7">
        <f>IF(ISERROR(K226/I226),"",K226/I226)</f>
        <v/>
      </c>
      <c r="O226" s="162">
        <f>I226/E226</f>
        <v/>
      </c>
      <c r="P226" s="162">
        <f>K226/E226</f>
        <v/>
      </c>
      <c r="Q226" s="113" t="n">
        <v>3</v>
      </c>
      <c r="R226" s="113" t="n">
        <v>2</v>
      </c>
      <c r="S226" s="113" t="inlineStr">
        <is>
          <t>계</t>
        </is>
      </c>
      <c r="T226" s="8" t="inlineStr">
        <is>
          <t>105B</t>
        </is>
      </c>
      <c r="U226" s="13" t="n"/>
      <c r="W226" s="161">
        <f>D226</f>
        <v/>
      </c>
      <c r="X226" s="163">
        <f>E226</f>
        <v/>
      </c>
      <c r="Y226" s="159">
        <f>H226</f>
        <v/>
      </c>
      <c r="Z226" s="166">
        <f>I226</f>
        <v/>
      </c>
      <c r="AA226" s="166">
        <f>K226</f>
        <v/>
      </c>
      <c r="AB226" s="166">
        <f>M226</f>
        <v/>
      </c>
      <c r="AC226" s="7">
        <f>N226</f>
        <v/>
      </c>
      <c r="AD226" s="162">
        <f>O226</f>
        <v/>
      </c>
      <c r="AE226" s="113">
        <f>S226</f>
        <v/>
      </c>
      <c r="AF226" s="113">
        <f>Q226&amp;"/"&amp;R226</f>
        <v/>
      </c>
      <c r="AH226" s="36">
        <f>IF(A226="","",A226)</f>
        <v/>
      </c>
      <c r="AI226" s="163">
        <f>IF(E226="","",E226)</f>
        <v/>
      </c>
      <c r="AJ226" s="113">
        <f>IF(AI226="","",$AJ$2)</f>
        <v/>
      </c>
      <c r="AK226" s="113" t="inlineStr">
        <is>
          <t>A</t>
        </is>
      </c>
      <c r="AL226" s="113" t="inlineStr">
        <is>
          <t>A+</t>
        </is>
      </c>
      <c r="AM226" s="113" t="inlineStr">
        <is>
          <t>B+</t>
        </is>
      </c>
      <c r="AN226" s="113">
        <f>IF(AI226="","",$AN$2)</f>
        <v/>
      </c>
      <c r="AO226" s="113">
        <f>IF(N226="","",IF(N226&gt;=$AO$1/100,"O","X"))</f>
        <v/>
      </c>
      <c r="AP226" s="113">
        <f>IF(I226="","",IF(I226&lt;=$AP$1,"O","X"))</f>
        <v/>
      </c>
      <c r="AQ226" s="113">
        <f>IF(O226="","",IF(O226&lt;=$AQ$1,"O","X"))</f>
        <v/>
      </c>
      <c r="AR226" s="113">
        <f>IF(M226="","",IF(M226&lt;=$AR$1,"O","X"))</f>
        <v/>
      </c>
      <c r="AS226" s="113" t="inlineStr">
        <is>
          <t>X</t>
        </is>
      </c>
      <c r="AT226" s="113">
        <f>IF(OR(F226="",AI226=""),"",IF(AND((F226&lt;=85),(AI226&gt;=15)),"O","X"))</f>
        <v/>
      </c>
      <c r="AU226" s="113">
        <f>IF(C226="","",IF(C226&gt;=$AU$1,"O","X"))</f>
        <v/>
      </c>
      <c r="AV226" s="113">
        <f>IF(AO226="","",IF(AND(AO226="O",AP226="O",AR226="O",AT226="O",AU226="O"),"후보","X"))</f>
        <v/>
      </c>
    </row>
    <row r="227">
      <c r="A227" s="13" t="inlineStr">
        <is>
          <t>청라국제업무단지센텀대광로제비앙</t>
        </is>
      </c>
      <c r="B227" s="16" t="inlineStr">
        <is>
          <t>'18.12.</t>
        </is>
      </c>
      <c r="C227" s="164" t="n">
        <v>674</v>
      </c>
      <c r="D227" s="161" t="n">
        <v>105.8</v>
      </c>
      <c r="E227" s="163" t="n">
        <v>32</v>
      </c>
      <c r="F227" s="161" t="n">
        <v>82.8</v>
      </c>
      <c r="G227" s="27" t="n">
        <v>25</v>
      </c>
      <c r="H227" s="164" t="n">
        <v>42</v>
      </c>
      <c r="I227" s="165" t="n">
        <v>80000</v>
      </c>
      <c r="J227" s="165" t="inlineStr">
        <is>
          <t>6</t>
        </is>
      </c>
      <c r="K227" s="165" t="n">
        <v>38000</v>
      </c>
      <c r="L227" s="165" t="inlineStr">
        <is>
          <t>17</t>
        </is>
      </c>
      <c r="M227" s="166">
        <f>I227-K227</f>
        <v/>
      </c>
      <c r="N227" s="7">
        <f>IF(ISERROR(K227/I227),"",K227/I227)</f>
        <v/>
      </c>
      <c r="O227" s="162">
        <f>I227/E227</f>
        <v/>
      </c>
      <c r="P227" s="162">
        <f>K227/E227</f>
        <v/>
      </c>
      <c r="Q227" s="113" t="n">
        <v>3</v>
      </c>
      <c r="R227" s="113" t="n">
        <v>2</v>
      </c>
      <c r="S227" s="113" t="inlineStr">
        <is>
          <t>계</t>
        </is>
      </c>
      <c r="T227" s="8" t="inlineStr">
        <is>
          <t>105C</t>
        </is>
      </c>
      <c r="U227" s="13" t="n"/>
      <c r="W227" s="161">
        <f>D227</f>
        <v/>
      </c>
      <c r="X227" s="163">
        <f>E227</f>
        <v/>
      </c>
      <c r="Y227" s="159">
        <f>H227</f>
        <v/>
      </c>
      <c r="Z227" s="166">
        <f>I227</f>
        <v/>
      </c>
      <c r="AA227" s="166">
        <f>K227</f>
        <v/>
      </c>
      <c r="AB227" s="166">
        <f>M227</f>
        <v/>
      </c>
      <c r="AC227" s="7">
        <f>N227</f>
        <v/>
      </c>
      <c r="AD227" s="162">
        <f>O227</f>
        <v/>
      </c>
      <c r="AE227" s="113">
        <f>S227</f>
        <v/>
      </c>
      <c r="AF227" s="113">
        <f>Q227&amp;"/"&amp;R227</f>
        <v/>
      </c>
      <c r="AH227" s="36">
        <f>IF(A227="","",A227)</f>
        <v/>
      </c>
      <c r="AI227" s="163">
        <f>IF(E227="","",E227)</f>
        <v/>
      </c>
      <c r="AJ227" s="113">
        <f>IF(AI227="","",$AJ$2)</f>
        <v/>
      </c>
      <c r="AK227" s="113" t="inlineStr">
        <is>
          <t>A</t>
        </is>
      </c>
      <c r="AL227" s="113" t="inlineStr">
        <is>
          <t>A+</t>
        </is>
      </c>
      <c r="AM227" s="113" t="inlineStr">
        <is>
          <t>B+</t>
        </is>
      </c>
      <c r="AN227" s="113">
        <f>IF(AI227="","",$AN$2)</f>
        <v/>
      </c>
      <c r="AO227" s="113">
        <f>IF(N227="","",IF(N227&gt;=$AO$1/100,"O","X"))</f>
        <v/>
      </c>
      <c r="AP227" s="113">
        <f>IF(I227="","",IF(I227&lt;=$AP$1,"O","X"))</f>
        <v/>
      </c>
      <c r="AQ227" s="113">
        <f>IF(O227="","",IF(O227&lt;=$AQ$1,"O","X"))</f>
        <v/>
      </c>
      <c r="AR227" s="113">
        <f>IF(M227="","",IF(M227&lt;=$AR$1,"O","X"))</f>
        <v/>
      </c>
      <c r="AS227" s="113" t="inlineStr">
        <is>
          <t>X</t>
        </is>
      </c>
      <c r="AT227" s="113">
        <f>IF(OR(F227="",AI227=""),"",IF(AND((F227&lt;=85),(AI227&gt;=15)),"O","X"))</f>
        <v/>
      </c>
      <c r="AU227" s="113">
        <f>IF(C227="","",IF(C227&gt;=$AU$1,"O","X"))</f>
        <v/>
      </c>
      <c r="AV227" s="113">
        <f>IF(AO227="","",IF(AND(AO227="O",AP227="O",AR227="O",AT227="O",AU227="O"),"후보","X"))</f>
        <v/>
      </c>
    </row>
    <row r="228">
      <c r="A228" s="13" t="n"/>
      <c r="B228" s="113" t="n"/>
      <c r="C228" s="10" t="n"/>
      <c r="D228" s="13" t="n"/>
      <c r="E228" s="20" t="n"/>
      <c r="F228" s="161" t="n"/>
      <c r="G228" s="13" t="n"/>
      <c r="H228" s="13" t="n"/>
      <c r="I228" s="13" t="n"/>
      <c r="J228" s="13" t="n"/>
      <c r="K228" s="13" t="n"/>
      <c r="L228" s="13" t="n"/>
      <c r="M228" s="13" t="n"/>
      <c r="N228" s="13" t="n"/>
      <c r="O228" s="162" t="n"/>
      <c r="P228" s="162" t="n"/>
      <c r="Q228" s="163" t="n"/>
      <c r="R228" s="163" t="n"/>
      <c r="S228" s="13" t="n"/>
      <c r="T228" s="70" t="n"/>
      <c r="U228" s="13" t="n"/>
      <c r="W228" s="107">
        <f>$A$4&amp;" "&amp;A229&amp;"("&amp;B229&amp;","&amp;C229&amp;"^)"</f>
        <v/>
      </c>
      <c r="X228" s="108" t="n"/>
      <c r="Y228" s="108" t="n"/>
      <c r="Z228" s="108" t="n"/>
      <c r="AA228" s="108" t="n"/>
      <c r="AB228" s="108" t="n"/>
      <c r="AC228" s="108" t="n"/>
      <c r="AD228" s="108" t="n"/>
      <c r="AE228" s="108" t="n"/>
      <c r="AF228" s="109" t="n"/>
      <c r="AH228" s="36">
        <f>IF(A228="","",A228)</f>
        <v/>
      </c>
      <c r="AI228" s="160">
        <f>IF(E228="","",E228)</f>
        <v/>
      </c>
      <c r="AJ228" s="113" t="n"/>
      <c r="AK228" s="113" t="n"/>
      <c r="AL228" s="113" t="n"/>
      <c r="AM228" s="113" t="n"/>
      <c r="AN228" s="113" t="n"/>
      <c r="AO228" s="113" t="n"/>
      <c r="AP228" s="113" t="n"/>
      <c r="AQ228" s="113" t="n"/>
      <c r="AR228" s="113" t="n"/>
      <c r="AS228" s="113" t="n"/>
      <c r="AT228" s="113" t="n"/>
      <c r="AU228" s="113" t="n"/>
      <c r="AV228" s="113" t="n"/>
    </row>
    <row r="229">
      <c r="A229" s="13" t="inlineStr">
        <is>
          <t>청라하우스토리커낼뷰</t>
        </is>
      </c>
      <c r="B229" s="16" t="inlineStr">
        <is>
          <t>'11.05.</t>
        </is>
      </c>
      <c r="C229" s="164" t="n">
        <v>260</v>
      </c>
      <c r="D229" s="161" t="n">
        <v>131.4</v>
      </c>
      <c r="E229" s="163" t="n">
        <v>40</v>
      </c>
      <c r="F229" s="161" t="n">
        <v>105.9</v>
      </c>
      <c r="G229" s="27" t="n">
        <v>32</v>
      </c>
      <c r="H229" s="164" t="n">
        <v>85</v>
      </c>
      <c r="I229" s="165" t="n"/>
      <c r="J229" s="165" t="n"/>
      <c r="K229" s="165" t="n"/>
      <c r="L229" s="165" t="n"/>
      <c r="M229" s="166">
        <f>I229-K229</f>
        <v/>
      </c>
      <c r="N229" s="7">
        <f>IF(ISERROR(K229/I229),"",K229/I229)</f>
        <v/>
      </c>
      <c r="O229" s="162">
        <f>I229/E229</f>
        <v/>
      </c>
      <c r="P229" s="162">
        <f>K229/E229</f>
        <v/>
      </c>
      <c r="Q229" s="113" t="n">
        <v>4</v>
      </c>
      <c r="R229" s="113" t="n">
        <v>2</v>
      </c>
      <c r="S229" s="113" t="inlineStr">
        <is>
          <t>계</t>
        </is>
      </c>
      <c r="T229" s="8" t="inlineStr">
        <is>
          <t>131A</t>
        </is>
      </c>
      <c r="U229" s="13" t="n"/>
      <c r="W229" s="161">
        <f>D229</f>
        <v/>
      </c>
      <c r="X229" s="163">
        <f>E229</f>
        <v/>
      </c>
      <c r="Y229" s="159">
        <f>H229</f>
        <v/>
      </c>
      <c r="Z229" s="166">
        <f>I229</f>
        <v/>
      </c>
      <c r="AA229" s="166">
        <f>K229</f>
        <v/>
      </c>
      <c r="AB229" s="166">
        <f>M229</f>
        <v/>
      </c>
      <c r="AC229" s="7">
        <f>N229</f>
        <v/>
      </c>
      <c r="AD229" s="162">
        <f>O229</f>
        <v/>
      </c>
      <c r="AE229" s="113">
        <f>S229</f>
        <v/>
      </c>
      <c r="AF229" s="113">
        <f>Q229&amp;"/"&amp;R229</f>
        <v/>
      </c>
      <c r="AH229" s="36">
        <f>IF(A229="","",A229)</f>
        <v/>
      </c>
      <c r="AI229" s="163">
        <f>IF(E229="","",E229)</f>
        <v/>
      </c>
      <c r="AJ229" s="113">
        <f>IF(AI229="","",$AJ$2)</f>
        <v/>
      </c>
      <c r="AK229" s="113" t="inlineStr">
        <is>
          <t>A</t>
        </is>
      </c>
      <c r="AL229" s="113" t="inlineStr">
        <is>
          <t>A+</t>
        </is>
      </c>
      <c r="AM229" s="113" t="inlineStr">
        <is>
          <t>B+</t>
        </is>
      </c>
      <c r="AN229" s="113">
        <f>IF(AI229="","",$AN$2)</f>
        <v/>
      </c>
      <c r="AO229" s="113">
        <f>IF(N229="","",IF(N229&gt;=$AO$1/100,"O","X"))</f>
        <v/>
      </c>
      <c r="AP229" s="113">
        <f>IF(I229="","",IF(I229&lt;=$AP$1,"O","X"))</f>
        <v/>
      </c>
      <c r="AQ229" s="113">
        <f>IF(O229="","",IF(O229&lt;=$AQ$1,"O","X"))</f>
        <v/>
      </c>
      <c r="AR229" s="113">
        <f>IF(M229="","",IF(M229&lt;=$AR$1,"O","X"))</f>
        <v/>
      </c>
      <c r="AS229" s="113" t="inlineStr">
        <is>
          <t>X</t>
        </is>
      </c>
      <c r="AT229" s="113">
        <f>IF(OR(F229="",AI229=""),"",IF(AND((F229&lt;=85),(AI229&gt;=15)),"O","X"))</f>
        <v/>
      </c>
      <c r="AU229" s="113">
        <f>IF(C229="","",IF(C229&gt;=$AU$1,"O","X"))</f>
        <v/>
      </c>
      <c r="AV229" s="113">
        <f>IF(AO229="","",IF(AND(AO229="O",AP229="O",AR229="O",AT229="O",AU229="O"),"후보","X"))</f>
        <v/>
      </c>
    </row>
    <row r="230">
      <c r="A230" s="13" t="inlineStr">
        <is>
          <t>청라하우스토리커낼뷰</t>
        </is>
      </c>
      <c r="B230" s="16" t="inlineStr">
        <is>
          <t>'11.05.</t>
        </is>
      </c>
      <c r="C230" s="164" t="n">
        <v>260</v>
      </c>
      <c r="D230" s="161" t="n">
        <v>131.4</v>
      </c>
      <c r="E230" s="163" t="n">
        <v>40</v>
      </c>
      <c r="F230" s="161" t="n">
        <v>105.9</v>
      </c>
      <c r="G230" s="27" t="n">
        <v>32</v>
      </c>
      <c r="H230" s="164" t="n">
        <v>29</v>
      </c>
      <c r="I230" s="165" t="n"/>
      <c r="J230" s="165" t="n"/>
      <c r="K230" s="165" t="n"/>
      <c r="L230" s="165" t="n"/>
      <c r="M230" s="166">
        <f>I230-K230</f>
        <v/>
      </c>
      <c r="N230" s="7">
        <f>IF(ISERROR(K230/I230),"",K230/I230)</f>
        <v/>
      </c>
      <c r="O230" s="162">
        <f>I230/E230</f>
        <v/>
      </c>
      <c r="P230" s="162">
        <f>K230/E230</f>
        <v/>
      </c>
      <c r="Q230" s="113" t="n">
        <v>4</v>
      </c>
      <c r="R230" s="113" t="n">
        <v>2</v>
      </c>
      <c r="S230" s="113" t="inlineStr">
        <is>
          <t>계</t>
        </is>
      </c>
      <c r="T230" s="8" t="inlineStr">
        <is>
          <t>131B</t>
        </is>
      </c>
      <c r="U230" s="13" t="n"/>
      <c r="W230" s="161">
        <f>D230</f>
        <v/>
      </c>
      <c r="X230" s="163">
        <f>E230</f>
        <v/>
      </c>
      <c r="Y230" s="159">
        <f>H230</f>
        <v/>
      </c>
      <c r="Z230" s="166">
        <f>I230</f>
        <v/>
      </c>
      <c r="AA230" s="166">
        <f>K230</f>
        <v/>
      </c>
      <c r="AB230" s="166">
        <f>M230</f>
        <v/>
      </c>
      <c r="AC230" s="7">
        <f>N230</f>
        <v/>
      </c>
      <c r="AD230" s="162">
        <f>O230</f>
        <v/>
      </c>
      <c r="AE230" s="113">
        <f>S230</f>
        <v/>
      </c>
      <c r="AF230" s="113">
        <f>Q230&amp;"/"&amp;R230</f>
        <v/>
      </c>
      <c r="AH230" s="36">
        <f>IF(A230="","",A230)</f>
        <v/>
      </c>
      <c r="AI230" s="163">
        <f>IF(E230="","",E230)</f>
        <v/>
      </c>
      <c r="AJ230" s="113">
        <f>IF(AI230="","",$AJ$2)</f>
        <v/>
      </c>
      <c r="AK230" s="113" t="inlineStr">
        <is>
          <t>A</t>
        </is>
      </c>
      <c r="AL230" s="113" t="inlineStr">
        <is>
          <t>A+</t>
        </is>
      </c>
      <c r="AM230" s="113" t="inlineStr">
        <is>
          <t>B+</t>
        </is>
      </c>
      <c r="AN230" s="113">
        <f>IF(AI230="","",$AN$2)</f>
        <v/>
      </c>
      <c r="AO230" s="113">
        <f>IF(N230="","",IF(N230&gt;=$AO$1/100,"O","X"))</f>
        <v/>
      </c>
      <c r="AP230" s="113">
        <f>IF(I230="","",IF(I230&lt;=$AP$1,"O","X"))</f>
        <v/>
      </c>
      <c r="AQ230" s="113">
        <f>IF(O230="","",IF(O230&lt;=$AQ$1,"O","X"))</f>
        <v/>
      </c>
      <c r="AR230" s="113">
        <f>IF(M230="","",IF(M230&lt;=$AR$1,"O","X"))</f>
        <v/>
      </c>
      <c r="AS230" s="113" t="inlineStr">
        <is>
          <t>X</t>
        </is>
      </c>
      <c r="AT230" s="113">
        <f>IF(OR(F230="",AI230=""),"",IF(AND((F230&lt;=85),(AI230&gt;=15)),"O","X"))</f>
        <v/>
      </c>
      <c r="AU230" s="113">
        <f>IF(C230="","",IF(C230&gt;=$AU$1,"O","X"))</f>
        <v/>
      </c>
      <c r="AV230" s="113">
        <f>IF(AO230="","",IF(AND(AO230="O",AP230="O",AR230="O",AT230="O",AU230="O"),"후보","X"))</f>
        <v/>
      </c>
    </row>
    <row r="231">
      <c r="A231" s="13" t="inlineStr">
        <is>
          <t>청라하우스토리커낼뷰</t>
        </is>
      </c>
      <c r="B231" s="16" t="inlineStr">
        <is>
          <t>'11.05.</t>
        </is>
      </c>
      <c r="C231" s="164" t="n">
        <v>260</v>
      </c>
      <c r="D231" s="161" t="n">
        <v>155</v>
      </c>
      <c r="E231" s="163" t="n">
        <v>47</v>
      </c>
      <c r="F231" s="161" t="n">
        <v>124.2</v>
      </c>
      <c r="G231" s="27" t="n">
        <v>38</v>
      </c>
      <c r="H231" s="164" t="n">
        <v>73</v>
      </c>
      <c r="I231" s="165" t="n"/>
      <c r="J231" s="165" t="n"/>
      <c r="K231" s="165" t="n"/>
      <c r="L231" s="165" t="n"/>
      <c r="M231" s="166">
        <f>I231-K231</f>
        <v/>
      </c>
      <c r="N231" s="7">
        <f>IF(ISERROR(K231/I231),"",K231/I231)</f>
        <v/>
      </c>
      <c r="O231" s="162">
        <f>I231/E231</f>
        <v/>
      </c>
      <c r="P231" s="162">
        <f>K231/E231</f>
        <v/>
      </c>
      <c r="Q231" s="113" t="n">
        <v>4</v>
      </c>
      <c r="R231" s="113" t="n">
        <v>2</v>
      </c>
      <c r="S231" s="113" t="inlineStr">
        <is>
          <t>계</t>
        </is>
      </c>
      <c r="T231" s="8" t="inlineStr">
        <is>
          <t>154A</t>
        </is>
      </c>
      <c r="U231" s="13" t="n"/>
      <c r="W231" s="161">
        <f>D231</f>
        <v/>
      </c>
      <c r="X231" s="163">
        <f>E231</f>
        <v/>
      </c>
      <c r="Y231" s="159">
        <f>H231</f>
        <v/>
      </c>
      <c r="Z231" s="166">
        <f>I231</f>
        <v/>
      </c>
      <c r="AA231" s="166">
        <f>K231</f>
        <v/>
      </c>
      <c r="AB231" s="166">
        <f>M231</f>
        <v/>
      </c>
      <c r="AC231" s="7">
        <f>N231</f>
        <v/>
      </c>
      <c r="AD231" s="162">
        <f>O231</f>
        <v/>
      </c>
      <c r="AE231" s="113">
        <f>S231</f>
        <v/>
      </c>
      <c r="AF231" s="113">
        <f>Q231&amp;"/"&amp;R231</f>
        <v/>
      </c>
      <c r="AH231" s="36">
        <f>IF(A231="","",A231)</f>
        <v/>
      </c>
      <c r="AI231" s="163">
        <f>IF(E231="","",E231)</f>
        <v/>
      </c>
      <c r="AJ231" s="113">
        <f>IF(AI231="","",$AJ$2)</f>
        <v/>
      </c>
      <c r="AK231" s="113" t="inlineStr">
        <is>
          <t>A</t>
        </is>
      </c>
      <c r="AL231" s="113" t="inlineStr">
        <is>
          <t>A+</t>
        </is>
      </c>
      <c r="AM231" s="113" t="inlineStr">
        <is>
          <t>B+</t>
        </is>
      </c>
      <c r="AN231" s="113">
        <f>IF(AI231="","",$AN$2)</f>
        <v/>
      </c>
      <c r="AO231" s="113">
        <f>IF(N231="","",IF(N231&gt;=$AO$1/100,"O","X"))</f>
        <v/>
      </c>
      <c r="AP231" s="113">
        <f>IF(I231="","",IF(I231&lt;=$AP$1,"O","X"))</f>
        <v/>
      </c>
      <c r="AQ231" s="113">
        <f>IF(O231="","",IF(O231&lt;=$AQ$1,"O","X"))</f>
        <v/>
      </c>
      <c r="AR231" s="113">
        <f>IF(M231="","",IF(M231&lt;=$AR$1,"O","X"))</f>
        <v/>
      </c>
      <c r="AS231" s="113" t="inlineStr">
        <is>
          <t>X</t>
        </is>
      </c>
      <c r="AT231" s="113">
        <f>IF(OR(F231="",AI231=""),"",IF(AND((F231&lt;=85),(AI231&gt;=15)),"O","X"))</f>
        <v/>
      </c>
      <c r="AU231" s="113">
        <f>IF(C231="","",IF(C231&gt;=$AU$1,"O","X"))</f>
        <v/>
      </c>
      <c r="AV231" s="113">
        <f>IF(AO231="","",IF(AND(AO231="O",AP231="O",AR231="O",AT231="O",AU231="O"),"후보","X"))</f>
        <v/>
      </c>
    </row>
    <row r="232">
      <c r="A232" s="13" t="inlineStr">
        <is>
          <t>청라하우스토리커낼뷰</t>
        </is>
      </c>
      <c r="B232" s="16" t="inlineStr">
        <is>
          <t>'11.05.</t>
        </is>
      </c>
      <c r="C232" s="164" t="n">
        <v>260</v>
      </c>
      <c r="D232" s="161" t="n">
        <v>155</v>
      </c>
      <c r="E232" s="163" t="n">
        <v>47</v>
      </c>
      <c r="F232" s="161" t="n">
        <v>124.2</v>
      </c>
      <c r="G232" s="27" t="n">
        <v>38</v>
      </c>
      <c r="H232" s="164" t="n">
        <v>73</v>
      </c>
      <c r="I232" s="165" t="n"/>
      <c r="J232" s="165" t="n"/>
      <c r="K232" s="165" t="n"/>
      <c r="L232" s="165" t="n"/>
      <c r="M232" s="166">
        <f>I232-K232</f>
        <v/>
      </c>
      <c r="N232" s="7">
        <f>IF(ISERROR(K232/I232),"",K232/I232)</f>
        <v/>
      </c>
      <c r="O232" s="162">
        <f>I232/E232</f>
        <v/>
      </c>
      <c r="P232" s="162">
        <f>K232/E232</f>
        <v/>
      </c>
      <c r="Q232" s="113" t="n">
        <v>4</v>
      </c>
      <c r="R232" s="113" t="n">
        <v>2</v>
      </c>
      <c r="S232" s="113" t="inlineStr">
        <is>
          <t>계</t>
        </is>
      </c>
      <c r="T232" s="8" t="inlineStr">
        <is>
          <t>154B</t>
        </is>
      </c>
      <c r="U232" s="13" t="n"/>
      <c r="W232" s="161">
        <f>D232</f>
        <v/>
      </c>
      <c r="X232" s="163">
        <f>E232</f>
        <v/>
      </c>
      <c r="Y232" s="159">
        <f>H232</f>
        <v/>
      </c>
      <c r="Z232" s="166">
        <f>I232</f>
        <v/>
      </c>
      <c r="AA232" s="166">
        <f>K232</f>
        <v/>
      </c>
      <c r="AB232" s="166">
        <f>M232</f>
        <v/>
      </c>
      <c r="AC232" s="7">
        <f>N232</f>
        <v/>
      </c>
      <c r="AD232" s="162">
        <f>O232</f>
        <v/>
      </c>
      <c r="AE232" s="113">
        <f>S232</f>
        <v/>
      </c>
      <c r="AF232" s="113">
        <f>Q232&amp;"/"&amp;R232</f>
        <v/>
      </c>
      <c r="AH232" s="36">
        <f>IF(A232="","",A232)</f>
        <v/>
      </c>
      <c r="AI232" s="163">
        <f>IF(E232="","",E232)</f>
        <v/>
      </c>
      <c r="AJ232" s="113">
        <f>IF(AI232="","",$AJ$2)</f>
        <v/>
      </c>
      <c r="AK232" s="113" t="inlineStr">
        <is>
          <t>A</t>
        </is>
      </c>
      <c r="AL232" s="113" t="inlineStr">
        <is>
          <t>A+</t>
        </is>
      </c>
      <c r="AM232" s="113" t="inlineStr">
        <is>
          <t>B+</t>
        </is>
      </c>
      <c r="AN232" s="113">
        <f>IF(AI232="","",$AN$2)</f>
        <v/>
      </c>
      <c r="AO232" s="113">
        <f>IF(N232="","",IF(N232&gt;=$AO$1/100,"O","X"))</f>
        <v/>
      </c>
      <c r="AP232" s="113">
        <f>IF(I232="","",IF(I232&lt;=$AP$1,"O","X"))</f>
        <v/>
      </c>
      <c r="AQ232" s="113">
        <f>IF(O232="","",IF(O232&lt;=$AQ$1,"O","X"))</f>
        <v/>
      </c>
      <c r="AR232" s="113">
        <f>IF(M232="","",IF(M232&lt;=$AR$1,"O","X"))</f>
        <v/>
      </c>
      <c r="AS232" s="113" t="inlineStr">
        <is>
          <t>X</t>
        </is>
      </c>
      <c r="AT232" s="113">
        <f>IF(OR(F232="",AI232=""),"",IF(AND((F232&lt;=85),(AI232&gt;=15)),"O","X"))</f>
        <v/>
      </c>
      <c r="AU232" s="113">
        <f>IF(C232="","",IF(C232&gt;=$AU$1,"O","X"))</f>
        <v/>
      </c>
      <c r="AV232" s="113">
        <f>IF(AO232="","",IF(AND(AO232="O",AP232="O",AR232="O",AT232="O",AU232="O"),"후보","X"))</f>
        <v/>
      </c>
    </row>
    <row r="233">
      <c r="A233" s="13" t="n"/>
      <c r="B233" s="113" t="n"/>
      <c r="C233" s="10" t="n"/>
      <c r="D233" s="13" t="n"/>
      <c r="E233" s="20" t="n"/>
      <c r="F233" s="161" t="n"/>
      <c r="G233" s="13" t="n"/>
      <c r="H233" s="13" t="n"/>
      <c r="I233" s="13" t="n"/>
      <c r="J233" s="13" t="n"/>
      <c r="K233" s="13" t="n"/>
      <c r="L233" s="13" t="n"/>
      <c r="M233" s="13" t="n"/>
      <c r="N233" s="13" t="n"/>
      <c r="O233" s="162" t="n"/>
      <c r="P233" s="162" t="n"/>
      <c r="Q233" s="163" t="n"/>
      <c r="R233" s="163" t="n"/>
      <c r="S233" s="13" t="n"/>
      <c r="T233" s="70" t="n"/>
      <c r="U233" s="13" t="n"/>
      <c r="W233" s="107">
        <f>$A$4&amp;" "&amp;A234&amp;"("&amp;B234&amp;","&amp;C234&amp;"^)"</f>
        <v/>
      </c>
      <c r="X233" s="108" t="n"/>
      <c r="Y233" s="108" t="n"/>
      <c r="Z233" s="108" t="n"/>
      <c r="AA233" s="108" t="n"/>
      <c r="AB233" s="108" t="n"/>
      <c r="AC233" s="108" t="n"/>
      <c r="AD233" s="108" t="n"/>
      <c r="AE233" s="108" t="n"/>
      <c r="AF233" s="109" t="n"/>
      <c r="AH233" s="36">
        <f>IF(A233="","",A233)</f>
        <v/>
      </c>
      <c r="AI233" s="160">
        <f>IF(E233="","",E233)</f>
        <v/>
      </c>
      <c r="AJ233" s="113" t="n"/>
      <c r="AK233" s="113" t="n"/>
      <c r="AL233" s="113" t="n"/>
      <c r="AM233" s="113" t="n"/>
      <c r="AN233" s="113" t="n"/>
      <c r="AO233" s="113" t="n"/>
      <c r="AP233" s="113" t="n"/>
      <c r="AQ233" s="113" t="n"/>
      <c r="AR233" s="113" t="n"/>
      <c r="AS233" s="113" t="n"/>
      <c r="AT233" s="113" t="n"/>
      <c r="AU233" s="113" t="n"/>
      <c r="AV233" s="113" t="n"/>
    </row>
    <row r="234">
      <c r="A234" s="13" t="inlineStr">
        <is>
          <t>호반베르디움(A14블럭)</t>
        </is>
      </c>
      <c r="B234" s="16" t="inlineStr">
        <is>
          <t>'11.02.</t>
        </is>
      </c>
      <c r="C234" s="164" t="n">
        <v>745</v>
      </c>
      <c r="D234" s="161" t="n">
        <v>111.2</v>
      </c>
      <c r="E234" s="163" t="n">
        <v>34</v>
      </c>
      <c r="F234" s="161" t="n">
        <v>85</v>
      </c>
      <c r="G234" s="27" t="n">
        <v>26</v>
      </c>
      <c r="H234" s="164" t="n">
        <v>490</v>
      </c>
      <c r="I234" s="165" t="n">
        <v>67000</v>
      </c>
      <c r="J234" s="165" t="inlineStr">
        <is>
          <t>고</t>
        </is>
      </c>
      <c r="K234" s="165" t="n">
        <v>40000</v>
      </c>
      <c r="L234" s="165" t="inlineStr">
        <is>
          <t>중</t>
        </is>
      </c>
      <c r="M234" s="166">
        <f>I234-K234</f>
        <v/>
      </c>
      <c r="N234" s="7">
        <f>IF(ISERROR(K234/I234),"",K234/I234)</f>
        <v/>
      </c>
      <c r="O234" s="162">
        <f>I234/E234</f>
        <v/>
      </c>
      <c r="P234" s="162">
        <f>K234/E234</f>
        <v/>
      </c>
      <c r="Q234" s="113" t="n">
        <v>3</v>
      </c>
      <c r="R234" s="113" t="n">
        <v>2</v>
      </c>
      <c r="S234" s="113" t="inlineStr">
        <is>
          <t>계</t>
        </is>
      </c>
      <c r="T234" s="8" t="inlineStr">
        <is>
          <t>111A</t>
        </is>
      </c>
      <c r="U234" s="13" t="n"/>
      <c r="W234" s="161">
        <f>D234</f>
        <v/>
      </c>
      <c r="X234" s="163">
        <f>E234</f>
        <v/>
      </c>
      <c r="Y234" s="159">
        <f>H234</f>
        <v/>
      </c>
      <c r="Z234" s="166">
        <f>I234</f>
        <v/>
      </c>
      <c r="AA234" s="166">
        <f>K234</f>
        <v/>
      </c>
      <c r="AB234" s="166">
        <f>M234</f>
        <v/>
      </c>
      <c r="AC234" s="7">
        <f>N234</f>
        <v/>
      </c>
      <c r="AD234" s="162">
        <f>O234</f>
        <v/>
      </c>
      <c r="AE234" s="113">
        <f>S234</f>
        <v/>
      </c>
      <c r="AF234" s="113">
        <f>Q234&amp;"/"&amp;R234</f>
        <v/>
      </c>
      <c r="AH234" s="36">
        <f>IF(A234="","",A234)</f>
        <v/>
      </c>
      <c r="AI234" s="163">
        <f>IF(E234="","",E234)</f>
        <v/>
      </c>
      <c r="AJ234" s="113">
        <f>IF(AI234="","",$AJ$2)</f>
        <v/>
      </c>
      <c r="AK234" s="113" t="inlineStr">
        <is>
          <t>A</t>
        </is>
      </c>
      <c r="AL234" s="113" t="inlineStr">
        <is>
          <t>A+</t>
        </is>
      </c>
      <c r="AM234" s="113" t="inlineStr">
        <is>
          <t>B+</t>
        </is>
      </c>
      <c r="AN234" s="113">
        <f>IF(AI234="","",$AN$2)</f>
        <v/>
      </c>
      <c r="AO234" s="113">
        <f>IF(N234="","",IF(N234&gt;=$AO$1/100,"O","X"))</f>
        <v/>
      </c>
      <c r="AP234" s="113">
        <f>IF(I234="","",IF(I234&lt;=$AP$1,"O","X"))</f>
        <v/>
      </c>
      <c r="AQ234" s="113">
        <f>IF(O234="","",IF(O234&lt;=$AQ$1,"O","X"))</f>
        <v/>
      </c>
      <c r="AR234" s="113">
        <f>IF(M234="","",IF(M234&lt;=$AR$1,"O","X"))</f>
        <v/>
      </c>
      <c r="AS234" s="113" t="inlineStr">
        <is>
          <t>X</t>
        </is>
      </c>
      <c r="AT234" s="113">
        <f>IF(OR(F234="",AI234=""),"",IF(AND((F234&lt;=85),(AI234&gt;=15)),"O","X"))</f>
        <v/>
      </c>
      <c r="AU234" s="113">
        <f>IF(C234="","",IF(C234&gt;=$AU$1,"O","X"))</f>
        <v/>
      </c>
      <c r="AV234" s="113">
        <f>IF(AO234="","",IF(AND(AO234="O",AP234="O",AR234="O",AT234="O",AU234="O"),"후보","X"))</f>
        <v/>
      </c>
    </row>
    <row r="235">
      <c r="A235" s="13" t="inlineStr">
        <is>
          <t>호반베르디움(A14블럭)</t>
        </is>
      </c>
      <c r="B235" s="16" t="inlineStr">
        <is>
          <t>'11.02.</t>
        </is>
      </c>
      <c r="C235" s="164" t="n">
        <v>745</v>
      </c>
      <c r="D235" s="161" t="n">
        <v>112.4</v>
      </c>
      <c r="E235" s="163" t="n">
        <v>34</v>
      </c>
      <c r="F235" s="161" t="n">
        <v>85</v>
      </c>
      <c r="G235" s="27" t="n">
        <v>26</v>
      </c>
      <c r="H235" s="164" t="n">
        <v>255</v>
      </c>
      <c r="I235" s="165" t="n">
        <v>68000</v>
      </c>
      <c r="J235" s="165" t="inlineStr">
        <is>
          <t>중</t>
        </is>
      </c>
      <c r="K235" s="165" t="n">
        <v>40000</v>
      </c>
      <c r="L235" s="165" t="inlineStr">
        <is>
          <t>11</t>
        </is>
      </c>
      <c r="M235" s="166">
        <f>I235-K235</f>
        <v/>
      </c>
      <c r="N235" s="7">
        <f>IF(ISERROR(K235/I235),"",K235/I235)</f>
        <v/>
      </c>
      <c r="O235" s="162">
        <f>I235/E235</f>
        <v/>
      </c>
      <c r="P235" s="162">
        <f>K235/E235</f>
        <v/>
      </c>
      <c r="Q235" s="113" t="n">
        <v>3</v>
      </c>
      <c r="R235" s="113" t="n">
        <v>2</v>
      </c>
      <c r="S235" s="113" t="inlineStr">
        <is>
          <t>계</t>
        </is>
      </c>
      <c r="T235" s="8" t="inlineStr">
        <is>
          <t>112B</t>
        </is>
      </c>
      <c r="U235" s="13" t="n"/>
      <c r="W235" s="161">
        <f>D235</f>
        <v/>
      </c>
      <c r="X235" s="163">
        <f>E235</f>
        <v/>
      </c>
      <c r="Y235" s="159">
        <f>H235</f>
        <v/>
      </c>
      <c r="Z235" s="166">
        <f>I235</f>
        <v/>
      </c>
      <c r="AA235" s="166">
        <f>K235</f>
        <v/>
      </c>
      <c r="AB235" s="166">
        <f>M235</f>
        <v/>
      </c>
      <c r="AC235" s="7">
        <f>N235</f>
        <v/>
      </c>
      <c r="AD235" s="162">
        <f>O235</f>
        <v/>
      </c>
      <c r="AE235" s="113">
        <f>S235</f>
        <v/>
      </c>
      <c r="AF235" s="113">
        <f>Q235&amp;"/"&amp;R235</f>
        <v/>
      </c>
      <c r="AH235" s="36">
        <f>IF(A235="","",A235)</f>
        <v/>
      </c>
      <c r="AI235" s="163">
        <f>IF(E235="","",E235)</f>
        <v/>
      </c>
      <c r="AJ235" s="113">
        <f>IF(AI235="","",$AJ$2)</f>
        <v/>
      </c>
      <c r="AK235" s="113" t="inlineStr">
        <is>
          <t>A</t>
        </is>
      </c>
      <c r="AL235" s="113" t="inlineStr">
        <is>
          <t>A+</t>
        </is>
      </c>
      <c r="AM235" s="113" t="inlineStr">
        <is>
          <t>B+</t>
        </is>
      </c>
      <c r="AN235" s="113">
        <f>IF(AI235="","",$AN$2)</f>
        <v/>
      </c>
      <c r="AO235" s="113">
        <f>IF(N235="","",IF(N235&gt;=$AO$1/100,"O","X"))</f>
        <v/>
      </c>
      <c r="AP235" s="113">
        <f>IF(I235="","",IF(I235&lt;=$AP$1,"O","X"))</f>
        <v/>
      </c>
      <c r="AQ235" s="113">
        <f>IF(O235="","",IF(O235&lt;=$AQ$1,"O","X"))</f>
        <v/>
      </c>
      <c r="AR235" s="113">
        <f>IF(M235="","",IF(M235&lt;=$AR$1,"O","X"))</f>
        <v/>
      </c>
      <c r="AS235" s="113" t="inlineStr">
        <is>
          <t>X</t>
        </is>
      </c>
      <c r="AT235" s="113">
        <f>IF(OR(F235="",AI235=""),"",IF(AND((F235&lt;=85),(AI235&gt;=15)),"O","X"))</f>
        <v/>
      </c>
      <c r="AU235" s="113">
        <f>IF(C235="","",IF(C235&gt;=$AU$1,"O","X"))</f>
        <v/>
      </c>
      <c r="AV235" s="113">
        <f>IF(AO235="","",IF(AND(AO235="O",AP235="O",AR235="O",AT235="O",AU235="O"),"후보","X"))</f>
        <v/>
      </c>
    </row>
    <row r="236">
      <c r="A236" s="13" t="n"/>
      <c r="B236" s="113" t="n"/>
      <c r="C236" s="10" t="n"/>
      <c r="D236" s="13" t="n"/>
      <c r="E236" s="20" t="n"/>
      <c r="F236" s="161" t="n"/>
      <c r="G236" s="13" t="n"/>
      <c r="H236" s="13" t="n"/>
      <c r="I236" s="13" t="n"/>
      <c r="J236" s="13" t="n"/>
      <c r="K236" s="13" t="n"/>
      <c r="L236" s="13" t="n"/>
      <c r="M236" s="13" t="n"/>
      <c r="N236" s="13" t="n"/>
      <c r="O236" s="162" t="n"/>
      <c r="P236" s="162" t="n"/>
      <c r="Q236" s="163" t="n"/>
      <c r="R236" s="163" t="n"/>
      <c r="S236" s="13" t="n"/>
      <c r="T236" s="70" t="n"/>
      <c r="U236" s="13" t="n"/>
      <c r="W236" s="107">
        <f>$A$4&amp;" "&amp;A237&amp;"("&amp;B237&amp;","&amp;C237&amp;"^)"</f>
        <v/>
      </c>
      <c r="X236" s="108" t="n"/>
      <c r="Y236" s="108" t="n"/>
      <c r="Z236" s="108" t="n"/>
      <c r="AA236" s="108" t="n"/>
      <c r="AB236" s="108" t="n"/>
      <c r="AC236" s="108" t="n"/>
      <c r="AD236" s="108" t="n"/>
      <c r="AE236" s="108" t="n"/>
      <c r="AF236" s="109" t="n"/>
      <c r="AH236" s="36">
        <f>IF(A236="","",A236)</f>
        <v/>
      </c>
      <c r="AI236" s="160">
        <f>IF(E236="","",E236)</f>
        <v/>
      </c>
      <c r="AJ236" s="113" t="n"/>
      <c r="AK236" s="113" t="n"/>
      <c r="AL236" s="113" t="n"/>
      <c r="AM236" s="113" t="n"/>
      <c r="AN236" s="113" t="n"/>
      <c r="AO236" s="113" t="n"/>
      <c r="AP236" s="113" t="n"/>
      <c r="AQ236" s="113" t="n"/>
      <c r="AR236" s="113" t="n"/>
      <c r="AS236" s="113" t="n"/>
      <c r="AT236" s="113" t="n"/>
      <c r="AU236" s="113" t="n"/>
      <c r="AV236" s="113" t="n"/>
    </row>
    <row r="237">
      <c r="A237" s="13" t="inlineStr">
        <is>
          <t>청라SK VIEW</t>
        </is>
      </c>
      <c r="B237" s="16" t="inlineStr">
        <is>
          <t>'11.12.</t>
        </is>
      </c>
      <c r="C237" s="164" t="n">
        <v>879</v>
      </c>
      <c r="D237" s="161" t="n">
        <v>127</v>
      </c>
      <c r="E237" s="163" t="n">
        <v>38</v>
      </c>
      <c r="F237" s="161" t="n">
        <v>101.6</v>
      </c>
      <c r="G237" s="27" t="n">
        <v>31</v>
      </c>
      <c r="H237" s="164" t="n">
        <v>192</v>
      </c>
      <c r="I237" s="165" t="n">
        <v>85000</v>
      </c>
      <c r="J237" s="165" t="inlineStr">
        <is>
          <t>6</t>
        </is>
      </c>
      <c r="K237" s="165" t="n"/>
      <c r="L237" s="165" t="n"/>
      <c r="M237" s="166">
        <f>I237-K237</f>
        <v/>
      </c>
      <c r="N237" s="7">
        <f>IF(ISERROR(K237/I237),"",K237/I237)</f>
        <v/>
      </c>
      <c r="O237" s="162">
        <f>I237/E237</f>
        <v/>
      </c>
      <c r="P237" s="162">
        <f>K237/E237</f>
        <v/>
      </c>
      <c r="Q237" s="113" t="n">
        <v>3</v>
      </c>
      <c r="R237" s="113" t="n">
        <v>2</v>
      </c>
      <c r="S237" s="113" t="inlineStr">
        <is>
          <t>계</t>
        </is>
      </c>
      <c r="T237" s="8" t="n">
        <v>127</v>
      </c>
      <c r="U237" s="13" t="n"/>
      <c r="W237" s="161">
        <f>D237</f>
        <v/>
      </c>
      <c r="X237" s="163">
        <f>E237</f>
        <v/>
      </c>
      <c r="Y237" s="159">
        <f>H237</f>
        <v/>
      </c>
      <c r="Z237" s="166">
        <f>I237</f>
        <v/>
      </c>
      <c r="AA237" s="166">
        <f>K237</f>
        <v/>
      </c>
      <c r="AB237" s="166">
        <f>M237</f>
        <v/>
      </c>
      <c r="AC237" s="7">
        <f>N237</f>
        <v/>
      </c>
      <c r="AD237" s="162">
        <f>O237</f>
        <v/>
      </c>
      <c r="AE237" s="113">
        <f>S237</f>
        <v/>
      </c>
      <c r="AF237" s="113">
        <f>Q237&amp;"/"&amp;R237</f>
        <v/>
      </c>
      <c r="AH237" s="36">
        <f>IF(A237="","",A237)</f>
        <v/>
      </c>
      <c r="AI237" s="163">
        <f>IF(E237="","",E237)</f>
        <v/>
      </c>
      <c r="AJ237" s="113">
        <f>IF(AI237="","",$AJ$2)</f>
        <v/>
      </c>
      <c r="AK237" s="113" t="inlineStr">
        <is>
          <t>A</t>
        </is>
      </c>
      <c r="AL237" s="113" t="inlineStr">
        <is>
          <t>A+</t>
        </is>
      </c>
      <c r="AM237" s="113" t="inlineStr">
        <is>
          <t>B+</t>
        </is>
      </c>
      <c r="AN237" s="113">
        <f>IF(AI237="","",$AN$2)</f>
        <v/>
      </c>
      <c r="AO237" s="113">
        <f>IF(N237="","",IF(N237&gt;=$AO$1/100,"O","X"))</f>
        <v/>
      </c>
      <c r="AP237" s="113">
        <f>IF(I237="","",IF(I237&lt;=$AP$1,"O","X"))</f>
        <v/>
      </c>
      <c r="AQ237" s="113">
        <f>IF(O237="","",IF(O237&lt;=$AQ$1,"O","X"))</f>
        <v/>
      </c>
      <c r="AR237" s="113">
        <f>IF(M237="","",IF(M237&lt;=$AR$1,"O","X"))</f>
        <v/>
      </c>
      <c r="AS237" s="113" t="inlineStr">
        <is>
          <t>X</t>
        </is>
      </c>
      <c r="AT237" s="113">
        <f>IF(OR(F237="",AI237=""),"",IF(AND((F237&lt;=85),(AI237&gt;=15)),"O","X"))</f>
        <v/>
      </c>
      <c r="AU237" s="113">
        <f>IF(C237="","",IF(C237&gt;=$AU$1,"O","X"))</f>
        <v/>
      </c>
      <c r="AV237" s="113">
        <f>IF(AO237="","",IF(AND(AO237="O",AP237="O",AR237="O",AT237="O",AU237="O"),"후보","X"))</f>
        <v/>
      </c>
    </row>
    <row r="238">
      <c r="A238" s="13" t="inlineStr">
        <is>
          <t>청라SK VIEW</t>
        </is>
      </c>
      <c r="B238" s="16" t="inlineStr">
        <is>
          <t>'11.12.</t>
        </is>
      </c>
      <c r="C238" s="164" t="n">
        <v>879</v>
      </c>
      <c r="D238" s="161" t="n">
        <v>131.2</v>
      </c>
      <c r="E238" s="163" t="n">
        <v>40</v>
      </c>
      <c r="F238" s="161" t="n">
        <v>101.6</v>
      </c>
      <c r="G238" s="27" t="n">
        <v>31</v>
      </c>
      <c r="H238" s="164" t="n">
        <v>92</v>
      </c>
      <c r="I238" s="165" t="n">
        <v>85000</v>
      </c>
      <c r="J238" s="165" t="inlineStr">
        <is>
          <t>중</t>
        </is>
      </c>
      <c r="K238" s="165" t="n">
        <v>50000</v>
      </c>
      <c r="L238" s="165" t="inlineStr">
        <is>
          <t>고</t>
        </is>
      </c>
      <c r="M238" s="166">
        <f>I238-K238</f>
        <v/>
      </c>
      <c r="N238" s="7">
        <f>IF(ISERROR(K238/I238),"",K238/I238)</f>
        <v/>
      </c>
      <c r="O238" s="162">
        <f>I238/E238</f>
        <v/>
      </c>
      <c r="P238" s="162">
        <f>K238/E238</f>
        <v/>
      </c>
      <c r="Q238" s="113" t="n">
        <v>3</v>
      </c>
      <c r="R238" s="113" t="n">
        <v>2</v>
      </c>
      <c r="S238" s="113" t="inlineStr">
        <is>
          <t>계</t>
        </is>
      </c>
      <c r="T238" s="8" t="n">
        <v>131</v>
      </c>
      <c r="U238" s="13" t="n"/>
      <c r="W238" s="161">
        <f>D238</f>
        <v/>
      </c>
      <c r="X238" s="163">
        <f>E238</f>
        <v/>
      </c>
      <c r="Y238" s="159">
        <f>H238</f>
        <v/>
      </c>
      <c r="Z238" s="166">
        <f>I238</f>
        <v/>
      </c>
      <c r="AA238" s="166">
        <f>K238</f>
        <v/>
      </c>
      <c r="AB238" s="166">
        <f>M238</f>
        <v/>
      </c>
      <c r="AC238" s="7">
        <f>N238</f>
        <v/>
      </c>
      <c r="AD238" s="162">
        <f>O238</f>
        <v/>
      </c>
      <c r="AE238" s="113">
        <f>S238</f>
        <v/>
      </c>
      <c r="AF238" s="113">
        <f>Q238&amp;"/"&amp;R238</f>
        <v/>
      </c>
      <c r="AH238" s="36">
        <f>IF(A238="","",A238)</f>
        <v/>
      </c>
      <c r="AI238" s="163">
        <f>IF(E238="","",E238)</f>
        <v/>
      </c>
      <c r="AJ238" s="113">
        <f>IF(AI238="","",$AJ$2)</f>
        <v/>
      </c>
      <c r="AK238" s="113" t="inlineStr">
        <is>
          <t>A</t>
        </is>
      </c>
      <c r="AL238" s="113" t="inlineStr">
        <is>
          <t>A+</t>
        </is>
      </c>
      <c r="AM238" s="113" t="inlineStr">
        <is>
          <t>B+</t>
        </is>
      </c>
      <c r="AN238" s="113">
        <f>IF(AI238="","",$AN$2)</f>
        <v/>
      </c>
      <c r="AO238" s="113">
        <f>IF(N238="","",IF(N238&gt;=$AO$1/100,"O","X"))</f>
        <v/>
      </c>
      <c r="AP238" s="113">
        <f>IF(I238="","",IF(I238&lt;=$AP$1,"O","X"))</f>
        <v/>
      </c>
      <c r="AQ238" s="113">
        <f>IF(O238="","",IF(O238&lt;=$AQ$1,"O","X"))</f>
        <v/>
      </c>
      <c r="AR238" s="113">
        <f>IF(M238="","",IF(M238&lt;=$AR$1,"O","X"))</f>
        <v/>
      </c>
      <c r="AS238" s="113" t="inlineStr">
        <is>
          <t>X</t>
        </is>
      </c>
      <c r="AT238" s="113">
        <f>IF(OR(F238="",AI238=""),"",IF(AND((F238&lt;=85),(AI238&gt;=15)),"O","X"))</f>
        <v/>
      </c>
      <c r="AU238" s="113">
        <f>IF(C238="","",IF(C238&gt;=$AU$1,"O","X"))</f>
        <v/>
      </c>
      <c r="AV238" s="113">
        <f>IF(AO238="","",IF(AND(AO238="O",AP238="O",AR238="O",AT238="O",AU238="O"),"후보","X"))</f>
        <v/>
      </c>
    </row>
    <row r="239">
      <c r="A239" s="13" t="inlineStr">
        <is>
          <t>청라SK VIEW</t>
        </is>
      </c>
      <c r="B239" s="16" t="inlineStr">
        <is>
          <t>'11.12.</t>
        </is>
      </c>
      <c r="C239" s="164" t="n">
        <v>879</v>
      </c>
      <c r="D239" s="161" t="n">
        <v>146.6</v>
      </c>
      <c r="E239" s="163" t="n">
        <v>44</v>
      </c>
      <c r="F239" s="161" t="n">
        <v>115</v>
      </c>
      <c r="G239" s="27" t="n">
        <v>35</v>
      </c>
      <c r="H239" s="164" t="n">
        <v>200</v>
      </c>
      <c r="I239" s="165" t="n">
        <v>85000</v>
      </c>
      <c r="J239" s="165" t="inlineStr">
        <is>
          <t>9</t>
        </is>
      </c>
      <c r="K239" s="165" t="n">
        <v>48000</v>
      </c>
      <c r="L239" s="165" t="inlineStr">
        <is>
          <t>고</t>
        </is>
      </c>
      <c r="M239" s="166">
        <f>I239-K239</f>
        <v/>
      </c>
      <c r="N239" s="7">
        <f>IF(ISERROR(K239/I239),"",K239/I239)</f>
        <v/>
      </c>
      <c r="O239" s="162">
        <f>I239/E239</f>
        <v/>
      </c>
      <c r="P239" s="162">
        <f>K239/E239</f>
        <v/>
      </c>
      <c r="Q239" s="113" t="n">
        <v>4</v>
      </c>
      <c r="R239" s="113" t="n">
        <v>2</v>
      </c>
      <c r="S239" s="113" t="inlineStr">
        <is>
          <t>계</t>
        </is>
      </c>
      <c r="T239" s="8" t="inlineStr">
        <is>
          <t>146A</t>
        </is>
      </c>
      <c r="U239" s="13" t="n"/>
      <c r="W239" s="161">
        <f>D239</f>
        <v/>
      </c>
      <c r="X239" s="163">
        <f>E239</f>
        <v/>
      </c>
      <c r="Y239" s="159">
        <f>H239</f>
        <v/>
      </c>
      <c r="Z239" s="166">
        <f>I239</f>
        <v/>
      </c>
      <c r="AA239" s="166">
        <f>K239</f>
        <v/>
      </c>
      <c r="AB239" s="166">
        <f>M239</f>
        <v/>
      </c>
      <c r="AC239" s="7">
        <f>N239</f>
        <v/>
      </c>
      <c r="AD239" s="162">
        <f>O239</f>
        <v/>
      </c>
      <c r="AE239" s="113">
        <f>S239</f>
        <v/>
      </c>
      <c r="AF239" s="113">
        <f>Q239&amp;"/"&amp;R239</f>
        <v/>
      </c>
      <c r="AH239" s="36">
        <f>IF(A239="","",A239)</f>
        <v/>
      </c>
      <c r="AI239" s="163">
        <f>IF(E239="","",E239)</f>
        <v/>
      </c>
      <c r="AJ239" s="113">
        <f>IF(AI239="","",$AJ$2)</f>
        <v/>
      </c>
      <c r="AK239" s="113" t="inlineStr">
        <is>
          <t>A</t>
        </is>
      </c>
      <c r="AL239" s="113" t="inlineStr">
        <is>
          <t>A+</t>
        </is>
      </c>
      <c r="AM239" s="113" t="inlineStr">
        <is>
          <t>B+</t>
        </is>
      </c>
      <c r="AN239" s="113">
        <f>IF(AI239="","",$AN$2)</f>
        <v/>
      </c>
      <c r="AO239" s="113">
        <f>IF(N239="","",IF(N239&gt;=$AO$1/100,"O","X"))</f>
        <v/>
      </c>
      <c r="AP239" s="113">
        <f>IF(I239="","",IF(I239&lt;=$AP$1,"O","X"))</f>
        <v/>
      </c>
      <c r="AQ239" s="113">
        <f>IF(O239="","",IF(O239&lt;=$AQ$1,"O","X"))</f>
        <v/>
      </c>
      <c r="AR239" s="113">
        <f>IF(M239="","",IF(M239&lt;=$AR$1,"O","X"))</f>
        <v/>
      </c>
      <c r="AS239" s="113" t="inlineStr">
        <is>
          <t>X</t>
        </is>
      </c>
      <c r="AT239" s="113">
        <f>IF(OR(F239="",AI239=""),"",IF(AND((F239&lt;=85),(AI239&gt;=15)),"O","X"))</f>
        <v/>
      </c>
      <c r="AU239" s="113">
        <f>IF(C239="","",IF(C239&gt;=$AU$1,"O","X"))</f>
        <v/>
      </c>
      <c r="AV239" s="113">
        <f>IF(AO239="","",IF(AND(AO239="O",AP239="O",AR239="O",AT239="O",AU239="O"),"후보","X"))</f>
        <v/>
      </c>
    </row>
    <row r="240">
      <c r="A240" s="13" t="inlineStr">
        <is>
          <t>청라SK VIEW</t>
        </is>
      </c>
      <c r="B240" s="16" t="inlineStr">
        <is>
          <t>'11.12.</t>
        </is>
      </c>
      <c r="C240" s="164" t="n">
        <v>879</v>
      </c>
      <c r="D240" s="161" t="n">
        <v>146.5</v>
      </c>
      <c r="E240" s="163" t="n">
        <v>44</v>
      </c>
      <c r="F240" s="161" t="n">
        <v>114.4</v>
      </c>
      <c r="G240" s="27" t="n">
        <v>35</v>
      </c>
      <c r="H240" s="164" t="n">
        <v>84</v>
      </c>
      <c r="I240" s="165" t="n">
        <v>90000</v>
      </c>
      <c r="J240" s="165" t="inlineStr">
        <is>
          <t>15</t>
        </is>
      </c>
      <c r="K240" s="165" t="n">
        <v>50000</v>
      </c>
      <c r="L240" s="165" t="inlineStr">
        <is>
          <t>고</t>
        </is>
      </c>
      <c r="M240" s="166">
        <f>I240-K240</f>
        <v/>
      </c>
      <c r="N240" s="7">
        <f>IF(ISERROR(K240/I240),"",K240/I240)</f>
        <v/>
      </c>
      <c r="O240" s="162">
        <f>I240/E240</f>
        <v/>
      </c>
      <c r="P240" s="162">
        <f>K240/E240</f>
        <v/>
      </c>
      <c r="Q240" s="113" t="n">
        <v>4</v>
      </c>
      <c r="R240" s="113" t="n">
        <v>2</v>
      </c>
      <c r="S240" s="113" t="inlineStr">
        <is>
          <t>계</t>
        </is>
      </c>
      <c r="T240" s="8" t="inlineStr">
        <is>
          <t>146B</t>
        </is>
      </c>
      <c r="U240" s="13" t="n"/>
      <c r="W240" s="161">
        <f>D240</f>
        <v/>
      </c>
      <c r="X240" s="163">
        <f>E240</f>
        <v/>
      </c>
      <c r="Y240" s="159">
        <f>H240</f>
        <v/>
      </c>
      <c r="Z240" s="166">
        <f>I240</f>
        <v/>
      </c>
      <c r="AA240" s="166">
        <f>K240</f>
        <v/>
      </c>
      <c r="AB240" s="166">
        <f>M240</f>
        <v/>
      </c>
      <c r="AC240" s="7">
        <f>N240</f>
        <v/>
      </c>
      <c r="AD240" s="162">
        <f>O240</f>
        <v/>
      </c>
      <c r="AE240" s="113">
        <f>S240</f>
        <v/>
      </c>
      <c r="AF240" s="113">
        <f>Q240&amp;"/"&amp;R240</f>
        <v/>
      </c>
      <c r="AH240" s="36">
        <f>IF(A240="","",A240)</f>
        <v/>
      </c>
      <c r="AI240" s="163">
        <f>IF(E240="","",E240)</f>
        <v/>
      </c>
      <c r="AJ240" s="113">
        <f>IF(AI240="","",$AJ$2)</f>
        <v/>
      </c>
      <c r="AK240" s="113" t="inlineStr">
        <is>
          <t>A</t>
        </is>
      </c>
      <c r="AL240" s="113" t="inlineStr">
        <is>
          <t>A+</t>
        </is>
      </c>
      <c r="AM240" s="113" t="inlineStr">
        <is>
          <t>B+</t>
        </is>
      </c>
      <c r="AN240" s="113">
        <f>IF(AI240="","",$AN$2)</f>
        <v/>
      </c>
      <c r="AO240" s="113">
        <f>IF(N240="","",IF(N240&gt;=$AO$1/100,"O","X"))</f>
        <v/>
      </c>
      <c r="AP240" s="113">
        <f>IF(I240="","",IF(I240&lt;=$AP$1,"O","X"))</f>
        <v/>
      </c>
      <c r="AQ240" s="113">
        <f>IF(O240="","",IF(O240&lt;=$AQ$1,"O","X"))</f>
        <v/>
      </c>
      <c r="AR240" s="113">
        <f>IF(M240="","",IF(M240&lt;=$AR$1,"O","X"))</f>
        <v/>
      </c>
      <c r="AS240" s="113" t="inlineStr">
        <is>
          <t>X</t>
        </is>
      </c>
      <c r="AT240" s="113">
        <f>IF(OR(F240="",AI240=""),"",IF(AND((F240&lt;=85),(AI240&gt;=15)),"O","X"))</f>
        <v/>
      </c>
      <c r="AU240" s="113">
        <f>IF(C240="","",IF(C240&gt;=$AU$1,"O","X"))</f>
        <v/>
      </c>
      <c r="AV240" s="113">
        <f>IF(AO240="","",IF(AND(AO240="O",AP240="O",AR240="O",AT240="O",AU240="O"),"후보","X"))</f>
        <v/>
      </c>
    </row>
    <row r="241">
      <c r="A241" s="13" t="inlineStr">
        <is>
          <t>청라SK VIEW</t>
        </is>
      </c>
      <c r="B241" s="16" t="inlineStr">
        <is>
          <t>'11.12.</t>
        </is>
      </c>
      <c r="C241" s="164" t="n">
        <v>879</v>
      </c>
      <c r="D241" s="161" t="n">
        <v>152</v>
      </c>
      <c r="E241" s="163" t="n">
        <v>46</v>
      </c>
      <c r="F241" s="161" t="n">
        <v>116.9</v>
      </c>
      <c r="G241" s="27" t="n">
        <v>35</v>
      </c>
      <c r="H241" s="164" t="n">
        <v>44</v>
      </c>
      <c r="I241" s="165" t="n">
        <v>100000</v>
      </c>
      <c r="J241" s="165" t="inlineStr">
        <is>
          <t>중</t>
        </is>
      </c>
      <c r="K241" s="165" t="n">
        <v>46000</v>
      </c>
      <c r="L241" s="165" t="inlineStr">
        <is>
          <t>중</t>
        </is>
      </c>
      <c r="M241" s="166">
        <f>I241-K241</f>
        <v/>
      </c>
      <c r="N241" s="7">
        <f>IF(ISERROR(K241/I241),"",K241/I241)</f>
        <v/>
      </c>
      <c r="O241" s="162">
        <f>I241/E241</f>
        <v/>
      </c>
      <c r="P241" s="162">
        <f>K241/E241</f>
        <v/>
      </c>
      <c r="Q241" s="113" t="n">
        <v>4</v>
      </c>
      <c r="R241" s="113" t="n">
        <v>2</v>
      </c>
      <c r="S241" s="113" t="inlineStr">
        <is>
          <t>계</t>
        </is>
      </c>
      <c r="T241" s="8" t="n">
        <v>152</v>
      </c>
      <c r="U241" s="13" t="n"/>
      <c r="W241" s="161">
        <f>D241</f>
        <v/>
      </c>
      <c r="X241" s="163">
        <f>E241</f>
        <v/>
      </c>
      <c r="Y241" s="159">
        <f>H241</f>
        <v/>
      </c>
      <c r="Z241" s="166">
        <f>I241</f>
        <v/>
      </c>
      <c r="AA241" s="166">
        <f>K241</f>
        <v/>
      </c>
      <c r="AB241" s="166">
        <f>M241</f>
        <v/>
      </c>
      <c r="AC241" s="7">
        <f>N241</f>
        <v/>
      </c>
      <c r="AD241" s="162">
        <f>O241</f>
        <v/>
      </c>
      <c r="AE241" s="113">
        <f>S241</f>
        <v/>
      </c>
      <c r="AF241" s="113">
        <f>Q241&amp;"/"&amp;R241</f>
        <v/>
      </c>
      <c r="AH241" s="36">
        <f>IF(A241="","",A241)</f>
        <v/>
      </c>
      <c r="AI241" s="163">
        <f>IF(E241="","",E241)</f>
        <v/>
      </c>
      <c r="AJ241" s="113">
        <f>IF(AI241="","",$AJ$2)</f>
        <v/>
      </c>
      <c r="AK241" s="113" t="inlineStr">
        <is>
          <t>A</t>
        </is>
      </c>
      <c r="AL241" s="113" t="inlineStr">
        <is>
          <t>A+</t>
        </is>
      </c>
      <c r="AM241" s="113" t="inlineStr">
        <is>
          <t>B+</t>
        </is>
      </c>
      <c r="AN241" s="113">
        <f>IF(AI241="","",$AN$2)</f>
        <v/>
      </c>
      <c r="AO241" s="113">
        <f>IF(N241="","",IF(N241&gt;=$AO$1/100,"O","X"))</f>
        <v/>
      </c>
      <c r="AP241" s="113">
        <f>IF(I241="","",IF(I241&lt;=$AP$1,"O","X"))</f>
        <v/>
      </c>
      <c r="AQ241" s="113">
        <f>IF(O241="","",IF(O241&lt;=$AQ$1,"O","X"))</f>
        <v/>
      </c>
      <c r="AR241" s="113">
        <f>IF(M241="","",IF(M241&lt;=$AR$1,"O","X"))</f>
        <v/>
      </c>
      <c r="AS241" s="113" t="inlineStr">
        <is>
          <t>X</t>
        </is>
      </c>
      <c r="AT241" s="113">
        <f>IF(OR(F241="",AI241=""),"",IF(AND((F241&lt;=85),(AI241&gt;=15)),"O","X"))</f>
        <v/>
      </c>
      <c r="AU241" s="113">
        <f>IF(C241="","",IF(C241&gt;=$AU$1,"O","X"))</f>
        <v/>
      </c>
      <c r="AV241" s="113">
        <f>IF(AO241="","",IF(AND(AO241="O",AP241="O",AR241="O",AT241="O",AU241="O"),"후보","X"))</f>
        <v/>
      </c>
    </row>
    <row r="242">
      <c r="A242" s="13" t="inlineStr">
        <is>
          <t>청라SK VIEW</t>
        </is>
      </c>
      <c r="B242" s="16" t="inlineStr">
        <is>
          <t>'11.12.</t>
        </is>
      </c>
      <c r="C242" s="164" t="n">
        <v>879</v>
      </c>
      <c r="D242" s="161" t="n">
        <v>158.9</v>
      </c>
      <c r="E242" s="163" t="n">
        <v>48</v>
      </c>
      <c r="F242" s="161" t="n">
        <v>125.5</v>
      </c>
      <c r="G242" s="27" t="n">
        <v>38</v>
      </c>
      <c r="H242" s="164" t="n">
        <v>90</v>
      </c>
      <c r="I242" s="165" t="n">
        <v>115000</v>
      </c>
      <c r="J242" s="165" t="inlineStr">
        <is>
          <t>30</t>
        </is>
      </c>
      <c r="K242" s="165" t="n">
        <v>45000</v>
      </c>
      <c r="L242" s="165" t="inlineStr">
        <is>
          <t>고</t>
        </is>
      </c>
      <c r="M242" s="166">
        <f>I242-K242</f>
        <v/>
      </c>
      <c r="N242" s="7">
        <f>IF(ISERROR(K242/I242),"",K242/I242)</f>
        <v/>
      </c>
      <c r="O242" s="162">
        <f>I242/E242</f>
        <v/>
      </c>
      <c r="P242" s="162">
        <f>K242/E242</f>
        <v/>
      </c>
      <c r="Q242" s="113" t="n">
        <v>4</v>
      </c>
      <c r="R242" s="113" t="n">
        <v>2</v>
      </c>
      <c r="S242" s="113" t="inlineStr">
        <is>
          <t>계</t>
        </is>
      </c>
      <c r="T242" s="8" t="n">
        <v>158</v>
      </c>
      <c r="U242" s="13" t="n"/>
      <c r="W242" s="161">
        <f>D242</f>
        <v/>
      </c>
      <c r="X242" s="163">
        <f>E242</f>
        <v/>
      </c>
      <c r="Y242" s="159">
        <f>H242</f>
        <v/>
      </c>
      <c r="Z242" s="166">
        <f>I242</f>
        <v/>
      </c>
      <c r="AA242" s="166">
        <f>K242</f>
        <v/>
      </c>
      <c r="AB242" s="166">
        <f>M242</f>
        <v/>
      </c>
      <c r="AC242" s="7">
        <f>N242</f>
        <v/>
      </c>
      <c r="AD242" s="162">
        <f>O242</f>
        <v/>
      </c>
      <c r="AE242" s="113">
        <f>S242</f>
        <v/>
      </c>
      <c r="AF242" s="113">
        <f>Q242&amp;"/"&amp;R242</f>
        <v/>
      </c>
      <c r="AH242" s="36">
        <f>IF(A242="","",A242)</f>
        <v/>
      </c>
      <c r="AI242" s="163">
        <f>IF(E242="","",E242)</f>
        <v/>
      </c>
      <c r="AJ242" s="113">
        <f>IF(AI242="","",$AJ$2)</f>
        <v/>
      </c>
      <c r="AK242" s="113" t="inlineStr">
        <is>
          <t>A</t>
        </is>
      </c>
      <c r="AL242" s="113" t="inlineStr">
        <is>
          <t>A+</t>
        </is>
      </c>
      <c r="AM242" s="113" t="inlineStr">
        <is>
          <t>B+</t>
        </is>
      </c>
      <c r="AN242" s="113">
        <f>IF(AI242="","",$AN$2)</f>
        <v/>
      </c>
      <c r="AO242" s="113">
        <f>IF(N242="","",IF(N242&gt;=$AO$1/100,"O","X"))</f>
        <v/>
      </c>
      <c r="AP242" s="113">
        <f>IF(I242="","",IF(I242&lt;=$AP$1,"O","X"))</f>
        <v/>
      </c>
      <c r="AQ242" s="113">
        <f>IF(O242="","",IF(O242&lt;=$AQ$1,"O","X"))</f>
        <v/>
      </c>
      <c r="AR242" s="113">
        <f>IF(M242="","",IF(M242&lt;=$AR$1,"O","X"))</f>
        <v/>
      </c>
      <c r="AS242" s="113" t="inlineStr">
        <is>
          <t>X</t>
        </is>
      </c>
      <c r="AT242" s="113">
        <f>IF(OR(F242="",AI242=""),"",IF(AND((F242&lt;=85),(AI242&gt;=15)),"O","X"))</f>
        <v/>
      </c>
      <c r="AU242" s="113">
        <f>IF(C242="","",IF(C242&gt;=$AU$1,"O","X"))</f>
        <v/>
      </c>
      <c r="AV242" s="113">
        <f>IF(AO242="","",IF(AND(AO242="O",AP242="O",AR242="O",AT242="O",AU242="O"),"후보","X"))</f>
        <v/>
      </c>
    </row>
    <row r="243">
      <c r="A243" s="13" t="inlineStr">
        <is>
          <t>청라SK VIEW</t>
        </is>
      </c>
      <c r="B243" s="16" t="inlineStr">
        <is>
          <t>'11.12.</t>
        </is>
      </c>
      <c r="C243" s="164" t="n">
        <v>879</v>
      </c>
      <c r="D243" s="161" t="n">
        <v>161.3</v>
      </c>
      <c r="E243" s="163" t="n">
        <v>49</v>
      </c>
      <c r="F243" s="161" t="n">
        <v>126.8</v>
      </c>
      <c r="G243" s="27" t="n">
        <v>38</v>
      </c>
      <c r="H243" s="164" t="n">
        <v>90</v>
      </c>
      <c r="I243" s="165" t="n"/>
      <c r="J243" s="165" t="n"/>
      <c r="K243" s="165" t="n"/>
      <c r="L243" s="165" t="n"/>
      <c r="M243" s="166">
        <f>I243-K243</f>
        <v/>
      </c>
      <c r="N243" s="7">
        <f>IF(ISERROR(K243/I243),"",K243/I243)</f>
        <v/>
      </c>
      <c r="O243" s="162">
        <f>I243/E243</f>
        <v/>
      </c>
      <c r="P243" s="162">
        <f>K243/E243</f>
        <v/>
      </c>
      <c r="Q243" s="113" t="n">
        <v>4</v>
      </c>
      <c r="R243" s="113" t="n">
        <v>2</v>
      </c>
      <c r="S243" s="113" t="inlineStr">
        <is>
          <t>계</t>
        </is>
      </c>
      <c r="T243" s="8" t="inlineStr">
        <is>
          <t>161A</t>
        </is>
      </c>
      <c r="U243" s="13" t="n"/>
      <c r="W243" s="161">
        <f>D243</f>
        <v/>
      </c>
      <c r="X243" s="163">
        <f>E243</f>
        <v/>
      </c>
      <c r="Y243" s="159">
        <f>H243</f>
        <v/>
      </c>
      <c r="Z243" s="166">
        <f>I243</f>
        <v/>
      </c>
      <c r="AA243" s="166">
        <f>K243</f>
        <v/>
      </c>
      <c r="AB243" s="166">
        <f>M243</f>
        <v/>
      </c>
      <c r="AC243" s="7">
        <f>N243</f>
        <v/>
      </c>
      <c r="AD243" s="162">
        <f>O243</f>
        <v/>
      </c>
      <c r="AE243" s="113">
        <f>S243</f>
        <v/>
      </c>
      <c r="AF243" s="113">
        <f>Q243&amp;"/"&amp;R243</f>
        <v/>
      </c>
      <c r="AH243" s="36">
        <f>IF(A243="","",A243)</f>
        <v/>
      </c>
      <c r="AI243" s="163">
        <f>IF(E243="","",E243)</f>
        <v/>
      </c>
      <c r="AJ243" s="113">
        <f>IF(AI243="","",$AJ$2)</f>
        <v/>
      </c>
      <c r="AK243" s="113" t="inlineStr">
        <is>
          <t>A</t>
        </is>
      </c>
      <c r="AL243" s="113" t="inlineStr">
        <is>
          <t>A+</t>
        </is>
      </c>
      <c r="AM243" s="113" t="inlineStr">
        <is>
          <t>B+</t>
        </is>
      </c>
      <c r="AN243" s="113">
        <f>IF(AI243="","",$AN$2)</f>
        <v/>
      </c>
      <c r="AO243" s="113">
        <f>IF(N243="","",IF(N243&gt;=$AO$1/100,"O","X"))</f>
        <v/>
      </c>
      <c r="AP243" s="113">
        <f>IF(I243="","",IF(I243&lt;=$AP$1,"O","X"))</f>
        <v/>
      </c>
      <c r="AQ243" s="113">
        <f>IF(O243="","",IF(O243&lt;=$AQ$1,"O","X"))</f>
        <v/>
      </c>
      <c r="AR243" s="113">
        <f>IF(M243="","",IF(M243&lt;=$AR$1,"O","X"))</f>
        <v/>
      </c>
      <c r="AS243" s="113" t="inlineStr">
        <is>
          <t>X</t>
        </is>
      </c>
      <c r="AT243" s="113">
        <f>IF(OR(F243="",AI243=""),"",IF(AND((F243&lt;=85),(AI243&gt;=15)),"O","X"))</f>
        <v/>
      </c>
      <c r="AU243" s="113">
        <f>IF(C243="","",IF(C243&gt;=$AU$1,"O","X"))</f>
        <v/>
      </c>
      <c r="AV243" s="113">
        <f>IF(AO243="","",IF(AND(AO243="O",AP243="O",AR243="O",AT243="O",AU243="O"),"후보","X"))</f>
        <v/>
      </c>
    </row>
    <row r="244">
      <c r="A244" s="13" t="inlineStr">
        <is>
          <t>청라SK VIEW</t>
        </is>
      </c>
      <c r="B244" s="16" t="inlineStr">
        <is>
          <t>'11.12.</t>
        </is>
      </c>
      <c r="C244" s="164" t="n">
        <v>879</v>
      </c>
      <c r="D244" s="161" t="n">
        <v>161.8</v>
      </c>
      <c r="E244" s="163" t="n">
        <v>49</v>
      </c>
      <c r="F244" s="161" t="n">
        <v>128.8</v>
      </c>
      <c r="G244" s="27" t="n">
        <v>39</v>
      </c>
      <c r="H244" s="164" t="n">
        <v>84</v>
      </c>
      <c r="I244" s="165" t="n">
        <v>120000</v>
      </c>
      <c r="J244" s="165" t="inlineStr">
        <is>
          <t>6</t>
        </is>
      </c>
      <c r="K244" s="165" t="n">
        <v>60000</v>
      </c>
      <c r="L244" s="165" t="inlineStr">
        <is>
          <t>중</t>
        </is>
      </c>
      <c r="M244" s="166">
        <f>I244-K244</f>
        <v/>
      </c>
      <c r="N244" s="7">
        <f>IF(ISERROR(K244/I244),"",K244/I244)</f>
        <v/>
      </c>
      <c r="O244" s="162">
        <f>I244/E244</f>
        <v/>
      </c>
      <c r="P244" s="162">
        <f>K244/E244</f>
        <v/>
      </c>
      <c r="Q244" s="113" t="n">
        <v>4</v>
      </c>
      <c r="R244" s="113" t="n">
        <v>2</v>
      </c>
      <c r="S244" s="113" t="inlineStr">
        <is>
          <t>계</t>
        </is>
      </c>
      <c r="T244" s="8" t="inlineStr">
        <is>
          <t>161B</t>
        </is>
      </c>
      <c r="U244" s="13" t="n"/>
      <c r="W244" s="161">
        <f>D244</f>
        <v/>
      </c>
      <c r="X244" s="163">
        <f>E244</f>
        <v/>
      </c>
      <c r="Y244" s="159">
        <f>H244</f>
        <v/>
      </c>
      <c r="Z244" s="166">
        <f>I244</f>
        <v/>
      </c>
      <c r="AA244" s="166">
        <f>K244</f>
        <v/>
      </c>
      <c r="AB244" s="166">
        <f>M244</f>
        <v/>
      </c>
      <c r="AC244" s="7">
        <f>N244</f>
        <v/>
      </c>
      <c r="AD244" s="162">
        <f>O244</f>
        <v/>
      </c>
      <c r="AE244" s="113">
        <f>S244</f>
        <v/>
      </c>
      <c r="AF244" s="113">
        <f>Q244&amp;"/"&amp;R244</f>
        <v/>
      </c>
      <c r="AH244" s="36">
        <f>IF(A244="","",A244)</f>
        <v/>
      </c>
      <c r="AI244" s="163">
        <f>IF(E244="","",E244)</f>
        <v/>
      </c>
      <c r="AJ244" s="113">
        <f>IF(AI244="","",$AJ$2)</f>
        <v/>
      </c>
      <c r="AK244" s="113" t="inlineStr">
        <is>
          <t>A</t>
        </is>
      </c>
      <c r="AL244" s="113" t="inlineStr">
        <is>
          <t>A+</t>
        </is>
      </c>
      <c r="AM244" s="113" t="inlineStr">
        <is>
          <t>B+</t>
        </is>
      </c>
      <c r="AN244" s="113">
        <f>IF(AI244="","",$AN$2)</f>
        <v/>
      </c>
      <c r="AO244" s="113">
        <f>IF(N244="","",IF(N244&gt;=$AO$1/100,"O","X"))</f>
        <v/>
      </c>
      <c r="AP244" s="113">
        <f>IF(I244="","",IF(I244&lt;=$AP$1,"O","X"))</f>
        <v/>
      </c>
      <c r="AQ244" s="113">
        <f>IF(O244="","",IF(O244&lt;=$AQ$1,"O","X"))</f>
        <v/>
      </c>
      <c r="AR244" s="113">
        <f>IF(M244="","",IF(M244&lt;=$AR$1,"O","X"))</f>
        <v/>
      </c>
      <c r="AS244" s="113" t="inlineStr">
        <is>
          <t>X</t>
        </is>
      </c>
      <c r="AT244" s="113">
        <f>IF(OR(F244="",AI244=""),"",IF(AND((F244&lt;=85),(AI244&gt;=15)),"O","X"))</f>
        <v/>
      </c>
      <c r="AU244" s="113">
        <f>IF(C244="","",IF(C244&gt;=$AU$1,"O","X"))</f>
        <v/>
      </c>
      <c r="AV244" s="113">
        <f>IF(AO244="","",IF(AND(AO244="O",AP244="O",AR244="O",AT244="O",AU244="O"),"후보","X"))</f>
        <v/>
      </c>
    </row>
    <row r="245">
      <c r="A245" s="13" t="inlineStr">
        <is>
          <t>청라SK VIEW</t>
        </is>
      </c>
      <c r="B245" s="16" t="inlineStr">
        <is>
          <t>'11.12.</t>
        </is>
      </c>
      <c r="C245" s="164" t="n">
        <v>879</v>
      </c>
      <c r="D245" s="161" t="n">
        <v>272.8</v>
      </c>
      <c r="E245" s="163" t="n">
        <v>83</v>
      </c>
      <c r="F245" s="161" t="n">
        <v>213</v>
      </c>
      <c r="G245" s="27" t="n">
        <v>64</v>
      </c>
      <c r="H245" s="164" t="n">
        <v>3</v>
      </c>
      <c r="I245" s="165" t="n"/>
      <c r="J245" s="165" t="n"/>
      <c r="K245" s="165" t="n"/>
      <c r="L245" s="165" t="n"/>
      <c r="M245" s="166">
        <f>I245-K245</f>
        <v/>
      </c>
      <c r="N245" s="7">
        <f>IF(ISERROR(K245/I245),"",K245/I245)</f>
        <v/>
      </c>
      <c r="O245" s="162">
        <f>I245/E245</f>
        <v/>
      </c>
      <c r="P245" s="162">
        <f>K245/E245</f>
        <v/>
      </c>
      <c r="Q245" s="113" t="n">
        <v>4</v>
      </c>
      <c r="R245" s="113" t="n">
        <v>2</v>
      </c>
      <c r="S245" s="113" t="inlineStr">
        <is>
          <t>계</t>
        </is>
      </c>
      <c r="T245" s="8" t="n">
        <v>272</v>
      </c>
      <c r="U245" s="13" t="n"/>
      <c r="W245" s="161">
        <f>D245</f>
        <v/>
      </c>
      <c r="X245" s="163">
        <f>E245</f>
        <v/>
      </c>
      <c r="Y245" s="159">
        <f>H245</f>
        <v/>
      </c>
      <c r="Z245" s="166">
        <f>I245</f>
        <v/>
      </c>
      <c r="AA245" s="166">
        <f>K245</f>
        <v/>
      </c>
      <c r="AB245" s="166">
        <f>M245</f>
        <v/>
      </c>
      <c r="AC245" s="7">
        <f>N245</f>
        <v/>
      </c>
      <c r="AD245" s="162">
        <f>O245</f>
        <v/>
      </c>
      <c r="AE245" s="113">
        <f>S245</f>
        <v/>
      </c>
      <c r="AF245" s="113">
        <f>Q245&amp;"/"&amp;R245</f>
        <v/>
      </c>
      <c r="AH245" s="36">
        <f>IF(A245="","",A245)</f>
        <v/>
      </c>
      <c r="AI245" s="163">
        <f>IF(E245="","",E245)</f>
        <v/>
      </c>
      <c r="AJ245" s="113">
        <f>IF(AI245="","",$AJ$2)</f>
        <v/>
      </c>
      <c r="AK245" s="113" t="inlineStr">
        <is>
          <t>A</t>
        </is>
      </c>
      <c r="AL245" s="113" t="inlineStr">
        <is>
          <t>A+</t>
        </is>
      </c>
      <c r="AM245" s="113" t="inlineStr">
        <is>
          <t>B+</t>
        </is>
      </c>
      <c r="AN245" s="113">
        <f>IF(AI245="","",$AN$2)</f>
        <v/>
      </c>
      <c r="AO245" s="113">
        <f>IF(N245="","",IF(N245&gt;=$AO$1/100,"O","X"))</f>
        <v/>
      </c>
      <c r="AP245" s="113">
        <f>IF(I245="","",IF(I245&lt;=$AP$1,"O","X"))</f>
        <v/>
      </c>
      <c r="AQ245" s="113">
        <f>IF(O245="","",IF(O245&lt;=$AQ$1,"O","X"))</f>
        <v/>
      </c>
      <c r="AR245" s="113">
        <f>IF(M245="","",IF(M245&lt;=$AR$1,"O","X"))</f>
        <v/>
      </c>
      <c r="AS245" s="113" t="inlineStr">
        <is>
          <t>X</t>
        </is>
      </c>
      <c r="AT245" s="113">
        <f>IF(OR(F245="",AI245=""),"",IF(AND((F245&lt;=85),(AI245&gt;=15)),"O","X"))</f>
        <v/>
      </c>
      <c r="AU245" s="113">
        <f>IF(C245="","",IF(C245&gt;=$AU$1,"O","X"))</f>
        <v/>
      </c>
      <c r="AV245" s="113">
        <f>IF(AO245="","",IF(AND(AO245="O",AP245="O",AR245="O",AT245="O",AU245="O"),"후보","X"))</f>
        <v/>
      </c>
    </row>
    <row r="246">
      <c r="A246" s="13" t="n"/>
      <c r="B246" s="113" t="n"/>
      <c r="C246" s="10" t="n"/>
      <c r="D246" s="13" t="n"/>
      <c r="E246" s="20" t="n"/>
      <c r="F246" s="161" t="n"/>
      <c r="G246" s="13" t="n"/>
      <c r="H246" s="13" t="n"/>
      <c r="I246" s="13" t="n"/>
      <c r="J246" s="13" t="n"/>
      <c r="K246" s="13" t="n"/>
      <c r="L246" s="13" t="n"/>
      <c r="M246" s="13" t="n"/>
      <c r="N246" s="13" t="n"/>
      <c r="O246" s="162" t="n"/>
      <c r="P246" s="162" t="n"/>
      <c r="Q246" s="163" t="n"/>
      <c r="R246" s="163" t="n"/>
      <c r="S246" s="13" t="n"/>
      <c r="T246" s="70" t="n"/>
      <c r="U246" s="13" t="n"/>
      <c r="W246" s="107">
        <f>$A$4&amp;" "&amp;A247&amp;"("&amp;B247&amp;","&amp;C247&amp;"^)"</f>
        <v/>
      </c>
      <c r="X246" s="108" t="n"/>
      <c r="Y246" s="108" t="n"/>
      <c r="Z246" s="108" t="n"/>
      <c r="AA246" s="108" t="n"/>
      <c r="AB246" s="108" t="n"/>
      <c r="AC246" s="108" t="n"/>
      <c r="AD246" s="108" t="n"/>
      <c r="AE246" s="108" t="n"/>
      <c r="AF246" s="109" t="n"/>
      <c r="AH246" s="36">
        <f>IF(A246="","",A246)</f>
        <v/>
      </c>
      <c r="AI246" s="160">
        <f>IF(E246="","",E246)</f>
        <v/>
      </c>
      <c r="AJ246" s="113" t="n"/>
      <c r="AK246" s="113" t="n"/>
      <c r="AL246" s="113" t="n"/>
      <c r="AM246" s="113" t="n"/>
      <c r="AN246" s="113" t="n"/>
      <c r="AO246" s="113" t="n"/>
      <c r="AP246" s="113" t="n"/>
      <c r="AQ246" s="113" t="n"/>
      <c r="AR246" s="113" t="n"/>
      <c r="AS246" s="113" t="n"/>
      <c r="AT246" s="113" t="n"/>
      <c r="AU246" s="113" t="n"/>
      <c r="AV246" s="113" t="n"/>
    </row>
    <row r="247">
      <c r="A247" s="13" t="inlineStr">
        <is>
          <t>호반베르디움(A20블록)</t>
        </is>
      </c>
      <c r="B247" s="16" t="inlineStr">
        <is>
          <t>'11.10.</t>
        </is>
      </c>
      <c r="C247" s="164" t="n">
        <v>620</v>
      </c>
      <c r="D247" s="161" t="n">
        <v>113.8</v>
      </c>
      <c r="E247" s="163" t="n">
        <v>34</v>
      </c>
      <c r="F247" s="161" t="n">
        <v>84.8</v>
      </c>
      <c r="G247" s="27" t="n">
        <v>26</v>
      </c>
      <c r="H247" s="164" t="n">
        <v>168</v>
      </c>
      <c r="I247" s="165" t="n">
        <v>68000</v>
      </c>
      <c r="J247" s="165" t="inlineStr">
        <is>
          <t>중</t>
        </is>
      </c>
      <c r="K247" s="165" t="n">
        <v>38000</v>
      </c>
      <c r="L247" s="165" t="inlineStr">
        <is>
          <t>8</t>
        </is>
      </c>
      <c r="M247" s="166">
        <f>I247-K247</f>
        <v/>
      </c>
      <c r="N247" s="7">
        <f>IF(ISERROR(K247/I247),"",K247/I247)</f>
        <v/>
      </c>
      <c r="O247" s="162">
        <f>I247/E247</f>
        <v/>
      </c>
      <c r="P247" s="162">
        <f>K247/E247</f>
        <v/>
      </c>
      <c r="Q247" s="113" t="n">
        <v>3</v>
      </c>
      <c r="R247" s="113" t="n">
        <v>2</v>
      </c>
      <c r="S247" s="113" t="inlineStr">
        <is>
          <t>계</t>
        </is>
      </c>
      <c r="T247" s="8" t="inlineStr">
        <is>
          <t>113B</t>
        </is>
      </c>
      <c r="U247" s="13" t="n"/>
      <c r="W247" s="161">
        <f>D247</f>
        <v/>
      </c>
      <c r="X247" s="163">
        <f>E247</f>
        <v/>
      </c>
      <c r="Y247" s="159">
        <f>H247</f>
        <v/>
      </c>
      <c r="Z247" s="166">
        <f>I247</f>
        <v/>
      </c>
      <c r="AA247" s="166">
        <f>K247</f>
        <v/>
      </c>
      <c r="AB247" s="166">
        <f>M247</f>
        <v/>
      </c>
      <c r="AC247" s="7">
        <f>N247</f>
        <v/>
      </c>
      <c r="AD247" s="162">
        <f>O247</f>
        <v/>
      </c>
      <c r="AE247" s="113">
        <f>S247</f>
        <v/>
      </c>
      <c r="AF247" s="113">
        <f>Q247&amp;"/"&amp;R247</f>
        <v/>
      </c>
      <c r="AH247" s="36">
        <f>IF(A247="","",A247)</f>
        <v/>
      </c>
      <c r="AI247" s="163">
        <f>IF(E247="","",E247)</f>
        <v/>
      </c>
      <c r="AJ247" s="113">
        <f>IF(AI247="","",$AJ$2)</f>
        <v/>
      </c>
      <c r="AK247" s="113" t="inlineStr">
        <is>
          <t>A</t>
        </is>
      </c>
      <c r="AL247" s="113" t="inlineStr">
        <is>
          <t>A+</t>
        </is>
      </c>
      <c r="AM247" s="113" t="inlineStr">
        <is>
          <t>B+</t>
        </is>
      </c>
      <c r="AN247" s="113">
        <f>IF(AI247="","",$AN$2)</f>
        <v/>
      </c>
      <c r="AO247" s="113">
        <f>IF(N247="","",IF(N247&gt;=$AO$1/100,"O","X"))</f>
        <v/>
      </c>
      <c r="AP247" s="113">
        <f>IF(I247="","",IF(I247&lt;=$AP$1,"O","X"))</f>
        <v/>
      </c>
      <c r="AQ247" s="113">
        <f>IF(O247="","",IF(O247&lt;=$AQ$1,"O","X"))</f>
        <v/>
      </c>
      <c r="AR247" s="113">
        <f>IF(M247="","",IF(M247&lt;=$AR$1,"O","X"))</f>
        <v/>
      </c>
      <c r="AS247" s="113" t="inlineStr">
        <is>
          <t>X</t>
        </is>
      </c>
      <c r="AT247" s="113">
        <f>IF(OR(F247="",AI247=""),"",IF(AND((F247&lt;=85),(AI247&gt;=15)),"O","X"))</f>
        <v/>
      </c>
      <c r="AU247" s="113">
        <f>IF(C247="","",IF(C247&gt;=$AU$1,"O","X"))</f>
        <v/>
      </c>
      <c r="AV247" s="113">
        <f>IF(AO247="","",IF(AND(AO247="O",AP247="O",AR247="O",AT247="O",AU247="O"),"후보","X"))</f>
        <v/>
      </c>
    </row>
    <row r="248">
      <c r="A248" s="13" t="inlineStr">
        <is>
          <t>호반베르디움(A20블록)</t>
        </is>
      </c>
      <c r="B248" s="16" t="inlineStr">
        <is>
          <t>'11.10.</t>
        </is>
      </c>
      <c r="C248" s="164" t="n">
        <v>620</v>
      </c>
      <c r="D248" s="161" t="n">
        <v>113.5</v>
      </c>
      <c r="E248" s="163" t="n">
        <v>34</v>
      </c>
      <c r="F248" s="161" t="n">
        <v>84.8</v>
      </c>
      <c r="G248" s="27" t="n">
        <v>26</v>
      </c>
      <c r="H248" s="164" t="n">
        <v>168</v>
      </c>
      <c r="I248" s="165" t="n">
        <v>67000</v>
      </c>
      <c r="J248" s="165" t="inlineStr">
        <is>
          <t>중</t>
        </is>
      </c>
      <c r="K248" s="165" t="n">
        <v>40000</v>
      </c>
      <c r="L248" s="165" t="inlineStr">
        <is>
          <t>중</t>
        </is>
      </c>
      <c r="M248" s="166">
        <f>I248-K248</f>
        <v/>
      </c>
      <c r="N248" s="7">
        <f>IF(ISERROR(K248/I248),"",K248/I248)</f>
        <v/>
      </c>
      <c r="O248" s="162">
        <f>I248/E248</f>
        <v/>
      </c>
      <c r="P248" s="162">
        <f>K248/E248</f>
        <v/>
      </c>
      <c r="Q248" s="113" t="n">
        <v>3</v>
      </c>
      <c r="R248" s="113" t="n">
        <v>2</v>
      </c>
      <c r="S248" s="113" t="inlineStr">
        <is>
          <t>계</t>
        </is>
      </c>
      <c r="T248" s="8" t="inlineStr">
        <is>
          <t>113C</t>
        </is>
      </c>
      <c r="U248" s="13" t="n"/>
      <c r="W248" s="161">
        <f>D248</f>
        <v/>
      </c>
      <c r="X248" s="163">
        <f>E248</f>
        <v/>
      </c>
      <c r="Y248" s="159">
        <f>H248</f>
        <v/>
      </c>
      <c r="Z248" s="166">
        <f>I248</f>
        <v/>
      </c>
      <c r="AA248" s="166">
        <f>K248</f>
        <v/>
      </c>
      <c r="AB248" s="166">
        <f>M248</f>
        <v/>
      </c>
      <c r="AC248" s="7">
        <f>N248</f>
        <v/>
      </c>
      <c r="AD248" s="162">
        <f>O248</f>
        <v/>
      </c>
      <c r="AE248" s="113">
        <f>S248</f>
        <v/>
      </c>
      <c r="AF248" s="113">
        <f>Q248&amp;"/"&amp;R248</f>
        <v/>
      </c>
      <c r="AH248" s="36">
        <f>IF(A248="","",A248)</f>
        <v/>
      </c>
      <c r="AI248" s="163">
        <f>IF(E248="","",E248)</f>
        <v/>
      </c>
      <c r="AJ248" s="113">
        <f>IF(AI248="","",$AJ$2)</f>
        <v/>
      </c>
      <c r="AK248" s="113" t="inlineStr">
        <is>
          <t>A</t>
        </is>
      </c>
      <c r="AL248" s="113" t="inlineStr">
        <is>
          <t>A+</t>
        </is>
      </c>
      <c r="AM248" s="113" t="inlineStr">
        <is>
          <t>B+</t>
        </is>
      </c>
      <c r="AN248" s="113">
        <f>IF(AI248="","",$AN$2)</f>
        <v/>
      </c>
      <c r="AO248" s="113">
        <f>IF(N248="","",IF(N248&gt;=$AO$1/100,"O","X"))</f>
        <v/>
      </c>
      <c r="AP248" s="113">
        <f>IF(I248="","",IF(I248&lt;=$AP$1,"O","X"))</f>
        <v/>
      </c>
      <c r="AQ248" s="113">
        <f>IF(O248="","",IF(O248&lt;=$AQ$1,"O","X"))</f>
        <v/>
      </c>
      <c r="AR248" s="113">
        <f>IF(M248="","",IF(M248&lt;=$AR$1,"O","X"))</f>
        <v/>
      </c>
      <c r="AS248" s="113" t="inlineStr">
        <is>
          <t>X</t>
        </is>
      </c>
      <c r="AT248" s="113">
        <f>IF(OR(F248="",AI248=""),"",IF(AND((F248&lt;=85),(AI248&gt;=15)),"O","X"))</f>
        <v/>
      </c>
      <c r="AU248" s="113">
        <f>IF(C248="","",IF(C248&gt;=$AU$1,"O","X"))</f>
        <v/>
      </c>
      <c r="AV248" s="113">
        <f>IF(AO248="","",IF(AND(AO248="O",AP248="O",AR248="O",AT248="O",AU248="O"),"후보","X"))</f>
        <v/>
      </c>
    </row>
    <row r="249">
      <c r="A249" s="13" t="inlineStr">
        <is>
          <t>호반베르디움(A20블록)</t>
        </is>
      </c>
      <c r="B249" s="16" t="inlineStr">
        <is>
          <t>'11.10.</t>
        </is>
      </c>
      <c r="C249" s="164" t="n">
        <v>620</v>
      </c>
      <c r="D249" s="161" t="n">
        <v>114.2</v>
      </c>
      <c r="E249" s="163" t="n">
        <v>35</v>
      </c>
      <c r="F249" s="161" t="n">
        <v>84.90000000000001</v>
      </c>
      <c r="G249" s="27" t="n">
        <v>26</v>
      </c>
      <c r="H249" s="164" t="n">
        <v>226</v>
      </c>
      <c r="I249" s="165" t="n"/>
      <c r="J249" s="165" t="n"/>
      <c r="K249" s="165" t="n"/>
      <c r="L249" s="165" t="n"/>
      <c r="M249" s="166">
        <f>I249-K249</f>
        <v/>
      </c>
      <c r="N249" s="7">
        <f>IF(ISERROR(K249/I249),"",K249/I249)</f>
        <v/>
      </c>
      <c r="O249" s="162">
        <f>I249/E249</f>
        <v/>
      </c>
      <c r="P249" s="162">
        <f>K249/E249</f>
        <v/>
      </c>
      <c r="Q249" s="113" t="n">
        <v>3</v>
      </c>
      <c r="R249" s="113" t="n">
        <v>2</v>
      </c>
      <c r="S249" s="113" t="inlineStr">
        <is>
          <t>계</t>
        </is>
      </c>
      <c r="T249" s="8" t="inlineStr">
        <is>
          <t>114A</t>
        </is>
      </c>
      <c r="U249" s="13" t="n"/>
      <c r="W249" s="161">
        <f>D249</f>
        <v/>
      </c>
      <c r="X249" s="163">
        <f>E249</f>
        <v/>
      </c>
      <c r="Y249" s="159">
        <f>H249</f>
        <v/>
      </c>
      <c r="Z249" s="166">
        <f>I249</f>
        <v/>
      </c>
      <c r="AA249" s="166">
        <f>K249</f>
        <v/>
      </c>
      <c r="AB249" s="166">
        <f>M249</f>
        <v/>
      </c>
      <c r="AC249" s="7">
        <f>N249</f>
        <v/>
      </c>
      <c r="AD249" s="162">
        <f>O249</f>
        <v/>
      </c>
      <c r="AE249" s="113">
        <f>S249</f>
        <v/>
      </c>
      <c r="AF249" s="113">
        <f>Q249&amp;"/"&amp;R249</f>
        <v/>
      </c>
      <c r="AH249" s="36">
        <f>IF(A249="","",A249)</f>
        <v/>
      </c>
      <c r="AI249" s="163">
        <f>IF(E249="","",E249)</f>
        <v/>
      </c>
      <c r="AJ249" s="113">
        <f>IF(AI249="","",$AJ$2)</f>
        <v/>
      </c>
      <c r="AK249" s="113" t="inlineStr">
        <is>
          <t>A</t>
        </is>
      </c>
      <c r="AL249" s="113" t="inlineStr">
        <is>
          <t>A+</t>
        </is>
      </c>
      <c r="AM249" s="113" t="inlineStr">
        <is>
          <t>B+</t>
        </is>
      </c>
      <c r="AN249" s="113">
        <f>IF(AI249="","",$AN$2)</f>
        <v/>
      </c>
      <c r="AO249" s="113">
        <f>IF(N249="","",IF(N249&gt;=$AO$1/100,"O","X"))</f>
        <v/>
      </c>
      <c r="AP249" s="113">
        <f>IF(I249="","",IF(I249&lt;=$AP$1,"O","X"))</f>
        <v/>
      </c>
      <c r="AQ249" s="113">
        <f>IF(O249="","",IF(O249&lt;=$AQ$1,"O","X"))</f>
        <v/>
      </c>
      <c r="AR249" s="113">
        <f>IF(M249="","",IF(M249&lt;=$AR$1,"O","X"))</f>
        <v/>
      </c>
      <c r="AS249" s="113" t="inlineStr">
        <is>
          <t>X</t>
        </is>
      </c>
      <c r="AT249" s="113">
        <f>IF(OR(F249="",AI249=""),"",IF(AND((F249&lt;=85),(AI249&gt;=15)),"O","X"))</f>
        <v/>
      </c>
      <c r="AU249" s="113">
        <f>IF(C249="","",IF(C249&gt;=$AU$1,"O","X"))</f>
        <v/>
      </c>
      <c r="AV249" s="113">
        <f>IF(AO249="","",IF(AND(AO249="O",AP249="O",AR249="O",AT249="O",AU249="O"),"후보","X"))</f>
        <v/>
      </c>
    </row>
    <row r="250">
      <c r="A250" s="13" t="inlineStr">
        <is>
          <t>호반베르디움(A20블록)</t>
        </is>
      </c>
      <c r="B250" s="16" t="inlineStr">
        <is>
          <t>'11.10.</t>
        </is>
      </c>
      <c r="C250" s="164" t="n">
        <v>620</v>
      </c>
      <c r="D250" s="161" t="n">
        <v>114.4</v>
      </c>
      <c r="E250" s="163" t="n">
        <v>35</v>
      </c>
      <c r="F250" s="161" t="n">
        <v>84.90000000000001</v>
      </c>
      <c r="G250" s="27" t="n">
        <v>26</v>
      </c>
      <c r="H250" s="164" t="n">
        <v>58</v>
      </c>
      <c r="I250" s="165" t="n">
        <v>63000</v>
      </c>
      <c r="J250" s="165" t="inlineStr">
        <is>
          <t>7</t>
        </is>
      </c>
      <c r="K250" s="165" t="n"/>
      <c r="L250" s="165" t="n"/>
      <c r="M250" s="166">
        <f>I250-K250</f>
        <v/>
      </c>
      <c r="N250" s="7">
        <f>IF(ISERROR(K250/I250),"",K250/I250)</f>
        <v/>
      </c>
      <c r="O250" s="162">
        <f>I250/E250</f>
        <v/>
      </c>
      <c r="P250" s="162">
        <f>K250/E250</f>
        <v/>
      </c>
      <c r="Q250" s="113" t="n">
        <v>3</v>
      </c>
      <c r="R250" s="113" t="n">
        <v>2</v>
      </c>
      <c r="S250" s="113" t="inlineStr">
        <is>
          <t>계</t>
        </is>
      </c>
      <c r="T250" s="8" t="inlineStr">
        <is>
          <t>114D</t>
        </is>
      </c>
      <c r="U250" s="13" t="n"/>
      <c r="W250" s="161">
        <f>D250</f>
        <v/>
      </c>
      <c r="X250" s="163">
        <f>E250</f>
        <v/>
      </c>
      <c r="Y250" s="159">
        <f>H250</f>
        <v/>
      </c>
      <c r="Z250" s="166">
        <f>I250</f>
        <v/>
      </c>
      <c r="AA250" s="166">
        <f>K250</f>
        <v/>
      </c>
      <c r="AB250" s="166">
        <f>M250</f>
        <v/>
      </c>
      <c r="AC250" s="7">
        <f>N250</f>
        <v/>
      </c>
      <c r="AD250" s="162">
        <f>O250</f>
        <v/>
      </c>
      <c r="AE250" s="113">
        <f>S250</f>
        <v/>
      </c>
      <c r="AF250" s="113">
        <f>Q250&amp;"/"&amp;R250</f>
        <v/>
      </c>
      <c r="AH250" s="36">
        <f>IF(A250="","",A250)</f>
        <v/>
      </c>
      <c r="AI250" s="163">
        <f>IF(E250="","",E250)</f>
        <v/>
      </c>
      <c r="AJ250" s="113">
        <f>IF(AI250="","",$AJ$2)</f>
        <v/>
      </c>
      <c r="AK250" s="113" t="inlineStr">
        <is>
          <t>A</t>
        </is>
      </c>
      <c r="AL250" s="113" t="inlineStr">
        <is>
          <t>A+</t>
        </is>
      </c>
      <c r="AM250" s="113" t="inlineStr">
        <is>
          <t>B+</t>
        </is>
      </c>
      <c r="AN250" s="113">
        <f>IF(AI250="","",$AN$2)</f>
        <v/>
      </c>
      <c r="AO250" s="113">
        <f>IF(N250="","",IF(N250&gt;=$AO$1/100,"O","X"))</f>
        <v/>
      </c>
      <c r="AP250" s="113">
        <f>IF(I250="","",IF(I250&lt;=$AP$1,"O","X"))</f>
        <v/>
      </c>
      <c r="AQ250" s="113">
        <f>IF(O250="","",IF(O250&lt;=$AQ$1,"O","X"))</f>
        <v/>
      </c>
      <c r="AR250" s="113">
        <f>IF(M250="","",IF(M250&lt;=$AR$1,"O","X"))</f>
        <v/>
      </c>
      <c r="AS250" s="113" t="inlineStr">
        <is>
          <t>X</t>
        </is>
      </c>
      <c r="AT250" s="113">
        <f>IF(OR(F250="",AI250=""),"",IF(AND((F250&lt;=85),(AI250&gt;=15)),"O","X"))</f>
        <v/>
      </c>
      <c r="AU250" s="113">
        <f>IF(C250="","",IF(C250&gt;=$AU$1,"O","X"))</f>
        <v/>
      </c>
      <c r="AV250" s="113">
        <f>IF(AO250="","",IF(AND(AO250="O",AP250="O",AR250="O",AT250="O",AU250="O"),"후보","X"))</f>
        <v/>
      </c>
    </row>
  </sheetData>
  <mergeCells count="1">
    <mergeCell ref="AJ1:AN1"/>
  </mergeCells>
  <conditionalFormatting sqref="AV4:AV6">
    <cfRule type="expression" priority="4110" dxfId="17">
      <formula>AV4="X"</formula>
    </cfRule>
    <cfRule type="expression" priority="4111" dxfId="16">
      <formula>AV4="후보"</formula>
    </cfRule>
  </conditionalFormatting>
  <conditionalFormatting sqref="AC1:AC2 AC4:AC6 N4:N5">
    <cfRule type="cellIs" priority="4107" operator="greaterThan" dxfId="13">
      <formula>0.9</formula>
    </cfRule>
    <cfRule type="cellIs" priority="4108" operator="greaterThan" dxfId="12">
      <formula>0.85</formula>
    </cfRule>
  </conditionalFormatting>
  <conditionalFormatting sqref="N1:N2">
    <cfRule type="cellIs" priority="4105" operator="greaterThan" dxfId="13">
      <formula>0.9</formula>
    </cfRule>
    <cfRule type="cellIs" priority="4106" operator="greaterThan" dxfId="12">
      <formula>0.85</formula>
    </cfRule>
  </conditionalFormatting>
  <conditionalFormatting sqref="N6">
    <cfRule type="cellIs" priority="4103" operator="greaterThan" dxfId="13">
      <formula>0.9</formula>
    </cfRule>
    <cfRule type="cellIs" priority="4104" operator="greaterThan" dxfId="12">
      <formula>0.85</formula>
    </cfRule>
  </conditionalFormatting>
  <conditionalFormatting sqref="E6">
    <cfRule type="expression" priority="4099" dxfId="3">
      <formula>AND(IF(OR($Q6=1,$Q6=2),1,0),IF($X6&lt;=20,1,0))</formula>
    </cfRule>
    <cfRule type="expression" priority="4100" dxfId="2">
      <formula>AND(IF($Q6=2,1,0),IF($X6&lt;30,1,0))</formula>
    </cfRule>
    <cfRule type="expression" priority="4101" dxfId="1">
      <formula>AND(IF($Q6=3,1,0),IF($X6&lt;30,1,0))</formula>
    </cfRule>
    <cfRule type="expression" priority="4102" dxfId="0">
      <formula>AND(IF($Q6=3,1,IF($Q6=4,1,0)),IF($F6&lt;=85,1,0))</formula>
    </cfRule>
  </conditionalFormatting>
  <conditionalFormatting sqref="X6">
    <cfRule type="expression" priority="4095" dxfId="3">
      <formula>AND(IF(OR($Q6=1,$Q6=2),1,0),IF($X6&lt;=20,1,0))</formula>
    </cfRule>
    <cfRule type="expression" priority="4096" dxfId="2">
      <formula>AND(IF($Q6=2,1,0),IF($X6&lt;30,1,0))</formula>
    </cfRule>
    <cfRule type="expression" priority="4097" dxfId="1">
      <formula>AND(IF($Q6=3,1,0),IF($X6&lt;30,1,0))</formula>
    </cfRule>
    <cfRule type="expression" priority="4098" dxfId="0">
      <formula>AND(IF($Q6=3,1,IF($Q6=4,1,0)),IF($F6&lt;=85,1,0))</formula>
    </cfRule>
  </conditionalFormatting>
  <conditionalFormatting sqref="AI6">
    <cfRule type="expression" priority="4091" dxfId="3">
      <formula>AND(IF(OR($Q6=1,$Q6=2),1,0),IF($X6&lt;=20,1,0))</formula>
    </cfRule>
    <cfRule type="expression" priority="4092" dxfId="2">
      <formula>AND(IF($Q6=2,1,0),IF($X6&lt;30,1,0))</formula>
    </cfRule>
    <cfRule type="expression" priority="4093" dxfId="1">
      <formula>AND(IF($Q6=3,1,0),IF($X6&lt;30,1,0))</formula>
    </cfRule>
    <cfRule type="expression" priority="4094" dxfId="0">
      <formula>AND(IF($Q6=3,1,IF($Q6=4,1,0)),IF($F6&lt;=85,1,0))</formula>
    </cfRule>
  </conditionalFormatting>
  <conditionalFormatting sqref="AV7">
    <cfRule type="expression" priority="4089" dxfId="17">
      <formula>AV7="X"</formula>
    </cfRule>
    <cfRule type="expression" priority="4090" dxfId="16">
      <formula>AV7="후보"</formula>
    </cfRule>
  </conditionalFormatting>
  <conditionalFormatting sqref="AC7">
    <cfRule type="cellIs" priority="4086" operator="greaterThan" dxfId="13">
      <formula>0.9</formula>
    </cfRule>
    <cfRule type="cellIs" priority="4087" operator="greaterThan" dxfId="12">
      <formula>0.85</formula>
    </cfRule>
  </conditionalFormatting>
  <conditionalFormatting sqref="N7">
    <cfRule type="cellIs" priority="4084" operator="greaterThan" dxfId="13">
      <formula>0.9</formula>
    </cfRule>
    <cfRule type="cellIs" priority="4085" operator="greaterThan" dxfId="12">
      <formula>0.85</formula>
    </cfRule>
  </conditionalFormatting>
  <conditionalFormatting sqref="E7">
    <cfRule type="expression" priority="4080" dxfId="3">
      <formula>AND(IF(OR($Q7=1,$Q7=2),1,0),IF($X7&lt;=20,1,0))</formula>
    </cfRule>
    <cfRule type="expression" priority="4081" dxfId="2">
      <formula>AND(IF($Q7=2,1,0),IF($X7&lt;30,1,0))</formula>
    </cfRule>
    <cfRule type="expression" priority="4082" dxfId="1">
      <formula>AND(IF($Q7=3,1,0),IF($X7&lt;30,1,0))</formula>
    </cfRule>
    <cfRule type="expression" priority="4083" dxfId="0">
      <formula>AND(IF($Q7=3,1,IF($Q7=4,1,0)),IF($F7&lt;=85,1,0))</formula>
    </cfRule>
  </conditionalFormatting>
  <conditionalFormatting sqref="X7">
    <cfRule type="expression" priority="4076" dxfId="3">
      <formula>AND(IF(OR($Q7=1,$Q7=2),1,0),IF($X7&lt;=20,1,0))</formula>
    </cfRule>
    <cfRule type="expression" priority="4077" dxfId="2">
      <formula>AND(IF($Q7=2,1,0),IF($X7&lt;30,1,0))</formula>
    </cfRule>
    <cfRule type="expression" priority="4078" dxfId="1">
      <formula>AND(IF($Q7=3,1,0),IF($X7&lt;30,1,0))</formula>
    </cfRule>
    <cfRule type="expression" priority="4079" dxfId="0">
      <formula>AND(IF($Q7=3,1,IF($Q7=4,1,0)),IF($F7&lt;=85,1,0))</formula>
    </cfRule>
  </conditionalFormatting>
  <conditionalFormatting sqref="AI7">
    <cfRule type="expression" priority="4072" dxfId="3">
      <formula>AND(IF(OR($Q7=1,$Q7=2),1,0),IF($X7&lt;=20,1,0))</formula>
    </cfRule>
    <cfRule type="expression" priority="4073" dxfId="2">
      <formula>AND(IF($Q7=2,1,0),IF($X7&lt;30,1,0))</formula>
    </cfRule>
    <cfRule type="expression" priority="4074" dxfId="1">
      <formula>AND(IF($Q7=3,1,0),IF($X7&lt;30,1,0))</formula>
    </cfRule>
    <cfRule type="expression" priority="4075" dxfId="0">
      <formula>AND(IF($Q7=3,1,IF($Q7=4,1,0)),IF($F7&lt;=85,1,0))</formula>
    </cfRule>
  </conditionalFormatting>
  <conditionalFormatting sqref="AV8">
    <cfRule type="expression" priority="4070" dxfId="17">
      <formula>AV8="X"</formula>
    </cfRule>
    <cfRule type="expression" priority="4071" dxfId="16">
      <formula>AV8="후보"</formula>
    </cfRule>
  </conditionalFormatting>
  <conditionalFormatting sqref="AC8">
    <cfRule type="cellIs" priority="4067" operator="greaterThan" dxfId="13">
      <formula>0.9</formula>
    </cfRule>
    <cfRule type="cellIs" priority="4068" operator="greaterThan" dxfId="12">
      <formula>0.85</formula>
    </cfRule>
  </conditionalFormatting>
  <conditionalFormatting sqref="N8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E8">
    <cfRule type="expression" priority="4061" dxfId="3">
      <formula>AND(IF(OR($Q8=1,$Q8=2),1,0),IF($X8&lt;=20,1,0))</formula>
    </cfRule>
    <cfRule type="expression" priority="4062" dxfId="2">
      <formula>AND(IF($Q8=2,1,0),IF($X8&lt;30,1,0))</formula>
    </cfRule>
    <cfRule type="expression" priority="4063" dxfId="1">
      <formula>AND(IF($Q8=3,1,0),IF($X8&lt;30,1,0))</formula>
    </cfRule>
    <cfRule type="expression" priority="4064" dxfId="0">
      <formula>AND(IF($Q8=3,1,IF($Q8=4,1,0)),IF($F8&lt;=85,1,0))</formula>
    </cfRule>
  </conditionalFormatting>
  <conditionalFormatting sqref="X8">
    <cfRule type="expression" priority="4057" dxfId="3">
      <formula>AND(IF(OR($Q8=1,$Q8=2),1,0),IF($X8&lt;=20,1,0))</formula>
    </cfRule>
    <cfRule type="expression" priority="4058" dxfId="2">
      <formula>AND(IF($Q8=2,1,0),IF($X8&lt;30,1,0))</formula>
    </cfRule>
    <cfRule type="expression" priority="4059" dxfId="1">
      <formula>AND(IF($Q8=3,1,0),IF($X8&lt;30,1,0))</formula>
    </cfRule>
    <cfRule type="expression" priority="4060" dxfId="0">
      <formula>AND(IF($Q8=3,1,IF($Q8=4,1,0)),IF($F8&lt;=85,1,0))</formula>
    </cfRule>
  </conditionalFormatting>
  <conditionalFormatting sqref="AI8">
    <cfRule type="expression" priority="4053" dxfId="3">
      <formula>AND(IF(OR($Q8=1,$Q8=2),1,0),IF($X8&lt;=20,1,0))</formula>
    </cfRule>
    <cfRule type="expression" priority="4054" dxfId="2">
      <formula>AND(IF($Q8=2,1,0),IF($X8&lt;30,1,0))</formula>
    </cfRule>
    <cfRule type="expression" priority="4055" dxfId="1">
      <formula>AND(IF($Q8=3,1,0),IF($X8&lt;30,1,0))</formula>
    </cfRule>
    <cfRule type="expression" priority="4056" dxfId="0">
      <formula>AND(IF($Q8=3,1,IF($Q8=4,1,0)),IF($F8&lt;=85,1,0))</formula>
    </cfRule>
  </conditionalFormatting>
  <conditionalFormatting sqref="AV9">
    <cfRule type="expression" priority="4051" dxfId="17">
      <formula>AV9="X"</formula>
    </cfRule>
    <cfRule type="expression" priority="4052" dxfId="16">
      <formula>AV9="후보"</formula>
    </cfRule>
  </conditionalFormatting>
  <conditionalFormatting sqref="AC9">
    <cfRule type="cellIs" priority="4048" operator="greaterThan" dxfId="13">
      <formula>0.9</formula>
    </cfRule>
    <cfRule type="cellIs" priority="4049" operator="greaterThan" dxfId="12">
      <formula>0.85</formula>
    </cfRule>
  </conditionalFormatting>
  <conditionalFormatting sqref="N9">
    <cfRule type="cellIs" priority="4046" operator="greaterThan" dxfId="13">
      <formula>0.9</formula>
    </cfRule>
    <cfRule type="cellIs" priority="4047" operator="greaterThan" dxfId="12">
      <formula>0.85</formula>
    </cfRule>
  </conditionalFormatting>
  <conditionalFormatting sqref="E9">
    <cfRule type="expression" priority="4042" dxfId="3">
      <formula>AND(IF(OR($Q9=1,$Q9=2),1,0),IF($X9&lt;=20,1,0))</formula>
    </cfRule>
    <cfRule type="expression" priority="4043" dxfId="2">
      <formula>AND(IF($Q9=2,1,0),IF($X9&lt;30,1,0))</formula>
    </cfRule>
    <cfRule type="expression" priority="4044" dxfId="1">
      <formula>AND(IF($Q9=3,1,0),IF($X9&lt;30,1,0))</formula>
    </cfRule>
    <cfRule type="expression" priority="4045" dxfId="0">
      <formula>AND(IF($Q9=3,1,IF($Q9=4,1,0)),IF($F9&lt;=85,1,0))</formula>
    </cfRule>
  </conditionalFormatting>
  <conditionalFormatting sqref="X9">
    <cfRule type="expression" priority="4038" dxfId="3">
      <formula>AND(IF(OR($Q9=1,$Q9=2),1,0),IF($X9&lt;=20,1,0))</formula>
    </cfRule>
    <cfRule type="expression" priority="4039" dxfId="2">
      <formula>AND(IF($Q9=2,1,0),IF($X9&lt;30,1,0))</formula>
    </cfRule>
    <cfRule type="expression" priority="4040" dxfId="1">
      <formula>AND(IF($Q9=3,1,0),IF($X9&lt;30,1,0))</formula>
    </cfRule>
    <cfRule type="expression" priority="4041" dxfId="0">
      <formula>AND(IF($Q9=3,1,IF($Q9=4,1,0)),IF($F9&lt;=85,1,0))</formula>
    </cfRule>
  </conditionalFormatting>
  <conditionalFormatting sqref="AI9">
    <cfRule type="expression" priority="4034" dxfId="3">
      <formula>AND(IF(OR($Q9=1,$Q9=2),1,0),IF($X9&lt;=20,1,0))</formula>
    </cfRule>
    <cfRule type="expression" priority="4035" dxfId="2">
      <formula>AND(IF($Q9=2,1,0),IF($X9&lt;30,1,0))</formula>
    </cfRule>
    <cfRule type="expression" priority="4036" dxfId="1">
      <formula>AND(IF($Q9=3,1,0),IF($X9&lt;30,1,0))</formula>
    </cfRule>
    <cfRule type="expression" priority="4037" dxfId="0">
      <formula>AND(IF($Q9=3,1,IF($Q9=4,1,0)),IF($F9&lt;=85,1,0))</formula>
    </cfRule>
  </conditionalFormatting>
  <conditionalFormatting sqref="AV10">
    <cfRule type="expression" priority="4032" dxfId="17">
      <formula>AV10="X"</formula>
    </cfRule>
    <cfRule type="expression" priority="4033" dxfId="16">
      <formula>AV10="후보"</formula>
    </cfRule>
  </conditionalFormatting>
  <conditionalFormatting sqref="AC10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10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10">
    <cfRule type="expression" priority="4023" dxfId="3">
      <formula>AND(IF(OR($Q10=1,$Q10=2),1,0),IF($X10&lt;=20,1,0))</formula>
    </cfRule>
    <cfRule type="expression" priority="4024" dxfId="2">
      <formula>AND(IF($Q10=2,1,0),IF($X10&lt;30,1,0))</formula>
    </cfRule>
    <cfRule type="expression" priority="4025" dxfId="1">
      <formula>AND(IF($Q10=3,1,0),IF($X10&lt;30,1,0))</formula>
    </cfRule>
    <cfRule type="expression" priority="4026" dxfId="0">
      <formula>AND(IF($Q10=3,1,IF($Q10=4,1,0)),IF($F10&lt;=85,1,0))</formula>
    </cfRule>
  </conditionalFormatting>
  <conditionalFormatting sqref="X10">
    <cfRule type="expression" priority="4019" dxfId="3">
      <formula>AND(IF(OR($Q10=1,$Q10=2),1,0),IF($X10&lt;=20,1,0))</formula>
    </cfRule>
    <cfRule type="expression" priority="4020" dxfId="2">
      <formula>AND(IF($Q10=2,1,0),IF($X10&lt;30,1,0))</formula>
    </cfRule>
    <cfRule type="expression" priority="4021" dxfId="1">
      <formula>AND(IF($Q10=3,1,0),IF($X10&lt;30,1,0))</formula>
    </cfRule>
    <cfRule type="expression" priority="4022" dxfId="0">
      <formula>AND(IF($Q10=3,1,IF($Q10=4,1,0)),IF($F10&lt;=85,1,0))</formula>
    </cfRule>
  </conditionalFormatting>
  <conditionalFormatting sqref="AI10">
    <cfRule type="expression" priority="4015" dxfId="3">
      <formula>AND(IF(OR($Q10=1,$Q10=2),1,0),IF($X10&lt;=20,1,0))</formula>
    </cfRule>
    <cfRule type="expression" priority="4016" dxfId="2">
      <formula>AND(IF($Q10=2,1,0),IF($X10&lt;30,1,0))</formula>
    </cfRule>
    <cfRule type="expression" priority="4017" dxfId="1">
      <formula>AND(IF($Q10=3,1,0),IF($X10&lt;30,1,0))</formula>
    </cfRule>
    <cfRule type="expression" priority="4018" dxfId="0">
      <formula>AND(IF($Q10=3,1,IF($Q10=4,1,0)),IF($F10&lt;=85,1,0))</formula>
    </cfRule>
  </conditionalFormatting>
  <conditionalFormatting sqref="AV11">
    <cfRule type="expression" priority="4013" dxfId="17">
      <formula>AV11="X"</formula>
    </cfRule>
    <cfRule type="expression" priority="4014" dxfId="16">
      <formula>AV11="후보"</formula>
    </cfRule>
  </conditionalFormatting>
  <conditionalFormatting sqref="AC11">
    <cfRule type="cellIs" priority="4010" operator="greaterThan" dxfId="13">
      <formula>0.9</formula>
    </cfRule>
    <cfRule type="cellIs" priority="4011" operator="greaterThan" dxfId="12">
      <formula>0.85</formula>
    </cfRule>
  </conditionalFormatting>
  <conditionalFormatting sqref="N11">
    <cfRule type="cellIs" priority="4008" operator="greaterThan" dxfId="13">
      <formula>0.9</formula>
    </cfRule>
    <cfRule type="cellIs" priority="4009" operator="greaterThan" dxfId="12">
      <formula>0.85</formula>
    </cfRule>
  </conditionalFormatting>
  <conditionalFormatting sqref="E11">
    <cfRule type="expression" priority="4004" dxfId="3">
      <formula>AND(IF(OR($Q11=1,$Q11=2),1,0),IF($X11&lt;=20,1,0))</formula>
    </cfRule>
    <cfRule type="expression" priority="4005" dxfId="2">
      <formula>AND(IF($Q11=2,1,0),IF($X11&lt;30,1,0))</formula>
    </cfRule>
    <cfRule type="expression" priority="4006" dxfId="1">
      <formula>AND(IF($Q11=3,1,0),IF($X11&lt;30,1,0))</formula>
    </cfRule>
    <cfRule type="expression" priority="4007" dxfId="0">
      <formula>AND(IF($Q11=3,1,IF($Q11=4,1,0)),IF($F11&lt;=85,1,0))</formula>
    </cfRule>
  </conditionalFormatting>
  <conditionalFormatting sqref="X11">
    <cfRule type="expression" priority="4000" dxfId="3">
      <formula>AND(IF(OR($Q11=1,$Q11=2),1,0),IF($X11&lt;=20,1,0))</formula>
    </cfRule>
    <cfRule type="expression" priority="4001" dxfId="2">
      <formula>AND(IF($Q11=2,1,0),IF($X11&lt;30,1,0))</formula>
    </cfRule>
    <cfRule type="expression" priority="4002" dxfId="1">
      <formula>AND(IF($Q11=3,1,0),IF($X11&lt;30,1,0))</formula>
    </cfRule>
    <cfRule type="expression" priority="4003" dxfId="0">
      <formula>AND(IF($Q11=3,1,IF($Q11=4,1,0)),IF($F11&lt;=85,1,0))</formula>
    </cfRule>
  </conditionalFormatting>
  <conditionalFormatting sqref="AI11">
    <cfRule type="expression" priority="3996" dxfId="3">
      <formula>AND(IF(OR($Q11=1,$Q11=2),1,0),IF($X11&lt;=20,1,0))</formula>
    </cfRule>
    <cfRule type="expression" priority="3997" dxfId="2">
      <formula>AND(IF($Q11=2,1,0),IF($X11&lt;30,1,0))</formula>
    </cfRule>
    <cfRule type="expression" priority="3998" dxfId="1">
      <formula>AND(IF($Q11=3,1,0),IF($X11&lt;30,1,0))</formula>
    </cfRule>
    <cfRule type="expression" priority="3999" dxfId="0">
      <formula>AND(IF($Q11=3,1,IF($Q11=4,1,0)),IF($F11&lt;=85,1,0))</formula>
    </cfRule>
  </conditionalFormatting>
  <conditionalFormatting sqref="AV12">
    <cfRule type="expression" priority="3994" dxfId="17">
      <formula>AV12="X"</formula>
    </cfRule>
    <cfRule type="expression" priority="3995" dxfId="16">
      <formula>AV12="후보"</formula>
    </cfRule>
  </conditionalFormatting>
  <conditionalFormatting sqref="AC12 N12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AV13">
    <cfRule type="expression" priority="3989" dxfId="17">
      <formula>AV13="X"</formula>
    </cfRule>
    <cfRule type="expression" priority="3990" dxfId="16">
      <formula>AV13="후보"</formula>
    </cfRule>
  </conditionalFormatting>
  <conditionalFormatting sqref="AC13">
    <cfRule type="cellIs" priority="3986" operator="greaterThan" dxfId="13">
      <formula>0.9</formula>
    </cfRule>
    <cfRule type="cellIs" priority="3987" operator="greaterThan" dxfId="12">
      <formula>0.85</formula>
    </cfRule>
  </conditionalFormatting>
  <conditionalFormatting sqref="N13">
    <cfRule type="cellIs" priority="3984" operator="greaterThan" dxfId="13">
      <formula>0.9</formula>
    </cfRule>
    <cfRule type="cellIs" priority="3985" operator="greaterThan" dxfId="12">
      <formula>0.85</formula>
    </cfRule>
  </conditionalFormatting>
  <conditionalFormatting sqref="E13">
    <cfRule type="expression" priority="3980" dxfId="3">
      <formula>AND(IF(OR($Q13=1,$Q13=2),1,0),IF($X13&lt;=20,1,0))</formula>
    </cfRule>
    <cfRule type="expression" priority="3981" dxfId="2">
      <formula>AND(IF($Q13=2,1,0),IF($X13&lt;30,1,0))</formula>
    </cfRule>
    <cfRule type="expression" priority="3982" dxfId="1">
      <formula>AND(IF($Q13=3,1,0),IF($X13&lt;30,1,0))</formula>
    </cfRule>
    <cfRule type="expression" priority="3983" dxfId="0">
      <formula>AND(IF($Q13=3,1,IF($Q13=4,1,0)),IF($F13&lt;=85,1,0))</formula>
    </cfRule>
  </conditionalFormatting>
  <conditionalFormatting sqref="X13">
    <cfRule type="expression" priority="3976" dxfId="3">
      <formula>AND(IF(OR($Q13=1,$Q13=2),1,0),IF($X13&lt;=20,1,0))</formula>
    </cfRule>
    <cfRule type="expression" priority="3977" dxfId="2">
      <formula>AND(IF($Q13=2,1,0),IF($X13&lt;30,1,0))</formula>
    </cfRule>
    <cfRule type="expression" priority="3978" dxfId="1">
      <formula>AND(IF($Q13=3,1,0),IF($X13&lt;30,1,0))</formula>
    </cfRule>
    <cfRule type="expression" priority="3979" dxfId="0">
      <formula>AND(IF($Q13=3,1,IF($Q13=4,1,0)),IF($F13&lt;=85,1,0))</formula>
    </cfRule>
  </conditionalFormatting>
  <conditionalFormatting sqref="AI13">
    <cfRule type="expression" priority="3972" dxfId="3">
      <formula>AND(IF(OR($Q13=1,$Q13=2),1,0),IF($X13&lt;=20,1,0))</formula>
    </cfRule>
    <cfRule type="expression" priority="3973" dxfId="2">
      <formula>AND(IF($Q13=2,1,0),IF($X13&lt;30,1,0))</formula>
    </cfRule>
    <cfRule type="expression" priority="3974" dxfId="1">
      <formula>AND(IF($Q13=3,1,0),IF($X13&lt;30,1,0))</formula>
    </cfRule>
    <cfRule type="expression" priority="3975" dxfId="0">
      <formula>AND(IF($Q13=3,1,IF($Q13=4,1,0)),IF($F13&lt;=85,1,0))</formula>
    </cfRule>
  </conditionalFormatting>
  <conditionalFormatting sqref="AV14">
    <cfRule type="expression" priority="3970" dxfId="17">
      <formula>AV14="X"</formula>
    </cfRule>
    <cfRule type="expression" priority="3971" dxfId="16">
      <formula>AV14="후보"</formula>
    </cfRule>
  </conditionalFormatting>
  <conditionalFormatting sqref="AC14">
    <cfRule type="cellIs" priority="3967" operator="greaterThan" dxfId="13">
      <formula>0.9</formula>
    </cfRule>
    <cfRule type="cellIs" priority="3968" operator="greaterThan" dxfId="12">
      <formula>0.85</formula>
    </cfRule>
  </conditionalFormatting>
  <conditionalFormatting sqref="N14">
    <cfRule type="cellIs" priority="3965" operator="greaterThan" dxfId="13">
      <formula>0.9</formula>
    </cfRule>
    <cfRule type="cellIs" priority="3966" operator="greaterThan" dxfId="12">
      <formula>0.85</formula>
    </cfRule>
  </conditionalFormatting>
  <conditionalFormatting sqref="E14">
    <cfRule type="expression" priority="3961" dxfId="3">
      <formula>AND(IF(OR($Q14=1,$Q14=2),1,0),IF($X14&lt;=20,1,0))</formula>
    </cfRule>
    <cfRule type="expression" priority="3962" dxfId="2">
      <formula>AND(IF($Q14=2,1,0),IF($X14&lt;30,1,0))</formula>
    </cfRule>
    <cfRule type="expression" priority="3963" dxfId="1">
      <formula>AND(IF($Q14=3,1,0),IF($X14&lt;30,1,0))</formula>
    </cfRule>
    <cfRule type="expression" priority="3964" dxfId="0">
      <formula>AND(IF($Q14=3,1,IF($Q14=4,1,0)),IF($F14&lt;=85,1,0))</formula>
    </cfRule>
  </conditionalFormatting>
  <conditionalFormatting sqref="X14">
    <cfRule type="expression" priority="3957" dxfId="3">
      <formula>AND(IF(OR($Q14=1,$Q14=2),1,0),IF($X14&lt;=20,1,0))</formula>
    </cfRule>
    <cfRule type="expression" priority="3958" dxfId="2">
      <formula>AND(IF($Q14=2,1,0),IF($X14&lt;30,1,0))</formula>
    </cfRule>
    <cfRule type="expression" priority="3959" dxfId="1">
      <formula>AND(IF($Q14=3,1,0),IF($X14&lt;30,1,0))</formula>
    </cfRule>
    <cfRule type="expression" priority="3960" dxfId="0">
      <formula>AND(IF($Q14=3,1,IF($Q14=4,1,0)),IF($F14&lt;=85,1,0))</formula>
    </cfRule>
  </conditionalFormatting>
  <conditionalFormatting sqref="AI14">
    <cfRule type="expression" priority="3953" dxfId="3">
      <formula>AND(IF(OR($Q14=1,$Q14=2),1,0),IF($X14&lt;=20,1,0))</formula>
    </cfRule>
    <cfRule type="expression" priority="3954" dxfId="2">
      <formula>AND(IF($Q14=2,1,0),IF($X14&lt;30,1,0))</formula>
    </cfRule>
    <cfRule type="expression" priority="3955" dxfId="1">
      <formula>AND(IF($Q14=3,1,0),IF($X14&lt;30,1,0))</formula>
    </cfRule>
    <cfRule type="expression" priority="3956" dxfId="0">
      <formula>AND(IF($Q14=3,1,IF($Q14=4,1,0)),IF($F14&lt;=85,1,0))</formula>
    </cfRule>
  </conditionalFormatting>
  <conditionalFormatting sqref="AV15">
    <cfRule type="expression" priority="3951" dxfId="17">
      <formula>AV15="X"</formula>
    </cfRule>
    <cfRule type="expression" priority="3952" dxfId="16">
      <formula>AV15="후보"</formula>
    </cfRule>
  </conditionalFormatting>
  <conditionalFormatting sqref="AC15">
    <cfRule type="cellIs" priority="3948" operator="greaterThan" dxfId="13">
      <formula>0.9</formula>
    </cfRule>
    <cfRule type="cellIs" priority="3949" operator="greaterThan" dxfId="12">
      <formula>0.85</formula>
    </cfRule>
  </conditionalFormatting>
  <conditionalFormatting sqref="N15">
    <cfRule type="cellIs" priority="3946" operator="greaterThan" dxfId="13">
      <formula>0.9</formula>
    </cfRule>
    <cfRule type="cellIs" priority="3947" operator="greaterThan" dxfId="12">
      <formula>0.85</formula>
    </cfRule>
  </conditionalFormatting>
  <conditionalFormatting sqref="E15">
    <cfRule type="expression" priority="3942" dxfId="3">
      <formula>AND(IF(OR($Q15=1,$Q15=2),1,0),IF($X15&lt;=20,1,0))</formula>
    </cfRule>
    <cfRule type="expression" priority="3943" dxfId="2">
      <formula>AND(IF($Q15=2,1,0),IF($X15&lt;30,1,0))</formula>
    </cfRule>
    <cfRule type="expression" priority="3944" dxfId="1">
      <formula>AND(IF($Q15=3,1,0),IF($X15&lt;30,1,0))</formula>
    </cfRule>
    <cfRule type="expression" priority="3945" dxfId="0">
      <formula>AND(IF($Q15=3,1,IF($Q15=4,1,0)),IF($F15&lt;=85,1,0))</formula>
    </cfRule>
  </conditionalFormatting>
  <conditionalFormatting sqref="X15">
    <cfRule type="expression" priority="3938" dxfId="3">
      <formula>AND(IF(OR($Q15=1,$Q15=2),1,0),IF($X15&lt;=20,1,0))</formula>
    </cfRule>
    <cfRule type="expression" priority="3939" dxfId="2">
      <formula>AND(IF($Q15=2,1,0),IF($X15&lt;30,1,0))</formula>
    </cfRule>
    <cfRule type="expression" priority="3940" dxfId="1">
      <formula>AND(IF($Q15=3,1,0),IF($X15&lt;30,1,0))</formula>
    </cfRule>
    <cfRule type="expression" priority="3941" dxfId="0">
      <formula>AND(IF($Q15=3,1,IF($Q15=4,1,0)),IF($F15&lt;=85,1,0))</formula>
    </cfRule>
  </conditionalFormatting>
  <conditionalFormatting sqref="AI15">
    <cfRule type="expression" priority="3934" dxfId="3">
      <formula>AND(IF(OR($Q15=1,$Q15=2),1,0),IF($X15&lt;=20,1,0))</formula>
    </cfRule>
    <cfRule type="expression" priority="3935" dxfId="2">
      <formula>AND(IF($Q15=2,1,0),IF($X15&lt;30,1,0))</formula>
    </cfRule>
    <cfRule type="expression" priority="3936" dxfId="1">
      <formula>AND(IF($Q15=3,1,0),IF($X15&lt;30,1,0))</formula>
    </cfRule>
    <cfRule type="expression" priority="3937" dxfId="0">
      <formula>AND(IF($Q15=3,1,IF($Q15=4,1,0)),IF($F15&lt;=85,1,0))</formula>
    </cfRule>
  </conditionalFormatting>
  <conditionalFormatting sqref="AV16">
    <cfRule type="expression" priority="3932" dxfId="17">
      <formula>AV16="X"</formula>
    </cfRule>
    <cfRule type="expression" priority="3933" dxfId="16">
      <formula>AV16="후보"</formula>
    </cfRule>
  </conditionalFormatting>
  <conditionalFormatting sqref="AC16">
    <cfRule type="cellIs" priority="3929" operator="greaterThan" dxfId="13">
      <formula>0.9</formula>
    </cfRule>
    <cfRule type="cellIs" priority="3930" operator="greaterThan" dxfId="12">
      <formula>0.85</formula>
    </cfRule>
  </conditionalFormatting>
  <conditionalFormatting sqref="N16">
    <cfRule type="cellIs" priority="3927" operator="greaterThan" dxfId="13">
      <formula>0.9</formula>
    </cfRule>
    <cfRule type="cellIs" priority="3928" operator="greaterThan" dxfId="12">
      <formula>0.85</formula>
    </cfRule>
  </conditionalFormatting>
  <conditionalFormatting sqref="E16">
    <cfRule type="expression" priority="3923" dxfId="3">
      <formula>AND(IF(OR($Q16=1,$Q16=2),1,0),IF($X16&lt;=20,1,0))</formula>
    </cfRule>
    <cfRule type="expression" priority="3924" dxfId="2">
      <formula>AND(IF($Q16=2,1,0),IF($X16&lt;30,1,0))</formula>
    </cfRule>
    <cfRule type="expression" priority="3925" dxfId="1">
      <formula>AND(IF($Q16=3,1,0),IF($X16&lt;30,1,0))</formula>
    </cfRule>
    <cfRule type="expression" priority="3926" dxfId="0">
      <formula>AND(IF($Q16=3,1,IF($Q16=4,1,0)),IF($F16&lt;=85,1,0))</formula>
    </cfRule>
  </conditionalFormatting>
  <conditionalFormatting sqref="X16">
    <cfRule type="expression" priority="3919" dxfId="3">
      <formula>AND(IF(OR($Q16=1,$Q16=2),1,0),IF($X16&lt;=20,1,0))</formula>
    </cfRule>
    <cfRule type="expression" priority="3920" dxfId="2">
      <formula>AND(IF($Q16=2,1,0),IF($X16&lt;30,1,0))</formula>
    </cfRule>
    <cfRule type="expression" priority="3921" dxfId="1">
      <formula>AND(IF($Q16=3,1,0),IF($X16&lt;30,1,0))</formula>
    </cfRule>
    <cfRule type="expression" priority="3922" dxfId="0">
      <formula>AND(IF($Q16=3,1,IF($Q16=4,1,0)),IF($F16&lt;=85,1,0))</formula>
    </cfRule>
  </conditionalFormatting>
  <conditionalFormatting sqref="AI16">
    <cfRule type="expression" priority="3915" dxfId="3">
      <formula>AND(IF(OR($Q16=1,$Q16=2),1,0),IF($X16&lt;=20,1,0))</formula>
    </cfRule>
    <cfRule type="expression" priority="3916" dxfId="2">
      <formula>AND(IF($Q16=2,1,0),IF($X16&lt;30,1,0))</formula>
    </cfRule>
    <cfRule type="expression" priority="3917" dxfId="1">
      <formula>AND(IF($Q16=3,1,0),IF($X16&lt;30,1,0))</formula>
    </cfRule>
    <cfRule type="expression" priority="3918" dxfId="0">
      <formula>AND(IF($Q16=3,1,IF($Q16=4,1,0)),IF($F16&lt;=85,1,0))</formula>
    </cfRule>
  </conditionalFormatting>
  <conditionalFormatting sqref="AV17">
    <cfRule type="expression" priority="3913" dxfId="17">
      <formula>AV17="X"</formula>
    </cfRule>
    <cfRule type="expression" priority="3914" dxfId="16">
      <formula>AV17="후보"</formula>
    </cfRule>
  </conditionalFormatting>
  <conditionalFormatting sqref="AC17">
    <cfRule type="cellIs" priority="3910" operator="greaterThan" dxfId="13">
      <formula>0.9</formula>
    </cfRule>
    <cfRule type="cellIs" priority="3911" operator="greaterThan" dxfId="12">
      <formula>0.85</formula>
    </cfRule>
  </conditionalFormatting>
  <conditionalFormatting sqref="N17">
    <cfRule type="cellIs" priority="3908" operator="greaterThan" dxfId="13">
      <formula>0.9</formula>
    </cfRule>
    <cfRule type="cellIs" priority="3909" operator="greaterThan" dxfId="12">
      <formula>0.85</formula>
    </cfRule>
  </conditionalFormatting>
  <conditionalFormatting sqref="E17">
    <cfRule type="expression" priority="3904" dxfId="3">
      <formula>AND(IF(OR($Q17=1,$Q17=2),1,0),IF($X17&lt;=20,1,0))</formula>
    </cfRule>
    <cfRule type="expression" priority="3905" dxfId="2">
      <formula>AND(IF($Q17=2,1,0),IF($X17&lt;30,1,0))</formula>
    </cfRule>
    <cfRule type="expression" priority="3906" dxfId="1">
      <formula>AND(IF($Q17=3,1,0),IF($X17&lt;30,1,0))</formula>
    </cfRule>
    <cfRule type="expression" priority="3907" dxfId="0">
      <formula>AND(IF($Q17=3,1,IF($Q17=4,1,0)),IF($F17&lt;=85,1,0))</formula>
    </cfRule>
  </conditionalFormatting>
  <conditionalFormatting sqref="X17">
    <cfRule type="expression" priority="3900" dxfId="3">
      <formula>AND(IF(OR($Q17=1,$Q17=2),1,0),IF($X17&lt;=20,1,0))</formula>
    </cfRule>
    <cfRule type="expression" priority="3901" dxfId="2">
      <formula>AND(IF($Q17=2,1,0),IF($X17&lt;30,1,0))</formula>
    </cfRule>
    <cfRule type="expression" priority="3902" dxfId="1">
      <formula>AND(IF($Q17=3,1,0),IF($X17&lt;30,1,0))</formula>
    </cfRule>
    <cfRule type="expression" priority="3903" dxfId="0">
      <formula>AND(IF($Q17=3,1,IF($Q17=4,1,0)),IF($F17&lt;=85,1,0))</formula>
    </cfRule>
  </conditionalFormatting>
  <conditionalFormatting sqref="AI17">
    <cfRule type="expression" priority="3896" dxfId="3">
      <formula>AND(IF(OR($Q17=1,$Q17=2),1,0),IF($X17&lt;=20,1,0))</formula>
    </cfRule>
    <cfRule type="expression" priority="3897" dxfId="2">
      <formula>AND(IF($Q17=2,1,0),IF($X17&lt;30,1,0))</formula>
    </cfRule>
    <cfRule type="expression" priority="3898" dxfId="1">
      <formula>AND(IF($Q17=3,1,0),IF($X17&lt;30,1,0))</formula>
    </cfRule>
    <cfRule type="expression" priority="3899" dxfId="0">
      <formula>AND(IF($Q17=3,1,IF($Q17=4,1,0)),IF($F17&lt;=85,1,0))</formula>
    </cfRule>
  </conditionalFormatting>
  <conditionalFormatting sqref="AV18">
    <cfRule type="expression" priority="3894" dxfId="17">
      <formula>AV18="X"</formula>
    </cfRule>
    <cfRule type="expression" priority="3895" dxfId="16">
      <formula>AV18="후보"</formula>
    </cfRule>
  </conditionalFormatting>
  <conditionalFormatting sqref="AC18">
    <cfRule type="cellIs" priority="3891" operator="greaterThan" dxfId="13">
      <formula>0.9</formula>
    </cfRule>
    <cfRule type="cellIs" priority="3892" operator="greaterThan" dxfId="12">
      <formula>0.85</formula>
    </cfRule>
  </conditionalFormatting>
  <conditionalFormatting sqref="N18">
    <cfRule type="cellIs" priority="3889" operator="greaterThan" dxfId="13">
      <formula>0.9</formula>
    </cfRule>
    <cfRule type="cellIs" priority="3890" operator="greaterThan" dxfId="12">
      <formula>0.85</formula>
    </cfRule>
  </conditionalFormatting>
  <conditionalFormatting sqref="E18">
    <cfRule type="expression" priority="3885" dxfId="3">
      <formula>AND(IF(OR($Q18=1,$Q18=2),1,0),IF($X18&lt;=20,1,0))</formula>
    </cfRule>
    <cfRule type="expression" priority="3886" dxfId="2">
      <formula>AND(IF($Q18=2,1,0),IF($X18&lt;30,1,0))</formula>
    </cfRule>
    <cfRule type="expression" priority="3887" dxfId="1">
      <formula>AND(IF($Q18=3,1,0),IF($X18&lt;30,1,0))</formula>
    </cfRule>
    <cfRule type="expression" priority="3888" dxfId="0">
      <formula>AND(IF($Q18=3,1,IF($Q18=4,1,0)),IF($F18&lt;=85,1,0))</formula>
    </cfRule>
  </conditionalFormatting>
  <conditionalFormatting sqref="X18">
    <cfRule type="expression" priority="3881" dxfId="3">
      <formula>AND(IF(OR($Q18=1,$Q18=2),1,0),IF($X18&lt;=20,1,0))</formula>
    </cfRule>
    <cfRule type="expression" priority="3882" dxfId="2">
      <formula>AND(IF($Q18=2,1,0),IF($X18&lt;30,1,0))</formula>
    </cfRule>
    <cfRule type="expression" priority="3883" dxfId="1">
      <formula>AND(IF($Q18=3,1,0),IF($X18&lt;30,1,0))</formula>
    </cfRule>
    <cfRule type="expression" priority="3884" dxfId="0">
      <formula>AND(IF($Q18=3,1,IF($Q18=4,1,0)),IF($F18&lt;=85,1,0))</formula>
    </cfRule>
  </conditionalFormatting>
  <conditionalFormatting sqref="AI18">
    <cfRule type="expression" priority="3877" dxfId="3">
      <formula>AND(IF(OR($Q18=1,$Q18=2),1,0),IF($X18&lt;=20,1,0))</formula>
    </cfRule>
    <cfRule type="expression" priority="3878" dxfId="2">
      <formula>AND(IF($Q18=2,1,0),IF($X18&lt;30,1,0))</formula>
    </cfRule>
    <cfRule type="expression" priority="3879" dxfId="1">
      <formula>AND(IF($Q18=3,1,0),IF($X18&lt;30,1,0))</formula>
    </cfRule>
    <cfRule type="expression" priority="3880" dxfId="0">
      <formula>AND(IF($Q18=3,1,IF($Q18=4,1,0)),IF($F18&lt;=85,1,0))</formula>
    </cfRule>
  </conditionalFormatting>
  <conditionalFormatting sqref="AV19">
    <cfRule type="expression" priority="3875" dxfId="17">
      <formula>AV19="X"</formula>
    </cfRule>
    <cfRule type="expression" priority="3876" dxfId="16">
      <formula>AV19="후보"</formula>
    </cfRule>
  </conditionalFormatting>
  <conditionalFormatting sqref="AC19">
    <cfRule type="cellIs" priority="3872" operator="greaterThan" dxfId="13">
      <formula>0.9</formula>
    </cfRule>
    <cfRule type="cellIs" priority="3873" operator="greaterThan" dxfId="12">
      <formula>0.85</formula>
    </cfRule>
  </conditionalFormatting>
  <conditionalFormatting sqref="N19">
    <cfRule type="cellIs" priority="3870" operator="greaterThan" dxfId="13">
      <formula>0.9</formula>
    </cfRule>
    <cfRule type="cellIs" priority="3871" operator="greaterThan" dxfId="12">
      <formula>0.85</formula>
    </cfRule>
  </conditionalFormatting>
  <conditionalFormatting sqref="E19">
    <cfRule type="expression" priority="3866" dxfId="3">
      <formula>AND(IF(OR($Q19=1,$Q19=2),1,0),IF($X19&lt;=20,1,0))</formula>
    </cfRule>
    <cfRule type="expression" priority="3867" dxfId="2">
      <formula>AND(IF($Q19=2,1,0),IF($X19&lt;30,1,0))</formula>
    </cfRule>
    <cfRule type="expression" priority="3868" dxfId="1">
      <formula>AND(IF($Q19=3,1,0),IF($X19&lt;30,1,0))</formula>
    </cfRule>
    <cfRule type="expression" priority="3869" dxfId="0">
      <formula>AND(IF($Q19=3,1,IF($Q19=4,1,0)),IF($F19&lt;=85,1,0))</formula>
    </cfRule>
  </conditionalFormatting>
  <conditionalFormatting sqref="X19">
    <cfRule type="expression" priority="3862" dxfId="3">
      <formula>AND(IF(OR($Q19=1,$Q19=2),1,0),IF($X19&lt;=20,1,0))</formula>
    </cfRule>
    <cfRule type="expression" priority="3863" dxfId="2">
      <formula>AND(IF($Q19=2,1,0),IF($X19&lt;30,1,0))</formula>
    </cfRule>
    <cfRule type="expression" priority="3864" dxfId="1">
      <formula>AND(IF($Q19=3,1,0),IF($X19&lt;30,1,0))</formula>
    </cfRule>
    <cfRule type="expression" priority="3865" dxfId="0">
      <formula>AND(IF($Q19=3,1,IF($Q19=4,1,0)),IF($F19&lt;=85,1,0))</formula>
    </cfRule>
  </conditionalFormatting>
  <conditionalFormatting sqref="AI19">
    <cfRule type="expression" priority="3858" dxfId="3">
      <formula>AND(IF(OR($Q19=1,$Q19=2),1,0),IF($X19&lt;=20,1,0))</formula>
    </cfRule>
    <cfRule type="expression" priority="3859" dxfId="2">
      <formula>AND(IF($Q19=2,1,0),IF($X19&lt;30,1,0))</formula>
    </cfRule>
    <cfRule type="expression" priority="3860" dxfId="1">
      <formula>AND(IF($Q19=3,1,0),IF($X19&lt;30,1,0))</formula>
    </cfRule>
    <cfRule type="expression" priority="3861" dxfId="0">
      <formula>AND(IF($Q19=3,1,IF($Q19=4,1,0)),IF($F19&lt;=85,1,0))</formula>
    </cfRule>
  </conditionalFormatting>
  <conditionalFormatting sqref="AV20">
    <cfRule type="expression" priority="3856" dxfId="17">
      <formula>AV20="X"</formula>
    </cfRule>
    <cfRule type="expression" priority="3857" dxfId="16">
      <formula>AV20="후보"</formula>
    </cfRule>
  </conditionalFormatting>
  <conditionalFormatting sqref="AC20">
    <cfRule type="cellIs" priority="3853" operator="greaterThan" dxfId="13">
      <formula>0.9</formula>
    </cfRule>
    <cfRule type="cellIs" priority="3854" operator="greaterThan" dxfId="12">
      <formula>0.85</formula>
    </cfRule>
  </conditionalFormatting>
  <conditionalFormatting sqref="N20">
    <cfRule type="cellIs" priority="3851" operator="greaterThan" dxfId="13">
      <formula>0.9</formula>
    </cfRule>
    <cfRule type="cellIs" priority="3852" operator="greaterThan" dxfId="12">
      <formula>0.85</formula>
    </cfRule>
  </conditionalFormatting>
  <conditionalFormatting sqref="E20">
    <cfRule type="expression" priority="3847" dxfId="3">
      <formula>AND(IF(OR($Q20=1,$Q20=2),1,0),IF($X20&lt;=20,1,0))</formula>
    </cfRule>
    <cfRule type="expression" priority="3848" dxfId="2">
      <formula>AND(IF($Q20=2,1,0),IF($X20&lt;30,1,0))</formula>
    </cfRule>
    <cfRule type="expression" priority="3849" dxfId="1">
      <formula>AND(IF($Q20=3,1,0),IF($X20&lt;30,1,0))</formula>
    </cfRule>
    <cfRule type="expression" priority="3850" dxfId="0">
      <formula>AND(IF($Q20=3,1,IF($Q20=4,1,0)),IF($F20&lt;=85,1,0))</formula>
    </cfRule>
  </conditionalFormatting>
  <conditionalFormatting sqref="X20">
    <cfRule type="expression" priority="3843" dxfId="3">
      <formula>AND(IF(OR($Q20=1,$Q20=2),1,0),IF($X20&lt;=20,1,0))</formula>
    </cfRule>
    <cfRule type="expression" priority="3844" dxfId="2">
      <formula>AND(IF($Q20=2,1,0),IF($X20&lt;30,1,0))</formula>
    </cfRule>
    <cfRule type="expression" priority="3845" dxfId="1">
      <formula>AND(IF($Q20=3,1,0),IF($X20&lt;30,1,0))</formula>
    </cfRule>
    <cfRule type="expression" priority="3846" dxfId="0">
      <formula>AND(IF($Q20=3,1,IF($Q20=4,1,0)),IF($F20&lt;=85,1,0))</formula>
    </cfRule>
  </conditionalFormatting>
  <conditionalFormatting sqref="AI20">
    <cfRule type="expression" priority="3839" dxfId="3">
      <formula>AND(IF(OR($Q20=1,$Q20=2),1,0),IF($X20&lt;=20,1,0))</formula>
    </cfRule>
    <cfRule type="expression" priority="3840" dxfId="2">
      <formula>AND(IF($Q20=2,1,0),IF($X20&lt;30,1,0))</formula>
    </cfRule>
    <cfRule type="expression" priority="3841" dxfId="1">
      <formula>AND(IF($Q20=3,1,0),IF($X20&lt;30,1,0))</formula>
    </cfRule>
    <cfRule type="expression" priority="3842" dxfId="0">
      <formula>AND(IF($Q20=3,1,IF($Q20=4,1,0)),IF($F20&lt;=85,1,0))</formula>
    </cfRule>
  </conditionalFormatting>
  <conditionalFormatting sqref="AV21">
    <cfRule type="expression" priority="3837" dxfId="17">
      <formula>AV21="X"</formula>
    </cfRule>
    <cfRule type="expression" priority="3838" dxfId="16">
      <formula>AV21="후보"</formula>
    </cfRule>
  </conditionalFormatting>
  <conditionalFormatting sqref="AC21">
    <cfRule type="cellIs" priority="3834" operator="greaterThan" dxfId="13">
      <formula>0.9</formula>
    </cfRule>
    <cfRule type="cellIs" priority="3835" operator="greaterThan" dxfId="12">
      <formula>0.85</formula>
    </cfRule>
  </conditionalFormatting>
  <conditionalFormatting sqref="N21">
    <cfRule type="cellIs" priority="3832" operator="greaterThan" dxfId="13">
      <formula>0.9</formula>
    </cfRule>
    <cfRule type="cellIs" priority="3833" operator="greaterThan" dxfId="12">
      <formula>0.85</formula>
    </cfRule>
  </conditionalFormatting>
  <conditionalFormatting sqref="E21">
    <cfRule type="expression" priority="3828" dxfId="3">
      <formula>AND(IF(OR($Q21=1,$Q21=2),1,0),IF($X21&lt;=20,1,0))</formula>
    </cfRule>
    <cfRule type="expression" priority="3829" dxfId="2">
      <formula>AND(IF($Q21=2,1,0),IF($X21&lt;30,1,0))</formula>
    </cfRule>
    <cfRule type="expression" priority="3830" dxfId="1">
      <formula>AND(IF($Q21=3,1,0),IF($X21&lt;30,1,0))</formula>
    </cfRule>
    <cfRule type="expression" priority="3831" dxfId="0">
      <formula>AND(IF($Q21=3,1,IF($Q21=4,1,0)),IF($F21&lt;=85,1,0))</formula>
    </cfRule>
  </conditionalFormatting>
  <conditionalFormatting sqref="X21">
    <cfRule type="expression" priority="3824" dxfId="3">
      <formula>AND(IF(OR($Q21=1,$Q21=2),1,0),IF($X21&lt;=20,1,0))</formula>
    </cfRule>
    <cfRule type="expression" priority="3825" dxfId="2">
      <formula>AND(IF($Q21=2,1,0),IF($X21&lt;30,1,0))</formula>
    </cfRule>
    <cfRule type="expression" priority="3826" dxfId="1">
      <formula>AND(IF($Q21=3,1,0),IF($X21&lt;30,1,0))</formula>
    </cfRule>
    <cfRule type="expression" priority="3827" dxfId="0">
      <formula>AND(IF($Q21=3,1,IF($Q21=4,1,0)),IF($F21&lt;=85,1,0))</formula>
    </cfRule>
  </conditionalFormatting>
  <conditionalFormatting sqref="AI21">
    <cfRule type="expression" priority="3820" dxfId="3">
      <formula>AND(IF(OR($Q21=1,$Q21=2),1,0),IF($X21&lt;=20,1,0))</formula>
    </cfRule>
    <cfRule type="expression" priority="3821" dxfId="2">
      <formula>AND(IF($Q21=2,1,0),IF($X21&lt;30,1,0))</formula>
    </cfRule>
    <cfRule type="expression" priority="3822" dxfId="1">
      <formula>AND(IF($Q21=3,1,0),IF($X21&lt;30,1,0))</formula>
    </cfRule>
    <cfRule type="expression" priority="3823" dxfId="0">
      <formula>AND(IF($Q21=3,1,IF($Q21=4,1,0)),IF($F21&lt;=85,1,0))</formula>
    </cfRule>
  </conditionalFormatting>
  <conditionalFormatting sqref="AV22">
    <cfRule type="expression" priority="3818" dxfId="17">
      <formula>AV22="X"</formula>
    </cfRule>
    <cfRule type="expression" priority="3819" dxfId="16">
      <formula>AV22="후보"</formula>
    </cfRule>
  </conditionalFormatting>
  <conditionalFormatting sqref="AC22">
    <cfRule type="cellIs" priority="3815" operator="greaterThan" dxfId="13">
      <formula>0.9</formula>
    </cfRule>
    <cfRule type="cellIs" priority="3816" operator="greaterThan" dxfId="12">
      <formula>0.85</formula>
    </cfRule>
  </conditionalFormatting>
  <conditionalFormatting sqref="N22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E22">
    <cfRule type="expression" priority="3809" dxfId="3">
      <formula>AND(IF(OR($Q22=1,$Q22=2),1,0),IF($X22&lt;=20,1,0))</formula>
    </cfRule>
    <cfRule type="expression" priority="3810" dxfId="2">
      <formula>AND(IF($Q22=2,1,0),IF($X22&lt;30,1,0))</formula>
    </cfRule>
    <cfRule type="expression" priority="3811" dxfId="1">
      <formula>AND(IF($Q22=3,1,0),IF($X22&lt;30,1,0))</formula>
    </cfRule>
    <cfRule type="expression" priority="3812" dxfId="0">
      <formula>AND(IF($Q22=3,1,IF($Q22=4,1,0)),IF($F22&lt;=85,1,0))</formula>
    </cfRule>
  </conditionalFormatting>
  <conditionalFormatting sqref="X22">
    <cfRule type="expression" priority="3805" dxfId="3">
      <formula>AND(IF(OR($Q22=1,$Q22=2),1,0),IF($X22&lt;=20,1,0))</formula>
    </cfRule>
    <cfRule type="expression" priority="3806" dxfId="2">
      <formula>AND(IF($Q22=2,1,0),IF($X22&lt;30,1,0))</formula>
    </cfRule>
    <cfRule type="expression" priority="3807" dxfId="1">
      <formula>AND(IF($Q22=3,1,0),IF($X22&lt;30,1,0))</formula>
    </cfRule>
    <cfRule type="expression" priority="3808" dxfId="0">
      <formula>AND(IF($Q22=3,1,IF($Q22=4,1,0)),IF($F22&lt;=85,1,0))</formula>
    </cfRule>
  </conditionalFormatting>
  <conditionalFormatting sqref="AI22">
    <cfRule type="expression" priority="3801" dxfId="3">
      <formula>AND(IF(OR($Q22=1,$Q22=2),1,0),IF($X22&lt;=20,1,0))</formula>
    </cfRule>
    <cfRule type="expression" priority="3802" dxfId="2">
      <formula>AND(IF($Q22=2,1,0),IF($X22&lt;30,1,0))</formula>
    </cfRule>
    <cfRule type="expression" priority="3803" dxfId="1">
      <formula>AND(IF($Q22=3,1,0),IF($X22&lt;30,1,0))</formula>
    </cfRule>
    <cfRule type="expression" priority="3804" dxfId="0">
      <formula>AND(IF($Q22=3,1,IF($Q22=4,1,0)),IF($F22&lt;=85,1,0))</formula>
    </cfRule>
  </conditionalFormatting>
  <conditionalFormatting sqref="AV23">
    <cfRule type="expression" priority="3799" dxfId="17">
      <formula>AV23="X"</formula>
    </cfRule>
    <cfRule type="expression" priority="3800" dxfId="16">
      <formula>AV23="후보"</formula>
    </cfRule>
  </conditionalFormatting>
  <conditionalFormatting sqref="AC23">
    <cfRule type="cellIs" priority="3796" operator="greaterThan" dxfId="13">
      <formula>0.9</formula>
    </cfRule>
    <cfRule type="cellIs" priority="3797" operator="greaterThan" dxfId="12">
      <formula>0.85</formula>
    </cfRule>
  </conditionalFormatting>
  <conditionalFormatting sqref="N23">
    <cfRule type="cellIs" priority="3794" operator="greaterThan" dxfId="13">
      <formula>0.9</formula>
    </cfRule>
    <cfRule type="cellIs" priority="3795" operator="greaterThan" dxfId="12">
      <formula>0.85</formula>
    </cfRule>
  </conditionalFormatting>
  <conditionalFormatting sqref="E23">
    <cfRule type="expression" priority="3790" dxfId="3">
      <formula>AND(IF(OR($Q23=1,$Q23=2),1,0),IF($X23&lt;=20,1,0))</formula>
    </cfRule>
    <cfRule type="expression" priority="3791" dxfId="2">
      <formula>AND(IF($Q23=2,1,0),IF($X23&lt;30,1,0))</formula>
    </cfRule>
    <cfRule type="expression" priority="3792" dxfId="1">
      <formula>AND(IF($Q23=3,1,0),IF($X23&lt;30,1,0))</formula>
    </cfRule>
    <cfRule type="expression" priority="3793" dxfId="0">
      <formula>AND(IF($Q23=3,1,IF($Q23=4,1,0)),IF($F23&lt;=85,1,0))</formula>
    </cfRule>
  </conditionalFormatting>
  <conditionalFormatting sqref="X23">
    <cfRule type="expression" priority="3786" dxfId="3">
      <formula>AND(IF(OR($Q23=1,$Q23=2),1,0),IF($X23&lt;=20,1,0))</formula>
    </cfRule>
    <cfRule type="expression" priority="3787" dxfId="2">
      <formula>AND(IF($Q23=2,1,0),IF($X23&lt;30,1,0))</formula>
    </cfRule>
    <cfRule type="expression" priority="3788" dxfId="1">
      <formula>AND(IF($Q23=3,1,0),IF($X23&lt;30,1,0))</formula>
    </cfRule>
    <cfRule type="expression" priority="3789" dxfId="0">
      <formula>AND(IF($Q23=3,1,IF($Q23=4,1,0)),IF($F23&lt;=85,1,0))</formula>
    </cfRule>
  </conditionalFormatting>
  <conditionalFormatting sqref="AI23">
    <cfRule type="expression" priority="3782" dxfId="3">
      <formula>AND(IF(OR($Q23=1,$Q23=2),1,0),IF($X23&lt;=20,1,0))</formula>
    </cfRule>
    <cfRule type="expression" priority="3783" dxfId="2">
      <formula>AND(IF($Q23=2,1,0),IF($X23&lt;30,1,0))</formula>
    </cfRule>
    <cfRule type="expression" priority="3784" dxfId="1">
      <formula>AND(IF($Q23=3,1,0),IF($X23&lt;30,1,0))</formula>
    </cfRule>
    <cfRule type="expression" priority="3785" dxfId="0">
      <formula>AND(IF($Q23=3,1,IF($Q23=4,1,0)),IF($F23&lt;=85,1,0))</formula>
    </cfRule>
  </conditionalFormatting>
  <conditionalFormatting sqref="AV24">
    <cfRule type="expression" priority="3780" dxfId="17">
      <formula>AV24="X"</formula>
    </cfRule>
    <cfRule type="expression" priority="3781" dxfId="16">
      <formula>AV24="후보"</formula>
    </cfRule>
  </conditionalFormatting>
  <conditionalFormatting sqref="AC24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24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24">
    <cfRule type="expression" priority="3771" dxfId="3">
      <formula>AND(IF(OR($Q24=1,$Q24=2),1,0),IF($X24&lt;=20,1,0))</formula>
    </cfRule>
    <cfRule type="expression" priority="3772" dxfId="2">
      <formula>AND(IF($Q24=2,1,0),IF($X24&lt;30,1,0))</formula>
    </cfRule>
    <cfRule type="expression" priority="3773" dxfId="1">
      <formula>AND(IF($Q24=3,1,0),IF($X24&lt;30,1,0))</formula>
    </cfRule>
    <cfRule type="expression" priority="3774" dxfId="0">
      <formula>AND(IF($Q24=3,1,IF($Q24=4,1,0)),IF($F24&lt;=85,1,0))</formula>
    </cfRule>
  </conditionalFormatting>
  <conditionalFormatting sqref="X24">
    <cfRule type="expression" priority="3767" dxfId="3">
      <formula>AND(IF(OR($Q24=1,$Q24=2),1,0),IF($X24&lt;=20,1,0))</formula>
    </cfRule>
    <cfRule type="expression" priority="3768" dxfId="2">
      <formula>AND(IF($Q24=2,1,0),IF($X24&lt;30,1,0))</formula>
    </cfRule>
    <cfRule type="expression" priority="3769" dxfId="1">
      <formula>AND(IF($Q24=3,1,0),IF($X24&lt;30,1,0))</formula>
    </cfRule>
    <cfRule type="expression" priority="3770" dxfId="0">
      <formula>AND(IF($Q24=3,1,IF($Q24=4,1,0)),IF($F24&lt;=85,1,0))</formula>
    </cfRule>
  </conditionalFormatting>
  <conditionalFormatting sqref="AI24">
    <cfRule type="expression" priority="3763" dxfId="3">
      <formula>AND(IF(OR($Q24=1,$Q24=2),1,0),IF($X24&lt;=20,1,0))</formula>
    </cfRule>
    <cfRule type="expression" priority="3764" dxfId="2">
      <formula>AND(IF($Q24=2,1,0),IF($X24&lt;30,1,0))</formula>
    </cfRule>
    <cfRule type="expression" priority="3765" dxfId="1">
      <formula>AND(IF($Q24=3,1,0),IF($X24&lt;30,1,0))</formula>
    </cfRule>
    <cfRule type="expression" priority="3766" dxfId="0">
      <formula>AND(IF($Q24=3,1,IF($Q24=4,1,0)),IF($F24&lt;=85,1,0))</formula>
    </cfRule>
  </conditionalFormatting>
  <conditionalFormatting sqref="AV25">
    <cfRule type="expression" priority="3761" dxfId="17">
      <formula>AV25="X"</formula>
    </cfRule>
    <cfRule type="expression" priority="3762" dxfId="16">
      <formula>AV25="후보"</formula>
    </cfRule>
  </conditionalFormatting>
  <conditionalFormatting sqref="AC25 N25">
    <cfRule type="cellIs" priority="3758" operator="greaterThan" dxfId="13">
      <formula>0.9</formula>
    </cfRule>
    <cfRule type="cellIs" priority="3759" operator="greaterThan" dxfId="12">
      <formula>0.85</formula>
    </cfRule>
  </conditionalFormatting>
  <conditionalFormatting sqref="AV26">
    <cfRule type="expression" priority="3756" dxfId="17">
      <formula>AV26="X"</formula>
    </cfRule>
    <cfRule type="expression" priority="3757" dxfId="16">
      <formula>AV26="후보"</formula>
    </cfRule>
  </conditionalFormatting>
  <conditionalFormatting sqref="AC26">
    <cfRule type="cellIs" priority="3753" operator="greaterThan" dxfId="13">
      <formula>0.9</formula>
    </cfRule>
    <cfRule type="cellIs" priority="3754" operator="greaterThan" dxfId="12">
      <formula>0.85</formula>
    </cfRule>
  </conditionalFormatting>
  <conditionalFormatting sqref="N26">
    <cfRule type="cellIs" priority="3751" operator="greaterThan" dxfId="13">
      <formula>0.9</formula>
    </cfRule>
    <cfRule type="cellIs" priority="3752" operator="greaterThan" dxfId="12">
      <formula>0.85</formula>
    </cfRule>
  </conditionalFormatting>
  <conditionalFormatting sqref="E26">
    <cfRule type="expression" priority="3747" dxfId="3">
      <formula>AND(IF(OR($Q26=1,$Q26=2),1,0),IF($X26&lt;=20,1,0))</formula>
    </cfRule>
    <cfRule type="expression" priority="3748" dxfId="2">
      <formula>AND(IF($Q26=2,1,0),IF($X26&lt;30,1,0))</formula>
    </cfRule>
    <cfRule type="expression" priority="3749" dxfId="1">
      <formula>AND(IF($Q26=3,1,0),IF($X26&lt;30,1,0))</formula>
    </cfRule>
    <cfRule type="expression" priority="3750" dxfId="0">
      <formula>AND(IF($Q26=3,1,IF($Q26=4,1,0)),IF($F26&lt;=85,1,0))</formula>
    </cfRule>
  </conditionalFormatting>
  <conditionalFormatting sqref="X26">
    <cfRule type="expression" priority="3743" dxfId="3">
      <formula>AND(IF(OR($Q26=1,$Q26=2),1,0),IF($X26&lt;=20,1,0))</formula>
    </cfRule>
    <cfRule type="expression" priority="3744" dxfId="2">
      <formula>AND(IF($Q26=2,1,0),IF($X26&lt;30,1,0))</formula>
    </cfRule>
    <cfRule type="expression" priority="3745" dxfId="1">
      <formula>AND(IF($Q26=3,1,0),IF($X26&lt;30,1,0))</formula>
    </cfRule>
    <cfRule type="expression" priority="3746" dxfId="0">
      <formula>AND(IF($Q26=3,1,IF($Q26=4,1,0)),IF($F26&lt;=85,1,0))</formula>
    </cfRule>
  </conditionalFormatting>
  <conditionalFormatting sqref="AI26">
    <cfRule type="expression" priority="3739" dxfId="3">
      <formula>AND(IF(OR($Q26=1,$Q26=2),1,0),IF($X26&lt;=20,1,0))</formula>
    </cfRule>
    <cfRule type="expression" priority="3740" dxfId="2">
      <formula>AND(IF($Q26=2,1,0),IF($X26&lt;30,1,0))</formula>
    </cfRule>
    <cfRule type="expression" priority="3741" dxfId="1">
      <formula>AND(IF($Q26=3,1,0),IF($X26&lt;30,1,0))</formula>
    </cfRule>
    <cfRule type="expression" priority="3742" dxfId="0">
      <formula>AND(IF($Q26=3,1,IF($Q26=4,1,0)),IF($F26&lt;=85,1,0))</formula>
    </cfRule>
  </conditionalFormatting>
  <conditionalFormatting sqref="AV27">
    <cfRule type="expression" priority="3737" dxfId="17">
      <formula>AV27="X"</formula>
    </cfRule>
    <cfRule type="expression" priority="3738" dxfId="16">
      <formula>AV27="후보"</formula>
    </cfRule>
  </conditionalFormatting>
  <conditionalFormatting sqref="AC27">
    <cfRule type="cellIs" priority="3734" operator="greaterThan" dxfId="13">
      <formula>0.9</formula>
    </cfRule>
    <cfRule type="cellIs" priority="3735" operator="greaterThan" dxfId="12">
      <formula>0.85</formula>
    </cfRule>
  </conditionalFormatting>
  <conditionalFormatting sqref="N27">
    <cfRule type="cellIs" priority="3732" operator="greaterThan" dxfId="13">
      <formula>0.9</formula>
    </cfRule>
    <cfRule type="cellIs" priority="3733" operator="greaterThan" dxfId="12">
      <formula>0.85</formula>
    </cfRule>
  </conditionalFormatting>
  <conditionalFormatting sqref="E27">
    <cfRule type="expression" priority="3728" dxfId="3">
      <formula>AND(IF(OR($Q27=1,$Q27=2),1,0),IF($X27&lt;=20,1,0))</formula>
    </cfRule>
    <cfRule type="expression" priority="3729" dxfId="2">
      <formula>AND(IF($Q27=2,1,0),IF($X27&lt;30,1,0))</formula>
    </cfRule>
    <cfRule type="expression" priority="3730" dxfId="1">
      <formula>AND(IF($Q27=3,1,0),IF($X27&lt;30,1,0))</formula>
    </cfRule>
    <cfRule type="expression" priority="3731" dxfId="0">
      <formula>AND(IF($Q27=3,1,IF($Q27=4,1,0)),IF($F27&lt;=85,1,0))</formula>
    </cfRule>
  </conditionalFormatting>
  <conditionalFormatting sqref="X27">
    <cfRule type="expression" priority="3724" dxfId="3">
      <formula>AND(IF(OR($Q27=1,$Q27=2),1,0),IF($X27&lt;=20,1,0))</formula>
    </cfRule>
    <cfRule type="expression" priority="3725" dxfId="2">
      <formula>AND(IF($Q27=2,1,0),IF($X27&lt;30,1,0))</formula>
    </cfRule>
    <cfRule type="expression" priority="3726" dxfId="1">
      <formula>AND(IF($Q27=3,1,0),IF($X27&lt;30,1,0))</formula>
    </cfRule>
    <cfRule type="expression" priority="3727" dxfId="0">
      <formula>AND(IF($Q27=3,1,IF($Q27=4,1,0)),IF($F27&lt;=85,1,0))</formula>
    </cfRule>
  </conditionalFormatting>
  <conditionalFormatting sqref="AI27">
    <cfRule type="expression" priority="3720" dxfId="3">
      <formula>AND(IF(OR($Q27=1,$Q27=2),1,0),IF($X27&lt;=20,1,0))</formula>
    </cfRule>
    <cfRule type="expression" priority="3721" dxfId="2">
      <formula>AND(IF($Q27=2,1,0),IF($X27&lt;30,1,0))</formula>
    </cfRule>
    <cfRule type="expression" priority="3722" dxfId="1">
      <formula>AND(IF($Q27=3,1,0),IF($X27&lt;30,1,0))</formula>
    </cfRule>
    <cfRule type="expression" priority="3723" dxfId="0">
      <formula>AND(IF($Q27=3,1,IF($Q27=4,1,0)),IF($F27&lt;=85,1,0))</formula>
    </cfRule>
  </conditionalFormatting>
  <conditionalFormatting sqref="AV28">
    <cfRule type="expression" priority="3718" dxfId="17">
      <formula>AV28="X"</formula>
    </cfRule>
    <cfRule type="expression" priority="3719" dxfId="16">
      <formula>AV28="후보"</formula>
    </cfRule>
  </conditionalFormatting>
  <conditionalFormatting sqref="AC28">
    <cfRule type="cellIs" priority="3715" operator="greaterThan" dxfId="13">
      <formula>0.9</formula>
    </cfRule>
    <cfRule type="cellIs" priority="3716" operator="greaterThan" dxfId="12">
      <formula>0.85</formula>
    </cfRule>
  </conditionalFormatting>
  <conditionalFormatting sqref="N28">
    <cfRule type="cellIs" priority="3713" operator="greaterThan" dxfId="13">
      <formula>0.9</formula>
    </cfRule>
    <cfRule type="cellIs" priority="3714" operator="greaterThan" dxfId="12">
      <formula>0.85</formula>
    </cfRule>
  </conditionalFormatting>
  <conditionalFormatting sqref="E28">
    <cfRule type="expression" priority="3709" dxfId="3">
      <formula>AND(IF(OR($Q28=1,$Q28=2),1,0),IF($X28&lt;=20,1,0))</formula>
    </cfRule>
    <cfRule type="expression" priority="3710" dxfId="2">
      <formula>AND(IF($Q28=2,1,0),IF($X28&lt;30,1,0))</formula>
    </cfRule>
    <cfRule type="expression" priority="3711" dxfId="1">
      <formula>AND(IF($Q28=3,1,0),IF($X28&lt;30,1,0))</formula>
    </cfRule>
    <cfRule type="expression" priority="3712" dxfId="0">
      <formula>AND(IF($Q28=3,1,IF($Q28=4,1,0)),IF($F28&lt;=85,1,0))</formula>
    </cfRule>
  </conditionalFormatting>
  <conditionalFormatting sqref="X28">
    <cfRule type="expression" priority="3705" dxfId="3">
      <formula>AND(IF(OR($Q28=1,$Q28=2),1,0),IF($X28&lt;=20,1,0))</formula>
    </cfRule>
    <cfRule type="expression" priority="3706" dxfId="2">
      <formula>AND(IF($Q28=2,1,0),IF($X28&lt;30,1,0))</formula>
    </cfRule>
    <cfRule type="expression" priority="3707" dxfId="1">
      <formula>AND(IF($Q28=3,1,0),IF($X28&lt;30,1,0))</formula>
    </cfRule>
    <cfRule type="expression" priority="3708" dxfId="0">
      <formula>AND(IF($Q28=3,1,IF($Q28=4,1,0)),IF($F28&lt;=85,1,0))</formula>
    </cfRule>
  </conditionalFormatting>
  <conditionalFormatting sqref="AI28">
    <cfRule type="expression" priority="3701" dxfId="3">
      <formula>AND(IF(OR($Q28=1,$Q28=2),1,0),IF($X28&lt;=20,1,0))</formula>
    </cfRule>
    <cfRule type="expression" priority="3702" dxfId="2">
      <formula>AND(IF($Q28=2,1,0),IF($X28&lt;30,1,0))</formula>
    </cfRule>
    <cfRule type="expression" priority="3703" dxfId="1">
      <formula>AND(IF($Q28=3,1,0),IF($X28&lt;30,1,0))</formula>
    </cfRule>
    <cfRule type="expression" priority="3704" dxfId="0">
      <formula>AND(IF($Q28=3,1,IF($Q28=4,1,0)),IF($F28&lt;=85,1,0))</formula>
    </cfRule>
  </conditionalFormatting>
  <conditionalFormatting sqref="AV29">
    <cfRule type="expression" priority="3699" dxfId="17">
      <formula>AV29="X"</formula>
    </cfRule>
    <cfRule type="expression" priority="3700" dxfId="16">
      <formula>AV29="후보"</formula>
    </cfRule>
  </conditionalFormatting>
  <conditionalFormatting sqref="AC29 N29">
    <cfRule type="cellIs" priority="3696" operator="greaterThan" dxfId="13">
      <formula>0.9</formula>
    </cfRule>
    <cfRule type="cellIs" priority="3697" operator="greaterThan" dxfId="12">
      <formula>0.85</formula>
    </cfRule>
  </conditionalFormatting>
  <conditionalFormatting sqref="AV30">
    <cfRule type="expression" priority="3694" dxfId="17">
      <formula>AV30="X"</formula>
    </cfRule>
    <cfRule type="expression" priority="3695" dxfId="16">
      <formula>AV30="후보"</formula>
    </cfRule>
  </conditionalFormatting>
  <conditionalFormatting sqref="AC30">
    <cfRule type="cellIs" priority="3691" operator="greaterThan" dxfId="13">
      <formula>0.9</formula>
    </cfRule>
    <cfRule type="cellIs" priority="3692" operator="greaterThan" dxfId="12">
      <formula>0.85</formula>
    </cfRule>
  </conditionalFormatting>
  <conditionalFormatting sqref="N30">
    <cfRule type="cellIs" priority="3689" operator="greaterThan" dxfId="13">
      <formula>0.9</formula>
    </cfRule>
    <cfRule type="cellIs" priority="3690" operator="greaterThan" dxfId="12">
      <formula>0.85</formula>
    </cfRule>
  </conditionalFormatting>
  <conditionalFormatting sqref="E30">
    <cfRule type="expression" priority="3685" dxfId="3">
      <formula>AND(IF(OR($Q30=1,$Q30=2),1,0),IF($X30&lt;=20,1,0))</formula>
    </cfRule>
    <cfRule type="expression" priority="3686" dxfId="2">
      <formula>AND(IF($Q30=2,1,0),IF($X30&lt;30,1,0))</formula>
    </cfRule>
    <cfRule type="expression" priority="3687" dxfId="1">
      <formula>AND(IF($Q30=3,1,0),IF($X30&lt;30,1,0))</formula>
    </cfRule>
    <cfRule type="expression" priority="3688" dxfId="0">
      <formula>AND(IF($Q30=3,1,IF($Q30=4,1,0)),IF($F30&lt;=85,1,0))</formula>
    </cfRule>
  </conditionalFormatting>
  <conditionalFormatting sqref="X30">
    <cfRule type="expression" priority="3681" dxfId="3">
      <formula>AND(IF(OR($Q30=1,$Q30=2),1,0),IF($X30&lt;=20,1,0))</formula>
    </cfRule>
    <cfRule type="expression" priority="3682" dxfId="2">
      <formula>AND(IF($Q30=2,1,0),IF($X30&lt;30,1,0))</formula>
    </cfRule>
    <cfRule type="expression" priority="3683" dxfId="1">
      <formula>AND(IF($Q30=3,1,0),IF($X30&lt;30,1,0))</formula>
    </cfRule>
    <cfRule type="expression" priority="3684" dxfId="0">
      <formula>AND(IF($Q30=3,1,IF($Q30=4,1,0)),IF($F30&lt;=85,1,0))</formula>
    </cfRule>
  </conditionalFormatting>
  <conditionalFormatting sqref="AI30">
    <cfRule type="expression" priority="3677" dxfId="3">
      <formula>AND(IF(OR($Q30=1,$Q30=2),1,0),IF($X30&lt;=20,1,0))</formula>
    </cfRule>
    <cfRule type="expression" priority="3678" dxfId="2">
      <formula>AND(IF($Q30=2,1,0),IF($X30&lt;30,1,0))</formula>
    </cfRule>
    <cfRule type="expression" priority="3679" dxfId="1">
      <formula>AND(IF($Q30=3,1,0),IF($X30&lt;30,1,0))</formula>
    </cfRule>
    <cfRule type="expression" priority="3680" dxfId="0">
      <formula>AND(IF($Q30=3,1,IF($Q30=4,1,0)),IF($F30&lt;=85,1,0))</formula>
    </cfRule>
  </conditionalFormatting>
  <conditionalFormatting sqref="AV31">
    <cfRule type="expression" priority="3675" dxfId="17">
      <formula>AV31="X"</formula>
    </cfRule>
    <cfRule type="expression" priority="3676" dxfId="16">
      <formula>AV31="후보"</formula>
    </cfRule>
  </conditionalFormatting>
  <conditionalFormatting sqref="AC31">
    <cfRule type="cellIs" priority="3672" operator="greaterThan" dxfId="13">
      <formula>0.9</formula>
    </cfRule>
    <cfRule type="cellIs" priority="3673" operator="greaterThan" dxfId="12">
      <formula>0.85</formula>
    </cfRule>
  </conditionalFormatting>
  <conditionalFormatting sqref="N31">
    <cfRule type="cellIs" priority="3670" operator="greaterThan" dxfId="13">
      <formula>0.9</formula>
    </cfRule>
    <cfRule type="cellIs" priority="3671" operator="greaterThan" dxfId="12">
      <formula>0.85</formula>
    </cfRule>
  </conditionalFormatting>
  <conditionalFormatting sqref="E31">
    <cfRule type="expression" priority="3666" dxfId="3">
      <formula>AND(IF(OR($Q31=1,$Q31=2),1,0),IF($X31&lt;=20,1,0))</formula>
    </cfRule>
    <cfRule type="expression" priority="3667" dxfId="2">
      <formula>AND(IF($Q31=2,1,0),IF($X31&lt;30,1,0))</formula>
    </cfRule>
    <cfRule type="expression" priority="3668" dxfId="1">
      <formula>AND(IF($Q31=3,1,0),IF($X31&lt;30,1,0))</formula>
    </cfRule>
    <cfRule type="expression" priority="3669" dxfId="0">
      <formula>AND(IF($Q31=3,1,IF($Q31=4,1,0)),IF($F31&lt;=85,1,0))</formula>
    </cfRule>
  </conditionalFormatting>
  <conditionalFormatting sqref="X31">
    <cfRule type="expression" priority="3662" dxfId="3">
      <formula>AND(IF(OR($Q31=1,$Q31=2),1,0),IF($X31&lt;=20,1,0))</formula>
    </cfRule>
    <cfRule type="expression" priority="3663" dxfId="2">
      <formula>AND(IF($Q31=2,1,0),IF($X31&lt;30,1,0))</formula>
    </cfRule>
    <cfRule type="expression" priority="3664" dxfId="1">
      <formula>AND(IF($Q31=3,1,0),IF($X31&lt;30,1,0))</formula>
    </cfRule>
    <cfRule type="expression" priority="3665" dxfId="0">
      <formula>AND(IF($Q31=3,1,IF($Q31=4,1,0)),IF($F31&lt;=85,1,0))</formula>
    </cfRule>
  </conditionalFormatting>
  <conditionalFormatting sqref="AI31">
    <cfRule type="expression" priority="3658" dxfId="3">
      <formula>AND(IF(OR($Q31=1,$Q31=2),1,0),IF($X31&lt;=20,1,0))</formula>
    </cfRule>
    <cfRule type="expression" priority="3659" dxfId="2">
      <formula>AND(IF($Q31=2,1,0),IF($X31&lt;30,1,0))</formula>
    </cfRule>
    <cfRule type="expression" priority="3660" dxfId="1">
      <formula>AND(IF($Q31=3,1,0),IF($X31&lt;30,1,0))</formula>
    </cfRule>
    <cfRule type="expression" priority="3661" dxfId="0">
      <formula>AND(IF($Q31=3,1,IF($Q31=4,1,0)),IF($F31&lt;=85,1,0))</formula>
    </cfRule>
  </conditionalFormatting>
  <conditionalFormatting sqref="AV32">
    <cfRule type="expression" priority="3656" dxfId="17">
      <formula>AV32="X"</formula>
    </cfRule>
    <cfRule type="expression" priority="3657" dxfId="16">
      <formula>AV32="후보"</formula>
    </cfRule>
  </conditionalFormatting>
  <conditionalFormatting sqref="AC32">
    <cfRule type="cellIs" priority="3653" operator="greaterThan" dxfId="13">
      <formula>0.9</formula>
    </cfRule>
    <cfRule type="cellIs" priority="3654" operator="greaterThan" dxfId="12">
      <formula>0.85</formula>
    </cfRule>
  </conditionalFormatting>
  <conditionalFormatting sqref="N32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E32">
    <cfRule type="expression" priority="3647" dxfId="3">
      <formula>AND(IF(OR($Q32=1,$Q32=2),1,0),IF($X32&lt;=20,1,0))</formula>
    </cfRule>
    <cfRule type="expression" priority="3648" dxfId="2">
      <formula>AND(IF($Q32=2,1,0),IF($X32&lt;30,1,0))</formula>
    </cfRule>
    <cfRule type="expression" priority="3649" dxfId="1">
      <formula>AND(IF($Q32=3,1,0),IF($X32&lt;30,1,0))</formula>
    </cfRule>
    <cfRule type="expression" priority="3650" dxfId="0">
      <formula>AND(IF($Q32=3,1,IF($Q32=4,1,0)),IF($F32&lt;=85,1,0))</formula>
    </cfRule>
  </conditionalFormatting>
  <conditionalFormatting sqref="X32">
    <cfRule type="expression" priority="3643" dxfId="3">
      <formula>AND(IF(OR($Q32=1,$Q32=2),1,0),IF($X32&lt;=20,1,0))</formula>
    </cfRule>
    <cfRule type="expression" priority="3644" dxfId="2">
      <formula>AND(IF($Q32=2,1,0),IF($X32&lt;30,1,0))</formula>
    </cfRule>
    <cfRule type="expression" priority="3645" dxfId="1">
      <formula>AND(IF($Q32=3,1,0),IF($X32&lt;30,1,0))</formula>
    </cfRule>
    <cfRule type="expression" priority="3646" dxfId="0">
      <formula>AND(IF($Q32=3,1,IF($Q32=4,1,0)),IF($F32&lt;=85,1,0))</formula>
    </cfRule>
  </conditionalFormatting>
  <conditionalFormatting sqref="AI32">
    <cfRule type="expression" priority="3639" dxfId="3">
      <formula>AND(IF(OR($Q32=1,$Q32=2),1,0),IF($X32&lt;=20,1,0))</formula>
    </cfRule>
    <cfRule type="expression" priority="3640" dxfId="2">
      <formula>AND(IF($Q32=2,1,0),IF($X32&lt;30,1,0))</formula>
    </cfRule>
    <cfRule type="expression" priority="3641" dxfId="1">
      <formula>AND(IF($Q32=3,1,0),IF($X32&lt;30,1,0))</formula>
    </cfRule>
    <cfRule type="expression" priority="3642" dxfId="0">
      <formula>AND(IF($Q32=3,1,IF($Q32=4,1,0)),IF($F32&lt;=85,1,0))</formula>
    </cfRule>
  </conditionalFormatting>
  <conditionalFormatting sqref="AV33">
    <cfRule type="expression" priority="3637" dxfId="17">
      <formula>AV33="X"</formula>
    </cfRule>
    <cfRule type="expression" priority="3638" dxfId="16">
      <formula>AV33="후보"</formula>
    </cfRule>
  </conditionalFormatting>
  <conditionalFormatting sqref="AC33">
    <cfRule type="cellIs" priority="3634" operator="greaterThan" dxfId="13">
      <formula>0.9</formula>
    </cfRule>
    <cfRule type="cellIs" priority="3635" operator="greaterThan" dxfId="12">
      <formula>0.85</formula>
    </cfRule>
  </conditionalFormatting>
  <conditionalFormatting sqref="N33">
    <cfRule type="cellIs" priority="3632" operator="greaterThan" dxfId="13">
      <formula>0.9</formula>
    </cfRule>
    <cfRule type="cellIs" priority="3633" operator="greaterThan" dxfId="12">
      <formula>0.85</formula>
    </cfRule>
  </conditionalFormatting>
  <conditionalFormatting sqref="E33">
    <cfRule type="expression" priority="3628" dxfId="3">
      <formula>AND(IF(OR($Q33=1,$Q33=2),1,0),IF($X33&lt;=20,1,0))</formula>
    </cfRule>
    <cfRule type="expression" priority="3629" dxfId="2">
      <formula>AND(IF($Q33=2,1,0),IF($X33&lt;30,1,0))</formula>
    </cfRule>
    <cfRule type="expression" priority="3630" dxfId="1">
      <formula>AND(IF($Q33=3,1,0),IF($X33&lt;30,1,0))</formula>
    </cfRule>
    <cfRule type="expression" priority="3631" dxfId="0">
      <formula>AND(IF($Q33=3,1,IF($Q33=4,1,0)),IF($F33&lt;=85,1,0))</formula>
    </cfRule>
  </conditionalFormatting>
  <conditionalFormatting sqref="X33">
    <cfRule type="expression" priority="3624" dxfId="3">
      <formula>AND(IF(OR($Q33=1,$Q33=2),1,0),IF($X33&lt;=20,1,0))</formula>
    </cfRule>
    <cfRule type="expression" priority="3625" dxfId="2">
      <formula>AND(IF($Q33=2,1,0),IF($X33&lt;30,1,0))</formula>
    </cfRule>
    <cfRule type="expression" priority="3626" dxfId="1">
      <formula>AND(IF($Q33=3,1,0),IF($X33&lt;30,1,0))</formula>
    </cfRule>
    <cfRule type="expression" priority="3627" dxfId="0">
      <formula>AND(IF($Q33=3,1,IF($Q33=4,1,0)),IF($F33&lt;=85,1,0))</formula>
    </cfRule>
  </conditionalFormatting>
  <conditionalFormatting sqref="AI33">
    <cfRule type="expression" priority="3620" dxfId="3">
      <formula>AND(IF(OR($Q33=1,$Q33=2),1,0),IF($X33&lt;=20,1,0))</formula>
    </cfRule>
    <cfRule type="expression" priority="3621" dxfId="2">
      <formula>AND(IF($Q33=2,1,0),IF($X33&lt;30,1,0))</formula>
    </cfRule>
    <cfRule type="expression" priority="3622" dxfId="1">
      <formula>AND(IF($Q33=3,1,0),IF($X33&lt;30,1,0))</formula>
    </cfRule>
    <cfRule type="expression" priority="3623" dxfId="0">
      <formula>AND(IF($Q33=3,1,IF($Q33=4,1,0)),IF($F33&lt;=85,1,0))</formula>
    </cfRule>
  </conditionalFormatting>
  <conditionalFormatting sqref="AV34">
    <cfRule type="expression" priority="3618" dxfId="17">
      <formula>AV34="X"</formula>
    </cfRule>
    <cfRule type="expression" priority="3619" dxfId="16">
      <formula>AV34="후보"</formula>
    </cfRule>
  </conditionalFormatting>
  <conditionalFormatting sqref="AC34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34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34">
    <cfRule type="expression" priority="3609" dxfId="3">
      <formula>AND(IF(OR($Q34=1,$Q34=2),1,0),IF($X34&lt;=20,1,0))</formula>
    </cfRule>
    <cfRule type="expression" priority="3610" dxfId="2">
      <formula>AND(IF($Q34=2,1,0),IF($X34&lt;30,1,0))</formula>
    </cfRule>
    <cfRule type="expression" priority="3611" dxfId="1">
      <formula>AND(IF($Q34=3,1,0),IF($X34&lt;30,1,0))</formula>
    </cfRule>
    <cfRule type="expression" priority="3612" dxfId="0">
      <formula>AND(IF($Q34=3,1,IF($Q34=4,1,0)),IF($F34&lt;=85,1,0))</formula>
    </cfRule>
  </conditionalFormatting>
  <conditionalFormatting sqref="X34">
    <cfRule type="expression" priority="3605" dxfId="3">
      <formula>AND(IF(OR($Q34=1,$Q34=2),1,0),IF($X34&lt;=20,1,0))</formula>
    </cfRule>
    <cfRule type="expression" priority="3606" dxfId="2">
      <formula>AND(IF($Q34=2,1,0),IF($X34&lt;30,1,0))</formula>
    </cfRule>
    <cfRule type="expression" priority="3607" dxfId="1">
      <formula>AND(IF($Q34=3,1,0),IF($X34&lt;30,1,0))</formula>
    </cfRule>
    <cfRule type="expression" priority="3608" dxfId="0">
      <formula>AND(IF($Q34=3,1,IF($Q34=4,1,0)),IF($F34&lt;=85,1,0))</formula>
    </cfRule>
  </conditionalFormatting>
  <conditionalFormatting sqref="AI34">
    <cfRule type="expression" priority="3601" dxfId="3">
      <formula>AND(IF(OR($Q34=1,$Q34=2),1,0),IF($X34&lt;=20,1,0))</formula>
    </cfRule>
    <cfRule type="expression" priority="3602" dxfId="2">
      <formula>AND(IF($Q34=2,1,0),IF($X34&lt;30,1,0))</formula>
    </cfRule>
    <cfRule type="expression" priority="3603" dxfId="1">
      <formula>AND(IF($Q34=3,1,0),IF($X34&lt;30,1,0))</formula>
    </cfRule>
    <cfRule type="expression" priority="3604" dxfId="0">
      <formula>AND(IF($Q34=3,1,IF($Q34=4,1,0)),IF($F34&lt;=85,1,0))</formula>
    </cfRule>
  </conditionalFormatting>
  <conditionalFormatting sqref="AV35">
    <cfRule type="expression" priority="3599" dxfId="17">
      <formula>AV35="X"</formula>
    </cfRule>
    <cfRule type="expression" priority="3600" dxfId="16">
      <formula>AV35="후보"</formula>
    </cfRule>
  </conditionalFormatting>
  <conditionalFormatting sqref="AC35 N35">
    <cfRule type="cellIs" priority="3596" operator="greaterThan" dxfId="13">
      <formula>0.9</formula>
    </cfRule>
    <cfRule type="cellIs" priority="3597" operator="greaterThan" dxfId="12">
      <formula>0.85</formula>
    </cfRule>
  </conditionalFormatting>
  <conditionalFormatting sqref="AV36">
    <cfRule type="expression" priority="3594" dxfId="17">
      <formula>AV36="X"</formula>
    </cfRule>
    <cfRule type="expression" priority="3595" dxfId="16">
      <formula>AV36="후보"</formula>
    </cfRule>
  </conditionalFormatting>
  <conditionalFormatting sqref="AC36">
    <cfRule type="cellIs" priority="3591" operator="greaterThan" dxfId="13">
      <formula>0.9</formula>
    </cfRule>
    <cfRule type="cellIs" priority="3592" operator="greaterThan" dxfId="12">
      <formula>0.85</formula>
    </cfRule>
  </conditionalFormatting>
  <conditionalFormatting sqref="N36">
    <cfRule type="cellIs" priority="3589" operator="greaterThan" dxfId="13">
      <formula>0.9</formula>
    </cfRule>
    <cfRule type="cellIs" priority="3590" operator="greaterThan" dxfId="12">
      <formula>0.85</formula>
    </cfRule>
  </conditionalFormatting>
  <conditionalFormatting sqref="E36">
    <cfRule type="expression" priority="3585" dxfId="3">
      <formula>AND(IF(OR($Q36=1,$Q36=2),1,0),IF($X36&lt;=20,1,0))</formula>
    </cfRule>
    <cfRule type="expression" priority="3586" dxfId="2">
      <formula>AND(IF($Q36=2,1,0),IF($X36&lt;30,1,0))</formula>
    </cfRule>
    <cfRule type="expression" priority="3587" dxfId="1">
      <formula>AND(IF($Q36=3,1,0),IF($X36&lt;30,1,0))</formula>
    </cfRule>
    <cfRule type="expression" priority="3588" dxfId="0">
      <formula>AND(IF($Q36=3,1,IF($Q36=4,1,0)),IF($F36&lt;=85,1,0))</formula>
    </cfRule>
  </conditionalFormatting>
  <conditionalFormatting sqref="X36">
    <cfRule type="expression" priority="3581" dxfId="3">
      <formula>AND(IF(OR($Q36=1,$Q36=2),1,0),IF($X36&lt;=20,1,0))</formula>
    </cfRule>
    <cfRule type="expression" priority="3582" dxfId="2">
      <formula>AND(IF($Q36=2,1,0),IF($X36&lt;30,1,0))</formula>
    </cfRule>
    <cfRule type="expression" priority="3583" dxfId="1">
      <formula>AND(IF($Q36=3,1,0),IF($X36&lt;30,1,0))</formula>
    </cfRule>
    <cfRule type="expression" priority="3584" dxfId="0">
      <formula>AND(IF($Q36=3,1,IF($Q36=4,1,0)),IF($F36&lt;=85,1,0))</formula>
    </cfRule>
  </conditionalFormatting>
  <conditionalFormatting sqref="AI36">
    <cfRule type="expression" priority="3577" dxfId="3">
      <formula>AND(IF(OR($Q36=1,$Q36=2),1,0),IF($X36&lt;=20,1,0))</formula>
    </cfRule>
    <cfRule type="expression" priority="3578" dxfId="2">
      <formula>AND(IF($Q36=2,1,0),IF($X36&lt;30,1,0))</formula>
    </cfRule>
    <cfRule type="expression" priority="3579" dxfId="1">
      <formula>AND(IF($Q36=3,1,0),IF($X36&lt;30,1,0))</formula>
    </cfRule>
    <cfRule type="expression" priority="3580" dxfId="0">
      <formula>AND(IF($Q36=3,1,IF($Q36=4,1,0)),IF($F36&lt;=85,1,0))</formula>
    </cfRule>
  </conditionalFormatting>
  <conditionalFormatting sqref="AV37">
    <cfRule type="expression" priority="3575" dxfId="17">
      <formula>AV37="X"</formula>
    </cfRule>
    <cfRule type="expression" priority="3576" dxfId="16">
      <formula>AV37="후보"</formula>
    </cfRule>
  </conditionalFormatting>
  <conditionalFormatting sqref="AC37">
    <cfRule type="cellIs" priority="3572" operator="greaterThan" dxfId="13">
      <formula>0.9</formula>
    </cfRule>
    <cfRule type="cellIs" priority="3573" operator="greaterThan" dxfId="12">
      <formula>0.85</formula>
    </cfRule>
  </conditionalFormatting>
  <conditionalFormatting sqref="N37">
    <cfRule type="cellIs" priority="3570" operator="greaterThan" dxfId="13">
      <formula>0.9</formula>
    </cfRule>
    <cfRule type="cellIs" priority="3571" operator="greaterThan" dxfId="12">
      <formula>0.85</formula>
    </cfRule>
  </conditionalFormatting>
  <conditionalFormatting sqref="E37">
    <cfRule type="expression" priority="3566" dxfId="3">
      <formula>AND(IF(OR($Q37=1,$Q37=2),1,0),IF($X37&lt;=20,1,0))</formula>
    </cfRule>
    <cfRule type="expression" priority="3567" dxfId="2">
      <formula>AND(IF($Q37=2,1,0),IF($X37&lt;30,1,0))</formula>
    </cfRule>
    <cfRule type="expression" priority="3568" dxfId="1">
      <formula>AND(IF($Q37=3,1,0),IF($X37&lt;30,1,0))</formula>
    </cfRule>
    <cfRule type="expression" priority="3569" dxfId="0">
      <formula>AND(IF($Q37=3,1,IF($Q37=4,1,0)),IF($F37&lt;=85,1,0))</formula>
    </cfRule>
  </conditionalFormatting>
  <conditionalFormatting sqref="X37">
    <cfRule type="expression" priority="3562" dxfId="3">
      <formula>AND(IF(OR($Q37=1,$Q37=2),1,0),IF($X37&lt;=20,1,0))</formula>
    </cfRule>
    <cfRule type="expression" priority="3563" dxfId="2">
      <formula>AND(IF($Q37=2,1,0),IF($X37&lt;30,1,0))</formula>
    </cfRule>
    <cfRule type="expression" priority="3564" dxfId="1">
      <formula>AND(IF($Q37=3,1,0),IF($X37&lt;30,1,0))</formula>
    </cfRule>
    <cfRule type="expression" priority="3565" dxfId="0">
      <formula>AND(IF($Q37=3,1,IF($Q37=4,1,0)),IF($F37&lt;=85,1,0))</formula>
    </cfRule>
  </conditionalFormatting>
  <conditionalFormatting sqref="AI37">
    <cfRule type="expression" priority="3558" dxfId="3">
      <formula>AND(IF(OR($Q37=1,$Q37=2),1,0),IF($X37&lt;=20,1,0))</formula>
    </cfRule>
    <cfRule type="expression" priority="3559" dxfId="2">
      <formula>AND(IF($Q37=2,1,0),IF($X37&lt;30,1,0))</formula>
    </cfRule>
    <cfRule type="expression" priority="3560" dxfId="1">
      <formula>AND(IF($Q37=3,1,0),IF($X37&lt;30,1,0))</formula>
    </cfRule>
    <cfRule type="expression" priority="3561" dxfId="0">
      <formula>AND(IF($Q37=3,1,IF($Q37=4,1,0)),IF($F37&lt;=85,1,0))</formula>
    </cfRule>
  </conditionalFormatting>
  <conditionalFormatting sqref="AV38">
    <cfRule type="expression" priority="3556" dxfId="17">
      <formula>AV38="X"</formula>
    </cfRule>
    <cfRule type="expression" priority="3557" dxfId="16">
      <formula>AV38="후보"</formula>
    </cfRule>
  </conditionalFormatting>
  <conditionalFormatting sqref="AC38">
    <cfRule type="cellIs" priority="3553" operator="greaterThan" dxfId="13">
      <formula>0.9</formula>
    </cfRule>
    <cfRule type="cellIs" priority="3554" operator="greaterThan" dxfId="12">
      <formula>0.85</formula>
    </cfRule>
  </conditionalFormatting>
  <conditionalFormatting sqref="N38">
    <cfRule type="cellIs" priority="3551" operator="greaterThan" dxfId="13">
      <formula>0.9</formula>
    </cfRule>
    <cfRule type="cellIs" priority="3552" operator="greaterThan" dxfId="12">
      <formula>0.85</formula>
    </cfRule>
  </conditionalFormatting>
  <conditionalFormatting sqref="E38">
    <cfRule type="expression" priority="3547" dxfId="3">
      <formula>AND(IF(OR($Q38=1,$Q38=2),1,0),IF($X38&lt;=20,1,0))</formula>
    </cfRule>
    <cfRule type="expression" priority="3548" dxfId="2">
      <formula>AND(IF($Q38=2,1,0),IF($X38&lt;30,1,0))</formula>
    </cfRule>
    <cfRule type="expression" priority="3549" dxfId="1">
      <formula>AND(IF($Q38=3,1,0),IF($X38&lt;30,1,0))</formula>
    </cfRule>
    <cfRule type="expression" priority="3550" dxfId="0">
      <formula>AND(IF($Q38=3,1,IF($Q38=4,1,0)),IF($F38&lt;=85,1,0))</formula>
    </cfRule>
  </conditionalFormatting>
  <conditionalFormatting sqref="X38">
    <cfRule type="expression" priority="3543" dxfId="3">
      <formula>AND(IF(OR($Q38=1,$Q38=2),1,0),IF($X38&lt;=20,1,0))</formula>
    </cfRule>
    <cfRule type="expression" priority="3544" dxfId="2">
      <formula>AND(IF($Q38=2,1,0),IF($X38&lt;30,1,0))</formula>
    </cfRule>
    <cfRule type="expression" priority="3545" dxfId="1">
      <formula>AND(IF($Q38=3,1,0),IF($X38&lt;30,1,0))</formula>
    </cfRule>
    <cfRule type="expression" priority="3546" dxfId="0">
      <formula>AND(IF($Q38=3,1,IF($Q38=4,1,0)),IF($F38&lt;=85,1,0))</formula>
    </cfRule>
  </conditionalFormatting>
  <conditionalFormatting sqref="AI38">
    <cfRule type="expression" priority="3539" dxfId="3">
      <formula>AND(IF(OR($Q38=1,$Q38=2),1,0),IF($X38&lt;=20,1,0))</formula>
    </cfRule>
    <cfRule type="expression" priority="3540" dxfId="2">
      <formula>AND(IF($Q38=2,1,0),IF($X38&lt;30,1,0))</formula>
    </cfRule>
    <cfRule type="expression" priority="3541" dxfId="1">
      <formula>AND(IF($Q38=3,1,0),IF($X38&lt;30,1,0))</formula>
    </cfRule>
    <cfRule type="expression" priority="3542" dxfId="0">
      <formula>AND(IF($Q38=3,1,IF($Q38=4,1,0)),IF($F38&lt;=85,1,0))</formula>
    </cfRule>
  </conditionalFormatting>
  <conditionalFormatting sqref="AV39">
    <cfRule type="expression" priority="3537" dxfId="17">
      <formula>AV39="X"</formula>
    </cfRule>
    <cfRule type="expression" priority="3538" dxfId="16">
      <formula>AV39="후보"</formula>
    </cfRule>
  </conditionalFormatting>
  <conditionalFormatting sqref="AC39 N39">
    <cfRule type="cellIs" priority="3534" operator="greaterThan" dxfId="13">
      <formula>0.9</formula>
    </cfRule>
    <cfRule type="cellIs" priority="3535" operator="greaterThan" dxfId="12">
      <formula>0.85</formula>
    </cfRule>
  </conditionalFormatting>
  <conditionalFormatting sqref="AV40">
    <cfRule type="expression" priority="3532" dxfId="17">
      <formula>AV40="X"</formula>
    </cfRule>
    <cfRule type="expression" priority="3533" dxfId="16">
      <formula>AV40="후보"</formula>
    </cfRule>
  </conditionalFormatting>
  <conditionalFormatting sqref="AC40">
    <cfRule type="cellIs" priority="3529" operator="greaterThan" dxfId="13">
      <formula>0.9</formula>
    </cfRule>
    <cfRule type="cellIs" priority="3530" operator="greaterThan" dxfId="12">
      <formula>0.85</formula>
    </cfRule>
  </conditionalFormatting>
  <conditionalFormatting sqref="N40">
    <cfRule type="cellIs" priority="3527" operator="greaterThan" dxfId="13">
      <formula>0.9</formula>
    </cfRule>
    <cfRule type="cellIs" priority="3528" operator="greaterThan" dxfId="12">
      <formula>0.85</formula>
    </cfRule>
  </conditionalFormatting>
  <conditionalFormatting sqref="E40">
    <cfRule type="expression" priority="3523" dxfId="3">
      <formula>AND(IF(OR($Q40=1,$Q40=2),1,0),IF($X40&lt;=20,1,0))</formula>
    </cfRule>
    <cfRule type="expression" priority="3524" dxfId="2">
      <formula>AND(IF($Q40=2,1,0),IF($X40&lt;30,1,0))</formula>
    </cfRule>
    <cfRule type="expression" priority="3525" dxfId="1">
      <formula>AND(IF($Q40=3,1,0),IF($X40&lt;30,1,0))</formula>
    </cfRule>
    <cfRule type="expression" priority="3526" dxfId="0">
      <formula>AND(IF($Q40=3,1,IF($Q40=4,1,0)),IF($F40&lt;=85,1,0))</formula>
    </cfRule>
  </conditionalFormatting>
  <conditionalFormatting sqref="X40">
    <cfRule type="expression" priority="3519" dxfId="3">
      <formula>AND(IF(OR($Q40=1,$Q40=2),1,0),IF($X40&lt;=20,1,0))</formula>
    </cfRule>
    <cfRule type="expression" priority="3520" dxfId="2">
      <formula>AND(IF($Q40=2,1,0),IF($X40&lt;30,1,0))</formula>
    </cfRule>
    <cfRule type="expression" priority="3521" dxfId="1">
      <formula>AND(IF($Q40=3,1,0),IF($X40&lt;30,1,0))</formula>
    </cfRule>
    <cfRule type="expression" priority="3522" dxfId="0">
      <formula>AND(IF($Q40=3,1,IF($Q40=4,1,0)),IF($F40&lt;=85,1,0))</formula>
    </cfRule>
  </conditionalFormatting>
  <conditionalFormatting sqref="AI40">
    <cfRule type="expression" priority="3515" dxfId="3">
      <formula>AND(IF(OR($Q40=1,$Q40=2),1,0),IF($X40&lt;=20,1,0))</formula>
    </cfRule>
    <cfRule type="expression" priority="3516" dxfId="2">
      <formula>AND(IF($Q40=2,1,0),IF($X40&lt;30,1,0))</formula>
    </cfRule>
    <cfRule type="expression" priority="3517" dxfId="1">
      <formula>AND(IF($Q40=3,1,0),IF($X40&lt;30,1,0))</formula>
    </cfRule>
    <cfRule type="expression" priority="3518" dxfId="0">
      <formula>AND(IF($Q40=3,1,IF($Q40=4,1,0)),IF($F40&lt;=85,1,0))</formula>
    </cfRule>
  </conditionalFormatting>
  <conditionalFormatting sqref="AV41">
    <cfRule type="expression" priority="3513" dxfId="17">
      <formula>AV41="X"</formula>
    </cfRule>
    <cfRule type="expression" priority="3514" dxfId="16">
      <formula>AV41="후보"</formula>
    </cfRule>
  </conditionalFormatting>
  <conditionalFormatting sqref="AC41">
    <cfRule type="cellIs" priority="3510" operator="greaterThan" dxfId="13">
      <formula>0.9</formula>
    </cfRule>
    <cfRule type="cellIs" priority="3511" operator="greaterThan" dxfId="12">
      <formula>0.85</formula>
    </cfRule>
  </conditionalFormatting>
  <conditionalFormatting sqref="N41">
    <cfRule type="cellIs" priority="3508" operator="greaterThan" dxfId="13">
      <formula>0.9</formula>
    </cfRule>
    <cfRule type="cellIs" priority="3509" operator="greaterThan" dxfId="12">
      <formula>0.85</formula>
    </cfRule>
  </conditionalFormatting>
  <conditionalFormatting sqref="E41">
    <cfRule type="expression" priority="3504" dxfId="3">
      <formula>AND(IF(OR($Q41=1,$Q41=2),1,0),IF($X41&lt;=20,1,0))</formula>
    </cfRule>
    <cfRule type="expression" priority="3505" dxfId="2">
      <formula>AND(IF($Q41=2,1,0),IF($X41&lt;30,1,0))</formula>
    </cfRule>
    <cfRule type="expression" priority="3506" dxfId="1">
      <formula>AND(IF($Q41=3,1,0),IF($X41&lt;30,1,0))</formula>
    </cfRule>
    <cfRule type="expression" priority="3507" dxfId="0">
      <formula>AND(IF($Q41=3,1,IF($Q41=4,1,0)),IF($F41&lt;=85,1,0))</formula>
    </cfRule>
  </conditionalFormatting>
  <conditionalFormatting sqref="X41">
    <cfRule type="expression" priority="3500" dxfId="3">
      <formula>AND(IF(OR($Q41=1,$Q41=2),1,0),IF($X41&lt;=20,1,0))</formula>
    </cfRule>
    <cfRule type="expression" priority="3501" dxfId="2">
      <formula>AND(IF($Q41=2,1,0),IF($X41&lt;30,1,0))</formula>
    </cfRule>
    <cfRule type="expression" priority="3502" dxfId="1">
      <formula>AND(IF($Q41=3,1,0),IF($X41&lt;30,1,0))</formula>
    </cfRule>
    <cfRule type="expression" priority="3503" dxfId="0">
      <formula>AND(IF($Q41=3,1,IF($Q41=4,1,0)),IF($F41&lt;=85,1,0))</formula>
    </cfRule>
  </conditionalFormatting>
  <conditionalFormatting sqref="AI41">
    <cfRule type="expression" priority="3496" dxfId="3">
      <formula>AND(IF(OR($Q41=1,$Q41=2),1,0),IF($X41&lt;=20,1,0))</formula>
    </cfRule>
    <cfRule type="expression" priority="3497" dxfId="2">
      <formula>AND(IF($Q41=2,1,0),IF($X41&lt;30,1,0))</formula>
    </cfRule>
    <cfRule type="expression" priority="3498" dxfId="1">
      <formula>AND(IF($Q41=3,1,0),IF($X41&lt;30,1,0))</formula>
    </cfRule>
    <cfRule type="expression" priority="3499" dxfId="0">
      <formula>AND(IF($Q41=3,1,IF($Q41=4,1,0)),IF($F41&lt;=85,1,0))</formula>
    </cfRule>
  </conditionalFormatting>
  <conditionalFormatting sqref="AV42">
    <cfRule type="expression" priority="3494" dxfId="17">
      <formula>AV42="X"</formula>
    </cfRule>
    <cfRule type="expression" priority="3495" dxfId="16">
      <formula>AV42="후보"</formula>
    </cfRule>
  </conditionalFormatting>
  <conditionalFormatting sqref="AC42">
    <cfRule type="cellIs" priority="3491" operator="greaterThan" dxfId="13">
      <formula>0.9</formula>
    </cfRule>
    <cfRule type="cellIs" priority="3492" operator="greaterThan" dxfId="12">
      <formula>0.85</formula>
    </cfRule>
  </conditionalFormatting>
  <conditionalFormatting sqref="N42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E42">
    <cfRule type="expression" priority="3485" dxfId="3">
      <formula>AND(IF(OR($Q42=1,$Q42=2),1,0),IF($X42&lt;=20,1,0))</formula>
    </cfRule>
    <cfRule type="expression" priority="3486" dxfId="2">
      <formula>AND(IF($Q42=2,1,0),IF($X42&lt;30,1,0))</formula>
    </cfRule>
    <cfRule type="expression" priority="3487" dxfId="1">
      <formula>AND(IF($Q42=3,1,0),IF($X42&lt;30,1,0))</formula>
    </cfRule>
    <cfRule type="expression" priority="3488" dxfId="0">
      <formula>AND(IF($Q42=3,1,IF($Q42=4,1,0)),IF($F42&lt;=85,1,0))</formula>
    </cfRule>
  </conditionalFormatting>
  <conditionalFormatting sqref="X42">
    <cfRule type="expression" priority="3481" dxfId="3">
      <formula>AND(IF(OR($Q42=1,$Q42=2),1,0),IF($X42&lt;=20,1,0))</formula>
    </cfRule>
    <cfRule type="expression" priority="3482" dxfId="2">
      <formula>AND(IF($Q42=2,1,0),IF($X42&lt;30,1,0))</formula>
    </cfRule>
    <cfRule type="expression" priority="3483" dxfId="1">
      <formula>AND(IF($Q42=3,1,0),IF($X42&lt;30,1,0))</formula>
    </cfRule>
    <cfRule type="expression" priority="3484" dxfId="0">
      <formula>AND(IF($Q42=3,1,IF($Q42=4,1,0)),IF($F42&lt;=85,1,0))</formula>
    </cfRule>
  </conditionalFormatting>
  <conditionalFormatting sqref="AI42">
    <cfRule type="expression" priority="3477" dxfId="3">
      <formula>AND(IF(OR($Q42=1,$Q42=2),1,0),IF($X42&lt;=20,1,0))</formula>
    </cfRule>
    <cfRule type="expression" priority="3478" dxfId="2">
      <formula>AND(IF($Q42=2,1,0),IF($X42&lt;30,1,0))</formula>
    </cfRule>
    <cfRule type="expression" priority="3479" dxfId="1">
      <formula>AND(IF($Q42=3,1,0),IF($X42&lt;30,1,0))</formula>
    </cfRule>
    <cfRule type="expression" priority="3480" dxfId="0">
      <formula>AND(IF($Q42=3,1,IF($Q42=4,1,0)),IF($F42&lt;=85,1,0))</formula>
    </cfRule>
  </conditionalFormatting>
  <conditionalFormatting sqref="AV43">
    <cfRule type="expression" priority="3475" dxfId="17">
      <formula>AV43="X"</formula>
    </cfRule>
    <cfRule type="expression" priority="3476" dxfId="16">
      <formula>AV43="후보"</formula>
    </cfRule>
  </conditionalFormatting>
  <conditionalFormatting sqref="AC43">
    <cfRule type="cellIs" priority="3472" operator="greaterThan" dxfId="13">
      <formula>0.9</formula>
    </cfRule>
    <cfRule type="cellIs" priority="3473" operator="greaterThan" dxfId="12">
      <formula>0.85</formula>
    </cfRule>
  </conditionalFormatting>
  <conditionalFormatting sqref="N43">
    <cfRule type="cellIs" priority="3470" operator="greaterThan" dxfId="13">
      <formula>0.9</formula>
    </cfRule>
    <cfRule type="cellIs" priority="3471" operator="greaterThan" dxfId="12">
      <formula>0.85</formula>
    </cfRule>
  </conditionalFormatting>
  <conditionalFormatting sqref="E43">
    <cfRule type="expression" priority="3466" dxfId="3">
      <formula>AND(IF(OR($Q43=1,$Q43=2),1,0),IF($X43&lt;=20,1,0))</formula>
    </cfRule>
    <cfRule type="expression" priority="3467" dxfId="2">
      <formula>AND(IF($Q43=2,1,0),IF($X43&lt;30,1,0))</formula>
    </cfRule>
    <cfRule type="expression" priority="3468" dxfId="1">
      <formula>AND(IF($Q43=3,1,0),IF($X43&lt;30,1,0))</formula>
    </cfRule>
    <cfRule type="expression" priority="3469" dxfId="0">
      <formula>AND(IF($Q43=3,1,IF($Q43=4,1,0)),IF($F43&lt;=85,1,0))</formula>
    </cfRule>
  </conditionalFormatting>
  <conditionalFormatting sqref="X43">
    <cfRule type="expression" priority="3462" dxfId="3">
      <formula>AND(IF(OR($Q43=1,$Q43=2),1,0),IF($X43&lt;=20,1,0))</formula>
    </cfRule>
    <cfRule type="expression" priority="3463" dxfId="2">
      <formula>AND(IF($Q43=2,1,0),IF($X43&lt;30,1,0))</formula>
    </cfRule>
    <cfRule type="expression" priority="3464" dxfId="1">
      <formula>AND(IF($Q43=3,1,0),IF($X43&lt;30,1,0))</formula>
    </cfRule>
    <cfRule type="expression" priority="3465" dxfId="0">
      <formula>AND(IF($Q43=3,1,IF($Q43=4,1,0)),IF($F43&lt;=85,1,0))</formula>
    </cfRule>
  </conditionalFormatting>
  <conditionalFormatting sqref="AI43">
    <cfRule type="expression" priority="3458" dxfId="3">
      <formula>AND(IF(OR($Q43=1,$Q43=2),1,0),IF($X43&lt;=20,1,0))</formula>
    </cfRule>
    <cfRule type="expression" priority="3459" dxfId="2">
      <formula>AND(IF($Q43=2,1,0),IF($X43&lt;30,1,0))</formula>
    </cfRule>
    <cfRule type="expression" priority="3460" dxfId="1">
      <formula>AND(IF($Q43=3,1,0),IF($X43&lt;30,1,0))</formula>
    </cfRule>
    <cfRule type="expression" priority="3461" dxfId="0">
      <formula>AND(IF($Q43=3,1,IF($Q43=4,1,0)),IF($F43&lt;=85,1,0))</formula>
    </cfRule>
  </conditionalFormatting>
  <conditionalFormatting sqref="AV44">
    <cfRule type="expression" priority="3456" dxfId="17">
      <formula>AV44="X"</formula>
    </cfRule>
    <cfRule type="expression" priority="3457" dxfId="16">
      <formula>AV44="후보"</formula>
    </cfRule>
  </conditionalFormatting>
  <conditionalFormatting sqref="AC44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44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44">
    <cfRule type="expression" priority="3447" dxfId="3">
      <formula>AND(IF(OR($Q44=1,$Q44=2),1,0),IF($X44&lt;=20,1,0))</formula>
    </cfRule>
    <cfRule type="expression" priority="3448" dxfId="2">
      <formula>AND(IF($Q44=2,1,0),IF($X44&lt;30,1,0))</formula>
    </cfRule>
    <cfRule type="expression" priority="3449" dxfId="1">
      <formula>AND(IF($Q44=3,1,0),IF($X44&lt;30,1,0))</formula>
    </cfRule>
    <cfRule type="expression" priority="3450" dxfId="0">
      <formula>AND(IF($Q44=3,1,IF($Q44=4,1,0)),IF($F44&lt;=85,1,0))</formula>
    </cfRule>
  </conditionalFormatting>
  <conditionalFormatting sqref="X44">
    <cfRule type="expression" priority="3443" dxfId="3">
      <formula>AND(IF(OR($Q44=1,$Q44=2),1,0),IF($X44&lt;=20,1,0))</formula>
    </cfRule>
    <cfRule type="expression" priority="3444" dxfId="2">
      <formula>AND(IF($Q44=2,1,0),IF($X44&lt;30,1,0))</formula>
    </cfRule>
    <cfRule type="expression" priority="3445" dxfId="1">
      <formula>AND(IF($Q44=3,1,0),IF($X44&lt;30,1,0))</formula>
    </cfRule>
    <cfRule type="expression" priority="3446" dxfId="0">
      <formula>AND(IF($Q44=3,1,IF($Q44=4,1,0)),IF($F44&lt;=85,1,0))</formula>
    </cfRule>
  </conditionalFormatting>
  <conditionalFormatting sqref="AI44">
    <cfRule type="expression" priority="3439" dxfId="3">
      <formula>AND(IF(OR($Q44=1,$Q44=2),1,0),IF($X44&lt;=20,1,0))</formula>
    </cfRule>
    <cfRule type="expression" priority="3440" dxfId="2">
      <formula>AND(IF($Q44=2,1,0),IF($X44&lt;30,1,0))</formula>
    </cfRule>
    <cfRule type="expression" priority="3441" dxfId="1">
      <formula>AND(IF($Q44=3,1,0),IF($X44&lt;30,1,0))</formula>
    </cfRule>
    <cfRule type="expression" priority="3442" dxfId="0">
      <formula>AND(IF($Q44=3,1,IF($Q44=4,1,0)),IF($F44&lt;=85,1,0))</formula>
    </cfRule>
  </conditionalFormatting>
  <conditionalFormatting sqref="AV45">
    <cfRule type="expression" priority="3437" dxfId="17">
      <formula>AV45="X"</formula>
    </cfRule>
    <cfRule type="expression" priority="3438" dxfId="16">
      <formula>AV45="후보"</formula>
    </cfRule>
  </conditionalFormatting>
  <conditionalFormatting sqref="AC45">
    <cfRule type="cellIs" priority="3434" operator="greaterThan" dxfId="13">
      <formula>0.9</formula>
    </cfRule>
    <cfRule type="cellIs" priority="3435" operator="greaterThan" dxfId="12">
      <formula>0.85</formula>
    </cfRule>
  </conditionalFormatting>
  <conditionalFormatting sqref="N45">
    <cfRule type="cellIs" priority="3432" operator="greaterThan" dxfId="13">
      <formula>0.9</formula>
    </cfRule>
    <cfRule type="cellIs" priority="3433" operator="greaterThan" dxfId="12">
      <formula>0.85</formula>
    </cfRule>
  </conditionalFormatting>
  <conditionalFormatting sqref="E45">
    <cfRule type="expression" priority="3428" dxfId="3">
      <formula>AND(IF(OR($Q45=1,$Q45=2),1,0),IF($X45&lt;=20,1,0))</formula>
    </cfRule>
    <cfRule type="expression" priority="3429" dxfId="2">
      <formula>AND(IF($Q45=2,1,0),IF($X45&lt;30,1,0))</formula>
    </cfRule>
    <cfRule type="expression" priority="3430" dxfId="1">
      <formula>AND(IF($Q45=3,1,0),IF($X45&lt;30,1,0))</formula>
    </cfRule>
    <cfRule type="expression" priority="3431" dxfId="0">
      <formula>AND(IF($Q45=3,1,IF($Q45=4,1,0)),IF($F45&lt;=85,1,0))</formula>
    </cfRule>
  </conditionalFormatting>
  <conditionalFormatting sqref="X45">
    <cfRule type="expression" priority="3424" dxfId="3">
      <formula>AND(IF(OR($Q45=1,$Q45=2),1,0),IF($X45&lt;=20,1,0))</formula>
    </cfRule>
    <cfRule type="expression" priority="3425" dxfId="2">
      <formula>AND(IF($Q45=2,1,0),IF($X45&lt;30,1,0))</formula>
    </cfRule>
    <cfRule type="expression" priority="3426" dxfId="1">
      <formula>AND(IF($Q45=3,1,0),IF($X45&lt;30,1,0))</formula>
    </cfRule>
    <cfRule type="expression" priority="3427" dxfId="0">
      <formula>AND(IF($Q45=3,1,IF($Q45=4,1,0)),IF($F45&lt;=85,1,0))</formula>
    </cfRule>
  </conditionalFormatting>
  <conditionalFormatting sqref="AI45">
    <cfRule type="expression" priority="3420" dxfId="3">
      <formula>AND(IF(OR($Q45=1,$Q45=2),1,0),IF($X45&lt;=20,1,0))</formula>
    </cfRule>
    <cfRule type="expression" priority="3421" dxfId="2">
      <formula>AND(IF($Q45=2,1,0),IF($X45&lt;30,1,0))</formula>
    </cfRule>
    <cfRule type="expression" priority="3422" dxfId="1">
      <formula>AND(IF($Q45=3,1,0),IF($X45&lt;30,1,0))</formula>
    </cfRule>
    <cfRule type="expression" priority="3423" dxfId="0">
      <formula>AND(IF($Q45=3,1,IF($Q45=4,1,0)),IF($F45&lt;=85,1,0))</formula>
    </cfRule>
  </conditionalFormatting>
  <conditionalFormatting sqref="AV46">
    <cfRule type="expression" priority="3418" dxfId="17">
      <formula>AV46="X"</formula>
    </cfRule>
    <cfRule type="expression" priority="3419" dxfId="16">
      <formula>AV46="후보"</formula>
    </cfRule>
  </conditionalFormatting>
  <conditionalFormatting sqref="AC46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46">
    <cfRule type="cellIs" priority="3413" operator="greaterThan" dxfId="13">
      <formula>0.9</formula>
    </cfRule>
    <cfRule type="cellIs" priority="3414" operator="greaterThan" dxfId="12">
      <formula>0.85</formula>
    </cfRule>
  </conditionalFormatting>
  <conditionalFormatting sqref="E46">
    <cfRule type="expression" priority="3409" dxfId="3">
      <formula>AND(IF(OR($Q46=1,$Q46=2),1,0),IF($X46&lt;=20,1,0))</formula>
    </cfRule>
    <cfRule type="expression" priority="3410" dxfId="2">
      <formula>AND(IF($Q46=2,1,0),IF($X46&lt;30,1,0))</formula>
    </cfRule>
    <cfRule type="expression" priority="3411" dxfId="1">
      <formula>AND(IF($Q46=3,1,0),IF($X46&lt;30,1,0))</formula>
    </cfRule>
    <cfRule type="expression" priority="3412" dxfId="0">
      <formula>AND(IF($Q46=3,1,IF($Q46=4,1,0)),IF($F46&lt;=85,1,0))</formula>
    </cfRule>
  </conditionalFormatting>
  <conditionalFormatting sqref="X46">
    <cfRule type="expression" priority="3405" dxfId="3">
      <formula>AND(IF(OR($Q46=1,$Q46=2),1,0),IF($X46&lt;=20,1,0))</formula>
    </cfRule>
    <cfRule type="expression" priority="3406" dxfId="2">
      <formula>AND(IF($Q46=2,1,0),IF($X46&lt;30,1,0))</formula>
    </cfRule>
    <cfRule type="expression" priority="3407" dxfId="1">
      <formula>AND(IF($Q46=3,1,0),IF($X46&lt;30,1,0))</formula>
    </cfRule>
    <cfRule type="expression" priority="3408" dxfId="0">
      <formula>AND(IF($Q46=3,1,IF($Q46=4,1,0)),IF($F46&lt;=85,1,0))</formula>
    </cfRule>
  </conditionalFormatting>
  <conditionalFormatting sqref="AI46">
    <cfRule type="expression" priority="3401" dxfId="3">
      <formula>AND(IF(OR($Q46=1,$Q46=2),1,0),IF($X46&lt;=20,1,0))</formula>
    </cfRule>
    <cfRule type="expression" priority="3402" dxfId="2">
      <formula>AND(IF($Q46=2,1,0),IF($X46&lt;30,1,0))</formula>
    </cfRule>
    <cfRule type="expression" priority="3403" dxfId="1">
      <formula>AND(IF($Q46=3,1,0),IF($X46&lt;30,1,0))</formula>
    </cfRule>
    <cfRule type="expression" priority="3404" dxfId="0">
      <formula>AND(IF($Q46=3,1,IF($Q46=4,1,0)),IF($F46&lt;=85,1,0))</formula>
    </cfRule>
  </conditionalFormatting>
  <conditionalFormatting sqref="AV47">
    <cfRule type="expression" priority="3399" dxfId="17">
      <formula>AV47="X"</formula>
    </cfRule>
    <cfRule type="expression" priority="3400" dxfId="16">
      <formula>AV47="후보"</formula>
    </cfRule>
  </conditionalFormatting>
  <conditionalFormatting sqref="AC47">
    <cfRule type="cellIs" priority="3396" operator="greaterThan" dxfId="13">
      <formula>0.9</formula>
    </cfRule>
    <cfRule type="cellIs" priority="3397" operator="greaterThan" dxfId="12">
      <formula>0.85</formula>
    </cfRule>
  </conditionalFormatting>
  <conditionalFormatting sqref="N47">
    <cfRule type="cellIs" priority="3394" operator="greaterThan" dxfId="13">
      <formula>0.9</formula>
    </cfRule>
    <cfRule type="cellIs" priority="3395" operator="greaterThan" dxfId="12">
      <formula>0.85</formula>
    </cfRule>
  </conditionalFormatting>
  <conditionalFormatting sqref="E47">
    <cfRule type="expression" priority="3390" dxfId="3">
      <formula>AND(IF(OR($Q47=1,$Q47=2),1,0),IF($X47&lt;=20,1,0))</formula>
    </cfRule>
    <cfRule type="expression" priority="3391" dxfId="2">
      <formula>AND(IF($Q47=2,1,0),IF($X47&lt;30,1,0))</formula>
    </cfRule>
    <cfRule type="expression" priority="3392" dxfId="1">
      <formula>AND(IF($Q47=3,1,0),IF($X47&lt;30,1,0))</formula>
    </cfRule>
    <cfRule type="expression" priority="3393" dxfId="0">
      <formula>AND(IF($Q47=3,1,IF($Q47=4,1,0)),IF($F47&lt;=85,1,0))</formula>
    </cfRule>
  </conditionalFormatting>
  <conditionalFormatting sqref="X47">
    <cfRule type="expression" priority="3386" dxfId="3">
      <formula>AND(IF(OR($Q47=1,$Q47=2),1,0),IF($X47&lt;=20,1,0))</formula>
    </cfRule>
    <cfRule type="expression" priority="3387" dxfId="2">
      <formula>AND(IF($Q47=2,1,0),IF($X47&lt;30,1,0))</formula>
    </cfRule>
    <cfRule type="expression" priority="3388" dxfId="1">
      <formula>AND(IF($Q47=3,1,0),IF($X47&lt;30,1,0))</formula>
    </cfRule>
    <cfRule type="expression" priority="3389" dxfId="0">
      <formula>AND(IF($Q47=3,1,IF($Q47=4,1,0)),IF($F47&lt;=85,1,0))</formula>
    </cfRule>
  </conditionalFormatting>
  <conditionalFormatting sqref="AI47">
    <cfRule type="expression" priority="3382" dxfId="3">
      <formula>AND(IF(OR($Q47=1,$Q47=2),1,0),IF($X47&lt;=20,1,0))</formula>
    </cfRule>
    <cfRule type="expression" priority="3383" dxfId="2">
      <formula>AND(IF($Q47=2,1,0),IF($X47&lt;30,1,0))</formula>
    </cfRule>
    <cfRule type="expression" priority="3384" dxfId="1">
      <formula>AND(IF($Q47=3,1,0),IF($X47&lt;30,1,0))</formula>
    </cfRule>
    <cfRule type="expression" priority="3385" dxfId="0">
      <formula>AND(IF($Q47=3,1,IF($Q47=4,1,0)),IF($F47&lt;=85,1,0))</formula>
    </cfRule>
  </conditionalFormatting>
  <conditionalFormatting sqref="AV48">
    <cfRule type="expression" priority="3380" dxfId="17">
      <formula>AV48="X"</formula>
    </cfRule>
    <cfRule type="expression" priority="3381" dxfId="16">
      <formula>AV48="후보"</formula>
    </cfRule>
  </conditionalFormatting>
  <conditionalFormatting sqref="AC48">
    <cfRule type="cellIs" priority="3377" operator="greaterThan" dxfId="13">
      <formula>0.9</formula>
    </cfRule>
    <cfRule type="cellIs" priority="3378" operator="greaterThan" dxfId="12">
      <formula>0.85</formula>
    </cfRule>
  </conditionalFormatting>
  <conditionalFormatting sqref="N48">
    <cfRule type="cellIs" priority="3375" operator="greaterThan" dxfId="13">
      <formula>0.9</formula>
    </cfRule>
    <cfRule type="cellIs" priority="3376" operator="greaterThan" dxfId="12">
      <formula>0.85</formula>
    </cfRule>
  </conditionalFormatting>
  <conditionalFormatting sqref="E48">
    <cfRule type="expression" priority="3371" dxfId="3">
      <formula>AND(IF(OR($Q48=1,$Q48=2),1,0),IF($X48&lt;=20,1,0))</formula>
    </cfRule>
    <cfRule type="expression" priority="3372" dxfId="2">
      <formula>AND(IF($Q48=2,1,0),IF($X48&lt;30,1,0))</formula>
    </cfRule>
    <cfRule type="expression" priority="3373" dxfId="1">
      <formula>AND(IF($Q48=3,1,0),IF($X48&lt;30,1,0))</formula>
    </cfRule>
    <cfRule type="expression" priority="3374" dxfId="0">
      <formula>AND(IF($Q48=3,1,IF($Q48=4,1,0)),IF($F48&lt;=85,1,0))</formula>
    </cfRule>
  </conditionalFormatting>
  <conditionalFormatting sqref="X48">
    <cfRule type="expression" priority="3367" dxfId="3">
      <formula>AND(IF(OR($Q48=1,$Q48=2),1,0),IF($X48&lt;=20,1,0))</formula>
    </cfRule>
    <cfRule type="expression" priority="3368" dxfId="2">
      <formula>AND(IF($Q48=2,1,0),IF($X48&lt;30,1,0))</formula>
    </cfRule>
    <cfRule type="expression" priority="3369" dxfId="1">
      <formula>AND(IF($Q48=3,1,0),IF($X48&lt;30,1,0))</formula>
    </cfRule>
    <cfRule type="expression" priority="3370" dxfId="0">
      <formula>AND(IF($Q48=3,1,IF($Q48=4,1,0)),IF($F48&lt;=85,1,0))</formula>
    </cfRule>
  </conditionalFormatting>
  <conditionalFormatting sqref="AI48">
    <cfRule type="expression" priority="3363" dxfId="3">
      <formula>AND(IF(OR($Q48=1,$Q48=2),1,0),IF($X48&lt;=20,1,0))</formula>
    </cfRule>
    <cfRule type="expression" priority="3364" dxfId="2">
      <formula>AND(IF($Q48=2,1,0),IF($X48&lt;30,1,0))</formula>
    </cfRule>
    <cfRule type="expression" priority="3365" dxfId="1">
      <formula>AND(IF($Q48=3,1,0),IF($X48&lt;30,1,0))</formula>
    </cfRule>
    <cfRule type="expression" priority="3366" dxfId="0">
      <formula>AND(IF($Q48=3,1,IF($Q48=4,1,0)),IF($F48&lt;=85,1,0))</formula>
    </cfRule>
  </conditionalFormatting>
  <conditionalFormatting sqref="AV49">
    <cfRule type="expression" priority="3361" dxfId="17">
      <formula>AV49="X"</formula>
    </cfRule>
    <cfRule type="expression" priority="3362" dxfId="16">
      <formula>AV49="후보"</formula>
    </cfRule>
  </conditionalFormatting>
  <conditionalFormatting sqref="AC49">
    <cfRule type="cellIs" priority="3358" operator="greaterThan" dxfId="13">
      <formula>0.9</formula>
    </cfRule>
    <cfRule type="cellIs" priority="3359" operator="greaterThan" dxfId="12">
      <formula>0.85</formula>
    </cfRule>
  </conditionalFormatting>
  <conditionalFormatting sqref="N49">
    <cfRule type="cellIs" priority="3356" operator="greaterThan" dxfId="13">
      <formula>0.9</formula>
    </cfRule>
    <cfRule type="cellIs" priority="3357" operator="greaterThan" dxfId="12">
      <formula>0.85</formula>
    </cfRule>
  </conditionalFormatting>
  <conditionalFormatting sqref="E49">
    <cfRule type="expression" priority="3352" dxfId="3">
      <formula>AND(IF(OR($Q49=1,$Q49=2),1,0),IF($X49&lt;=20,1,0))</formula>
    </cfRule>
    <cfRule type="expression" priority="3353" dxfId="2">
      <formula>AND(IF($Q49=2,1,0),IF($X49&lt;30,1,0))</formula>
    </cfRule>
    <cfRule type="expression" priority="3354" dxfId="1">
      <formula>AND(IF($Q49=3,1,0),IF($X49&lt;30,1,0))</formula>
    </cfRule>
    <cfRule type="expression" priority="3355" dxfId="0">
      <formula>AND(IF($Q49=3,1,IF($Q49=4,1,0)),IF($F49&lt;=85,1,0))</formula>
    </cfRule>
  </conditionalFormatting>
  <conditionalFormatting sqref="X49">
    <cfRule type="expression" priority="3348" dxfId="3">
      <formula>AND(IF(OR($Q49=1,$Q49=2),1,0),IF($X49&lt;=20,1,0))</formula>
    </cfRule>
    <cfRule type="expression" priority="3349" dxfId="2">
      <formula>AND(IF($Q49=2,1,0),IF($X49&lt;30,1,0))</formula>
    </cfRule>
    <cfRule type="expression" priority="3350" dxfId="1">
      <formula>AND(IF($Q49=3,1,0),IF($X49&lt;30,1,0))</formula>
    </cfRule>
    <cfRule type="expression" priority="3351" dxfId="0">
      <formula>AND(IF($Q49=3,1,IF($Q49=4,1,0)),IF($F49&lt;=85,1,0))</formula>
    </cfRule>
  </conditionalFormatting>
  <conditionalFormatting sqref="AI49">
    <cfRule type="expression" priority="3344" dxfId="3">
      <formula>AND(IF(OR($Q49=1,$Q49=2),1,0),IF($X49&lt;=20,1,0))</formula>
    </cfRule>
    <cfRule type="expression" priority="3345" dxfId="2">
      <formula>AND(IF($Q49=2,1,0),IF($X49&lt;30,1,0))</formula>
    </cfRule>
    <cfRule type="expression" priority="3346" dxfId="1">
      <formula>AND(IF($Q49=3,1,0),IF($X49&lt;30,1,0))</formula>
    </cfRule>
    <cfRule type="expression" priority="3347" dxfId="0">
      <formula>AND(IF($Q49=3,1,IF($Q49=4,1,0)),IF($F49&lt;=85,1,0))</formula>
    </cfRule>
  </conditionalFormatting>
  <conditionalFormatting sqref="AV50">
    <cfRule type="expression" priority="3342" dxfId="17">
      <formula>AV50="X"</formula>
    </cfRule>
    <cfRule type="expression" priority="3343" dxfId="16">
      <formula>AV50="후보"</formula>
    </cfRule>
  </conditionalFormatting>
  <conditionalFormatting sqref="AC50">
    <cfRule type="cellIs" priority="3339" operator="greaterThan" dxfId="13">
      <formula>0.9</formula>
    </cfRule>
    <cfRule type="cellIs" priority="3340" operator="greaterThan" dxfId="12">
      <formula>0.85</formula>
    </cfRule>
  </conditionalFormatting>
  <conditionalFormatting sqref="N50">
    <cfRule type="cellIs" priority="3337" operator="greaterThan" dxfId="13">
      <formula>0.9</formula>
    </cfRule>
    <cfRule type="cellIs" priority="3338" operator="greaterThan" dxfId="12">
      <formula>0.85</formula>
    </cfRule>
  </conditionalFormatting>
  <conditionalFormatting sqref="E50">
    <cfRule type="expression" priority="3333" dxfId="3">
      <formula>AND(IF(OR($Q50=1,$Q50=2),1,0),IF($X50&lt;=20,1,0))</formula>
    </cfRule>
    <cfRule type="expression" priority="3334" dxfId="2">
      <formula>AND(IF($Q50=2,1,0),IF($X50&lt;30,1,0))</formula>
    </cfRule>
    <cfRule type="expression" priority="3335" dxfId="1">
      <formula>AND(IF($Q50=3,1,0),IF($X50&lt;30,1,0))</formula>
    </cfRule>
    <cfRule type="expression" priority="3336" dxfId="0">
      <formula>AND(IF($Q50=3,1,IF($Q50=4,1,0)),IF($F50&lt;=85,1,0))</formula>
    </cfRule>
  </conditionalFormatting>
  <conditionalFormatting sqref="X50">
    <cfRule type="expression" priority="3329" dxfId="3">
      <formula>AND(IF(OR($Q50=1,$Q50=2),1,0),IF($X50&lt;=20,1,0))</formula>
    </cfRule>
    <cfRule type="expression" priority="3330" dxfId="2">
      <formula>AND(IF($Q50=2,1,0),IF($X50&lt;30,1,0))</formula>
    </cfRule>
    <cfRule type="expression" priority="3331" dxfId="1">
      <formula>AND(IF($Q50=3,1,0),IF($X50&lt;30,1,0))</formula>
    </cfRule>
    <cfRule type="expression" priority="3332" dxfId="0">
      <formula>AND(IF($Q50=3,1,IF($Q50=4,1,0)),IF($F50&lt;=85,1,0))</formula>
    </cfRule>
  </conditionalFormatting>
  <conditionalFormatting sqref="AI50">
    <cfRule type="expression" priority="3325" dxfId="3">
      <formula>AND(IF(OR($Q50=1,$Q50=2),1,0),IF($X50&lt;=20,1,0))</formula>
    </cfRule>
    <cfRule type="expression" priority="3326" dxfId="2">
      <formula>AND(IF($Q50=2,1,0),IF($X50&lt;30,1,0))</formula>
    </cfRule>
    <cfRule type="expression" priority="3327" dxfId="1">
      <formula>AND(IF($Q50=3,1,0),IF($X50&lt;30,1,0))</formula>
    </cfRule>
    <cfRule type="expression" priority="3328" dxfId="0">
      <formula>AND(IF($Q50=3,1,IF($Q50=4,1,0)),IF($F50&lt;=85,1,0))</formula>
    </cfRule>
  </conditionalFormatting>
  <conditionalFormatting sqref="AV51">
    <cfRule type="expression" priority="3323" dxfId="17">
      <formula>AV51="X"</formula>
    </cfRule>
    <cfRule type="expression" priority="3324" dxfId="16">
      <formula>AV51="후보"</formula>
    </cfRule>
  </conditionalFormatting>
  <conditionalFormatting sqref="AC51 N51">
    <cfRule type="cellIs" priority="3320" operator="greaterThan" dxfId="13">
      <formula>0.9</formula>
    </cfRule>
    <cfRule type="cellIs" priority="3321" operator="greaterThan" dxfId="12">
      <formula>0.85</formula>
    </cfRule>
  </conditionalFormatting>
  <conditionalFormatting sqref="AV52">
    <cfRule type="expression" priority="3318" dxfId="17">
      <formula>AV52="X"</formula>
    </cfRule>
    <cfRule type="expression" priority="3319" dxfId="16">
      <formula>AV52="후보"</formula>
    </cfRule>
  </conditionalFormatting>
  <conditionalFormatting sqref="AC52">
    <cfRule type="cellIs" priority="3315" operator="greaterThan" dxfId="13">
      <formula>0.9</formula>
    </cfRule>
    <cfRule type="cellIs" priority="3316" operator="greaterThan" dxfId="12">
      <formula>0.85</formula>
    </cfRule>
  </conditionalFormatting>
  <conditionalFormatting sqref="N52">
    <cfRule type="cellIs" priority="3313" operator="greaterThan" dxfId="13">
      <formula>0.9</formula>
    </cfRule>
    <cfRule type="cellIs" priority="3314" operator="greaterThan" dxfId="12">
      <formula>0.85</formula>
    </cfRule>
  </conditionalFormatting>
  <conditionalFormatting sqref="E52">
    <cfRule type="expression" priority="3309" dxfId="3">
      <formula>AND(IF(OR($Q52=1,$Q52=2),1,0),IF($X52&lt;=20,1,0))</formula>
    </cfRule>
    <cfRule type="expression" priority="3310" dxfId="2">
      <formula>AND(IF($Q52=2,1,0),IF($X52&lt;30,1,0))</formula>
    </cfRule>
    <cfRule type="expression" priority="3311" dxfId="1">
      <formula>AND(IF($Q52=3,1,0),IF($X52&lt;30,1,0))</formula>
    </cfRule>
    <cfRule type="expression" priority="3312" dxfId="0">
      <formula>AND(IF($Q52=3,1,IF($Q52=4,1,0)),IF($F52&lt;=85,1,0))</formula>
    </cfRule>
  </conditionalFormatting>
  <conditionalFormatting sqref="X52">
    <cfRule type="expression" priority="3305" dxfId="3">
      <formula>AND(IF(OR($Q52=1,$Q52=2),1,0),IF($X52&lt;=20,1,0))</formula>
    </cfRule>
    <cfRule type="expression" priority="3306" dxfId="2">
      <formula>AND(IF($Q52=2,1,0),IF($X52&lt;30,1,0))</formula>
    </cfRule>
    <cfRule type="expression" priority="3307" dxfId="1">
      <formula>AND(IF($Q52=3,1,0),IF($X52&lt;30,1,0))</formula>
    </cfRule>
    <cfRule type="expression" priority="3308" dxfId="0">
      <formula>AND(IF($Q52=3,1,IF($Q52=4,1,0)),IF($F52&lt;=85,1,0))</formula>
    </cfRule>
  </conditionalFormatting>
  <conditionalFormatting sqref="AI52">
    <cfRule type="expression" priority="3301" dxfId="3">
      <formula>AND(IF(OR($Q52=1,$Q52=2),1,0),IF($X52&lt;=20,1,0))</formula>
    </cfRule>
    <cfRule type="expression" priority="3302" dxfId="2">
      <formula>AND(IF($Q52=2,1,0),IF($X52&lt;30,1,0))</formula>
    </cfRule>
    <cfRule type="expression" priority="3303" dxfId="1">
      <formula>AND(IF($Q52=3,1,0),IF($X52&lt;30,1,0))</formula>
    </cfRule>
    <cfRule type="expression" priority="3304" dxfId="0">
      <formula>AND(IF($Q52=3,1,IF($Q52=4,1,0)),IF($F52&lt;=85,1,0))</formula>
    </cfRule>
  </conditionalFormatting>
  <conditionalFormatting sqref="AV53">
    <cfRule type="expression" priority="3299" dxfId="17">
      <formula>AV53="X"</formula>
    </cfRule>
    <cfRule type="expression" priority="3300" dxfId="16">
      <formula>AV53="후보"</formula>
    </cfRule>
  </conditionalFormatting>
  <conditionalFormatting sqref="AC53">
    <cfRule type="cellIs" priority="3296" operator="greaterThan" dxfId="13">
      <formula>0.9</formula>
    </cfRule>
    <cfRule type="cellIs" priority="3297" operator="greaterThan" dxfId="12">
      <formula>0.85</formula>
    </cfRule>
  </conditionalFormatting>
  <conditionalFormatting sqref="N53">
    <cfRule type="cellIs" priority="3294" operator="greaterThan" dxfId="13">
      <formula>0.9</formula>
    </cfRule>
    <cfRule type="cellIs" priority="3295" operator="greaterThan" dxfId="12">
      <formula>0.85</formula>
    </cfRule>
  </conditionalFormatting>
  <conditionalFormatting sqref="E53">
    <cfRule type="expression" priority="3290" dxfId="3">
      <formula>AND(IF(OR($Q53=1,$Q53=2),1,0),IF($X53&lt;=20,1,0))</formula>
    </cfRule>
    <cfRule type="expression" priority="3291" dxfId="2">
      <formula>AND(IF($Q53=2,1,0),IF($X53&lt;30,1,0))</formula>
    </cfRule>
    <cfRule type="expression" priority="3292" dxfId="1">
      <formula>AND(IF($Q53=3,1,0),IF($X53&lt;30,1,0))</formula>
    </cfRule>
    <cfRule type="expression" priority="3293" dxfId="0">
      <formula>AND(IF($Q53=3,1,IF($Q53=4,1,0)),IF($F53&lt;=85,1,0))</formula>
    </cfRule>
  </conditionalFormatting>
  <conditionalFormatting sqref="X53">
    <cfRule type="expression" priority="3286" dxfId="3">
      <formula>AND(IF(OR($Q53=1,$Q53=2),1,0),IF($X53&lt;=20,1,0))</formula>
    </cfRule>
    <cfRule type="expression" priority="3287" dxfId="2">
      <formula>AND(IF($Q53=2,1,0),IF($X53&lt;30,1,0))</formula>
    </cfRule>
    <cfRule type="expression" priority="3288" dxfId="1">
      <formula>AND(IF($Q53=3,1,0),IF($X53&lt;30,1,0))</formula>
    </cfRule>
    <cfRule type="expression" priority="3289" dxfId="0">
      <formula>AND(IF($Q53=3,1,IF($Q53=4,1,0)),IF($F53&lt;=85,1,0))</formula>
    </cfRule>
  </conditionalFormatting>
  <conditionalFormatting sqref="AI53">
    <cfRule type="expression" priority="3282" dxfId="3">
      <formula>AND(IF(OR($Q53=1,$Q53=2),1,0),IF($X53&lt;=20,1,0))</formula>
    </cfRule>
    <cfRule type="expression" priority="3283" dxfId="2">
      <formula>AND(IF($Q53=2,1,0),IF($X53&lt;30,1,0))</formula>
    </cfRule>
    <cfRule type="expression" priority="3284" dxfId="1">
      <formula>AND(IF($Q53=3,1,0),IF($X53&lt;30,1,0))</formula>
    </cfRule>
    <cfRule type="expression" priority="3285" dxfId="0">
      <formula>AND(IF($Q53=3,1,IF($Q53=4,1,0)),IF($F53&lt;=85,1,0))</formula>
    </cfRule>
  </conditionalFormatting>
  <conditionalFormatting sqref="AV54">
    <cfRule type="expression" priority="3280" dxfId="17">
      <formula>AV54="X"</formula>
    </cfRule>
    <cfRule type="expression" priority="3281" dxfId="16">
      <formula>AV54="후보"</formula>
    </cfRule>
  </conditionalFormatting>
  <conditionalFormatting sqref="AC54">
    <cfRule type="cellIs" priority="3277" operator="greaterThan" dxfId="13">
      <formula>0.9</formula>
    </cfRule>
    <cfRule type="cellIs" priority="3278" operator="greaterThan" dxfId="12">
      <formula>0.85</formula>
    </cfRule>
  </conditionalFormatting>
  <conditionalFormatting sqref="N54">
    <cfRule type="cellIs" priority="3275" operator="greaterThan" dxfId="13">
      <formula>0.9</formula>
    </cfRule>
    <cfRule type="cellIs" priority="3276" operator="greaterThan" dxfId="12">
      <formula>0.85</formula>
    </cfRule>
  </conditionalFormatting>
  <conditionalFormatting sqref="E54">
    <cfRule type="expression" priority="3271" dxfId="3">
      <formula>AND(IF(OR($Q54=1,$Q54=2),1,0),IF($X54&lt;=20,1,0))</formula>
    </cfRule>
    <cfRule type="expression" priority="3272" dxfId="2">
      <formula>AND(IF($Q54=2,1,0),IF($X54&lt;30,1,0))</formula>
    </cfRule>
    <cfRule type="expression" priority="3273" dxfId="1">
      <formula>AND(IF($Q54=3,1,0),IF($X54&lt;30,1,0))</formula>
    </cfRule>
    <cfRule type="expression" priority="3274" dxfId="0">
      <formula>AND(IF($Q54=3,1,IF($Q54=4,1,0)),IF($F54&lt;=85,1,0))</formula>
    </cfRule>
  </conditionalFormatting>
  <conditionalFormatting sqref="X54">
    <cfRule type="expression" priority="3267" dxfId="3">
      <formula>AND(IF(OR($Q54=1,$Q54=2),1,0),IF($X54&lt;=20,1,0))</formula>
    </cfRule>
    <cfRule type="expression" priority="3268" dxfId="2">
      <formula>AND(IF($Q54=2,1,0),IF($X54&lt;30,1,0))</formula>
    </cfRule>
    <cfRule type="expression" priority="3269" dxfId="1">
      <formula>AND(IF($Q54=3,1,0),IF($X54&lt;30,1,0))</formula>
    </cfRule>
    <cfRule type="expression" priority="3270" dxfId="0">
      <formula>AND(IF($Q54=3,1,IF($Q54=4,1,0)),IF($F54&lt;=85,1,0))</formula>
    </cfRule>
  </conditionalFormatting>
  <conditionalFormatting sqref="AI54">
    <cfRule type="expression" priority="3263" dxfId="3">
      <formula>AND(IF(OR($Q54=1,$Q54=2),1,0),IF($X54&lt;=20,1,0))</formula>
    </cfRule>
    <cfRule type="expression" priority="3264" dxfId="2">
      <formula>AND(IF($Q54=2,1,0),IF($X54&lt;30,1,0))</formula>
    </cfRule>
    <cfRule type="expression" priority="3265" dxfId="1">
      <formula>AND(IF($Q54=3,1,0),IF($X54&lt;30,1,0))</formula>
    </cfRule>
    <cfRule type="expression" priority="3266" dxfId="0">
      <formula>AND(IF($Q54=3,1,IF($Q54=4,1,0)),IF($F54&lt;=85,1,0))</formula>
    </cfRule>
  </conditionalFormatting>
  <conditionalFormatting sqref="AV55">
    <cfRule type="expression" priority="3261" dxfId="17">
      <formula>AV55="X"</formula>
    </cfRule>
    <cfRule type="expression" priority="3262" dxfId="16">
      <formula>AV55="후보"</formula>
    </cfRule>
  </conditionalFormatting>
  <conditionalFormatting sqref="AC55">
    <cfRule type="cellIs" priority="3258" operator="greaterThan" dxfId="13">
      <formula>0.9</formula>
    </cfRule>
    <cfRule type="cellIs" priority="3259" operator="greaterThan" dxfId="12">
      <formula>0.85</formula>
    </cfRule>
  </conditionalFormatting>
  <conditionalFormatting sqref="N55">
    <cfRule type="cellIs" priority="3256" operator="greaterThan" dxfId="13">
      <formula>0.9</formula>
    </cfRule>
    <cfRule type="cellIs" priority="3257" operator="greaterThan" dxfId="12">
      <formula>0.85</formula>
    </cfRule>
  </conditionalFormatting>
  <conditionalFormatting sqref="E55">
    <cfRule type="expression" priority="3252" dxfId="3">
      <formula>AND(IF(OR($Q55=1,$Q55=2),1,0),IF($X55&lt;=20,1,0))</formula>
    </cfRule>
    <cfRule type="expression" priority="3253" dxfId="2">
      <formula>AND(IF($Q55=2,1,0),IF($X55&lt;30,1,0))</formula>
    </cfRule>
    <cfRule type="expression" priority="3254" dxfId="1">
      <formula>AND(IF($Q55=3,1,0),IF($X55&lt;30,1,0))</formula>
    </cfRule>
    <cfRule type="expression" priority="3255" dxfId="0">
      <formula>AND(IF($Q55=3,1,IF($Q55=4,1,0)),IF($F55&lt;=85,1,0))</formula>
    </cfRule>
  </conditionalFormatting>
  <conditionalFormatting sqref="X55">
    <cfRule type="expression" priority="3248" dxfId="3">
      <formula>AND(IF(OR($Q55=1,$Q55=2),1,0),IF($X55&lt;=20,1,0))</formula>
    </cfRule>
    <cfRule type="expression" priority="3249" dxfId="2">
      <formula>AND(IF($Q55=2,1,0),IF($X55&lt;30,1,0))</formula>
    </cfRule>
    <cfRule type="expression" priority="3250" dxfId="1">
      <formula>AND(IF($Q55=3,1,0),IF($X55&lt;30,1,0))</formula>
    </cfRule>
    <cfRule type="expression" priority="3251" dxfId="0">
      <formula>AND(IF($Q55=3,1,IF($Q55=4,1,0)),IF($F55&lt;=85,1,0))</formula>
    </cfRule>
  </conditionalFormatting>
  <conditionalFormatting sqref="AI55">
    <cfRule type="expression" priority="3244" dxfId="3">
      <formula>AND(IF(OR($Q55=1,$Q55=2),1,0),IF($X55&lt;=20,1,0))</formula>
    </cfRule>
    <cfRule type="expression" priority="3245" dxfId="2">
      <formula>AND(IF($Q55=2,1,0),IF($X55&lt;30,1,0))</formula>
    </cfRule>
    <cfRule type="expression" priority="3246" dxfId="1">
      <formula>AND(IF($Q55=3,1,0),IF($X55&lt;30,1,0))</formula>
    </cfRule>
    <cfRule type="expression" priority="3247" dxfId="0">
      <formula>AND(IF($Q55=3,1,IF($Q55=4,1,0)),IF($F55&lt;=85,1,0))</formula>
    </cfRule>
  </conditionalFormatting>
  <conditionalFormatting sqref="AV56">
    <cfRule type="expression" priority="3242" dxfId="17">
      <formula>AV56="X"</formula>
    </cfRule>
    <cfRule type="expression" priority="3243" dxfId="16">
      <formula>AV56="후보"</formula>
    </cfRule>
  </conditionalFormatting>
  <conditionalFormatting sqref="AC56">
    <cfRule type="cellIs" priority="3239" operator="greaterThan" dxfId="13">
      <formula>0.9</formula>
    </cfRule>
    <cfRule type="cellIs" priority="3240" operator="greaterThan" dxfId="12">
      <formula>0.85</formula>
    </cfRule>
  </conditionalFormatting>
  <conditionalFormatting sqref="N56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E56">
    <cfRule type="expression" priority="3233" dxfId="3">
      <formula>AND(IF(OR($Q56=1,$Q56=2),1,0),IF($X56&lt;=20,1,0))</formula>
    </cfRule>
    <cfRule type="expression" priority="3234" dxfId="2">
      <formula>AND(IF($Q56=2,1,0),IF($X56&lt;30,1,0))</formula>
    </cfRule>
    <cfRule type="expression" priority="3235" dxfId="1">
      <formula>AND(IF($Q56=3,1,0),IF($X56&lt;30,1,0))</formula>
    </cfRule>
    <cfRule type="expression" priority="3236" dxfId="0">
      <formula>AND(IF($Q56=3,1,IF($Q56=4,1,0)),IF($F56&lt;=85,1,0))</formula>
    </cfRule>
  </conditionalFormatting>
  <conditionalFormatting sqref="X56">
    <cfRule type="expression" priority="3229" dxfId="3">
      <formula>AND(IF(OR($Q56=1,$Q56=2),1,0),IF($X56&lt;=20,1,0))</formula>
    </cfRule>
    <cfRule type="expression" priority="3230" dxfId="2">
      <formula>AND(IF($Q56=2,1,0),IF($X56&lt;30,1,0))</formula>
    </cfRule>
    <cfRule type="expression" priority="3231" dxfId="1">
      <formula>AND(IF($Q56=3,1,0),IF($X56&lt;30,1,0))</formula>
    </cfRule>
    <cfRule type="expression" priority="3232" dxfId="0">
      <formula>AND(IF($Q56=3,1,IF($Q56=4,1,0)),IF($F56&lt;=85,1,0))</formula>
    </cfRule>
  </conditionalFormatting>
  <conditionalFormatting sqref="AI56">
    <cfRule type="expression" priority="3225" dxfId="3">
      <formula>AND(IF(OR($Q56=1,$Q56=2),1,0),IF($X56&lt;=20,1,0))</formula>
    </cfRule>
    <cfRule type="expression" priority="3226" dxfId="2">
      <formula>AND(IF($Q56=2,1,0),IF($X56&lt;30,1,0))</formula>
    </cfRule>
    <cfRule type="expression" priority="3227" dxfId="1">
      <formula>AND(IF($Q56=3,1,0),IF($X56&lt;30,1,0))</formula>
    </cfRule>
    <cfRule type="expression" priority="3228" dxfId="0">
      <formula>AND(IF($Q56=3,1,IF($Q56=4,1,0)),IF($F56&lt;=85,1,0))</formula>
    </cfRule>
  </conditionalFormatting>
  <conditionalFormatting sqref="AV57">
    <cfRule type="expression" priority="3223" dxfId="17">
      <formula>AV57="X"</formula>
    </cfRule>
    <cfRule type="expression" priority="3224" dxfId="16">
      <formula>AV57="후보"</formula>
    </cfRule>
  </conditionalFormatting>
  <conditionalFormatting sqref="AC57">
    <cfRule type="cellIs" priority="3220" operator="greaterThan" dxfId="13">
      <formula>0.9</formula>
    </cfRule>
    <cfRule type="cellIs" priority="3221" operator="greaterThan" dxfId="12">
      <formula>0.85</formula>
    </cfRule>
  </conditionalFormatting>
  <conditionalFormatting sqref="N57">
    <cfRule type="cellIs" priority="3218" operator="greaterThan" dxfId="13">
      <formula>0.9</formula>
    </cfRule>
    <cfRule type="cellIs" priority="3219" operator="greaterThan" dxfId="12">
      <formula>0.85</formula>
    </cfRule>
  </conditionalFormatting>
  <conditionalFormatting sqref="E57">
    <cfRule type="expression" priority="3214" dxfId="3">
      <formula>AND(IF(OR($Q57=1,$Q57=2),1,0),IF($X57&lt;=20,1,0))</formula>
    </cfRule>
    <cfRule type="expression" priority="3215" dxfId="2">
      <formula>AND(IF($Q57=2,1,0),IF($X57&lt;30,1,0))</formula>
    </cfRule>
    <cfRule type="expression" priority="3216" dxfId="1">
      <formula>AND(IF($Q57=3,1,0),IF($X57&lt;30,1,0))</formula>
    </cfRule>
    <cfRule type="expression" priority="3217" dxfId="0">
      <formula>AND(IF($Q57=3,1,IF($Q57=4,1,0)),IF($F57&lt;=85,1,0))</formula>
    </cfRule>
  </conditionalFormatting>
  <conditionalFormatting sqref="X57">
    <cfRule type="expression" priority="3210" dxfId="3">
      <formula>AND(IF(OR($Q57=1,$Q57=2),1,0),IF($X57&lt;=20,1,0))</formula>
    </cfRule>
    <cfRule type="expression" priority="3211" dxfId="2">
      <formula>AND(IF($Q57=2,1,0),IF($X57&lt;30,1,0))</formula>
    </cfRule>
    <cfRule type="expression" priority="3212" dxfId="1">
      <formula>AND(IF($Q57=3,1,0),IF($X57&lt;30,1,0))</formula>
    </cfRule>
    <cfRule type="expression" priority="3213" dxfId="0">
      <formula>AND(IF($Q57=3,1,IF($Q57=4,1,0)),IF($F57&lt;=85,1,0))</formula>
    </cfRule>
  </conditionalFormatting>
  <conditionalFormatting sqref="AI57">
    <cfRule type="expression" priority="3206" dxfId="3">
      <formula>AND(IF(OR($Q57=1,$Q57=2),1,0),IF($X57&lt;=20,1,0))</formula>
    </cfRule>
    <cfRule type="expression" priority="3207" dxfId="2">
      <formula>AND(IF($Q57=2,1,0),IF($X57&lt;30,1,0))</formula>
    </cfRule>
    <cfRule type="expression" priority="3208" dxfId="1">
      <formula>AND(IF($Q57=3,1,0),IF($X57&lt;30,1,0))</formula>
    </cfRule>
    <cfRule type="expression" priority="3209" dxfId="0">
      <formula>AND(IF($Q57=3,1,IF($Q57=4,1,0)),IF($F57&lt;=85,1,0))</formula>
    </cfRule>
  </conditionalFormatting>
  <conditionalFormatting sqref="AV58">
    <cfRule type="expression" priority="3204" dxfId="17">
      <formula>AV58="X"</formula>
    </cfRule>
    <cfRule type="expression" priority="3205" dxfId="16">
      <formula>AV58="후보"</formula>
    </cfRule>
  </conditionalFormatting>
  <conditionalFormatting sqref="AC58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58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58">
    <cfRule type="expression" priority="3195" dxfId="3">
      <formula>AND(IF(OR($Q58=1,$Q58=2),1,0),IF($X58&lt;=20,1,0))</formula>
    </cfRule>
    <cfRule type="expression" priority="3196" dxfId="2">
      <formula>AND(IF($Q58=2,1,0),IF($X58&lt;30,1,0))</formula>
    </cfRule>
    <cfRule type="expression" priority="3197" dxfId="1">
      <formula>AND(IF($Q58=3,1,0),IF($X58&lt;30,1,0))</formula>
    </cfRule>
    <cfRule type="expression" priority="3198" dxfId="0">
      <formula>AND(IF($Q58=3,1,IF($Q58=4,1,0)),IF($F58&lt;=85,1,0))</formula>
    </cfRule>
  </conditionalFormatting>
  <conditionalFormatting sqref="X58">
    <cfRule type="expression" priority="3191" dxfId="3">
      <formula>AND(IF(OR($Q58=1,$Q58=2),1,0),IF($X58&lt;=20,1,0))</formula>
    </cfRule>
    <cfRule type="expression" priority="3192" dxfId="2">
      <formula>AND(IF($Q58=2,1,0),IF($X58&lt;30,1,0))</formula>
    </cfRule>
    <cfRule type="expression" priority="3193" dxfId="1">
      <formula>AND(IF($Q58=3,1,0),IF($X58&lt;30,1,0))</formula>
    </cfRule>
    <cfRule type="expression" priority="3194" dxfId="0">
      <formula>AND(IF($Q58=3,1,IF($Q58=4,1,0)),IF($F58&lt;=85,1,0))</formula>
    </cfRule>
  </conditionalFormatting>
  <conditionalFormatting sqref="AI58">
    <cfRule type="expression" priority="3187" dxfId="3">
      <formula>AND(IF(OR($Q58=1,$Q58=2),1,0),IF($X58&lt;=20,1,0))</formula>
    </cfRule>
    <cfRule type="expression" priority="3188" dxfId="2">
      <formula>AND(IF($Q58=2,1,0),IF($X58&lt;30,1,0))</formula>
    </cfRule>
    <cfRule type="expression" priority="3189" dxfId="1">
      <formula>AND(IF($Q58=3,1,0),IF($X58&lt;30,1,0))</formula>
    </cfRule>
    <cfRule type="expression" priority="3190" dxfId="0">
      <formula>AND(IF($Q58=3,1,IF($Q58=4,1,0)),IF($F58&lt;=85,1,0))</formula>
    </cfRule>
  </conditionalFormatting>
  <conditionalFormatting sqref="AV59">
    <cfRule type="expression" priority="3185" dxfId="17">
      <formula>AV59="X"</formula>
    </cfRule>
    <cfRule type="expression" priority="3186" dxfId="16">
      <formula>AV59="후보"</formula>
    </cfRule>
  </conditionalFormatting>
  <conditionalFormatting sqref="AC59">
    <cfRule type="cellIs" priority="3182" operator="greaterThan" dxfId="13">
      <formula>0.9</formula>
    </cfRule>
    <cfRule type="cellIs" priority="3183" operator="greaterThan" dxfId="12">
      <formula>0.85</formula>
    </cfRule>
  </conditionalFormatting>
  <conditionalFormatting sqref="N59">
    <cfRule type="cellIs" priority="3180" operator="greaterThan" dxfId="13">
      <formula>0.9</formula>
    </cfRule>
    <cfRule type="cellIs" priority="3181" operator="greaterThan" dxfId="12">
      <formula>0.85</formula>
    </cfRule>
  </conditionalFormatting>
  <conditionalFormatting sqref="E59">
    <cfRule type="expression" priority="3176" dxfId="3">
      <formula>AND(IF(OR($Q59=1,$Q59=2),1,0),IF($X59&lt;=20,1,0))</formula>
    </cfRule>
    <cfRule type="expression" priority="3177" dxfId="2">
      <formula>AND(IF($Q59=2,1,0),IF($X59&lt;30,1,0))</formula>
    </cfRule>
    <cfRule type="expression" priority="3178" dxfId="1">
      <formula>AND(IF($Q59=3,1,0),IF($X59&lt;30,1,0))</formula>
    </cfRule>
    <cfRule type="expression" priority="3179" dxfId="0">
      <formula>AND(IF($Q59=3,1,IF($Q59=4,1,0)),IF($F59&lt;=85,1,0))</formula>
    </cfRule>
  </conditionalFormatting>
  <conditionalFormatting sqref="X59">
    <cfRule type="expression" priority="3172" dxfId="3">
      <formula>AND(IF(OR($Q59=1,$Q59=2),1,0),IF($X59&lt;=20,1,0))</formula>
    </cfRule>
    <cfRule type="expression" priority="3173" dxfId="2">
      <formula>AND(IF($Q59=2,1,0),IF($X59&lt;30,1,0))</formula>
    </cfRule>
    <cfRule type="expression" priority="3174" dxfId="1">
      <formula>AND(IF($Q59=3,1,0),IF($X59&lt;30,1,0))</formula>
    </cfRule>
    <cfRule type="expression" priority="3175" dxfId="0">
      <formula>AND(IF($Q59=3,1,IF($Q59=4,1,0)),IF($F59&lt;=85,1,0))</formula>
    </cfRule>
  </conditionalFormatting>
  <conditionalFormatting sqref="AI59">
    <cfRule type="expression" priority="3168" dxfId="3">
      <formula>AND(IF(OR($Q59=1,$Q59=2),1,0),IF($X59&lt;=20,1,0))</formula>
    </cfRule>
    <cfRule type="expression" priority="3169" dxfId="2">
      <formula>AND(IF($Q59=2,1,0),IF($X59&lt;30,1,0))</formula>
    </cfRule>
    <cfRule type="expression" priority="3170" dxfId="1">
      <formula>AND(IF($Q59=3,1,0),IF($X59&lt;30,1,0))</formula>
    </cfRule>
    <cfRule type="expression" priority="3171" dxfId="0">
      <formula>AND(IF($Q59=3,1,IF($Q59=4,1,0)),IF($F59&lt;=85,1,0))</formula>
    </cfRule>
  </conditionalFormatting>
  <conditionalFormatting sqref="AV60">
    <cfRule type="expression" priority="3166" dxfId="17">
      <formula>AV60="X"</formula>
    </cfRule>
    <cfRule type="expression" priority="3167" dxfId="16">
      <formula>AV60="후보"</formula>
    </cfRule>
  </conditionalFormatting>
  <conditionalFormatting sqref="AC60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60">
    <cfRule type="cellIs" priority="3161" operator="greaterThan" dxfId="13">
      <formula>0.9</formula>
    </cfRule>
    <cfRule type="cellIs" priority="3162" operator="greaterThan" dxfId="12">
      <formula>0.85</formula>
    </cfRule>
  </conditionalFormatting>
  <conditionalFormatting sqref="E60">
    <cfRule type="expression" priority="3157" dxfId="3">
      <formula>AND(IF(OR($Q60=1,$Q60=2),1,0),IF($X60&lt;=20,1,0))</formula>
    </cfRule>
    <cfRule type="expression" priority="3158" dxfId="2">
      <formula>AND(IF($Q60=2,1,0),IF($X60&lt;30,1,0))</formula>
    </cfRule>
    <cfRule type="expression" priority="3159" dxfId="1">
      <formula>AND(IF($Q60=3,1,0),IF($X60&lt;30,1,0))</formula>
    </cfRule>
    <cfRule type="expression" priority="3160" dxfId="0">
      <formula>AND(IF($Q60=3,1,IF($Q60=4,1,0)),IF($F60&lt;=85,1,0))</formula>
    </cfRule>
  </conditionalFormatting>
  <conditionalFormatting sqref="X60">
    <cfRule type="expression" priority="3153" dxfId="3">
      <formula>AND(IF(OR($Q60=1,$Q60=2),1,0),IF($X60&lt;=20,1,0))</formula>
    </cfRule>
    <cfRule type="expression" priority="3154" dxfId="2">
      <formula>AND(IF($Q60=2,1,0),IF($X60&lt;30,1,0))</formula>
    </cfRule>
    <cfRule type="expression" priority="3155" dxfId="1">
      <formula>AND(IF($Q60=3,1,0),IF($X60&lt;30,1,0))</formula>
    </cfRule>
    <cfRule type="expression" priority="3156" dxfId="0">
      <formula>AND(IF($Q60=3,1,IF($Q60=4,1,0)),IF($F60&lt;=85,1,0))</formula>
    </cfRule>
  </conditionalFormatting>
  <conditionalFormatting sqref="AI60">
    <cfRule type="expression" priority="3149" dxfId="3">
      <formula>AND(IF(OR($Q60=1,$Q60=2),1,0),IF($X60&lt;=20,1,0))</formula>
    </cfRule>
    <cfRule type="expression" priority="3150" dxfId="2">
      <formula>AND(IF($Q60=2,1,0),IF($X60&lt;30,1,0))</formula>
    </cfRule>
    <cfRule type="expression" priority="3151" dxfId="1">
      <formula>AND(IF($Q60=3,1,0),IF($X60&lt;30,1,0))</formula>
    </cfRule>
    <cfRule type="expression" priority="3152" dxfId="0">
      <formula>AND(IF($Q60=3,1,IF($Q60=4,1,0)),IF($F60&lt;=85,1,0))</formula>
    </cfRule>
  </conditionalFormatting>
  <conditionalFormatting sqref="AV61">
    <cfRule type="expression" priority="3147" dxfId="17">
      <formula>AV61="X"</formula>
    </cfRule>
    <cfRule type="expression" priority="3148" dxfId="16">
      <formula>AV61="후보"</formula>
    </cfRule>
  </conditionalFormatting>
  <conditionalFormatting sqref="AC61">
    <cfRule type="cellIs" priority="3144" operator="greaterThan" dxfId="13">
      <formula>0.9</formula>
    </cfRule>
    <cfRule type="cellIs" priority="3145" operator="greaterThan" dxfId="12">
      <formula>0.85</formula>
    </cfRule>
  </conditionalFormatting>
  <conditionalFormatting sqref="N61">
    <cfRule type="cellIs" priority="3142" operator="greaterThan" dxfId="13">
      <formula>0.9</formula>
    </cfRule>
    <cfRule type="cellIs" priority="3143" operator="greaterThan" dxfId="12">
      <formula>0.85</formula>
    </cfRule>
  </conditionalFormatting>
  <conditionalFormatting sqref="E61">
    <cfRule type="expression" priority="3138" dxfId="3">
      <formula>AND(IF(OR($Q61=1,$Q61=2),1,0),IF($X61&lt;=20,1,0))</formula>
    </cfRule>
    <cfRule type="expression" priority="3139" dxfId="2">
      <formula>AND(IF($Q61=2,1,0),IF($X61&lt;30,1,0))</formula>
    </cfRule>
    <cfRule type="expression" priority="3140" dxfId="1">
      <formula>AND(IF($Q61=3,1,0),IF($X61&lt;30,1,0))</formula>
    </cfRule>
    <cfRule type="expression" priority="3141" dxfId="0">
      <formula>AND(IF($Q61=3,1,IF($Q61=4,1,0)),IF($F61&lt;=85,1,0))</formula>
    </cfRule>
  </conditionalFormatting>
  <conditionalFormatting sqref="X61">
    <cfRule type="expression" priority="3134" dxfId="3">
      <formula>AND(IF(OR($Q61=1,$Q61=2),1,0),IF($X61&lt;=20,1,0))</formula>
    </cfRule>
    <cfRule type="expression" priority="3135" dxfId="2">
      <formula>AND(IF($Q61=2,1,0),IF($X61&lt;30,1,0))</formula>
    </cfRule>
    <cfRule type="expression" priority="3136" dxfId="1">
      <formula>AND(IF($Q61=3,1,0),IF($X61&lt;30,1,0))</formula>
    </cfRule>
    <cfRule type="expression" priority="3137" dxfId="0">
      <formula>AND(IF($Q61=3,1,IF($Q61=4,1,0)),IF($F61&lt;=85,1,0))</formula>
    </cfRule>
  </conditionalFormatting>
  <conditionalFormatting sqref="AI61">
    <cfRule type="expression" priority="3130" dxfId="3">
      <formula>AND(IF(OR($Q61=1,$Q61=2),1,0),IF($X61&lt;=20,1,0))</formula>
    </cfRule>
    <cfRule type="expression" priority="3131" dxfId="2">
      <formula>AND(IF($Q61=2,1,0),IF($X61&lt;30,1,0))</formula>
    </cfRule>
    <cfRule type="expression" priority="3132" dxfId="1">
      <formula>AND(IF($Q61=3,1,0),IF($X61&lt;30,1,0))</formula>
    </cfRule>
    <cfRule type="expression" priority="3133" dxfId="0">
      <formula>AND(IF($Q61=3,1,IF($Q61=4,1,0)),IF($F61&lt;=85,1,0))</formula>
    </cfRule>
  </conditionalFormatting>
  <conditionalFormatting sqref="AV62">
    <cfRule type="expression" priority="3128" dxfId="17">
      <formula>AV62="X"</formula>
    </cfRule>
    <cfRule type="expression" priority="3129" dxfId="16">
      <formula>AV62="후보"</formula>
    </cfRule>
  </conditionalFormatting>
  <conditionalFormatting sqref="AC62">
    <cfRule type="cellIs" priority="3125" operator="greaterThan" dxfId="13">
      <formula>0.9</formula>
    </cfRule>
    <cfRule type="cellIs" priority="3126" operator="greaterThan" dxfId="12">
      <formula>0.85</formula>
    </cfRule>
  </conditionalFormatting>
  <conditionalFormatting sqref="N62">
    <cfRule type="cellIs" priority="3123" operator="greaterThan" dxfId="13">
      <formula>0.9</formula>
    </cfRule>
    <cfRule type="cellIs" priority="3124" operator="greaterThan" dxfId="12">
      <formula>0.85</formula>
    </cfRule>
  </conditionalFormatting>
  <conditionalFormatting sqref="E62">
    <cfRule type="expression" priority="3119" dxfId="3">
      <formula>AND(IF(OR($Q62=1,$Q62=2),1,0),IF($X62&lt;=20,1,0))</formula>
    </cfRule>
    <cfRule type="expression" priority="3120" dxfId="2">
      <formula>AND(IF($Q62=2,1,0),IF($X62&lt;30,1,0))</formula>
    </cfRule>
    <cfRule type="expression" priority="3121" dxfId="1">
      <formula>AND(IF($Q62=3,1,0),IF($X62&lt;30,1,0))</formula>
    </cfRule>
    <cfRule type="expression" priority="3122" dxfId="0">
      <formula>AND(IF($Q62=3,1,IF($Q62=4,1,0)),IF($F62&lt;=85,1,0))</formula>
    </cfRule>
  </conditionalFormatting>
  <conditionalFormatting sqref="X62">
    <cfRule type="expression" priority="3115" dxfId="3">
      <formula>AND(IF(OR($Q62=1,$Q62=2),1,0),IF($X62&lt;=20,1,0))</formula>
    </cfRule>
    <cfRule type="expression" priority="3116" dxfId="2">
      <formula>AND(IF($Q62=2,1,0),IF($X62&lt;30,1,0))</formula>
    </cfRule>
    <cfRule type="expression" priority="3117" dxfId="1">
      <formula>AND(IF($Q62=3,1,0),IF($X62&lt;30,1,0))</formula>
    </cfRule>
    <cfRule type="expression" priority="3118" dxfId="0">
      <formula>AND(IF($Q62=3,1,IF($Q62=4,1,0)),IF($F62&lt;=85,1,0))</formula>
    </cfRule>
  </conditionalFormatting>
  <conditionalFormatting sqref="AI62">
    <cfRule type="expression" priority="3111" dxfId="3">
      <formula>AND(IF(OR($Q62=1,$Q62=2),1,0),IF($X62&lt;=20,1,0))</formula>
    </cfRule>
    <cfRule type="expression" priority="3112" dxfId="2">
      <formula>AND(IF($Q62=2,1,0),IF($X62&lt;30,1,0))</formula>
    </cfRule>
    <cfRule type="expression" priority="3113" dxfId="1">
      <formula>AND(IF($Q62=3,1,0),IF($X62&lt;30,1,0))</formula>
    </cfRule>
    <cfRule type="expression" priority="3114" dxfId="0">
      <formula>AND(IF($Q62=3,1,IF($Q62=4,1,0)),IF($F62&lt;=85,1,0))</formula>
    </cfRule>
  </conditionalFormatting>
  <conditionalFormatting sqref="AV63">
    <cfRule type="expression" priority="3109" dxfId="17">
      <formula>AV63="X"</formula>
    </cfRule>
    <cfRule type="expression" priority="3110" dxfId="16">
      <formula>AV63="후보"</formula>
    </cfRule>
  </conditionalFormatting>
  <conditionalFormatting sqref="AC63 N63">
    <cfRule type="cellIs" priority="3106" operator="greaterThan" dxfId="13">
      <formula>0.9</formula>
    </cfRule>
    <cfRule type="cellIs" priority="3107" operator="greaterThan" dxfId="12">
      <formula>0.85</formula>
    </cfRule>
  </conditionalFormatting>
  <conditionalFormatting sqref="AV64">
    <cfRule type="expression" priority="3104" dxfId="17">
      <formula>AV64="X"</formula>
    </cfRule>
    <cfRule type="expression" priority="3105" dxfId="16">
      <formula>AV64="후보"</formula>
    </cfRule>
  </conditionalFormatting>
  <conditionalFormatting sqref="AC64">
    <cfRule type="cellIs" priority="3101" operator="greaterThan" dxfId="13">
      <formula>0.9</formula>
    </cfRule>
    <cfRule type="cellIs" priority="3102" operator="greaterThan" dxfId="12">
      <formula>0.85</formula>
    </cfRule>
  </conditionalFormatting>
  <conditionalFormatting sqref="N64">
    <cfRule type="cellIs" priority="3099" operator="greaterThan" dxfId="13">
      <formula>0.9</formula>
    </cfRule>
    <cfRule type="cellIs" priority="3100" operator="greaterThan" dxfId="12">
      <formula>0.85</formula>
    </cfRule>
  </conditionalFormatting>
  <conditionalFormatting sqref="E64">
    <cfRule type="expression" priority="3095" dxfId="3">
      <formula>AND(IF(OR($Q64=1,$Q64=2),1,0),IF($X64&lt;=20,1,0))</formula>
    </cfRule>
    <cfRule type="expression" priority="3096" dxfId="2">
      <formula>AND(IF($Q64=2,1,0),IF($X64&lt;30,1,0))</formula>
    </cfRule>
    <cfRule type="expression" priority="3097" dxfId="1">
      <formula>AND(IF($Q64=3,1,0),IF($X64&lt;30,1,0))</formula>
    </cfRule>
    <cfRule type="expression" priority="3098" dxfId="0">
      <formula>AND(IF($Q64=3,1,IF($Q64=4,1,0)),IF($F64&lt;=85,1,0))</formula>
    </cfRule>
  </conditionalFormatting>
  <conditionalFormatting sqref="X64">
    <cfRule type="expression" priority="3091" dxfId="3">
      <formula>AND(IF(OR($Q64=1,$Q64=2),1,0),IF($X64&lt;=20,1,0))</formula>
    </cfRule>
    <cfRule type="expression" priority="3092" dxfId="2">
      <formula>AND(IF($Q64=2,1,0),IF($X64&lt;30,1,0))</formula>
    </cfRule>
    <cfRule type="expression" priority="3093" dxfId="1">
      <formula>AND(IF($Q64=3,1,0),IF($X64&lt;30,1,0))</formula>
    </cfRule>
    <cfRule type="expression" priority="3094" dxfId="0">
      <formula>AND(IF($Q64=3,1,IF($Q64=4,1,0)),IF($F64&lt;=85,1,0))</formula>
    </cfRule>
  </conditionalFormatting>
  <conditionalFormatting sqref="AI64">
    <cfRule type="expression" priority="3087" dxfId="3">
      <formula>AND(IF(OR($Q64=1,$Q64=2),1,0),IF($X64&lt;=20,1,0))</formula>
    </cfRule>
    <cfRule type="expression" priority="3088" dxfId="2">
      <formula>AND(IF($Q64=2,1,0),IF($X64&lt;30,1,0))</formula>
    </cfRule>
    <cfRule type="expression" priority="3089" dxfId="1">
      <formula>AND(IF($Q64=3,1,0),IF($X64&lt;30,1,0))</formula>
    </cfRule>
    <cfRule type="expression" priority="3090" dxfId="0">
      <formula>AND(IF($Q64=3,1,IF($Q64=4,1,0)),IF($F64&lt;=85,1,0))</formula>
    </cfRule>
  </conditionalFormatting>
  <conditionalFormatting sqref="AV65">
    <cfRule type="expression" priority="3085" dxfId="17">
      <formula>AV65="X"</formula>
    </cfRule>
    <cfRule type="expression" priority="3086" dxfId="16">
      <formula>AV65="후보"</formula>
    </cfRule>
  </conditionalFormatting>
  <conditionalFormatting sqref="AC65">
    <cfRule type="cellIs" priority="3082" operator="greaterThan" dxfId="13">
      <formula>0.9</formula>
    </cfRule>
    <cfRule type="cellIs" priority="3083" operator="greaterThan" dxfId="12">
      <formula>0.85</formula>
    </cfRule>
  </conditionalFormatting>
  <conditionalFormatting sqref="N65">
    <cfRule type="cellIs" priority="3080" operator="greaterThan" dxfId="13">
      <formula>0.9</formula>
    </cfRule>
    <cfRule type="cellIs" priority="3081" operator="greaterThan" dxfId="12">
      <formula>0.85</formula>
    </cfRule>
  </conditionalFormatting>
  <conditionalFormatting sqref="E65">
    <cfRule type="expression" priority="3076" dxfId="3">
      <formula>AND(IF(OR($Q65=1,$Q65=2),1,0),IF($X65&lt;=20,1,0))</formula>
    </cfRule>
    <cfRule type="expression" priority="3077" dxfId="2">
      <formula>AND(IF($Q65=2,1,0),IF($X65&lt;30,1,0))</formula>
    </cfRule>
    <cfRule type="expression" priority="3078" dxfId="1">
      <formula>AND(IF($Q65=3,1,0),IF($X65&lt;30,1,0))</formula>
    </cfRule>
    <cfRule type="expression" priority="3079" dxfId="0">
      <formula>AND(IF($Q65=3,1,IF($Q65=4,1,0)),IF($F65&lt;=85,1,0))</formula>
    </cfRule>
  </conditionalFormatting>
  <conditionalFormatting sqref="X65">
    <cfRule type="expression" priority="3072" dxfId="3">
      <formula>AND(IF(OR($Q65=1,$Q65=2),1,0),IF($X65&lt;=20,1,0))</formula>
    </cfRule>
    <cfRule type="expression" priority="3073" dxfId="2">
      <formula>AND(IF($Q65=2,1,0),IF($X65&lt;30,1,0))</formula>
    </cfRule>
    <cfRule type="expression" priority="3074" dxfId="1">
      <formula>AND(IF($Q65=3,1,0),IF($X65&lt;30,1,0))</formula>
    </cfRule>
    <cfRule type="expression" priority="3075" dxfId="0">
      <formula>AND(IF($Q65=3,1,IF($Q65=4,1,0)),IF($F65&lt;=85,1,0))</formula>
    </cfRule>
  </conditionalFormatting>
  <conditionalFormatting sqref="AI65">
    <cfRule type="expression" priority="3068" dxfId="3">
      <formula>AND(IF(OR($Q65=1,$Q65=2),1,0),IF($X65&lt;=20,1,0))</formula>
    </cfRule>
    <cfRule type="expression" priority="3069" dxfId="2">
      <formula>AND(IF($Q65=2,1,0),IF($X65&lt;30,1,0))</formula>
    </cfRule>
    <cfRule type="expression" priority="3070" dxfId="1">
      <formula>AND(IF($Q65=3,1,0),IF($X65&lt;30,1,0))</formula>
    </cfRule>
    <cfRule type="expression" priority="3071" dxfId="0">
      <formula>AND(IF($Q65=3,1,IF($Q65=4,1,0)),IF($F65&lt;=85,1,0))</formula>
    </cfRule>
  </conditionalFormatting>
  <conditionalFormatting sqref="AV66">
    <cfRule type="expression" priority="3066" dxfId="17">
      <formula>AV66="X"</formula>
    </cfRule>
    <cfRule type="expression" priority="3067" dxfId="16">
      <formula>AV66="후보"</formula>
    </cfRule>
  </conditionalFormatting>
  <conditionalFormatting sqref="AC66">
    <cfRule type="cellIs" priority="3063" operator="greaterThan" dxfId="13">
      <formula>0.9</formula>
    </cfRule>
    <cfRule type="cellIs" priority="3064" operator="greaterThan" dxfId="12">
      <formula>0.85</formula>
    </cfRule>
  </conditionalFormatting>
  <conditionalFormatting sqref="N66">
    <cfRule type="cellIs" priority="3061" operator="greaterThan" dxfId="13">
      <formula>0.9</formula>
    </cfRule>
    <cfRule type="cellIs" priority="3062" operator="greaterThan" dxfId="12">
      <formula>0.85</formula>
    </cfRule>
  </conditionalFormatting>
  <conditionalFormatting sqref="E66">
    <cfRule type="expression" priority="3057" dxfId="3">
      <formula>AND(IF(OR($Q66=1,$Q66=2),1,0),IF($X66&lt;=20,1,0))</formula>
    </cfRule>
    <cfRule type="expression" priority="3058" dxfId="2">
      <formula>AND(IF($Q66=2,1,0),IF($X66&lt;30,1,0))</formula>
    </cfRule>
    <cfRule type="expression" priority="3059" dxfId="1">
      <formula>AND(IF($Q66=3,1,0),IF($X66&lt;30,1,0))</formula>
    </cfRule>
    <cfRule type="expression" priority="3060" dxfId="0">
      <formula>AND(IF($Q66=3,1,IF($Q66=4,1,0)),IF($F66&lt;=85,1,0))</formula>
    </cfRule>
  </conditionalFormatting>
  <conditionalFormatting sqref="X66">
    <cfRule type="expression" priority="3053" dxfId="3">
      <formula>AND(IF(OR($Q66=1,$Q66=2),1,0),IF($X66&lt;=20,1,0))</formula>
    </cfRule>
    <cfRule type="expression" priority="3054" dxfId="2">
      <formula>AND(IF($Q66=2,1,0),IF($X66&lt;30,1,0))</formula>
    </cfRule>
    <cfRule type="expression" priority="3055" dxfId="1">
      <formula>AND(IF($Q66=3,1,0),IF($X66&lt;30,1,0))</formula>
    </cfRule>
    <cfRule type="expression" priority="3056" dxfId="0">
      <formula>AND(IF($Q66=3,1,IF($Q66=4,1,0)),IF($F66&lt;=85,1,0))</formula>
    </cfRule>
  </conditionalFormatting>
  <conditionalFormatting sqref="AI66">
    <cfRule type="expression" priority="3049" dxfId="3">
      <formula>AND(IF(OR($Q66=1,$Q66=2),1,0),IF($X66&lt;=20,1,0))</formula>
    </cfRule>
    <cfRule type="expression" priority="3050" dxfId="2">
      <formula>AND(IF($Q66=2,1,0),IF($X66&lt;30,1,0))</formula>
    </cfRule>
    <cfRule type="expression" priority="3051" dxfId="1">
      <formula>AND(IF($Q66=3,1,0),IF($X66&lt;30,1,0))</formula>
    </cfRule>
    <cfRule type="expression" priority="3052" dxfId="0">
      <formula>AND(IF($Q66=3,1,IF($Q66=4,1,0)),IF($F66&lt;=85,1,0))</formula>
    </cfRule>
  </conditionalFormatting>
  <conditionalFormatting sqref="AV67">
    <cfRule type="expression" priority="3047" dxfId="17">
      <formula>AV67="X"</formula>
    </cfRule>
    <cfRule type="expression" priority="3048" dxfId="16">
      <formula>AV67="후보"</formula>
    </cfRule>
  </conditionalFormatting>
  <conditionalFormatting sqref="AC67 N67">
    <cfRule type="cellIs" priority="3044" operator="greaterThan" dxfId="13">
      <formula>0.9</formula>
    </cfRule>
    <cfRule type="cellIs" priority="3045" operator="greaterThan" dxfId="12">
      <formula>0.85</formula>
    </cfRule>
  </conditionalFormatting>
  <conditionalFormatting sqref="AV68">
    <cfRule type="expression" priority="3042" dxfId="17">
      <formula>AV68="X"</formula>
    </cfRule>
    <cfRule type="expression" priority="3043" dxfId="16">
      <formula>AV68="후보"</formula>
    </cfRule>
  </conditionalFormatting>
  <conditionalFormatting sqref="AC68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68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68">
    <cfRule type="expression" priority="3033" dxfId="3">
      <formula>AND(IF(OR($Q68=1,$Q68=2),1,0),IF($X68&lt;=20,1,0))</formula>
    </cfRule>
    <cfRule type="expression" priority="3034" dxfId="2">
      <formula>AND(IF($Q68=2,1,0),IF($X68&lt;30,1,0))</formula>
    </cfRule>
    <cfRule type="expression" priority="3035" dxfId="1">
      <formula>AND(IF($Q68=3,1,0),IF($X68&lt;30,1,0))</formula>
    </cfRule>
    <cfRule type="expression" priority="3036" dxfId="0">
      <formula>AND(IF($Q68=3,1,IF($Q68=4,1,0)),IF($F68&lt;=85,1,0))</formula>
    </cfRule>
  </conditionalFormatting>
  <conditionalFormatting sqref="X68">
    <cfRule type="expression" priority="3029" dxfId="3">
      <formula>AND(IF(OR($Q68=1,$Q68=2),1,0),IF($X68&lt;=20,1,0))</formula>
    </cfRule>
    <cfRule type="expression" priority="3030" dxfId="2">
      <formula>AND(IF($Q68=2,1,0),IF($X68&lt;30,1,0))</formula>
    </cfRule>
    <cfRule type="expression" priority="3031" dxfId="1">
      <formula>AND(IF($Q68=3,1,0),IF($X68&lt;30,1,0))</formula>
    </cfRule>
    <cfRule type="expression" priority="3032" dxfId="0">
      <formula>AND(IF($Q68=3,1,IF($Q68=4,1,0)),IF($F68&lt;=85,1,0))</formula>
    </cfRule>
  </conditionalFormatting>
  <conditionalFormatting sqref="AI68">
    <cfRule type="expression" priority="3025" dxfId="3">
      <formula>AND(IF(OR($Q68=1,$Q68=2),1,0),IF($X68&lt;=20,1,0))</formula>
    </cfRule>
    <cfRule type="expression" priority="3026" dxfId="2">
      <formula>AND(IF($Q68=2,1,0),IF($X68&lt;30,1,0))</formula>
    </cfRule>
    <cfRule type="expression" priority="3027" dxfId="1">
      <formula>AND(IF($Q68=3,1,0),IF($X68&lt;30,1,0))</formula>
    </cfRule>
    <cfRule type="expression" priority="3028" dxfId="0">
      <formula>AND(IF($Q68=3,1,IF($Q68=4,1,0)),IF($F68&lt;=85,1,0))</formula>
    </cfRule>
  </conditionalFormatting>
  <conditionalFormatting sqref="AV69">
    <cfRule type="expression" priority="3023" dxfId="17">
      <formula>AV69="X"</formula>
    </cfRule>
    <cfRule type="expression" priority="3024" dxfId="16">
      <formula>AV69="후보"</formula>
    </cfRule>
  </conditionalFormatting>
  <conditionalFormatting sqref="AC69">
    <cfRule type="cellIs" priority="3020" operator="greaterThan" dxfId="13">
      <formula>0.9</formula>
    </cfRule>
    <cfRule type="cellIs" priority="3021" operator="greaterThan" dxfId="12">
      <formula>0.85</formula>
    </cfRule>
  </conditionalFormatting>
  <conditionalFormatting sqref="N69">
    <cfRule type="cellIs" priority="3018" operator="greaterThan" dxfId="13">
      <formula>0.9</formula>
    </cfRule>
    <cfRule type="cellIs" priority="3019" operator="greaterThan" dxfId="12">
      <formula>0.85</formula>
    </cfRule>
  </conditionalFormatting>
  <conditionalFormatting sqref="E69">
    <cfRule type="expression" priority="3014" dxfId="3">
      <formula>AND(IF(OR($Q69=1,$Q69=2),1,0),IF($X69&lt;=20,1,0))</formula>
    </cfRule>
    <cfRule type="expression" priority="3015" dxfId="2">
      <formula>AND(IF($Q69=2,1,0),IF($X69&lt;30,1,0))</formula>
    </cfRule>
    <cfRule type="expression" priority="3016" dxfId="1">
      <formula>AND(IF($Q69=3,1,0),IF($X69&lt;30,1,0))</formula>
    </cfRule>
    <cfRule type="expression" priority="3017" dxfId="0">
      <formula>AND(IF($Q69=3,1,IF($Q69=4,1,0)),IF($F69&lt;=85,1,0))</formula>
    </cfRule>
  </conditionalFormatting>
  <conditionalFormatting sqref="X69">
    <cfRule type="expression" priority="3010" dxfId="3">
      <formula>AND(IF(OR($Q69=1,$Q69=2),1,0),IF($X69&lt;=20,1,0))</formula>
    </cfRule>
    <cfRule type="expression" priority="3011" dxfId="2">
      <formula>AND(IF($Q69=2,1,0),IF($X69&lt;30,1,0))</formula>
    </cfRule>
    <cfRule type="expression" priority="3012" dxfId="1">
      <formula>AND(IF($Q69=3,1,0),IF($X69&lt;30,1,0))</formula>
    </cfRule>
    <cfRule type="expression" priority="3013" dxfId="0">
      <formula>AND(IF($Q69=3,1,IF($Q69=4,1,0)),IF($F69&lt;=85,1,0))</formula>
    </cfRule>
  </conditionalFormatting>
  <conditionalFormatting sqref="AI69">
    <cfRule type="expression" priority="3006" dxfId="3">
      <formula>AND(IF(OR($Q69=1,$Q69=2),1,0),IF($X69&lt;=20,1,0))</formula>
    </cfRule>
    <cfRule type="expression" priority="3007" dxfId="2">
      <formula>AND(IF($Q69=2,1,0),IF($X69&lt;30,1,0))</formula>
    </cfRule>
    <cfRule type="expression" priority="3008" dxfId="1">
      <formula>AND(IF($Q69=3,1,0),IF($X69&lt;30,1,0))</formula>
    </cfRule>
    <cfRule type="expression" priority="3009" dxfId="0">
      <formula>AND(IF($Q69=3,1,IF($Q69=4,1,0)),IF($F69&lt;=85,1,0))</formula>
    </cfRule>
  </conditionalFormatting>
  <conditionalFormatting sqref="AV70">
    <cfRule type="expression" priority="3004" dxfId="17">
      <formula>AV70="X"</formula>
    </cfRule>
    <cfRule type="expression" priority="3005" dxfId="16">
      <formula>AV70="후보"</formula>
    </cfRule>
  </conditionalFormatting>
  <conditionalFormatting sqref="AC70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70">
    <cfRule type="cellIs" priority="2999" operator="greaterThan" dxfId="13">
      <formula>0.9</formula>
    </cfRule>
    <cfRule type="cellIs" priority="3000" operator="greaterThan" dxfId="12">
      <formula>0.85</formula>
    </cfRule>
  </conditionalFormatting>
  <conditionalFormatting sqref="E70">
    <cfRule type="expression" priority="2995" dxfId="3">
      <formula>AND(IF(OR($Q70=1,$Q70=2),1,0),IF($X70&lt;=20,1,0))</formula>
    </cfRule>
    <cfRule type="expression" priority="2996" dxfId="2">
      <formula>AND(IF($Q70=2,1,0),IF($X70&lt;30,1,0))</formula>
    </cfRule>
    <cfRule type="expression" priority="2997" dxfId="1">
      <formula>AND(IF($Q70=3,1,0),IF($X70&lt;30,1,0))</formula>
    </cfRule>
    <cfRule type="expression" priority="2998" dxfId="0">
      <formula>AND(IF($Q70=3,1,IF($Q70=4,1,0)),IF($F70&lt;=85,1,0))</formula>
    </cfRule>
  </conditionalFormatting>
  <conditionalFormatting sqref="X70">
    <cfRule type="expression" priority="2991" dxfId="3">
      <formula>AND(IF(OR($Q70=1,$Q70=2),1,0),IF($X70&lt;=20,1,0))</formula>
    </cfRule>
    <cfRule type="expression" priority="2992" dxfId="2">
      <formula>AND(IF($Q70=2,1,0),IF($X70&lt;30,1,0))</formula>
    </cfRule>
    <cfRule type="expression" priority="2993" dxfId="1">
      <formula>AND(IF($Q70=3,1,0),IF($X70&lt;30,1,0))</formula>
    </cfRule>
    <cfRule type="expression" priority="2994" dxfId="0">
      <formula>AND(IF($Q70=3,1,IF($Q70=4,1,0)),IF($F70&lt;=85,1,0))</formula>
    </cfRule>
  </conditionalFormatting>
  <conditionalFormatting sqref="AI70">
    <cfRule type="expression" priority="2987" dxfId="3">
      <formula>AND(IF(OR($Q70=1,$Q70=2),1,0),IF($X70&lt;=20,1,0))</formula>
    </cfRule>
    <cfRule type="expression" priority="2988" dxfId="2">
      <formula>AND(IF($Q70=2,1,0),IF($X70&lt;30,1,0))</formula>
    </cfRule>
    <cfRule type="expression" priority="2989" dxfId="1">
      <formula>AND(IF($Q70=3,1,0),IF($X70&lt;30,1,0))</formula>
    </cfRule>
    <cfRule type="expression" priority="2990" dxfId="0">
      <formula>AND(IF($Q70=3,1,IF($Q70=4,1,0)),IF($F70&lt;=85,1,0))</formula>
    </cfRule>
  </conditionalFormatting>
  <conditionalFormatting sqref="AV71">
    <cfRule type="expression" priority="2985" dxfId="17">
      <formula>AV71="X"</formula>
    </cfRule>
    <cfRule type="expression" priority="2986" dxfId="16">
      <formula>AV71="후보"</formula>
    </cfRule>
  </conditionalFormatting>
  <conditionalFormatting sqref="AC71">
    <cfRule type="cellIs" priority="2982" operator="greaterThan" dxfId="13">
      <formula>0.9</formula>
    </cfRule>
    <cfRule type="cellIs" priority="2983" operator="greaterThan" dxfId="12">
      <formula>0.85</formula>
    </cfRule>
  </conditionalFormatting>
  <conditionalFormatting sqref="N71">
    <cfRule type="cellIs" priority="2980" operator="greaterThan" dxfId="13">
      <formula>0.9</formula>
    </cfRule>
    <cfRule type="cellIs" priority="2981" operator="greaterThan" dxfId="12">
      <formula>0.85</formula>
    </cfRule>
  </conditionalFormatting>
  <conditionalFormatting sqref="E71">
    <cfRule type="expression" priority="2976" dxfId="3">
      <formula>AND(IF(OR($Q71=1,$Q71=2),1,0),IF($X71&lt;=20,1,0))</formula>
    </cfRule>
    <cfRule type="expression" priority="2977" dxfId="2">
      <formula>AND(IF($Q71=2,1,0),IF($X71&lt;30,1,0))</formula>
    </cfRule>
    <cfRule type="expression" priority="2978" dxfId="1">
      <formula>AND(IF($Q71=3,1,0),IF($X71&lt;30,1,0))</formula>
    </cfRule>
    <cfRule type="expression" priority="2979" dxfId="0">
      <formula>AND(IF($Q71=3,1,IF($Q71=4,1,0)),IF($F71&lt;=85,1,0))</formula>
    </cfRule>
  </conditionalFormatting>
  <conditionalFormatting sqref="X71">
    <cfRule type="expression" priority="2972" dxfId="3">
      <formula>AND(IF(OR($Q71=1,$Q71=2),1,0),IF($X71&lt;=20,1,0))</formula>
    </cfRule>
    <cfRule type="expression" priority="2973" dxfId="2">
      <formula>AND(IF($Q71=2,1,0),IF($X71&lt;30,1,0))</formula>
    </cfRule>
    <cfRule type="expression" priority="2974" dxfId="1">
      <formula>AND(IF($Q71=3,1,0),IF($X71&lt;30,1,0))</formula>
    </cfRule>
    <cfRule type="expression" priority="2975" dxfId="0">
      <formula>AND(IF($Q71=3,1,IF($Q71=4,1,0)),IF($F71&lt;=85,1,0))</formula>
    </cfRule>
  </conditionalFormatting>
  <conditionalFormatting sqref="AI71">
    <cfRule type="expression" priority="2968" dxfId="3">
      <formula>AND(IF(OR($Q71=1,$Q71=2),1,0),IF($X71&lt;=20,1,0))</formula>
    </cfRule>
    <cfRule type="expression" priority="2969" dxfId="2">
      <formula>AND(IF($Q71=2,1,0),IF($X71&lt;30,1,0))</formula>
    </cfRule>
    <cfRule type="expression" priority="2970" dxfId="1">
      <formula>AND(IF($Q71=3,1,0),IF($X71&lt;30,1,0))</formula>
    </cfRule>
    <cfRule type="expression" priority="2971" dxfId="0">
      <formula>AND(IF($Q71=3,1,IF($Q71=4,1,0)),IF($F71&lt;=85,1,0))</formula>
    </cfRule>
  </conditionalFormatting>
  <conditionalFormatting sqref="AV72">
    <cfRule type="expression" priority="2966" dxfId="17">
      <formula>AV72="X"</formula>
    </cfRule>
    <cfRule type="expression" priority="2967" dxfId="16">
      <formula>AV72="후보"</formula>
    </cfRule>
  </conditionalFormatting>
  <conditionalFormatting sqref="AC72">
    <cfRule type="cellIs" priority="2963" operator="greaterThan" dxfId="13">
      <formula>0.9</formula>
    </cfRule>
    <cfRule type="cellIs" priority="2964" operator="greaterThan" dxfId="12">
      <formula>0.85</formula>
    </cfRule>
  </conditionalFormatting>
  <conditionalFormatting sqref="N72">
    <cfRule type="cellIs" priority="2961" operator="greaterThan" dxfId="13">
      <formula>0.9</formula>
    </cfRule>
    <cfRule type="cellIs" priority="2962" operator="greaterThan" dxfId="12">
      <formula>0.85</formula>
    </cfRule>
  </conditionalFormatting>
  <conditionalFormatting sqref="E72">
    <cfRule type="expression" priority="2957" dxfId="3">
      <formula>AND(IF(OR($Q72=1,$Q72=2),1,0),IF($X72&lt;=20,1,0))</formula>
    </cfRule>
    <cfRule type="expression" priority="2958" dxfId="2">
      <formula>AND(IF($Q72=2,1,0),IF($X72&lt;30,1,0))</formula>
    </cfRule>
    <cfRule type="expression" priority="2959" dxfId="1">
      <formula>AND(IF($Q72=3,1,0),IF($X72&lt;30,1,0))</formula>
    </cfRule>
    <cfRule type="expression" priority="2960" dxfId="0">
      <formula>AND(IF($Q72=3,1,IF($Q72=4,1,0)),IF($F72&lt;=85,1,0))</formula>
    </cfRule>
  </conditionalFormatting>
  <conditionalFormatting sqref="X72">
    <cfRule type="expression" priority="2953" dxfId="3">
      <formula>AND(IF(OR($Q72=1,$Q72=2),1,0),IF($X72&lt;=20,1,0))</formula>
    </cfRule>
    <cfRule type="expression" priority="2954" dxfId="2">
      <formula>AND(IF($Q72=2,1,0),IF($X72&lt;30,1,0))</formula>
    </cfRule>
    <cfRule type="expression" priority="2955" dxfId="1">
      <formula>AND(IF($Q72=3,1,0),IF($X72&lt;30,1,0))</formula>
    </cfRule>
    <cfRule type="expression" priority="2956" dxfId="0">
      <formula>AND(IF($Q72=3,1,IF($Q72=4,1,0)),IF($F72&lt;=85,1,0))</formula>
    </cfRule>
  </conditionalFormatting>
  <conditionalFormatting sqref="AI72">
    <cfRule type="expression" priority="2949" dxfId="3">
      <formula>AND(IF(OR($Q72=1,$Q72=2),1,0),IF($X72&lt;=20,1,0))</formula>
    </cfRule>
    <cfRule type="expression" priority="2950" dxfId="2">
      <formula>AND(IF($Q72=2,1,0),IF($X72&lt;30,1,0))</formula>
    </cfRule>
    <cfRule type="expression" priority="2951" dxfId="1">
      <formula>AND(IF($Q72=3,1,0),IF($X72&lt;30,1,0))</formula>
    </cfRule>
    <cfRule type="expression" priority="2952" dxfId="0">
      <formula>AND(IF($Q72=3,1,IF($Q72=4,1,0)),IF($F72&lt;=85,1,0))</formula>
    </cfRule>
  </conditionalFormatting>
  <conditionalFormatting sqref="AV73">
    <cfRule type="expression" priority="2947" dxfId="17">
      <formula>AV73="X"</formula>
    </cfRule>
    <cfRule type="expression" priority="2948" dxfId="16">
      <formula>AV73="후보"</formula>
    </cfRule>
  </conditionalFormatting>
  <conditionalFormatting sqref="AC73">
    <cfRule type="cellIs" priority="2944" operator="greaterThan" dxfId="13">
      <formula>0.9</formula>
    </cfRule>
    <cfRule type="cellIs" priority="2945" operator="greaterThan" dxfId="12">
      <formula>0.85</formula>
    </cfRule>
  </conditionalFormatting>
  <conditionalFormatting sqref="N73">
    <cfRule type="cellIs" priority="2942" operator="greaterThan" dxfId="13">
      <formula>0.9</formula>
    </cfRule>
    <cfRule type="cellIs" priority="2943" operator="greaterThan" dxfId="12">
      <formula>0.85</formula>
    </cfRule>
  </conditionalFormatting>
  <conditionalFormatting sqref="E73">
    <cfRule type="expression" priority="2938" dxfId="3">
      <formula>AND(IF(OR($Q73=1,$Q73=2),1,0),IF($X73&lt;=20,1,0))</formula>
    </cfRule>
    <cfRule type="expression" priority="2939" dxfId="2">
      <formula>AND(IF($Q73=2,1,0),IF($X73&lt;30,1,0))</formula>
    </cfRule>
    <cfRule type="expression" priority="2940" dxfId="1">
      <formula>AND(IF($Q73=3,1,0),IF($X73&lt;30,1,0))</formula>
    </cfRule>
    <cfRule type="expression" priority="2941" dxfId="0">
      <formula>AND(IF($Q73=3,1,IF($Q73=4,1,0)),IF($F73&lt;=85,1,0))</formula>
    </cfRule>
  </conditionalFormatting>
  <conditionalFormatting sqref="X73">
    <cfRule type="expression" priority="2934" dxfId="3">
      <formula>AND(IF(OR($Q73=1,$Q73=2),1,0),IF($X73&lt;=20,1,0))</formula>
    </cfRule>
    <cfRule type="expression" priority="2935" dxfId="2">
      <formula>AND(IF($Q73=2,1,0),IF($X73&lt;30,1,0))</formula>
    </cfRule>
    <cfRule type="expression" priority="2936" dxfId="1">
      <formula>AND(IF($Q73=3,1,0),IF($X73&lt;30,1,0))</formula>
    </cfRule>
    <cfRule type="expression" priority="2937" dxfId="0">
      <formula>AND(IF($Q73=3,1,IF($Q73=4,1,0)),IF($F73&lt;=85,1,0))</formula>
    </cfRule>
  </conditionalFormatting>
  <conditionalFormatting sqref="AI73">
    <cfRule type="expression" priority="2930" dxfId="3">
      <formula>AND(IF(OR($Q73=1,$Q73=2),1,0),IF($X73&lt;=20,1,0))</formula>
    </cfRule>
    <cfRule type="expression" priority="2931" dxfId="2">
      <formula>AND(IF($Q73=2,1,0),IF($X73&lt;30,1,0))</formula>
    </cfRule>
    <cfRule type="expression" priority="2932" dxfId="1">
      <formula>AND(IF($Q73=3,1,0),IF($X73&lt;30,1,0))</formula>
    </cfRule>
    <cfRule type="expression" priority="2933" dxfId="0">
      <formula>AND(IF($Q73=3,1,IF($Q73=4,1,0)),IF($F73&lt;=85,1,0))</formula>
    </cfRule>
  </conditionalFormatting>
  <conditionalFormatting sqref="AV74">
    <cfRule type="expression" priority="2928" dxfId="17">
      <formula>AV74="X"</formula>
    </cfRule>
    <cfRule type="expression" priority="2929" dxfId="16">
      <formula>AV74="후보"</formula>
    </cfRule>
  </conditionalFormatting>
  <conditionalFormatting sqref="AC74 N74">
    <cfRule type="cellIs" priority="2925" operator="greaterThan" dxfId="13">
      <formula>0.9</formula>
    </cfRule>
    <cfRule type="cellIs" priority="2926" operator="greaterThan" dxfId="12">
      <formula>0.85</formula>
    </cfRule>
  </conditionalFormatting>
  <conditionalFormatting sqref="AV75">
    <cfRule type="expression" priority="2923" dxfId="17">
      <formula>AV75="X"</formula>
    </cfRule>
    <cfRule type="expression" priority="2924" dxfId="16">
      <formula>AV75="후보"</formula>
    </cfRule>
  </conditionalFormatting>
  <conditionalFormatting sqref="AC75">
    <cfRule type="cellIs" priority="2920" operator="greaterThan" dxfId="13">
      <formula>0.9</formula>
    </cfRule>
    <cfRule type="cellIs" priority="2921" operator="greaterThan" dxfId="12">
      <formula>0.85</formula>
    </cfRule>
  </conditionalFormatting>
  <conditionalFormatting sqref="N75">
    <cfRule type="cellIs" priority="2918" operator="greaterThan" dxfId="13">
      <formula>0.9</formula>
    </cfRule>
    <cfRule type="cellIs" priority="2919" operator="greaterThan" dxfId="12">
      <formula>0.85</formula>
    </cfRule>
  </conditionalFormatting>
  <conditionalFormatting sqref="E75">
    <cfRule type="expression" priority="2914" dxfId="3">
      <formula>AND(IF(OR($Q75=1,$Q75=2),1,0),IF($X75&lt;=20,1,0))</formula>
    </cfRule>
    <cfRule type="expression" priority="2915" dxfId="2">
      <formula>AND(IF($Q75=2,1,0),IF($X75&lt;30,1,0))</formula>
    </cfRule>
    <cfRule type="expression" priority="2916" dxfId="1">
      <formula>AND(IF($Q75=3,1,0),IF($X75&lt;30,1,0))</formula>
    </cfRule>
    <cfRule type="expression" priority="2917" dxfId="0">
      <formula>AND(IF($Q75=3,1,IF($Q75=4,1,0)),IF($F75&lt;=85,1,0))</formula>
    </cfRule>
  </conditionalFormatting>
  <conditionalFormatting sqref="X75">
    <cfRule type="expression" priority="2910" dxfId="3">
      <formula>AND(IF(OR($Q75=1,$Q75=2),1,0),IF($X75&lt;=20,1,0))</formula>
    </cfRule>
    <cfRule type="expression" priority="2911" dxfId="2">
      <formula>AND(IF($Q75=2,1,0),IF($X75&lt;30,1,0))</formula>
    </cfRule>
    <cfRule type="expression" priority="2912" dxfId="1">
      <formula>AND(IF($Q75=3,1,0),IF($X75&lt;30,1,0))</formula>
    </cfRule>
    <cfRule type="expression" priority="2913" dxfId="0">
      <formula>AND(IF($Q75=3,1,IF($Q75=4,1,0)),IF($F75&lt;=85,1,0))</formula>
    </cfRule>
  </conditionalFormatting>
  <conditionalFormatting sqref="AI75">
    <cfRule type="expression" priority="2906" dxfId="3">
      <formula>AND(IF(OR($Q75=1,$Q75=2),1,0),IF($X75&lt;=20,1,0))</formula>
    </cfRule>
    <cfRule type="expression" priority="2907" dxfId="2">
      <formula>AND(IF($Q75=2,1,0),IF($X75&lt;30,1,0))</formula>
    </cfRule>
    <cfRule type="expression" priority="2908" dxfId="1">
      <formula>AND(IF($Q75=3,1,0),IF($X75&lt;30,1,0))</formula>
    </cfRule>
    <cfRule type="expression" priority="2909" dxfId="0">
      <formula>AND(IF($Q75=3,1,IF($Q75=4,1,0)),IF($F75&lt;=85,1,0))</formula>
    </cfRule>
  </conditionalFormatting>
  <conditionalFormatting sqref="AV76">
    <cfRule type="expression" priority="2904" dxfId="17">
      <formula>AV76="X"</formula>
    </cfRule>
    <cfRule type="expression" priority="2905" dxfId="16">
      <formula>AV76="후보"</formula>
    </cfRule>
  </conditionalFormatting>
  <conditionalFormatting sqref="AC76">
    <cfRule type="cellIs" priority="2901" operator="greaterThan" dxfId="13">
      <formula>0.9</formula>
    </cfRule>
    <cfRule type="cellIs" priority="2902" operator="greaterThan" dxfId="12">
      <formula>0.85</formula>
    </cfRule>
  </conditionalFormatting>
  <conditionalFormatting sqref="N76">
    <cfRule type="cellIs" priority="2899" operator="greaterThan" dxfId="13">
      <formula>0.9</formula>
    </cfRule>
    <cfRule type="cellIs" priority="2900" operator="greaterThan" dxfId="12">
      <formula>0.85</formula>
    </cfRule>
  </conditionalFormatting>
  <conditionalFormatting sqref="E76">
    <cfRule type="expression" priority="2895" dxfId="3">
      <formula>AND(IF(OR($Q76=1,$Q76=2),1,0),IF($X76&lt;=20,1,0))</formula>
    </cfRule>
    <cfRule type="expression" priority="2896" dxfId="2">
      <formula>AND(IF($Q76=2,1,0),IF($X76&lt;30,1,0))</formula>
    </cfRule>
    <cfRule type="expression" priority="2897" dxfId="1">
      <formula>AND(IF($Q76=3,1,0),IF($X76&lt;30,1,0))</formula>
    </cfRule>
    <cfRule type="expression" priority="2898" dxfId="0">
      <formula>AND(IF($Q76=3,1,IF($Q76=4,1,0)),IF($F76&lt;=85,1,0))</formula>
    </cfRule>
  </conditionalFormatting>
  <conditionalFormatting sqref="X76">
    <cfRule type="expression" priority="2891" dxfId="3">
      <formula>AND(IF(OR($Q76=1,$Q76=2),1,0),IF($X76&lt;=20,1,0))</formula>
    </cfRule>
    <cfRule type="expression" priority="2892" dxfId="2">
      <formula>AND(IF($Q76=2,1,0),IF($X76&lt;30,1,0))</formula>
    </cfRule>
    <cfRule type="expression" priority="2893" dxfId="1">
      <formula>AND(IF($Q76=3,1,0),IF($X76&lt;30,1,0))</formula>
    </cfRule>
    <cfRule type="expression" priority="2894" dxfId="0">
      <formula>AND(IF($Q76=3,1,IF($Q76=4,1,0)),IF($F76&lt;=85,1,0))</formula>
    </cfRule>
  </conditionalFormatting>
  <conditionalFormatting sqref="AI76">
    <cfRule type="expression" priority="2887" dxfId="3">
      <formula>AND(IF(OR($Q76=1,$Q76=2),1,0),IF($X76&lt;=20,1,0))</formula>
    </cfRule>
    <cfRule type="expression" priority="2888" dxfId="2">
      <formula>AND(IF($Q76=2,1,0),IF($X76&lt;30,1,0))</formula>
    </cfRule>
    <cfRule type="expression" priority="2889" dxfId="1">
      <formula>AND(IF($Q76=3,1,0),IF($X76&lt;30,1,0))</formula>
    </cfRule>
    <cfRule type="expression" priority="2890" dxfId="0">
      <formula>AND(IF($Q76=3,1,IF($Q76=4,1,0)),IF($F76&lt;=85,1,0))</formula>
    </cfRule>
  </conditionalFormatting>
  <conditionalFormatting sqref="AV77">
    <cfRule type="expression" priority="2885" dxfId="17">
      <formula>AV77="X"</formula>
    </cfRule>
    <cfRule type="expression" priority="2886" dxfId="16">
      <formula>AV77="후보"</formula>
    </cfRule>
  </conditionalFormatting>
  <conditionalFormatting sqref="AC77">
    <cfRule type="cellIs" priority="2882" operator="greaterThan" dxfId="13">
      <formula>0.9</formula>
    </cfRule>
    <cfRule type="cellIs" priority="2883" operator="greaterThan" dxfId="12">
      <formula>0.85</formula>
    </cfRule>
  </conditionalFormatting>
  <conditionalFormatting sqref="N77">
    <cfRule type="cellIs" priority="2880" operator="greaterThan" dxfId="13">
      <formula>0.9</formula>
    </cfRule>
    <cfRule type="cellIs" priority="2881" operator="greaterThan" dxfId="12">
      <formula>0.85</formula>
    </cfRule>
  </conditionalFormatting>
  <conditionalFormatting sqref="E77">
    <cfRule type="expression" priority="2876" dxfId="3">
      <formula>AND(IF(OR($Q77=1,$Q77=2),1,0),IF($X77&lt;=20,1,0))</formula>
    </cfRule>
    <cfRule type="expression" priority="2877" dxfId="2">
      <formula>AND(IF($Q77=2,1,0),IF($X77&lt;30,1,0))</formula>
    </cfRule>
    <cfRule type="expression" priority="2878" dxfId="1">
      <formula>AND(IF($Q77=3,1,0),IF($X77&lt;30,1,0))</formula>
    </cfRule>
    <cfRule type="expression" priority="2879" dxfId="0">
      <formula>AND(IF($Q77=3,1,IF($Q77=4,1,0)),IF($F77&lt;=85,1,0))</formula>
    </cfRule>
  </conditionalFormatting>
  <conditionalFormatting sqref="X77">
    <cfRule type="expression" priority="2872" dxfId="3">
      <formula>AND(IF(OR($Q77=1,$Q77=2),1,0),IF($X77&lt;=20,1,0))</formula>
    </cfRule>
    <cfRule type="expression" priority="2873" dxfId="2">
      <formula>AND(IF($Q77=2,1,0),IF($X77&lt;30,1,0))</formula>
    </cfRule>
    <cfRule type="expression" priority="2874" dxfId="1">
      <formula>AND(IF($Q77=3,1,0),IF($X77&lt;30,1,0))</formula>
    </cfRule>
    <cfRule type="expression" priority="2875" dxfId="0">
      <formula>AND(IF($Q77=3,1,IF($Q77=4,1,0)),IF($F77&lt;=85,1,0))</formula>
    </cfRule>
  </conditionalFormatting>
  <conditionalFormatting sqref="AI77">
    <cfRule type="expression" priority="2868" dxfId="3">
      <formula>AND(IF(OR($Q77=1,$Q77=2),1,0),IF($X77&lt;=20,1,0))</formula>
    </cfRule>
    <cfRule type="expression" priority="2869" dxfId="2">
      <formula>AND(IF($Q77=2,1,0),IF($X77&lt;30,1,0))</formula>
    </cfRule>
    <cfRule type="expression" priority="2870" dxfId="1">
      <formula>AND(IF($Q77=3,1,0),IF($X77&lt;30,1,0))</formula>
    </cfRule>
    <cfRule type="expression" priority="2871" dxfId="0">
      <formula>AND(IF($Q77=3,1,IF($Q77=4,1,0)),IF($F77&lt;=85,1,0))</formula>
    </cfRule>
  </conditionalFormatting>
  <conditionalFormatting sqref="AV78">
    <cfRule type="expression" priority="2866" dxfId="17">
      <formula>AV78="X"</formula>
    </cfRule>
    <cfRule type="expression" priority="2867" dxfId="16">
      <formula>AV78="후보"</formula>
    </cfRule>
  </conditionalFormatting>
  <conditionalFormatting sqref="AC78">
    <cfRule type="cellIs" priority="2863" operator="greaterThan" dxfId="13">
      <formula>0.9</formula>
    </cfRule>
    <cfRule type="cellIs" priority="2864" operator="greaterThan" dxfId="12">
      <formula>0.85</formula>
    </cfRule>
  </conditionalFormatting>
  <conditionalFormatting sqref="N78">
    <cfRule type="cellIs" priority="2861" operator="greaterThan" dxfId="13">
      <formula>0.9</formula>
    </cfRule>
    <cfRule type="cellIs" priority="2862" operator="greaterThan" dxfId="12">
      <formula>0.85</formula>
    </cfRule>
  </conditionalFormatting>
  <conditionalFormatting sqref="E78">
    <cfRule type="expression" priority="2857" dxfId="3">
      <formula>AND(IF(OR($Q78=1,$Q78=2),1,0),IF($X78&lt;=20,1,0))</formula>
    </cfRule>
    <cfRule type="expression" priority="2858" dxfId="2">
      <formula>AND(IF($Q78=2,1,0),IF($X78&lt;30,1,0))</formula>
    </cfRule>
    <cfRule type="expression" priority="2859" dxfId="1">
      <formula>AND(IF($Q78=3,1,0),IF($X78&lt;30,1,0))</formula>
    </cfRule>
    <cfRule type="expression" priority="2860" dxfId="0">
      <formula>AND(IF($Q78=3,1,IF($Q78=4,1,0)),IF($F78&lt;=85,1,0))</formula>
    </cfRule>
  </conditionalFormatting>
  <conditionalFormatting sqref="X78">
    <cfRule type="expression" priority="2853" dxfId="3">
      <formula>AND(IF(OR($Q78=1,$Q78=2),1,0),IF($X78&lt;=20,1,0))</formula>
    </cfRule>
    <cfRule type="expression" priority="2854" dxfId="2">
      <formula>AND(IF($Q78=2,1,0),IF($X78&lt;30,1,0))</formula>
    </cfRule>
    <cfRule type="expression" priority="2855" dxfId="1">
      <formula>AND(IF($Q78=3,1,0),IF($X78&lt;30,1,0))</formula>
    </cfRule>
    <cfRule type="expression" priority="2856" dxfId="0">
      <formula>AND(IF($Q78=3,1,IF($Q78=4,1,0)),IF($F78&lt;=85,1,0))</formula>
    </cfRule>
  </conditionalFormatting>
  <conditionalFormatting sqref="AI78">
    <cfRule type="expression" priority="2849" dxfId="3">
      <formula>AND(IF(OR($Q78=1,$Q78=2),1,0),IF($X78&lt;=20,1,0))</formula>
    </cfRule>
    <cfRule type="expression" priority="2850" dxfId="2">
      <formula>AND(IF($Q78=2,1,0),IF($X78&lt;30,1,0))</formula>
    </cfRule>
    <cfRule type="expression" priority="2851" dxfId="1">
      <formula>AND(IF($Q78=3,1,0),IF($X78&lt;30,1,0))</formula>
    </cfRule>
    <cfRule type="expression" priority="2852" dxfId="0">
      <formula>AND(IF($Q78=3,1,IF($Q78=4,1,0)),IF($F78&lt;=85,1,0))</formula>
    </cfRule>
  </conditionalFormatting>
  <conditionalFormatting sqref="AV79">
    <cfRule type="expression" priority="2847" dxfId="17">
      <formula>AV79="X"</formula>
    </cfRule>
    <cfRule type="expression" priority="2848" dxfId="16">
      <formula>AV79="후보"</formula>
    </cfRule>
  </conditionalFormatting>
  <conditionalFormatting sqref="AC79">
    <cfRule type="cellIs" priority="2844" operator="greaterThan" dxfId="13">
      <formula>0.9</formula>
    </cfRule>
    <cfRule type="cellIs" priority="2845" operator="greaterThan" dxfId="12">
      <formula>0.85</formula>
    </cfRule>
  </conditionalFormatting>
  <conditionalFormatting sqref="N79">
    <cfRule type="cellIs" priority="2842" operator="greaterThan" dxfId="13">
      <formula>0.9</formula>
    </cfRule>
    <cfRule type="cellIs" priority="2843" operator="greaterThan" dxfId="12">
      <formula>0.85</formula>
    </cfRule>
  </conditionalFormatting>
  <conditionalFormatting sqref="E79">
    <cfRule type="expression" priority="2838" dxfId="3">
      <formula>AND(IF(OR($Q79=1,$Q79=2),1,0),IF($X79&lt;=20,1,0))</formula>
    </cfRule>
    <cfRule type="expression" priority="2839" dxfId="2">
      <formula>AND(IF($Q79=2,1,0),IF($X79&lt;30,1,0))</formula>
    </cfRule>
    <cfRule type="expression" priority="2840" dxfId="1">
      <formula>AND(IF($Q79=3,1,0),IF($X79&lt;30,1,0))</formula>
    </cfRule>
    <cfRule type="expression" priority="2841" dxfId="0">
      <formula>AND(IF($Q79=3,1,IF($Q79=4,1,0)),IF($F79&lt;=85,1,0))</formula>
    </cfRule>
  </conditionalFormatting>
  <conditionalFormatting sqref="X79">
    <cfRule type="expression" priority="2834" dxfId="3">
      <formula>AND(IF(OR($Q79=1,$Q79=2),1,0),IF($X79&lt;=20,1,0))</formula>
    </cfRule>
    <cfRule type="expression" priority="2835" dxfId="2">
      <formula>AND(IF($Q79=2,1,0),IF($X79&lt;30,1,0))</formula>
    </cfRule>
    <cfRule type="expression" priority="2836" dxfId="1">
      <formula>AND(IF($Q79=3,1,0),IF($X79&lt;30,1,0))</formula>
    </cfRule>
    <cfRule type="expression" priority="2837" dxfId="0">
      <formula>AND(IF($Q79=3,1,IF($Q79=4,1,0)),IF($F79&lt;=85,1,0))</formula>
    </cfRule>
  </conditionalFormatting>
  <conditionalFormatting sqref="AI79">
    <cfRule type="expression" priority="2830" dxfId="3">
      <formula>AND(IF(OR($Q79=1,$Q79=2),1,0),IF($X79&lt;=20,1,0))</formula>
    </cfRule>
    <cfRule type="expression" priority="2831" dxfId="2">
      <formula>AND(IF($Q79=2,1,0),IF($X79&lt;30,1,0))</formula>
    </cfRule>
    <cfRule type="expression" priority="2832" dxfId="1">
      <formula>AND(IF($Q79=3,1,0),IF($X79&lt;30,1,0))</formula>
    </cfRule>
    <cfRule type="expression" priority="2833" dxfId="0">
      <formula>AND(IF($Q79=3,1,IF($Q79=4,1,0)),IF($F79&lt;=85,1,0))</formula>
    </cfRule>
  </conditionalFormatting>
  <conditionalFormatting sqref="AV80">
    <cfRule type="expression" priority="2828" dxfId="17">
      <formula>AV80="X"</formula>
    </cfRule>
    <cfRule type="expression" priority="2829" dxfId="16">
      <formula>AV80="후보"</formula>
    </cfRule>
  </conditionalFormatting>
  <conditionalFormatting sqref="AC80">
    <cfRule type="cellIs" priority="2825" operator="greaterThan" dxfId="13">
      <formula>0.9</formula>
    </cfRule>
    <cfRule type="cellIs" priority="2826" operator="greaterThan" dxfId="12">
      <formula>0.85</formula>
    </cfRule>
  </conditionalFormatting>
  <conditionalFormatting sqref="N80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E80">
    <cfRule type="expression" priority="2819" dxfId="3">
      <formula>AND(IF(OR($Q80=1,$Q80=2),1,0),IF($X80&lt;=20,1,0))</formula>
    </cfRule>
    <cfRule type="expression" priority="2820" dxfId="2">
      <formula>AND(IF($Q80=2,1,0),IF($X80&lt;30,1,0))</formula>
    </cfRule>
    <cfRule type="expression" priority="2821" dxfId="1">
      <formula>AND(IF($Q80=3,1,0),IF($X80&lt;30,1,0))</formula>
    </cfRule>
    <cfRule type="expression" priority="2822" dxfId="0">
      <formula>AND(IF($Q80=3,1,IF($Q80=4,1,0)),IF($F80&lt;=85,1,0))</formula>
    </cfRule>
  </conditionalFormatting>
  <conditionalFormatting sqref="X80">
    <cfRule type="expression" priority="2815" dxfId="3">
      <formula>AND(IF(OR($Q80=1,$Q80=2),1,0),IF($X80&lt;=20,1,0))</formula>
    </cfRule>
    <cfRule type="expression" priority="2816" dxfId="2">
      <formula>AND(IF($Q80=2,1,0),IF($X80&lt;30,1,0))</formula>
    </cfRule>
    <cfRule type="expression" priority="2817" dxfId="1">
      <formula>AND(IF($Q80=3,1,0),IF($X80&lt;30,1,0))</formula>
    </cfRule>
    <cfRule type="expression" priority="2818" dxfId="0">
      <formula>AND(IF($Q80=3,1,IF($Q80=4,1,0)),IF($F80&lt;=85,1,0))</formula>
    </cfRule>
  </conditionalFormatting>
  <conditionalFormatting sqref="AI80">
    <cfRule type="expression" priority="2811" dxfId="3">
      <formula>AND(IF(OR($Q80=1,$Q80=2),1,0),IF($X80&lt;=20,1,0))</formula>
    </cfRule>
    <cfRule type="expression" priority="2812" dxfId="2">
      <formula>AND(IF($Q80=2,1,0),IF($X80&lt;30,1,0))</formula>
    </cfRule>
    <cfRule type="expression" priority="2813" dxfId="1">
      <formula>AND(IF($Q80=3,1,0),IF($X80&lt;30,1,0))</formula>
    </cfRule>
    <cfRule type="expression" priority="2814" dxfId="0">
      <formula>AND(IF($Q80=3,1,IF($Q80=4,1,0)),IF($F80&lt;=85,1,0))</formula>
    </cfRule>
  </conditionalFormatting>
  <conditionalFormatting sqref="AV81">
    <cfRule type="expression" priority="2809" dxfId="17">
      <formula>AV81="X"</formula>
    </cfRule>
    <cfRule type="expression" priority="2810" dxfId="16">
      <formula>AV81="후보"</formula>
    </cfRule>
  </conditionalFormatting>
  <conditionalFormatting sqref="AC81">
    <cfRule type="cellIs" priority="2806" operator="greaterThan" dxfId="13">
      <formula>0.9</formula>
    </cfRule>
    <cfRule type="cellIs" priority="2807" operator="greaterThan" dxfId="12">
      <formula>0.85</formula>
    </cfRule>
  </conditionalFormatting>
  <conditionalFormatting sqref="N81">
    <cfRule type="cellIs" priority="2804" operator="greaterThan" dxfId="13">
      <formula>0.9</formula>
    </cfRule>
    <cfRule type="cellIs" priority="2805" operator="greaterThan" dxfId="12">
      <formula>0.85</formula>
    </cfRule>
  </conditionalFormatting>
  <conditionalFormatting sqref="E81">
    <cfRule type="expression" priority="2800" dxfId="3">
      <formula>AND(IF(OR($Q81=1,$Q81=2),1,0),IF($X81&lt;=20,1,0))</formula>
    </cfRule>
    <cfRule type="expression" priority="2801" dxfId="2">
      <formula>AND(IF($Q81=2,1,0),IF($X81&lt;30,1,0))</formula>
    </cfRule>
    <cfRule type="expression" priority="2802" dxfId="1">
      <formula>AND(IF($Q81=3,1,0),IF($X81&lt;30,1,0))</formula>
    </cfRule>
    <cfRule type="expression" priority="2803" dxfId="0">
      <formula>AND(IF($Q81=3,1,IF($Q81=4,1,0)),IF($F81&lt;=85,1,0))</formula>
    </cfRule>
  </conditionalFormatting>
  <conditionalFormatting sqref="X81">
    <cfRule type="expression" priority="2796" dxfId="3">
      <formula>AND(IF(OR($Q81=1,$Q81=2),1,0),IF($X81&lt;=20,1,0))</formula>
    </cfRule>
    <cfRule type="expression" priority="2797" dxfId="2">
      <formula>AND(IF($Q81=2,1,0),IF($X81&lt;30,1,0))</formula>
    </cfRule>
    <cfRule type="expression" priority="2798" dxfId="1">
      <formula>AND(IF($Q81=3,1,0),IF($X81&lt;30,1,0))</formula>
    </cfRule>
    <cfRule type="expression" priority="2799" dxfId="0">
      <formula>AND(IF($Q81=3,1,IF($Q81=4,1,0)),IF($F81&lt;=85,1,0))</formula>
    </cfRule>
  </conditionalFormatting>
  <conditionalFormatting sqref="AI81">
    <cfRule type="expression" priority="2792" dxfId="3">
      <formula>AND(IF(OR($Q81=1,$Q81=2),1,0),IF($X81&lt;=20,1,0))</formula>
    </cfRule>
    <cfRule type="expression" priority="2793" dxfId="2">
      <formula>AND(IF($Q81=2,1,0),IF($X81&lt;30,1,0))</formula>
    </cfRule>
    <cfRule type="expression" priority="2794" dxfId="1">
      <formula>AND(IF($Q81=3,1,0),IF($X81&lt;30,1,0))</formula>
    </cfRule>
    <cfRule type="expression" priority="2795" dxfId="0">
      <formula>AND(IF($Q81=3,1,IF($Q81=4,1,0)),IF($F81&lt;=85,1,0))</formula>
    </cfRule>
  </conditionalFormatting>
  <conditionalFormatting sqref="AV82">
    <cfRule type="expression" priority="2790" dxfId="17">
      <formula>AV82="X"</formula>
    </cfRule>
    <cfRule type="expression" priority="2791" dxfId="16">
      <formula>AV82="후보"</formula>
    </cfRule>
  </conditionalFormatting>
  <conditionalFormatting sqref="AC82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82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82">
    <cfRule type="expression" priority="2781" dxfId="3">
      <formula>AND(IF(OR($Q82=1,$Q82=2),1,0),IF($X82&lt;=20,1,0))</formula>
    </cfRule>
    <cfRule type="expression" priority="2782" dxfId="2">
      <formula>AND(IF($Q82=2,1,0),IF($X82&lt;30,1,0))</formula>
    </cfRule>
    <cfRule type="expression" priority="2783" dxfId="1">
      <formula>AND(IF($Q82=3,1,0),IF($X82&lt;30,1,0))</formula>
    </cfRule>
    <cfRule type="expression" priority="2784" dxfId="0">
      <formula>AND(IF($Q82=3,1,IF($Q82=4,1,0)),IF($F82&lt;=85,1,0))</formula>
    </cfRule>
  </conditionalFormatting>
  <conditionalFormatting sqref="X82">
    <cfRule type="expression" priority="2777" dxfId="3">
      <formula>AND(IF(OR($Q82=1,$Q82=2),1,0),IF($X82&lt;=20,1,0))</formula>
    </cfRule>
    <cfRule type="expression" priority="2778" dxfId="2">
      <formula>AND(IF($Q82=2,1,0),IF($X82&lt;30,1,0))</formula>
    </cfRule>
    <cfRule type="expression" priority="2779" dxfId="1">
      <formula>AND(IF($Q82=3,1,0),IF($X82&lt;30,1,0))</formula>
    </cfRule>
    <cfRule type="expression" priority="2780" dxfId="0">
      <formula>AND(IF($Q82=3,1,IF($Q82=4,1,0)),IF($F82&lt;=85,1,0))</formula>
    </cfRule>
  </conditionalFormatting>
  <conditionalFormatting sqref="AI82">
    <cfRule type="expression" priority="2773" dxfId="3">
      <formula>AND(IF(OR($Q82=1,$Q82=2),1,0),IF($X82&lt;=20,1,0))</formula>
    </cfRule>
    <cfRule type="expression" priority="2774" dxfId="2">
      <formula>AND(IF($Q82=2,1,0),IF($X82&lt;30,1,0))</formula>
    </cfRule>
    <cfRule type="expression" priority="2775" dxfId="1">
      <formula>AND(IF($Q82=3,1,0),IF($X82&lt;30,1,0))</formula>
    </cfRule>
    <cfRule type="expression" priority="2776" dxfId="0">
      <formula>AND(IF($Q82=3,1,IF($Q82=4,1,0)),IF($F82&lt;=85,1,0))</formula>
    </cfRule>
  </conditionalFormatting>
  <conditionalFormatting sqref="AV83">
    <cfRule type="expression" priority="2771" dxfId="17">
      <formula>AV83="X"</formula>
    </cfRule>
    <cfRule type="expression" priority="2772" dxfId="16">
      <formula>AV83="후보"</formula>
    </cfRule>
  </conditionalFormatting>
  <conditionalFormatting sqref="AC83 N83">
    <cfRule type="cellIs" priority="2768" operator="greaterThan" dxfId="13">
      <formula>0.9</formula>
    </cfRule>
    <cfRule type="cellIs" priority="2769" operator="greaterThan" dxfId="12">
      <formula>0.85</formula>
    </cfRule>
  </conditionalFormatting>
  <conditionalFormatting sqref="AV84">
    <cfRule type="expression" priority="2766" dxfId="17">
      <formula>AV84="X"</formula>
    </cfRule>
    <cfRule type="expression" priority="2767" dxfId="16">
      <formula>AV84="후보"</formula>
    </cfRule>
  </conditionalFormatting>
  <conditionalFormatting sqref="AC84">
    <cfRule type="cellIs" priority="2763" operator="greaterThan" dxfId="13">
      <formula>0.9</formula>
    </cfRule>
    <cfRule type="cellIs" priority="2764" operator="greaterThan" dxfId="12">
      <formula>0.85</formula>
    </cfRule>
  </conditionalFormatting>
  <conditionalFormatting sqref="N84">
    <cfRule type="cellIs" priority="2761" operator="greaterThan" dxfId="13">
      <formula>0.9</formula>
    </cfRule>
    <cfRule type="cellIs" priority="2762" operator="greaterThan" dxfId="12">
      <formula>0.85</formula>
    </cfRule>
  </conditionalFormatting>
  <conditionalFormatting sqref="E84">
    <cfRule type="expression" priority="2757" dxfId="3">
      <formula>AND(IF(OR($Q84=1,$Q84=2),1,0),IF($X84&lt;=20,1,0))</formula>
    </cfRule>
    <cfRule type="expression" priority="2758" dxfId="2">
      <formula>AND(IF($Q84=2,1,0),IF($X84&lt;30,1,0))</formula>
    </cfRule>
    <cfRule type="expression" priority="2759" dxfId="1">
      <formula>AND(IF($Q84=3,1,0),IF($X84&lt;30,1,0))</formula>
    </cfRule>
    <cfRule type="expression" priority="2760" dxfId="0">
      <formula>AND(IF($Q84=3,1,IF($Q84=4,1,0)),IF($F84&lt;=85,1,0))</formula>
    </cfRule>
  </conditionalFormatting>
  <conditionalFormatting sqref="X84">
    <cfRule type="expression" priority="2753" dxfId="3">
      <formula>AND(IF(OR($Q84=1,$Q84=2),1,0),IF($X84&lt;=20,1,0))</formula>
    </cfRule>
    <cfRule type="expression" priority="2754" dxfId="2">
      <formula>AND(IF($Q84=2,1,0),IF($X84&lt;30,1,0))</formula>
    </cfRule>
    <cfRule type="expression" priority="2755" dxfId="1">
      <formula>AND(IF($Q84=3,1,0),IF($X84&lt;30,1,0))</formula>
    </cfRule>
    <cfRule type="expression" priority="2756" dxfId="0">
      <formula>AND(IF($Q84=3,1,IF($Q84=4,1,0)),IF($F84&lt;=85,1,0))</formula>
    </cfRule>
  </conditionalFormatting>
  <conditionalFormatting sqref="AI84">
    <cfRule type="expression" priority="2749" dxfId="3">
      <formula>AND(IF(OR($Q84=1,$Q84=2),1,0),IF($X84&lt;=20,1,0))</formula>
    </cfRule>
    <cfRule type="expression" priority="2750" dxfId="2">
      <formula>AND(IF($Q84=2,1,0),IF($X84&lt;30,1,0))</formula>
    </cfRule>
    <cfRule type="expression" priority="2751" dxfId="1">
      <formula>AND(IF($Q84=3,1,0),IF($X84&lt;30,1,0))</formula>
    </cfRule>
    <cfRule type="expression" priority="2752" dxfId="0">
      <formula>AND(IF($Q84=3,1,IF($Q84=4,1,0)),IF($F84&lt;=85,1,0))</formula>
    </cfRule>
  </conditionalFormatting>
  <conditionalFormatting sqref="AV85">
    <cfRule type="expression" priority="2747" dxfId="17">
      <formula>AV85="X"</formula>
    </cfRule>
    <cfRule type="expression" priority="2748" dxfId="16">
      <formula>AV85="후보"</formula>
    </cfRule>
  </conditionalFormatting>
  <conditionalFormatting sqref="AC85">
    <cfRule type="cellIs" priority="2744" operator="greaterThan" dxfId="13">
      <formula>0.9</formula>
    </cfRule>
    <cfRule type="cellIs" priority="2745" operator="greaterThan" dxfId="12">
      <formula>0.85</formula>
    </cfRule>
  </conditionalFormatting>
  <conditionalFormatting sqref="N85">
    <cfRule type="cellIs" priority="2742" operator="greaterThan" dxfId="13">
      <formula>0.9</formula>
    </cfRule>
    <cfRule type="cellIs" priority="2743" operator="greaterThan" dxfId="12">
      <formula>0.85</formula>
    </cfRule>
  </conditionalFormatting>
  <conditionalFormatting sqref="E85">
    <cfRule type="expression" priority="2738" dxfId="3">
      <formula>AND(IF(OR($Q85=1,$Q85=2),1,0),IF($X85&lt;=20,1,0))</formula>
    </cfRule>
    <cfRule type="expression" priority="2739" dxfId="2">
      <formula>AND(IF($Q85=2,1,0),IF($X85&lt;30,1,0))</formula>
    </cfRule>
    <cfRule type="expression" priority="2740" dxfId="1">
      <formula>AND(IF($Q85=3,1,0),IF($X85&lt;30,1,0))</formula>
    </cfRule>
    <cfRule type="expression" priority="2741" dxfId="0">
      <formula>AND(IF($Q85=3,1,IF($Q85=4,1,0)),IF($F85&lt;=85,1,0))</formula>
    </cfRule>
  </conditionalFormatting>
  <conditionalFormatting sqref="X85">
    <cfRule type="expression" priority="2734" dxfId="3">
      <formula>AND(IF(OR($Q85=1,$Q85=2),1,0),IF($X85&lt;=20,1,0))</formula>
    </cfRule>
    <cfRule type="expression" priority="2735" dxfId="2">
      <formula>AND(IF($Q85=2,1,0),IF($X85&lt;30,1,0))</formula>
    </cfRule>
    <cfRule type="expression" priority="2736" dxfId="1">
      <formula>AND(IF($Q85=3,1,0),IF($X85&lt;30,1,0))</formula>
    </cfRule>
    <cfRule type="expression" priority="2737" dxfId="0">
      <formula>AND(IF($Q85=3,1,IF($Q85=4,1,0)),IF($F85&lt;=85,1,0))</formula>
    </cfRule>
  </conditionalFormatting>
  <conditionalFormatting sqref="AI85">
    <cfRule type="expression" priority="2730" dxfId="3">
      <formula>AND(IF(OR($Q85=1,$Q85=2),1,0),IF($X85&lt;=20,1,0))</formula>
    </cfRule>
    <cfRule type="expression" priority="2731" dxfId="2">
      <formula>AND(IF($Q85=2,1,0),IF($X85&lt;30,1,0))</formula>
    </cfRule>
    <cfRule type="expression" priority="2732" dxfId="1">
      <formula>AND(IF($Q85=3,1,0),IF($X85&lt;30,1,0))</formula>
    </cfRule>
    <cfRule type="expression" priority="2733" dxfId="0">
      <formula>AND(IF($Q85=3,1,IF($Q85=4,1,0)),IF($F85&lt;=85,1,0))</formula>
    </cfRule>
  </conditionalFormatting>
  <conditionalFormatting sqref="AV86">
    <cfRule type="expression" priority="2728" dxfId="17">
      <formula>AV86="X"</formula>
    </cfRule>
    <cfRule type="expression" priority="2729" dxfId="16">
      <formula>AV86="후보"</formula>
    </cfRule>
  </conditionalFormatting>
  <conditionalFormatting sqref="AC86">
    <cfRule type="cellIs" priority="2725" operator="greaterThan" dxfId="13">
      <formula>0.9</formula>
    </cfRule>
    <cfRule type="cellIs" priority="2726" operator="greaterThan" dxfId="12">
      <formula>0.85</formula>
    </cfRule>
  </conditionalFormatting>
  <conditionalFormatting sqref="N86">
    <cfRule type="cellIs" priority="2723" operator="greaterThan" dxfId="13">
      <formula>0.9</formula>
    </cfRule>
    <cfRule type="cellIs" priority="2724" operator="greaterThan" dxfId="12">
      <formula>0.85</formula>
    </cfRule>
  </conditionalFormatting>
  <conditionalFormatting sqref="E86">
    <cfRule type="expression" priority="2719" dxfId="3">
      <formula>AND(IF(OR($Q86=1,$Q86=2),1,0),IF($X86&lt;=20,1,0))</formula>
    </cfRule>
    <cfRule type="expression" priority="2720" dxfId="2">
      <formula>AND(IF($Q86=2,1,0),IF($X86&lt;30,1,0))</formula>
    </cfRule>
    <cfRule type="expression" priority="2721" dxfId="1">
      <formula>AND(IF($Q86=3,1,0),IF($X86&lt;30,1,0))</formula>
    </cfRule>
    <cfRule type="expression" priority="2722" dxfId="0">
      <formula>AND(IF($Q86=3,1,IF($Q86=4,1,0)),IF($F86&lt;=85,1,0))</formula>
    </cfRule>
  </conditionalFormatting>
  <conditionalFormatting sqref="X86">
    <cfRule type="expression" priority="2715" dxfId="3">
      <formula>AND(IF(OR($Q86=1,$Q86=2),1,0),IF($X86&lt;=20,1,0))</formula>
    </cfRule>
    <cfRule type="expression" priority="2716" dxfId="2">
      <formula>AND(IF($Q86=2,1,0),IF($X86&lt;30,1,0))</formula>
    </cfRule>
    <cfRule type="expression" priority="2717" dxfId="1">
      <formula>AND(IF($Q86=3,1,0),IF($X86&lt;30,1,0))</formula>
    </cfRule>
    <cfRule type="expression" priority="2718" dxfId="0">
      <formula>AND(IF($Q86=3,1,IF($Q86=4,1,0)),IF($F86&lt;=85,1,0))</formula>
    </cfRule>
  </conditionalFormatting>
  <conditionalFormatting sqref="AI86">
    <cfRule type="expression" priority="2711" dxfId="3">
      <formula>AND(IF(OR($Q86=1,$Q86=2),1,0),IF($X86&lt;=20,1,0))</formula>
    </cfRule>
    <cfRule type="expression" priority="2712" dxfId="2">
      <formula>AND(IF($Q86=2,1,0),IF($X86&lt;30,1,0))</formula>
    </cfRule>
    <cfRule type="expression" priority="2713" dxfId="1">
      <formula>AND(IF($Q86=3,1,0),IF($X86&lt;30,1,0))</formula>
    </cfRule>
    <cfRule type="expression" priority="2714" dxfId="0">
      <formula>AND(IF($Q86=3,1,IF($Q86=4,1,0)),IF($F86&lt;=85,1,0))</formula>
    </cfRule>
  </conditionalFormatting>
  <conditionalFormatting sqref="AV87">
    <cfRule type="expression" priority="2709" dxfId="17">
      <formula>AV87="X"</formula>
    </cfRule>
    <cfRule type="expression" priority="2710" dxfId="16">
      <formula>AV87="후보"</formula>
    </cfRule>
  </conditionalFormatting>
  <conditionalFormatting sqref="AC87">
    <cfRule type="cellIs" priority="2706" operator="greaterThan" dxfId="13">
      <formula>0.9</formula>
    </cfRule>
    <cfRule type="cellIs" priority="2707" operator="greaterThan" dxfId="12">
      <formula>0.85</formula>
    </cfRule>
  </conditionalFormatting>
  <conditionalFormatting sqref="N87">
    <cfRule type="cellIs" priority="2704" operator="greaterThan" dxfId="13">
      <formula>0.9</formula>
    </cfRule>
    <cfRule type="cellIs" priority="2705" operator="greaterThan" dxfId="12">
      <formula>0.85</formula>
    </cfRule>
  </conditionalFormatting>
  <conditionalFormatting sqref="E87">
    <cfRule type="expression" priority="2700" dxfId="3">
      <formula>AND(IF(OR($Q87=1,$Q87=2),1,0),IF($X87&lt;=20,1,0))</formula>
    </cfRule>
    <cfRule type="expression" priority="2701" dxfId="2">
      <formula>AND(IF($Q87=2,1,0),IF($X87&lt;30,1,0))</formula>
    </cfRule>
    <cfRule type="expression" priority="2702" dxfId="1">
      <formula>AND(IF($Q87=3,1,0),IF($X87&lt;30,1,0))</formula>
    </cfRule>
    <cfRule type="expression" priority="2703" dxfId="0">
      <formula>AND(IF($Q87=3,1,IF($Q87=4,1,0)),IF($F87&lt;=85,1,0))</formula>
    </cfRule>
  </conditionalFormatting>
  <conditionalFormatting sqref="X87">
    <cfRule type="expression" priority="2696" dxfId="3">
      <formula>AND(IF(OR($Q87=1,$Q87=2),1,0),IF($X87&lt;=20,1,0))</formula>
    </cfRule>
    <cfRule type="expression" priority="2697" dxfId="2">
      <formula>AND(IF($Q87=2,1,0),IF($X87&lt;30,1,0))</formula>
    </cfRule>
    <cfRule type="expression" priority="2698" dxfId="1">
      <formula>AND(IF($Q87=3,1,0),IF($X87&lt;30,1,0))</formula>
    </cfRule>
    <cfRule type="expression" priority="2699" dxfId="0">
      <formula>AND(IF($Q87=3,1,IF($Q87=4,1,0)),IF($F87&lt;=85,1,0))</formula>
    </cfRule>
  </conditionalFormatting>
  <conditionalFormatting sqref="AI87">
    <cfRule type="expression" priority="2692" dxfId="3">
      <formula>AND(IF(OR($Q87=1,$Q87=2),1,0),IF($X87&lt;=20,1,0))</formula>
    </cfRule>
    <cfRule type="expression" priority="2693" dxfId="2">
      <formula>AND(IF($Q87=2,1,0),IF($X87&lt;30,1,0))</formula>
    </cfRule>
    <cfRule type="expression" priority="2694" dxfId="1">
      <formula>AND(IF($Q87=3,1,0),IF($X87&lt;30,1,0))</formula>
    </cfRule>
    <cfRule type="expression" priority="2695" dxfId="0">
      <formula>AND(IF($Q87=3,1,IF($Q87=4,1,0)),IF($F87&lt;=85,1,0))</formula>
    </cfRule>
  </conditionalFormatting>
  <conditionalFormatting sqref="AV88">
    <cfRule type="expression" priority="2690" dxfId="17">
      <formula>AV88="X"</formula>
    </cfRule>
    <cfRule type="expression" priority="2691" dxfId="16">
      <formula>AV88="후보"</formula>
    </cfRule>
  </conditionalFormatting>
  <conditionalFormatting sqref="AC88">
    <cfRule type="cellIs" priority="2687" operator="greaterThan" dxfId="13">
      <formula>0.9</formula>
    </cfRule>
    <cfRule type="cellIs" priority="2688" operator="greaterThan" dxfId="12">
      <formula>0.85</formula>
    </cfRule>
  </conditionalFormatting>
  <conditionalFormatting sqref="N88">
    <cfRule type="cellIs" priority="2685" operator="greaterThan" dxfId="13">
      <formula>0.9</formula>
    </cfRule>
    <cfRule type="cellIs" priority="2686" operator="greaterThan" dxfId="12">
      <formula>0.85</formula>
    </cfRule>
  </conditionalFormatting>
  <conditionalFormatting sqref="E88">
    <cfRule type="expression" priority="2681" dxfId="3">
      <formula>AND(IF(OR($Q88=1,$Q88=2),1,0),IF($X88&lt;=20,1,0))</formula>
    </cfRule>
    <cfRule type="expression" priority="2682" dxfId="2">
      <formula>AND(IF($Q88=2,1,0),IF($X88&lt;30,1,0))</formula>
    </cfRule>
    <cfRule type="expression" priority="2683" dxfId="1">
      <formula>AND(IF($Q88=3,1,0),IF($X88&lt;30,1,0))</formula>
    </cfRule>
    <cfRule type="expression" priority="2684" dxfId="0">
      <formula>AND(IF($Q88=3,1,IF($Q88=4,1,0)),IF($F88&lt;=85,1,0))</formula>
    </cfRule>
  </conditionalFormatting>
  <conditionalFormatting sqref="X88">
    <cfRule type="expression" priority="2677" dxfId="3">
      <formula>AND(IF(OR($Q88=1,$Q88=2),1,0),IF($X88&lt;=20,1,0))</formula>
    </cfRule>
    <cfRule type="expression" priority="2678" dxfId="2">
      <formula>AND(IF($Q88=2,1,0),IF($X88&lt;30,1,0))</formula>
    </cfRule>
    <cfRule type="expression" priority="2679" dxfId="1">
      <formula>AND(IF($Q88=3,1,0),IF($X88&lt;30,1,0))</formula>
    </cfRule>
    <cfRule type="expression" priority="2680" dxfId="0">
      <formula>AND(IF($Q88=3,1,IF($Q88=4,1,0)),IF($F88&lt;=85,1,0))</formula>
    </cfRule>
  </conditionalFormatting>
  <conditionalFormatting sqref="AI88">
    <cfRule type="expression" priority="2673" dxfId="3">
      <formula>AND(IF(OR($Q88=1,$Q88=2),1,0),IF($X88&lt;=20,1,0))</formula>
    </cfRule>
    <cfRule type="expression" priority="2674" dxfId="2">
      <formula>AND(IF($Q88=2,1,0),IF($X88&lt;30,1,0))</formula>
    </cfRule>
    <cfRule type="expression" priority="2675" dxfId="1">
      <formula>AND(IF($Q88=3,1,0),IF($X88&lt;30,1,0))</formula>
    </cfRule>
    <cfRule type="expression" priority="2676" dxfId="0">
      <formula>AND(IF($Q88=3,1,IF($Q88=4,1,0)),IF($F88&lt;=85,1,0))</formula>
    </cfRule>
  </conditionalFormatting>
  <conditionalFormatting sqref="AV89">
    <cfRule type="expression" priority="2671" dxfId="17">
      <formula>AV89="X"</formula>
    </cfRule>
    <cfRule type="expression" priority="2672" dxfId="16">
      <formula>AV89="후보"</formula>
    </cfRule>
  </conditionalFormatting>
  <conditionalFormatting sqref="AC89">
    <cfRule type="cellIs" priority="2668" operator="greaterThan" dxfId="13">
      <formula>0.9</formula>
    </cfRule>
    <cfRule type="cellIs" priority="2669" operator="greaterThan" dxfId="12">
      <formula>0.85</formula>
    </cfRule>
  </conditionalFormatting>
  <conditionalFormatting sqref="N89">
    <cfRule type="cellIs" priority="2666" operator="greaterThan" dxfId="13">
      <formula>0.9</formula>
    </cfRule>
    <cfRule type="cellIs" priority="2667" operator="greaterThan" dxfId="12">
      <formula>0.85</formula>
    </cfRule>
  </conditionalFormatting>
  <conditionalFormatting sqref="E89">
    <cfRule type="expression" priority="2662" dxfId="3">
      <formula>AND(IF(OR($Q89=1,$Q89=2),1,0),IF($X89&lt;=20,1,0))</formula>
    </cfRule>
    <cfRule type="expression" priority="2663" dxfId="2">
      <formula>AND(IF($Q89=2,1,0),IF($X89&lt;30,1,0))</formula>
    </cfRule>
    <cfRule type="expression" priority="2664" dxfId="1">
      <formula>AND(IF($Q89=3,1,0),IF($X89&lt;30,1,0))</formula>
    </cfRule>
    <cfRule type="expression" priority="2665" dxfId="0">
      <formula>AND(IF($Q89=3,1,IF($Q89=4,1,0)),IF($F89&lt;=85,1,0))</formula>
    </cfRule>
  </conditionalFormatting>
  <conditionalFormatting sqref="X89">
    <cfRule type="expression" priority="2658" dxfId="3">
      <formula>AND(IF(OR($Q89=1,$Q89=2),1,0),IF($X89&lt;=20,1,0))</formula>
    </cfRule>
    <cfRule type="expression" priority="2659" dxfId="2">
      <formula>AND(IF($Q89=2,1,0),IF($X89&lt;30,1,0))</formula>
    </cfRule>
    <cfRule type="expression" priority="2660" dxfId="1">
      <formula>AND(IF($Q89=3,1,0),IF($X89&lt;30,1,0))</formula>
    </cfRule>
    <cfRule type="expression" priority="2661" dxfId="0">
      <formula>AND(IF($Q89=3,1,IF($Q89=4,1,0)),IF($F89&lt;=85,1,0))</formula>
    </cfRule>
  </conditionalFormatting>
  <conditionalFormatting sqref="AI89">
    <cfRule type="expression" priority="2654" dxfId="3">
      <formula>AND(IF(OR($Q89=1,$Q89=2),1,0),IF($X89&lt;=20,1,0))</formula>
    </cfRule>
    <cfRule type="expression" priority="2655" dxfId="2">
      <formula>AND(IF($Q89=2,1,0),IF($X89&lt;30,1,0))</formula>
    </cfRule>
    <cfRule type="expression" priority="2656" dxfId="1">
      <formula>AND(IF($Q89=3,1,0),IF($X89&lt;30,1,0))</formula>
    </cfRule>
    <cfRule type="expression" priority="2657" dxfId="0">
      <formula>AND(IF($Q89=3,1,IF($Q89=4,1,0)),IF($F89&lt;=85,1,0))</formula>
    </cfRule>
  </conditionalFormatting>
  <conditionalFormatting sqref="AV90">
    <cfRule type="expression" priority="2652" dxfId="17">
      <formula>AV90="X"</formula>
    </cfRule>
    <cfRule type="expression" priority="2653" dxfId="16">
      <formula>AV90="후보"</formula>
    </cfRule>
  </conditionalFormatting>
  <conditionalFormatting sqref="AC90">
    <cfRule type="cellIs" priority="2649" operator="greaterThan" dxfId="13">
      <formula>0.9</formula>
    </cfRule>
    <cfRule type="cellIs" priority="2650" operator="greaterThan" dxfId="12">
      <formula>0.85</formula>
    </cfRule>
  </conditionalFormatting>
  <conditionalFormatting sqref="N90">
    <cfRule type="cellIs" priority="2647" operator="greaterThan" dxfId="13">
      <formula>0.9</formula>
    </cfRule>
    <cfRule type="cellIs" priority="2648" operator="greaterThan" dxfId="12">
      <formula>0.85</formula>
    </cfRule>
  </conditionalFormatting>
  <conditionalFormatting sqref="E90">
    <cfRule type="expression" priority="2643" dxfId="3">
      <formula>AND(IF(OR($Q90=1,$Q90=2),1,0),IF($X90&lt;=20,1,0))</formula>
    </cfRule>
    <cfRule type="expression" priority="2644" dxfId="2">
      <formula>AND(IF($Q90=2,1,0),IF($X90&lt;30,1,0))</formula>
    </cfRule>
    <cfRule type="expression" priority="2645" dxfId="1">
      <formula>AND(IF($Q90=3,1,0),IF($X90&lt;30,1,0))</formula>
    </cfRule>
    <cfRule type="expression" priority="2646" dxfId="0">
      <formula>AND(IF($Q90=3,1,IF($Q90=4,1,0)),IF($F90&lt;=85,1,0))</formula>
    </cfRule>
  </conditionalFormatting>
  <conditionalFormatting sqref="X90">
    <cfRule type="expression" priority="2639" dxfId="3">
      <formula>AND(IF(OR($Q90=1,$Q90=2),1,0),IF($X90&lt;=20,1,0))</formula>
    </cfRule>
    <cfRule type="expression" priority="2640" dxfId="2">
      <formula>AND(IF($Q90=2,1,0),IF($X90&lt;30,1,0))</formula>
    </cfRule>
    <cfRule type="expression" priority="2641" dxfId="1">
      <formula>AND(IF($Q90=3,1,0),IF($X90&lt;30,1,0))</formula>
    </cfRule>
    <cfRule type="expression" priority="2642" dxfId="0">
      <formula>AND(IF($Q90=3,1,IF($Q90=4,1,0)),IF($F90&lt;=85,1,0))</formula>
    </cfRule>
  </conditionalFormatting>
  <conditionalFormatting sqref="AI90">
    <cfRule type="expression" priority="2635" dxfId="3">
      <formula>AND(IF(OR($Q90=1,$Q90=2),1,0),IF($X90&lt;=20,1,0))</formula>
    </cfRule>
    <cfRule type="expression" priority="2636" dxfId="2">
      <formula>AND(IF($Q90=2,1,0),IF($X90&lt;30,1,0))</formula>
    </cfRule>
    <cfRule type="expression" priority="2637" dxfId="1">
      <formula>AND(IF($Q90=3,1,0),IF($X90&lt;30,1,0))</formula>
    </cfRule>
    <cfRule type="expression" priority="2638" dxfId="0">
      <formula>AND(IF($Q90=3,1,IF($Q90=4,1,0)),IF($F90&lt;=85,1,0))</formula>
    </cfRule>
  </conditionalFormatting>
  <conditionalFormatting sqref="AV91">
    <cfRule type="expression" priority="2633" dxfId="17">
      <formula>AV91="X"</formula>
    </cfRule>
    <cfRule type="expression" priority="2634" dxfId="16">
      <formula>AV91="후보"</formula>
    </cfRule>
  </conditionalFormatting>
  <conditionalFormatting sqref="AC91 N91">
    <cfRule type="cellIs" priority="2630" operator="greaterThan" dxfId="13">
      <formula>0.9</formula>
    </cfRule>
    <cfRule type="cellIs" priority="2631" operator="greaterThan" dxfId="12">
      <formula>0.85</formula>
    </cfRule>
  </conditionalFormatting>
  <conditionalFormatting sqref="AV92">
    <cfRule type="expression" priority="2628" dxfId="17">
      <formula>AV92="X"</formula>
    </cfRule>
    <cfRule type="expression" priority="2629" dxfId="16">
      <formula>AV92="후보"</formula>
    </cfRule>
  </conditionalFormatting>
  <conditionalFormatting sqref="AC92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92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92">
    <cfRule type="expression" priority="2619" dxfId="3">
      <formula>AND(IF(OR($Q92=1,$Q92=2),1,0),IF($X92&lt;=20,1,0))</formula>
    </cfRule>
    <cfRule type="expression" priority="2620" dxfId="2">
      <formula>AND(IF($Q92=2,1,0),IF($X92&lt;30,1,0))</formula>
    </cfRule>
    <cfRule type="expression" priority="2621" dxfId="1">
      <formula>AND(IF($Q92=3,1,0),IF($X92&lt;30,1,0))</formula>
    </cfRule>
    <cfRule type="expression" priority="2622" dxfId="0">
      <formula>AND(IF($Q92=3,1,IF($Q92=4,1,0)),IF($F92&lt;=85,1,0))</formula>
    </cfRule>
  </conditionalFormatting>
  <conditionalFormatting sqref="X92">
    <cfRule type="expression" priority="2615" dxfId="3">
      <formula>AND(IF(OR($Q92=1,$Q92=2),1,0),IF($X92&lt;=20,1,0))</formula>
    </cfRule>
    <cfRule type="expression" priority="2616" dxfId="2">
      <formula>AND(IF($Q92=2,1,0),IF($X92&lt;30,1,0))</formula>
    </cfRule>
    <cfRule type="expression" priority="2617" dxfId="1">
      <formula>AND(IF($Q92=3,1,0),IF($X92&lt;30,1,0))</formula>
    </cfRule>
    <cfRule type="expression" priority="2618" dxfId="0">
      <formula>AND(IF($Q92=3,1,IF($Q92=4,1,0)),IF($F92&lt;=85,1,0))</formula>
    </cfRule>
  </conditionalFormatting>
  <conditionalFormatting sqref="AI92">
    <cfRule type="expression" priority="2611" dxfId="3">
      <formula>AND(IF(OR($Q92=1,$Q92=2),1,0),IF($X92&lt;=20,1,0))</formula>
    </cfRule>
    <cfRule type="expression" priority="2612" dxfId="2">
      <formula>AND(IF($Q92=2,1,0),IF($X92&lt;30,1,0))</formula>
    </cfRule>
    <cfRule type="expression" priority="2613" dxfId="1">
      <formula>AND(IF($Q92=3,1,0),IF($X92&lt;30,1,0))</formula>
    </cfRule>
    <cfRule type="expression" priority="2614" dxfId="0">
      <formula>AND(IF($Q92=3,1,IF($Q92=4,1,0)),IF($F92&lt;=85,1,0))</formula>
    </cfRule>
  </conditionalFormatting>
  <conditionalFormatting sqref="AV93">
    <cfRule type="expression" priority="2609" dxfId="17">
      <formula>AV93="X"</formula>
    </cfRule>
    <cfRule type="expression" priority="2610" dxfId="16">
      <formula>AV93="후보"</formula>
    </cfRule>
  </conditionalFormatting>
  <conditionalFormatting sqref="AC93">
    <cfRule type="cellIs" priority="2606" operator="greaterThan" dxfId="13">
      <formula>0.9</formula>
    </cfRule>
    <cfRule type="cellIs" priority="2607" operator="greaterThan" dxfId="12">
      <formula>0.85</formula>
    </cfRule>
  </conditionalFormatting>
  <conditionalFormatting sqref="N93">
    <cfRule type="cellIs" priority="2604" operator="greaterThan" dxfId="13">
      <formula>0.9</formula>
    </cfRule>
    <cfRule type="cellIs" priority="2605" operator="greaterThan" dxfId="12">
      <formula>0.85</formula>
    </cfRule>
  </conditionalFormatting>
  <conditionalFormatting sqref="E93">
    <cfRule type="expression" priority="2600" dxfId="3">
      <formula>AND(IF(OR($Q93=1,$Q93=2),1,0),IF($X93&lt;=20,1,0))</formula>
    </cfRule>
    <cfRule type="expression" priority="2601" dxfId="2">
      <formula>AND(IF($Q93=2,1,0),IF($X93&lt;30,1,0))</formula>
    </cfRule>
    <cfRule type="expression" priority="2602" dxfId="1">
      <formula>AND(IF($Q93=3,1,0),IF($X93&lt;30,1,0))</formula>
    </cfRule>
    <cfRule type="expression" priority="2603" dxfId="0">
      <formula>AND(IF($Q93=3,1,IF($Q93=4,1,0)),IF($F93&lt;=85,1,0))</formula>
    </cfRule>
  </conditionalFormatting>
  <conditionalFormatting sqref="X93">
    <cfRule type="expression" priority="2596" dxfId="3">
      <formula>AND(IF(OR($Q93=1,$Q93=2),1,0),IF($X93&lt;=20,1,0))</formula>
    </cfRule>
    <cfRule type="expression" priority="2597" dxfId="2">
      <formula>AND(IF($Q93=2,1,0),IF($X93&lt;30,1,0))</formula>
    </cfRule>
    <cfRule type="expression" priority="2598" dxfId="1">
      <formula>AND(IF($Q93=3,1,0),IF($X93&lt;30,1,0))</formula>
    </cfRule>
    <cfRule type="expression" priority="2599" dxfId="0">
      <formula>AND(IF($Q93=3,1,IF($Q93=4,1,0)),IF($F93&lt;=85,1,0))</formula>
    </cfRule>
  </conditionalFormatting>
  <conditionalFormatting sqref="AI93">
    <cfRule type="expression" priority="2592" dxfId="3">
      <formula>AND(IF(OR($Q93=1,$Q93=2),1,0),IF($X93&lt;=20,1,0))</formula>
    </cfRule>
    <cfRule type="expression" priority="2593" dxfId="2">
      <formula>AND(IF($Q93=2,1,0),IF($X93&lt;30,1,0))</formula>
    </cfRule>
    <cfRule type="expression" priority="2594" dxfId="1">
      <formula>AND(IF($Q93=3,1,0),IF($X93&lt;30,1,0))</formula>
    </cfRule>
    <cfRule type="expression" priority="2595" dxfId="0">
      <formula>AND(IF($Q93=3,1,IF($Q93=4,1,0)),IF($F93&lt;=85,1,0))</formula>
    </cfRule>
  </conditionalFormatting>
  <conditionalFormatting sqref="AV94">
    <cfRule type="expression" priority="2590" dxfId="17">
      <formula>AV94="X"</formula>
    </cfRule>
    <cfRule type="expression" priority="2591" dxfId="16">
      <formula>AV94="후보"</formula>
    </cfRule>
  </conditionalFormatting>
  <conditionalFormatting sqref="AC94 N94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AV95">
    <cfRule type="expression" priority="2585" dxfId="17">
      <formula>AV95="X"</formula>
    </cfRule>
    <cfRule type="expression" priority="2586" dxfId="16">
      <formula>AV95="후보"</formula>
    </cfRule>
  </conditionalFormatting>
  <conditionalFormatting sqref="AC95">
    <cfRule type="cellIs" priority="2582" operator="greaterThan" dxfId="13">
      <formula>0.9</formula>
    </cfRule>
    <cfRule type="cellIs" priority="2583" operator="greaterThan" dxfId="12">
      <formula>0.85</formula>
    </cfRule>
  </conditionalFormatting>
  <conditionalFormatting sqref="N95">
    <cfRule type="cellIs" priority="2580" operator="greaterThan" dxfId="13">
      <formula>0.9</formula>
    </cfRule>
    <cfRule type="cellIs" priority="2581" operator="greaterThan" dxfId="12">
      <formula>0.85</formula>
    </cfRule>
  </conditionalFormatting>
  <conditionalFormatting sqref="E95">
    <cfRule type="expression" priority="2576" dxfId="3">
      <formula>AND(IF(OR($Q95=1,$Q95=2),1,0),IF($X95&lt;=20,1,0))</formula>
    </cfRule>
    <cfRule type="expression" priority="2577" dxfId="2">
      <formula>AND(IF($Q95=2,1,0),IF($X95&lt;30,1,0))</formula>
    </cfRule>
    <cfRule type="expression" priority="2578" dxfId="1">
      <formula>AND(IF($Q95=3,1,0),IF($X95&lt;30,1,0))</formula>
    </cfRule>
    <cfRule type="expression" priority="2579" dxfId="0">
      <formula>AND(IF($Q95=3,1,IF($Q95=4,1,0)),IF($F95&lt;=85,1,0))</formula>
    </cfRule>
  </conditionalFormatting>
  <conditionalFormatting sqref="X95">
    <cfRule type="expression" priority="2572" dxfId="3">
      <formula>AND(IF(OR($Q95=1,$Q95=2),1,0),IF($X95&lt;=20,1,0))</formula>
    </cfRule>
    <cfRule type="expression" priority="2573" dxfId="2">
      <formula>AND(IF($Q95=2,1,0),IF($X95&lt;30,1,0))</formula>
    </cfRule>
    <cfRule type="expression" priority="2574" dxfId="1">
      <formula>AND(IF($Q95=3,1,0),IF($X95&lt;30,1,0))</formula>
    </cfRule>
    <cfRule type="expression" priority="2575" dxfId="0">
      <formula>AND(IF($Q95=3,1,IF($Q95=4,1,0)),IF($F95&lt;=85,1,0))</formula>
    </cfRule>
  </conditionalFormatting>
  <conditionalFormatting sqref="AI95">
    <cfRule type="expression" priority="2568" dxfId="3">
      <formula>AND(IF(OR($Q95=1,$Q95=2),1,0),IF($X95&lt;=20,1,0))</formula>
    </cfRule>
    <cfRule type="expression" priority="2569" dxfId="2">
      <formula>AND(IF($Q95=2,1,0),IF($X95&lt;30,1,0))</formula>
    </cfRule>
    <cfRule type="expression" priority="2570" dxfId="1">
      <formula>AND(IF($Q95=3,1,0),IF($X95&lt;30,1,0))</formula>
    </cfRule>
    <cfRule type="expression" priority="2571" dxfId="0">
      <formula>AND(IF($Q95=3,1,IF($Q95=4,1,0)),IF($F95&lt;=85,1,0))</formula>
    </cfRule>
  </conditionalFormatting>
  <conditionalFormatting sqref="AV96">
    <cfRule type="expression" priority="2566" dxfId="17">
      <formula>AV96="X"</formula>
    </cfRule>
    <cfRule type="expression" priority="2567" dxfId="16">
      <formula>AV96="후보"</formula>
    </cfRule>
  </conditionalFormatting>
  <conditionalFormatting sqref="AC96">
    <cfRule type="cellIs" priority="2563" operator="greaterThan" dxfId="13">
      <formula>0.9</formula>
    </cfRule>
    <cfRule type="cellIs" priority="2564" operator="greaterThan" dxfId="12">
      <formula>0.85</formula>
    </cfRule>
  </conditionalFormatting>
  <conditionalFormatting sqref="N96">
    <cfRule type="cellIs" priority="2561" operator="greaterThan" dxfId="13">
      <formula>0.9</formula>
    </cfRule>
    <cfRule type="cellIs" priority="2562" operator="greaterThan" dxfId="12">
      <formula>0.85</formula>
    </cfRule>
  </conditionalFormatting>
  <conditionalFormatting sqref="E96">
    <cfRule type="expression" priority="2557" dxfId="3">
      <formula>AND(IF(OR($Q96=1,$Q96=2),1,0),IF($X96&lt;=20,1,0))</formula>
    </cfRule>
    <cfRule type="expression" priority="2558" dxfId="2">
      <formula>AND(IF($Q96=2,1,0),IF($X96&lt;30,1,0))</formula>
    </cfRule>
    <cfRule type="expression" priority="2559" dxfId="1">
      <formula>AND(IF($Q96=3,1,0),IF($X96&lt;30,1,0))</formula>
    </cfRule>
    <cfRule type="expression" priority="2560" dxfId="0">
      <formula>AND(IF($Q96=3,1,IF($Q96=4,1,0)),IF($F96&lt;=85,1,0))</formula>
    </cfRule>
  </conditionalFormatting>
  <conditionalFormatting sqref="X96">
    <cfRule type="expression" priority="2553" dxfId="3">
      <formula>AND(IF(OR($Q96=1,$Q96=2),1,0),IF($X96&lt;=20,1,0))</formula>
    </cfRule>
    <cfRule type="expression" priority="2554" dxfId="2">
      <formula>AND(IF($Q96=2,1,0),IF($X96&lt;30,1,0))</formula>
    </cfRule>
    <cfRule type="expression" priority="2555" dxfId="1">
      <formula>AND(IF($Q96=3,1,0),IF($X96&lt;30,1,0))</formula>
    </cfRule>
    <cfRule type="expression" priority="2556" dxfId="0">
      <formula>AND(IF($Q96=3,1,IF($Q96=4,1,0)),IF($F96&lt;=85,1,0))</formula>
    </cfRule>
  </conditionalFormatting>
  <conditionalFormatting sqref="AI96">
    <cfRule type="expression" priority="2549" dxfId="3">
      <formula>AND(IF(OR($Q96=1,$Q96=2),1,0),IF($X96&lt;=20,1,0))</formula>
    </cfRule>
    <cfRule type="expression" priority="2550" dxfId="2">
      <formula>AND(IF($Q96=2,1,0),IF($X96&lt;30,1,0))</formula>
    </cfRule>
    <cfRule type="expression" priority="2551" dxfId="1">
      <formula>AND(IF($Q96=3,1,0),IF($X96&lt;30,1,0))</formula>
    </cfRule>
    <cfRule type="expression" priority="2552" dxfId="0">
      <formula>AND(IF($Q96=3,1,IF($Q96=4,1,0)),IF($F96&lt;=85,1,0))</formula>
    </cfRule>
  </conditionalFormatting>
  <conditionalFormatting sqref="AV97">
    <cfRule type="expression" priority="2547" dxfId="17">
      <formula>AV97="X"</formula>
    </cfRule>
    <cfRule type="expression" priority="2548" dxfId="16">
      <formula>AV97="후보"</formula>
    </cfRule>
  </conditionalFormatting>
  <conditionalFormatting sqref="AC97">
    <cfRule type="cellIs" priority="2544" operator="greaterThan" dxfId="13">
      <formula>0.9</formula>
    </cfRule>
    <cfRule type="cellIs" priority="2545" operator="greaterThan" dxfId="12">
      <formula>0.85</formula>
    </cfRule>
  </conditionalFormatting>
  <conditionalFormatting sqref="N97">
    <cfRule type="cellIs" priority="2542" operator="greaterThan" dxfId="13">
      <formula>0.9</formula>
    </cfRule>
    <cfRule type="cellIs" priority="2543" operator="greaterThan" dxfId="12">
      <formula>0.85</formula>
    </cfRule>
  </conditionalFormatting>
  <conditionalFormatting sqref="E97">
    <cfRule type="expression" priority="2538" dxfId="3">
      <formula>AND(IF(OR($Q97=1,$Q97=2),1,0),IF($X97&lt;=20,1,0))</formula>
    </cfRule>
    <cfRule type="expression" priority="2539" dxfId="2">
      <formula>AND(IF($Q97=2,1,0),IF($X97&lt;30,1,0))</formula>
    </cfRule>
    <cfRule type="expression" priority="2540" dxfId="1">
      <formula>AND(IF($Q97=3,1,0),IF($X97&lt;30,1,0))</formula>
    </cfRule>
    <cfRule type="expression" priority="2541" dxfId="0">
      <formula>AND(IF($Q97=3,1,IF($Q97=4,1,0)),IF($F97&lt;=85,1,0))</formula>
    </cfRule>
  </conditionalFormatting>
  <conditionalFormatting sqref="X97">
    <cfRule type="expression" priority="2534" dxfId="3">
      <formula>AND(IF(OR($Q97=1,$Q97=2),1,0),IF($X97&lt;=20,1,0))</formula>
    </cfRule>
    <cfRule type="expression" priority="2535" dxfId="2">
      <formula>AND(IF($Q97=2,1,0),IF($X97&lt;30,1,0))</formula>
    </cfRule>
    <cfRule type="expression" priority="2536" dxfId="1">
      <formula>AND(IF($Q97=3,1,0),IF($X97&lt;30,1,0))</formula>
    </cfRule>
    <cfRule type="expression" priority="2537" dxfId="0">
      <formula>AND(IF($Q97=3,1,IF($Q97=4,1,0)),IF($F97&lt;=85,1,0))</formula>
    </cfRule>
  </conditionalFormatting>
  <conditionalFormatting sqref="AI97">
    <cfRule type="expression" priority="2530" dxfId="3">
      <formula>AND(IF(OR($Q97=1,$Q97=2),1,0),IF($X97&lt;=20,1,0))</formula>
    </cfRule>
    <cfRule type="expression" priority="2531" dxfId="2">
      <formula>AND(IF($Q97=2,1,0),IF($X97&lt;30,1,0))</formula>
    </cfRule>
    <cfRule type="expression" priority="2532" dxfId="1">
      <formula>AND(IF($Q97=3,1,0),IF($X97&lt;30,1,0))</formula>
    </cfRule>
    <cfRule type="expression" priority="2533" dxfId="0">
      <formula>AND(IF($Q97=3,1,IF($Q97=4,1,0)),IF($F97&lt;=85,1,0))</formula>
    </cfRule>
  </conditionalFormatting>
  <conditionalFormatting sqref="AV98">
    <cfRule type="expression" priority="2528" dxfId="17">
      <formula>AV98="X"</formula>
    </cfRule>
    <cfRule type="expression" priority="2529" dxfId="16">
      <formula>AV98="후보"</formula>
    </cfRule>
  </conditionalFormatting>
  <conditionalFormatting sqref="AC98">
    <cfRule type="cellIs" priority="2525" operator="greaterThan" dxfId="13">
      <formula>0.9</formula>
    </cfRule>
    <cfRule type="cellIs" priority="2526" operator="greaterThan" dxfId="12">
      <formula>0.85</formula>
    </cfRule>
  </conditionalFormatting>
  <conditionalFormatting sqref="N98">
    <cfRule type="cellIs" priority="2523" operator="greaterThan" dxfId="13">
      <formula>0.9</formula>
    </cfRule>
    <cfRule type="cellIs" priority="2524" operator="greaterThan" dxfId="12">
      <formula>0.85</formula>
    </cfRule>
  </conditionalFormatting>
  <conditionalFormatting sqref="E98">
    <cfRule type="expression" priority="2519" dxfId="3">
      <formula>AND(IF(OR($Q98=1,$Q98=2),1,0),IF($X98&lt;=20,1,0))</formula>
    </cfRule>
    <cfRule type="expression" priority="2520" dxfId="2">
      <formula>AND(IF($Q98=2,1,0),IF($X98&lt;30,1,0))</formula>
    </cfRule>
    <cfRule type="expression" priority="2521" dxfId="1">
      <formula>AND(IF($Q98=3,1,0),IF($X98&lt;30,1,0))</formula>
    </cfRule>
    <cfRule type="expression" priority="2522" dxfId="0">
      <formula>AND(IF($Q98=3,1,IF($Q98=4,1,0)),IF($F98&lt;=85,1,0))</formula>
    </cfRule>
  </conditionalFormatting>
  <conditionalFormatting sqref="X98">
    <cfRule type="expression" priority="2515" dxfId="3">
      <formula>AND(IF(OR($Q98=1,$Q98=2),1,0),IF($X98&lt;=20,1,0))</formula>
    </cfRule>
    <cfRule type="expression" priority="2516" dxfId="2">
      <formula>AND(IF($Q98=2,1,0),IF($X98&lt;30,1,0))</formula>
    </cfRule>
    <cfRule type="expression" priority="2517" dxfId="1">
      <formula>AND(IF($Q98=3,1,0),IF($X98&lt;30,1,0))</formula>
    </cfRule>
    <cfRule type="expression" priority="2518" dxfId="0">
      <formula>AND(IF($Q98=3,1,IF($Q98=4,1,0)),IF($F98&lt;=85,1,0))</formula>
    </cfRule>
  </conditionalFormatting>
  <conditionalFormatting sqref="AI98">
    <cfRule type="expression" priority="2511" dxfId="3">
      <formula>AND(IF(OR($Q98=1,$Q98=2),1,0),IF($X98&lt;=20,1,0))</formula>
    </cfRule>
    <cfRule type="expression" priority="2512" dxfId="2">
      <formula>AND(IF($Q98=2,1,0),IF($X98&lt;30,1,0))</formula>
    </cfRule>
    <cfRule type="expression" priority="2513" dxfId="1">
      <formula>AND(IF($Q98=3,1,0),IF($X98&lt;30,1,0))</formula>
    </cfRule>
    <cfRule type="expression" priority="2514" dxfId="0">
      <formula>AND(IF($Q98=3,1,IF($Q98=4,1,0)),IF($F98&lt;=85,1,0))</formula>
    </cfRule>
  </conditionalFormatting>
  <conditionalFormatting sqref="AV99">
    <cfRule type="expression" priority="2509" dxfId="17">
      <formula>AV99="X"</formula>
    </cfRule>
    <cfRule type="expression" priority="2510" dxfId="16">
      <formula>AV99="후보"</formula>
    </cfRule>
  </conditionalFormatting>
  <conditionalFormatting sqref="AC99">
    <cfRule type="cellIs" priority="2506" operator="greaterThan" dxfId="13">
      <formula>0.9</formula>
    </cfRule>
    <cfRule type="cellIs" priority="2507" operator="greaterThan" dxfId="12">
      <formula>0.85</formula>
    </cfRule>
  </conditionalFormatting>
  <conditionalFormatting sqref="N99">
    <cfRule type="cellIs" priority="2504" operator="greaterThan" dxfId="13">
      <formula>0.9</formula>
    </cfRule>
    <cfRule type="cellIs" priority="2505" operator="greaterThan" dxfId="12">
      <formula>0.85</formula>
    </cfRule>
  </conditionalFormatting>
  <conditionalFormatting sqref="E99">
    <cfRule type="expression" priority="2500" dxfId="3">
      <formula>AND(IF(OR($Q99=1,$Q99=2),1,0),IF($X99&lt;=20,1,0))</formula>
    </cfRule>
    <cfRule type="expression" priority="2501" dxfId="2">
      <formula>AND(IF($Q99=2,1,0),IF($X99&lt;30,1,0))</formula>
    </cfRule>
    <cfRule type="expression" priority="2502" dxfId="1">
      <formula>AND(IF($Q99=3,1,0),IF($X99&lt;30,1,0))</formula>
    </cfRule>
    <cfRule type="expression" priority="2503" dxfId="0">
      <formula>AND(IF($Q99=3,1,IF($Q99=4,1,0)),IF($F99&lt;=85,1,0))</formula>
    </cfRule>
  </conditionalFormatting>
  <conditionalFormatting sqref="X99">
    <cfRule type="expression" priority="2496" dxfId="3">
      <formula>AND(IF(OR($Q99=1,$Q99=2),1,0),IF($X99&lt;=20,1,0))</formula>
    </cfRule>
    <cfRule type="expression" priority="2497" dxfId="2">
      <formula>AND(IF($Q99=2,1,0),IF($X99&lt;30,1,0))</formula>
    </cfRule>
    <cfRule type="expression" priority="2498" dxfId="1">
      <formula>AND(IF($Q99=3,1,0),IF($X99&lt;30,1,0))</formula>
    </cfRule>
    <cfRule type="expression" priority="2499" dxfId="0">
      <formula>AND(IF($Q99=3,1,IF($Q99=4,1,0)),IF($F99&lt;=85,1,0))</formula>
    </cfRule>
  </conditionalFormatting>
  <conditionalFormatting sqref="AI99">
    <cfRule type="expression" priority="2492" dxfId="3">
      <formula>AND(IF(OR($Q99=1,$Q99=2),1,0),IF($X99&lt;=20,1,0))</formula>
    </cfRule>
    <cfRule type="expression" priority="2493" dxfId="2">
      <formula>AND(IF($Q99=2,1,0),IF($X99&lt;30,1,0))</formula>
    </cfRule>
    <cfRule type="expression" priority="2494" dxfId="1">
      <formula>AND(IF($Q99=3,1,0),IF($X99&lt;30,1,0))</formula>
    </cfRule>
    <cfRule type="expression" priority="2495" dxfId="0">
      <formula>AND(IF($Q99=3,1,IF($Q99=4,1,0)),IF($F99&lt;=85,1,0))</formula>
    </cfRule>
  </conditionalFormatting>
  <conditionalFormatting sqref="AV100">
    <cfRule type="expression" priority="2490" dxfId="17">
      <formula>AV100="X"</formula>
    </cfRule>
    <cfRule type="expression" priority="2491" dxfId="16">
      <formula>AV100="후보"</formula>
    </cfRule>
  </conditionalFormatting>
  <conditionalFormatting sqref="AC100 N100">
    <cfRule type="cellIs" priority="2487" operator="greaterThan" dxfId="13">
      <formula>0.9</formula>
    </cfRule>
    <cfRule type="cellIs" priority="2488" operator="greaterThan" dxfId="12">
      <formula>0.85</formula>
    </cfRule>
  </conditionalFormatting>
  <conditionalFormatting sqref="AV101">
    <cfRule type="expression" priority="2485" dxfId="17">
      <formula>AV101="X"</formula>
    </cfRule>
    <cfRule type="expression" priority="2486" dxfId="16">
      <formula>AV101="후보"</formula>
    </cfRule>
  </conditionalFormatting>
  <conditionalFormatting sqref="AC101">
    <cfRule type="cellIs" priority="2482" operator="greaterThan" dxfId="13">
      <formula>0.9</formula>
    </cfRule>
    <cfRule type="cellIs" priority="2483" operator="greaterThan" dxfId="12">
      <formula>0.85</formula>
    </cfRule>
  </conditionalFormatting>
  <conditionalFormatting sqref="N101">
    <cfRule type="cellIs" priority="2480" operator="greaterThan" dxfId="13">
      <formula>0.9</formula>
    </cfRule>
    <cfRule type="cellIs" priority="2481" operator="greaterThan" dxfId="12">
      <formula>0.85</formula>
    </cfRule>
  </conditionalFormatting>
  <conditionalFormatting sqref="E101">
    <cfRule type="expression" priority="2476" dxfId="3">
      <formula>AND(IF(OR($Q101=1,$Q101=2),1,0),IF($X101&lt;=20,1,0))</formula>
    </cfRule>
    <cfRule type="expression" priority="2477" dxfId="2">
      <formula>AND(IF($Q101=2,1,0),IF($X101&lt;30,1,0))</formula>
    </cfRule>
    <cfRule type="expression" priority="2478" dxfId="1">
      <formula>AND(IF($Q101=3,1,0),IF($X101&lt;30,1,0))</formula>
    </cfRule>
    <cfRule type="expression" priority="2479" dxfId="0">
      <formula>AND(IF($Q101=3,1,IF($Q101=4,1,0)),IF($F101&lt;=85,1,0))</formula>
    </cfRule>
  </conditionalFormatting>
  <conditionalFormatting sqref="X101">
    <cfRule type="expression" priority="2472" dxfId="3">
      <formula>AND(IF(OR($Q101=1,$Q101=2),1,0),IF($X101&lt;=20,1,0))</formula>
    </cfRule>
    <cfRule type="expression" priority="2473" dxfId="2">
      <formula>AND(IF($Q101=2,1,0),IF($X101&lt;30,1,0))</formula>
    </cfRule>
    <cfRule type="expression" priority="2474" dxfId="1">
      <formula>AND(IF($Q101=3,1,0),IF($X101&lt;30,1,0))</formula>
    </cfRule>
    <cfRule type="expression" priority="2475" dxfId="0">
      <formula>AND(IF($Q101=3,1,IF($Q101=4,1,0)),IF($F101&lt;=85,1,0))</formula>
    </cfRule>
  </conditionalFormatting>
  <conditionalFormatting sqref="AI101">
    <cfRule type="expression" priority="2468" dxfId="3">
      <formula>AND(IF(OR($Q101=1,$Q101=2),1,0),IF($X101&lt;=20,1,0))</formula>
    </cfRule>
    <cfRule type="expression" priority="2469" dxfId="2">
      <formula>AND(IF($Q101=2,1,0),IF($X101&lt;30,1,0))</formula>
    </cfRule>
    <cfRule type="expression" priority="2470" dxfId="1">
      <formula>AND(IF($Q101=3,1,0),IF($X101&lt;30,1,0))</formula>
    </cfRule>
    <cfRule type="expression" priority="2471" dxfId="0">
      <formula>AND(IF($Q101=3,1,IF($Q101=4,1,0)),IF($F101&lt;=85,1,0))</formula>
    </cfRule>
  </conditionalFormatting>
  <conditionalFormatting sqref="AV102">
    <cfRule type="expression" priority="2466" dxfId="17">
      <formula>AV102="X"</formula>
    </cfRule>
    <cfRule type="expression" priority="2467" dxfId="16">
      <formula>AV102="후보"</formula>
    </cfRule>
  </conditionalFormatting>
  <conditionalFormatting sqref="AC102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102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102">
    <cfRule type="expression" priority="2457" dxfId="3">
      <formula>AND(IF(OR($Q102=1,$Q102=2),1,0),IF($X102&lt;=20,1,0))</formula>
    </cfRule>
    <cfRule type="expression" priority="2458" dxfId="2">
      <formula>AND(IF($Q102=2,1,0),IF($X102&lt;30,1,0))</formula>
    </cfRule>
    <cfRule type="expression" priority="2459" dxfId="1">
      <formula>AND(IF($Q102=3,1,0),IF($X102&lt;30,1,0))</formula>
    </cfRule>
    <cfRule type="expression" priority="2460" dxfId="0">
      <formula>AND(IF($Q102=3,1,IF($Q102=4,1,0)),IF($F102&lt;=85,1,0))</formula>
    </cfRule>
  </conditionalFormatting>
  <conditionalFormatting sqref="X102">
    <cfRule type="expression" priority="2453" dxfId="3">
      <formula>AND(IF(OR($Q102=1,$Q102=2),1,0),IF($X102&lt;=20,1,0))</formula>
    </cfRule>
    <cfRule type="expression" priority="2454" dxfId="2">
      <formula>AND(IF($Q102=2,1,0),IF($X102&lt;30,1,0))</formula>
    </cfRule>
    <cfRule type="expression" priority="2455" dxfId="1">
      <formula>AND(IF($Q102=3,1,0),IF($X102&lt;30,1,0))</formula>
    </cfRule>
    <cfRule type="expression" priority="2456" dxfId="0">
      <formula>AND(IF($Q102=3,1,IF($Q102=4,1,0)),IF($F102&lt;=85,1,0))</formula>
    </cfRule>
  </conditionalFormatting>
  <conditionalFormatting sqref="AI102">
    <cfRule type="expression" priority="2449" dxfId="3">
      <formula>AND(IF(OR($Q102=1,$Q102=2),1,0),IF($X102&lt;=20,1,0))</formula>
    </cfRule>
    <cfRule type="expression" priority="2450" dxfId="2">
      <formula>AND(IF($Q102=2,1,0),IF($X102&lt;30,1,0))</formula>
    </cfRule>
    <cfRule type="expression" priority="2451" dxfId="1">
      <formula>AND(IF($Q102=3,1,0),IF($X102&lt;30,1,0))</formula>
    </cfRule>
    <cfRule type="expression" priority="2452" dxfId="0">
      <formula>AND(IF($Q102=3,1,IF($Q102=4,1,0)),IF($F102&lt;=85,1,0))</formula>
    </cfRule>
  </conditionalFormatting>
  <conditionalFormatting sqref="AV103">
    <cfRule type="expression" priority="2447" dxfId="17">
      <formula>AV103="X"</formula>
    </cfRule>
    <cfRule type="expression" priority="2448" dxfId="16">
      <formula>AV103="후보"</formula>
    </cfRule>
  </conditionalFormatting>
  <conditionalFormatting sqref="AC103">
    <cfRule type="cellIs" priority="2444" operator="greaterThan" dxfId="13">
      <formula>0.9</formula>
    </cfRule>
    <cfRule type="cellIs" priority="2445" operator="greaterThan" dxfId="12">
      <formula>0.85</formula>
    </cfRule>
  </conditionalFormatting>
  <conditionalFormatting sqref="N103">
    <cfRule type="cellIs" priority="2442" operator="greaterThan" dxfId="13">
      <formula>0.9</formula>
    </cfRule>
    <cfRule type="cellIs" priority="2443" operator="greaterThan" dxfId="12">
      <formula>0.85</formula>
    </cfRule>
  </conditionalFormatting>
  <conditionalFormatting sqref="E103">
    <cfRule type="expression" priority="2438" dxfId="3">
      <formula>AND(IF(OR($Q103=1,$Q103=2),1,0),IF($X103&lt;=20,1,0))</formula>
    </cfRule>
    <cfRule type="expression" priority="2439" dxfId="2">
      <formula>AND(IF($Q103=2,1,0),IF($X103&lt;30,1,0))</formula>
    </cfRule>
    <cfRule type="expression" priority="2440" dxfId="1">
      <formula>AND(IF($Q103=3,1,0),IF($X103&lt;30,1,0))</formula>
    </cfRule>
    <cfRule type="expression" priority="2441" dxfId="0">
      <formula>AND(IF($Q103=3,1,IF($Q103=4,1,0)),IF($F103&lt;=85,1,0))</formula>
    </cfRule>
  </conditionalFormatting>
  <conditionalFormatting sqref="X103">
    <cfRule type="expression" priority="2434" dxfId="3">
      <formula>AND(IF(OR($Q103=1,$Q103=2),1,0),IF($X103&lt;=20,1,0))</formula>
    </cfRule>
    <cfRule type="expression" priority="2435" dxfId="2">
      <formula>AND(IF($Q103=2,1,0),IF($X103&lt;30,1,0))</formula>
    </cfRule>
    <cfRule type="expression" priority="2436" dxfId="1">
      <formula>AND(IF($Q103=3,1,0),IF($X103&lt;30,1,0))</formula>
    </cfRule>
    <cfRule type="expression" priority="2437" dxfId="0">
      <formula>AND(IF($Q103=3,1,IF($Q103=4,1,0)),IF($F103&lt;=85,1,0))</formula>
    </cfRule>
  </conditionalFormatting>
  <conditionalFormatting sqref="AI103">
    <cfRule type="expression" priority="2430" dxfId="3">
      <formula>AND(IF(OR($Q103=1,$Q103=2),1,0),IF($X103&lt;=20,1,0))</formula>
    </cfRule>
    <cfRule type="expression" priority="2431" dxfId="2">
      <formula>AND(IF($Q103=2,1,0),IF($X103&lt;30,1,0))</formula>
    </cfRule>
    <cfRule type="expression" priority="2432" dxfId="1">
      <formula>AND(IF($Q103=3,1,0),IF($X103&lt;30,1,0))</formula>
    </cfRule>
    <cfRule type="expression" priority="2433" dxfId="0">
      <formula>AND(IF($Q103=3,1,IF($Q103=4,1,0)),IF($F103&lt;=85,1,0))</formula>
    </cfRule>
  </conditionalFormatting>
  <conditionalFormatting sqref="AV104">
    <cfRule type="expression" priority="2428" dxfId="17">
      <formula>AV104="X"</formula>
    </cfRule>
    <cfRule type="expression" priority="2429" dxfId="16">
      <formula>AV104="후보"</formula>
    </cfRule>
  </conditionalFormatting>
  <conditionalFormatting sqref="AC104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104">
    <cfRule type="cellIs" priority="2423" operator="greaterThan" dxfId="13">
      <formula>0.9</formula>
    </cfRule>
    <cfRule type="cellIs" priority="2424" operator="greaterThan" dxfId="12">
      <formula>0.85</formula>
    </cfRule>
  </conditionalFormatting>
  <conditionalFormatting sqref="E104">
    <cfRule type="expression" priority="2419" dxfId="3">
      <formula>AND(IF(OR($Q104=1,$Q104=2),1,0),IF($X104&lt;=20,1,0))</formula>
    </cfRule>
    <cfRule type="expression" priority="2420" dxfId="2">
      <formula>AND(IF($Q104=2,1,0),IF($X104&lt;30,1,0))</formula>
    </cfRule>
    <cfRule type="expression" priority="2421" dxfId="1">
      <formula>AND(IF($Q104=3,1,0),IF($X104&lt;30,1,0))</formula>
    </cfRule>
    <cfRule type="expression" priority="2422" dxfId="0">
      <formula>AND(IF($Q104=3,1,IF($Q104=4,1,0)),IF($F104&lt;=85,1,0))</formula>
    </cfRule>
  </conditionalFormatting>
  <conditionalFormatting sqref="X104">
    <cfRule type="expression" priority="2415" dxfId="3">
      <formula>AND(IF(OR($Q104=1,$Q104=2),1,0),IF($X104&lt;=20,1,0))</formula>
    </cfRule>
    <cfRule type="expression" priority="2416" dxfId="2">
      <formula>AND(IF($Q104=2,1,0),IF($X104&lt;30,1,0))</formula>
    </cfRule>
    <cfRule type="expression" priority="2417" dxfId="1">
      <formula>AND(IF($Q104=3,1,0),IF($X104&lt;30,1,0))</formula>
    </cfRule>
    <cfRule type="expression" priority="2418" dxfId="0">
      <formula>AND(IF($Q104=3,1,IF($Q104=4,1,0)),IF($F104&lt;=85,1,0))</formula>
    </cfRule>
  </conditionalFormatting>
  <conditionalFormatting sqref="AI104">
    <cfRule type="expression" priority="2411" dxfId="3">
      <formula>AND(IF(OR($Q104=1,$Q104=2),1,0),IF($X104&lt;=20,1,0))</formula>
    </cfRule>
    <cfRule type="expression" priority="2412" dxfId="2">
      <formula>AND(IF($Q104=2,1,0),IF($X104&lt;30,1,0))</formula>
    </cfRule>
    <cfRule type="expression" priority="2413" dxfId="1">
      <formula>AND(IF($Q104=3,1,0),IF($X104&lt;30,1,0))</formula>
    </cfRule>
    <cfRule type="expression" priority="2414" dxfId="0">
      <formula>AND(IF($Q104=3,1,IF($Q104=4,1,0)),IF($F104&lt;=85,1,0))</formula>
    </cfRule>
  </conditionalFormatting>
  <conditionalFormatting sqref="AV105">
    <cfRule type="expression" priority="2409" dxfId="17">
      <formula>AV105="X"</formula>
    </cfRule>
    <cfRule type="expression" priority="2410" dxfId="16">
      <formula>AV105="후보"</formula>
    </cfRule>
  </conditionalFormatting>
  <conditionalFormatting sqref="AC105 N105">
    <cfRule type="cellIs" priority="2406" operator="greaterThan" dxfId="13">
      <formula>0.9</formula>
    </cfRule>
    <cfRule type="cellIs" priority="2407" operator="greaterThan" dxfId="12">
      <formula>0.85</formula>
    </cfRule>
  </conditionalFormatting>
  <conditionalFormatting sqref="AV106">
    <cfRule type="expression" priority="2404" dxfId="17">
      <formula>AV106="X"</formula>
    </cfRule>
    <cfRule type="expression" priority="2405" dxfId="16">
      <formula>AV106="후보"</formula>
    </cfRule>
  </conditionalFormatting>
  <conditionalFormatting sqref="AC106">
    <cfRule type="cellIs" priority="2401" operator="greaterThan" dxfId="13">
      <formula>0.9</formula>
    </cfRule>
    <cfRule type="cellIs" priority="2402" operator="greaterThan" dxfId="12">
      <formula>0.85</formula>
    </cfRule>
  </conditionalFormatting>
  <conditionalFormatting sqref="N106">
    <cfRule type="cellIs" priority="2399" operator="greaterThan" dxfId="13">
      <formula>0.9</formula>
    </cfRule>
    <cfRule type="cellIs" priority="2400" operator="greaterThan" dxfId="12">
      <formula>0.85</formula>
    </cfRule>
  </conditionalFormatting>
  <conditionalFormatting sqref="E106">
    <cfRule type="expression" priority="2395" dxfId="3">
      <formula>AND(IF(OR($Q106=1,$Q106=2),1,0),IF($X106&lt;=20,1,0))</formula>
    </cfRule>
    <cfRule type="expression" priority="2396" dxfId="2">
      <formula>AND(IF($Q106=2,1,0),IF($X106&lt;30,1,0))</formula>
    </cfRule>
    <cfRule type="expression" priority="2397" dxfId="1">
      <formula>AND(IF($Q106=3,1,0),IF($X106&lt;30,1,0))</formula>
    </cfRule>
    <cfRule type="expression" priority="2398" dxfId="0">
      <formula>AND(IF($Q106=3,1,IF($Q106=4,1,0)),IF($F106&lt;=85,1,0))</formula>
    </cfRule>
  </conditionalFormatting>
  <conditionalFormatting sqref="X106">
    <cfRule type="expression" priority="2391" dxfId="3">
      <formula>AND(IF(OR($Q106=1,$Q106=2),1,0),IF($X106&lt;=20,1,0))</formula>
    </cfRule>
    <cfRule type="expression" priority="2392" dxfId="2">
      <formula>AND(IF($Q106=2,1,0),IF($X106&lt;30,1,0))</formula>
    </cfRule>
    <cfRule type="expression" priority="2393" dxfId="1">
      <formula>AND(IF($Q106=3,1,0),IF($X106&lt;30,1,0))</formula>
    </cfRule>
    <cfRule type="expression" priority="2394" dxfId="0">
      <formula>AND(IF($Q106=3,1,IF($Q106=4,1,0)),IF($F106&lt;=85,1,0))</formula>
    </cfRule>
  </conditionalFormatting>
  <conditionalFormatting sqref="AI106">
    <cfRule type="expression" priority="2387" dxfId="3">
      <formula>AND(IF(OR($Q106=1,$Q106=2),1,0),IF($X106&lt;=20,1,0))</formula>
    </cfRule>
    <cfRule type="expression" priority="2388" dxfId="2">
      <formula>AND(IF($Q106=2,1,0),IF($X106&lt;30,1,0))</formula>
    </cfRule>
    <cfRule type="expression" priority="2389" dxfId="1">
      <formula>AND(IF($Q106=3,1,0),IF($X106&lt;30,1,0))</formula>
    </cfRule>
    <cfRule type="expression" priority="2390" dxfId="0">
      <formula>AND(IF($Q106=3,1,IF($Q106=4,1,0)),IF($F106&lt;=85,1,0))</formula>
    </cfRule>
  </conditionalFormatting>
  <conditionalFormatting sqref="AV107">
    <cfRule type="expression" priority="2385" dxfId="17">
      <formula>AV107="X"</formula>
    </cfRule>
    <cfRule type="expression" priority="2386" dxfId="16">
      <formula>AV107="후보"</formula>
    </cfRule>
  </conditionalFormatting>
  <conditionalFormatting sqref="AC107">
    <cfRule type="cellIs" priority="2382" operator="greaterThan" dxfId="13">
      <formula>0.9</formula>
    </cfRule>
    <cfRule type="cellIs" priority="2383" operator="greaterThan" dxfId="12">
      <formula>0.85</formula>
    </cfRule>
  </conditionalFormatting>
  <conditionalFormatting sqref="N107">
    <cfRule type="cellIs" priority="2380" operator="greaterThan" dxfId="13">
      <formula>0.9</formula>
    </cfRule>
    <cfRule type="cellIs" priority="2381" operator="greaterThan" dxfId="12">
      <formula>0.85</formula>
    </cfRule>
  </conditionalFormatting>
  <conditionalFormatting sqref="E107">
    <cfRule type="expression" priority="2376" dxfId="3">
      <formula>AND(IF(OR($Q107=1,$Q107=2),1,0),IF($X107&lt;=20,1,0))</formula>
    </cfRule>
    <cfRule type="expression" priority="2377" dxfId="2">
      <formula>AND(IF($Q107=2,1,0),IF($X107&lt;30,1,0))</formula>
    </cfRule>
    <cfRule type="expression" priority="2378" dxfId="1">
      <formula>AND(IF($Q107=3,1,0),IF($X107&lt;30,1,0))</formula>
    </cfRule>
    <cfRule type="expression" priority="2379" dxfId="0">
      <formula>AND(IF($Q107=3,1,IF($Q107=4,1,0)),IF($F107&lt;=85,1,0))</formula>
    </cfRule>
  </conditionalFormatting>
  <conditionalFormatting sqref="X107">
    <cfRule type="expression" priority="2372" dxfId="3">
      <formula>AND(IF(OR($Q107=1,$Q107=2),1,0),IF($X107&lt;=20,1,0))</formula>
    </cfRule>
    <cfRule type="expression" priority="2373" dxfId="2">
      <formula>AND(IF($Q107=2,1,0),IF($X107&lt;30,1,0))</formula>
    </cfRule>
    <cfRule type="expression" priority="2374" dxfId="1">
      <formula>AND(IF($Q107=3,1,0),IF($X107&lt;30,1,0))</formula>
    </cfRule>
    <cfRule type="expression" priority="2375" dxfId="0">
      <formula>AND(IF($Q107=3,1,IF($Q107=4,1,0)),IF($F107&lt;=85,1,0))</formula>
    </cfRule>
  </conditionalFormatting>
  <conditionalFormatting sqref="AI107">
    <cfRule type="expression" priority="2368" dxfId="3">
      <formula>AND(IF(OR($Q107=1,$Q107=2),1,0),IF($X107&lt;=20,1,0))</formula>
    </cfRule>
    <cfRule type="expression" priority="2369" dxfId="2">
      <formula>AND(IF($Q107=2,1,0),IF($X107&lt;30,1,0))</formula>
    </cfRule>
    <cfRule type="expression" priority="2370" dxfId="1">
      <formula>AND(IF($Q107=3,1,0),IF($X107&lt;30,1,0))</formula>
    </cfRule>
    <cfRule type="expression" priority="2371" dxfId="0">
      <formula>AND(IF($Q107=3,1,IF($Q107=4,1,0)),IF($F107&lt;=85,1,0))</formula>
    </cfRule>
  </conditionalFormatting>
  <conditionalFormatting sqref="AV108">
    <cfRule type="expression" priority="2366" dxfId="17">
      <formula>AV108="X"</formula>
    </cfRule>
    <cfRule type="expression" priority="2367" dxfId="16">
      <formula>AV108="후보"</formula>
    </cfRule>
  </conditionalFormatting>
  <conditionalFormatting sqref="AC108">
    <cfRule type="cellIs" priority="2363" operator="greaterThan" dxfId="13">
      <formula>0.9</formula>
    </cfRule>
    <cfRule type="cellIs" priority="2364" operator="greaterThan" dxfId="12">
      <formula>0.85</formula>
    </cfRule>
  </conditionalFormatting>
  <conditionalFormatting sqref="N108">
    <cfRule type="cellIs" priority="2361" operator="greaterThan" dxfId="13">
      <formula>0.9</formula>
    </cfRule>
    <cfRule type="cellIs" priority="2362" operator="greaterThan" dxfId="12">
      <formula>0.85</formula>
    </cfRule>
  </conditionalFormatting>
  <conditionalFormatting sqref="E108">
    <cfRule type="expression" priority="2357" dxfId="3">
      <formula>AND(IF(OR($Q108=1,$Q108=2),1,0),IF($X108&lt;=20,1,0))</formula>
    </cfRule>
    <cfRule type="expression" priority="2358" dxfId="2">
      <formula>AND(IF($Q108=2,1,0),IF($X108&lt;30,1,0))</formula>
    </cfRule>
    <cfRule type="expression" priority="2359" dxfId="1">
      <formula>AND(IF($Q108=3,1,0),IF($X108&lt;30,1,0))</formula>
    </cfRule>
    <cfRule type="expression" priority="2360" dxfId="0">
      <formula>AND(IF($Q108=3,1,IF($Q108=4,1,0)),IF($F108&lt;=85,1,0))</formula>
    </cfRule>
  </conditionalFormatting>
  <conditionalFormatting sqref="X108">
    <cfRule type="expression" priority="2353" dxfId="3">
      <formula>AND(IF(OR($Q108=1,$Q108=2),1,0),IF($X108&lt;=20,1,0))</formula>
    </cfRule>
    <cfRule type="expression" priority="2354" dxfId="2">
      <formula>AND(IF($Q108=2,1,0),IF($X108&lt;30,1,0))</formula>
    </cfRule>
    <cfRule type="expression" priority="2355" dxfId="1">
      <formula>AND(IF($Q108=3,1,0),IF($X108&lt;30,1,0))</formula>
    </cfRule>
    <cfRule type="expression" priority="2356" dxfId="0">
      <formula>AND(IF($Q108=3,1,IF($Q108=4,1,0)),IF($F108&lt;=85,1,0))</formula>
    </cfRule>
  </conditionalFormatting>
  <conditionalFormatting sqref="AI108">
    <cfRule type="expression" priority="2349" dxfId="3">
      <formula>AND(IF(OR($Q108=1,$Q108=2),1,0),IF($X108&lt;=20,1,0))</formula>
    </cfRule>
    <cfRule type="expression" priority="2350" dxfId="2">
      <formula>AND(IF($Q108=2,1,0),IF($X108&lt;30,1,0))</formula>
    </cfRule>
    <cfRule type="expression" priority="2351" dxfId="1">
      <formula>AND(IF($Q108=3,1,0),IF($X108&lt;30,1,0))</formula>
    </cfRule>
    <cfRule type="expression" priority="2352" dxfId="0">
      <formula>AND(IF($Q108=3,1,IF($Q108=4,1,0)),IF($F108&lt;=85,1,0))</formula>
    </cfRule>
  </conditionalFormatting>
  <conditionalFormatting sqref="AV109">
    <cfRule type="expression" priority="2347" dxfId="17">
      <formula>AV109="X"</formula>
    </cfRule>
    <cfRule type="expression" priority="2348" dxfId="16">
      <formula>AV109="후보"</formula>
    </cfRule>
  </conditionalFormatting>
  <conditionalFormatting sqref="AC109">
    <cfRule type="cellIs" priority="2344" operator="greaterThan" dxfId="13">
      <formula>0.9</formula>
    </cfRule>
    <cfRule type="cellIs" priority="2345" operator="greaterThan" dxfId="12">
      <formula>0.85</formula>
    </cfRule>
  </conditionalFormatting>
  <conditionalFormatting sqref="N109">
    <cfRule type="cellIs" priority="2342" operator="greaterThan" dxfId="13">
      <formula>0.9</formula>
    </cfRule>
    <cfRule type="cellIs" priority="2343" operator="greaterThan" dxfId="12">
      <formula>0.85</formula>
    </cfRule>
  </conditionalFormatting>
  <conditionalFormatting sqref="E109">
    <cfRule type="expression" priority="2338" dxfId="3">
      <formula>AND(IF(OR($Q109=1,$Q109=2),1,0),IF($X109&lt;=20,1,0))</formula>
    </cfRule>
    <cfRule type="expression" priority="2339" dxfId="2">
      <formula>AND(IF($Q109=2,1,0),IF($X109&lt;30,1,0))</formula>
    </cfRule>
    <cfRule type="expression" priority="2340" dxfId="1">
      <formula>AND(IF($Q109=3,1,0),IF($X109&lt;30,1,0))</formula>
    </cfRule>
    <cfRule type="expression" priority="2341" dxfId="0">
      <formula>AND(IF($Q109=3,1,IF($Q109=4,1,0)),IF($F109&lt;=85,1,0))</formula>
    </cfRule>
  </conditionalFormatting>
  <conditionalFormatting sqref="X109">
    <cfRule type="expression" priority="2334" dxfId="3">
      <formula>AND(IF(OR($Q109=1,$Q109=2),1,0),IF($X109&lt;=20,1,0))</formula>
    </cfRule>
    <cfRule type="expression" priority="2335" dxfId="2">
      <formula>AND(IF($Q109=2,1,0),IF($X109&lt;30,1,0))</formula>
    </cfRule>
    <cfRule type="expression" priority="2336" dxfId="1">
      <formula>AND(IF($Q109=3,1,0),IF($X109&lt;30,1,0))</formula>
    </cfRule>
    <cfRule type="expression" priority="2337" dxfId="0">
      <formula>AND(IF($Q109=3,1,IF($Q109=4,1,0)),IF($F109&lt;=85,1,0))</formula>
    </cfRule>
  </conditionalFormatting>
  <conditionalFormatting sqref="AI109">
    <cfRule type="expression" priority="2330" dxfId="3">
      <formula>AND(IF(OR($Q109=1,$Q109=2),1,0),IF($X109&lt;=20,1,0))</formula>
    </cfRule>
    <cfRule type="expression" priority="2331" dxfId="2">
      <formula>AND(IF($Q109=2,1,0),IF($X109&lt;30,1,0))</formula>
    </cfRule>
    <cfRule type="expression" priority="2332" dxfId="1">
      <formula>AND(IF($Q109=3,1,0),IF($X109&lt;30,1,0))</formula>
    </cfRule>
    <cfRule type="expression" priority="2333" dxfId="0">
      <formula>AND(IF($Q109=3,1,IF($Q109=4,1,0)),IF($F109&lt;=85,1,0))</formula>
    </cfRule>
  </conditionalFormatting>
  <conditionalFormatting sqref="AV110">
    <cfRule type="expression" priority="2328" dxfId="17">
      <formula>AV110="X"</formula>
    </cfRule>
    <cfRule type="expression" priority="2329" dxfId="16">
      <formula>AV110="후보"</formula>
    </cfRule>
  </conditionalFormatting>
  <conditionalFormatting sqref="AC110">
    <cfRule type="cellIs" priority="2325" operator="greaterThan" dxfId="13">
      <formula>0.9</formula>
    </cfRule>
    <cfRule type="cellIs" priority="2326" operator="greaterThan" dxfId="12">
      <formula>0.85</formula>
    </cfRule>
  </conditionalFormatting>
  <conditionalFormatting sqref="N110">
    <cfRule type="cellIs" priority="2323" operator="greaterThan" dxfId="13">
      <formula>0.9</formula>
    </cfRule>
    <cfRule type="cellIs" priority="2324" operator="greaterThan" dxfId="12">
      <formula>0.85</formula>
    </cfRule>
  </conditionalFormatting>
  <conditionalFormatting sqref="E110">
    <cfRule type="expression" priority="2319" dxfId="3">
      <formula>AND(IF(OR($Q110=1,$Q110=2),1,0),IF($X110&lt;=20,1,0))</formula>
    </cfRule>
    <cfRule type="expression" priority="2320" dxfId="2">
      <formula>AND(IF($Q110=2,1,0),IF($X110&lt;30,1,0))</formula>
    </cfRule>
    <cfRule type="expression" priority="2321" dxfId="1">
      <formula>AND(IF($Q110=3,1,0),IF($X110&lt;30,1,0))</formula>
    </cfRule>
    <cfRule type="expression" priority="2322" dxfId="0">
      <formula>AND(IF($Q110=3,1,IF($Q110=4,1,0)),IF($F110&lt;=85,1,0))</formula>
    </cfRule>
  </conditionalFormatting>
  <conditionalFormatting sqref="X110">
    <cfRule type="expression" priority="2315" dxfId="3">
      <formula>AND(IF(OR($Q110=1,$Q110=2),1,0),IF($X110&lt;=20,1,0))</formula>
    </cfRule>
    <cfRule type="expression" priority="2316" dxfId="2">
      <formula>AND(IF($Q110=2,1,0),IF($X110&lt;30,1,0))</formula>
    </cfRule>
    <cfRule type="expression" priority="2317" dxfId="1">
      <formula>AND(IF($Q110=3,1,0),IF($X110&lt;30,1,0))</formula>
    </cfRule>
    <cfRule type="expression" priority="2318" dxfId="0">
      <formula>AND(IF($Q110=3,1,IF($Q110=4,1,0)),IF($F110&lt;=85,1,0))</formula>
    </cfRule>
  </conditionalFormatting>
  <conditionalFormatting sqref="AI110">
    <cfRule type="expression" priority="2311" dxfId="3">
      <formula>AND(IF(OR($Q110=1,$Q110=2),1,0),IF($X110&lt;=20,1,0))</formula>
    </cfRule>
    <cfRule type="expression" priority="2312" dxfId="2">
      <formula>AND(IF($Q110=2,1,0),IF($X110&lt;30,1,0))</formula>
    </cfRule>
    <cfRule type="expression" priority="2313" dxfId="1">
      <formula>AND(IF($Q110=3,1,0),IF($X110&lt;30,1,0))</formula>
    </cfRule>
    <cfRule type="expression" priority="2314" dxfId="0">
      <formula>AND(IF($Q110=3,1,IF($Q110=4,1,0)),IF($F110&lt;=85,1,0))</formula>
    </cfRule>
  </conditionalFormatting>
  <conditionalFormatting sqref="AV111">
    <cfRule type="expression" priority="2309" dxfId="17">
      <formula>AV111="X"</formula>
    </cfRule>
    <cfRule type="expression" priority="2310" dxfId="16">
      <formula>AV111="후보"</formula>
    </cfRule>
  </conditionalFormatting>
  <conditionalFormatting sqref="AC111 N111">
    <cfRule type="cellIs" priority="2306" operator="greaterThan" dxfId="13">
      <formula>0.9</formula>
    </cfRule>
    <cfRule type="cellIs" priority="2307" operator="greaterThan" dxfId="12">
      <formula>0.85</formula>
    </cfRule>
  </conditionalFormatting>
  <conditionalFormatting sqref="AV112">
    <cfRule type="expression" priority="2304" dxfId="17">
      <formula>AV112="X"</formula>
    </cfRule>
    <cfRule type="expression" priority="2305" dxfId="16">
      <formula>AV112="후보"</formula>
    </cfRule>
  </conditionalFormatting>
  <conditionalFormatting sqref="AC112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112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112">
    <cfRule type="expression" priority="2295" dxfId="3">
      <formula>AND(IF(OR($Q112=1,$Q112=2),1,0),IF($X112&lt;=20,1,0))</formula>
    </cfRule>
    <cfRule type="expression" priority="2296" dxfId="2">
      <formula>AND(IF($Q112=2,1,0),IF($X112&lt;30,1,0))</formula>
    </cfRule>
    <cfRule type="expression" priority="2297" dxfId="1">
      <formula>AND(IF($Q112=3,1,0),IF($X112&lt;30,1,0))</formula>
    </cfRule>
    <cfRule type="expression" priority="2298" dxfId="0">
      <formula>AND(IF($Q112=3,1,IF($Q112=4,1,0)),IF($F112&lt;=85,1,0))</formula>
    </cfRule>
  </conditionalFormatting>
  <conditionalFormatting sqref="X112">
    <cfRule type="expression" priority="2291" dxfId="3">
      <formula>AND(IF(OR($Q112=1,$Q112=2),1,0),IF($X112&lt;=20,1,0))</formula>
    </cfRule>
    <cfRule type="expression" priority="2292" dxfId="2">
      <formula>AND(IF($Q112=2,1,0),IF($X112&lt;30,1,0))</formula>
    </cfRule>
    <cfRule type="expression" priority="2293" dxfId="1">
      <formula>AND(IF($Q112=3,1,0),IF($X112&lt;30,1,0))</formula>
    </cfRule>
    <cfRule type="expression" priority="2294" dxfId="0">
      <formula>AND(IF($Q112=3,1,IF($Q112=4,1,0)),IF($F112&lt;=85,1,0))</formula>
    </cfRule>
  </conditionalFormatting>
  <conditionalFormatting sqref="AI112">
    <cfRule type="expression" priority="2287" dxfId="3">
      <formula>AND(IF(OR($Q112=1,$Q112=2),1,0),IF($X112&lt;=20,1,0))</formula>
    </cfRule>
    <cfRule type="expression" priority="2288" dxfId="2">
      <formula>AND(IF($Q112=2,1,0),IF($X112&lt;30,1,0))</formula>
    </cfRule>
    <cfRule type="expression" priority="2289" dxfId="1">
      <formula>AND(IF($Q112=3,1,0),IF($X112&lt;30,1,0))</formula>
    </cfRule>
    <cfRule type="expression" priority="2290" dxfId="0">
      <formula>AND(IF($Q112=3,1,IF($Q112=4,1,0)),IF($F112&lt;=85,1,0))</formula>
    </cfRule>
  </conditionalFormatting>
  <conditionalFormatting sqref="AV113">
    <cfRule type="expression" priority="2285" dxfId="17">
      <formula>AV113="X"</formula>
    </cfRule>
    <cfRule type="expression" priority="2286" dxfId="16">
      <formula>AV113="후보"</formula>
    </cfRule>
  </conditionalFormatting>
  <conditionalFormatting sqref="AC113">
    <cfRule type="cellIs" priority="2282" operator="greaterThan" dxfId="13">
      <formula>0.9</formula>
    </cfRule>
    <cfRule type="cellIs" priority="2283" operator="greaterThan" dxfId="12">
      <formula>0.85</formula>
    </cfRule>
  </conditionalFormatting>
  <conditionalFormatting sqref="N113">
    <cfRule type="cellIs" priority="2280" operator="greaterThan" dxfId="13">
      <formula>0.9</formula>
    </cfRule>
    <cfRule type="cellIs" priority="2281" operator="greaterThan" dxfId="12">
      <formula>0.85</formula>
    </cfRule>
  </conditionalFormatting>
  <conditionalFormatting sqref="E113">
    <cfRule type="expression" priority="2276" dxfId="3">
      <formula>AND(IF(OR($Q113=1,$Q113=2),1,0),IF($X113&lt;=20,1,0))</formula>
    </cfRule>
    <cfRule type="expression" priority="2277" dxfId="2">
      <formula>AND(IF($Q113=2,1,0),IF($X113&lt;30,1,0))</formula>
    </cfRule>
    <cfRule type="expression" priority="2278" dxfId="1">
      <formula>AND(IF($Q113=3,1,0),IF($X113&lt;30,1,0))</formula>
    </cfRule>
    <cfRule type="expression" priority="2279" dxfId="0">
      <formula>AND(IF($Q113=3,1,IF($Q113=4,1,0)),IF($F113&lt;=85,1,0))</formula>
    </cfRule>
  </conditionalFormatting>
  <conditionalFormatting sqref="X113">
    <cfRule type="expression" priority="2272" dxfId="3">
      <formula>AND(IF(OR($Q113=1,$Q113=2),1,0),IF($X113&lt;=20,1,0))</formula>
    </cfRule>
    <cfRule type="expression" priority="2273" dxfId="2">
      <formula>AND(IF($Q113=2,1,0),IF($X113&lt;30,1,0))</formula>
    </cfRule>
    <cfRule type="expression" priority="2274" dxfId="1">
      <formula>AND(IF($Q113=3,1,0),IF($X113&lt;30,1,0))</formula>
    </cfRule>
    <cfRule type="expression" priority="2275" dxfId="0">
      <formula>AND(IF($Q113=3,1,IF($Q113=4,1,0)),IF($F113&lt;=85,1,0))</formula>
    </cfRule>
  </conditionalFormatting>
  <conditionalFormatting sqref="AI113">
    <cfRule type="expression" priority="2268" dxfId="3">
      <formula>AND(IF(OR($Q113=1,$Q113=2),1,0),IF($X113&lt;=20,1,0))</formula>
    </cfRule>
    <cfRule type="expression" priority="2269" dxfId="2">
      <formula>AND(IF($Q113=2,1,0),IF($X113&lt;30,1,0))</formula>
    </cfRule>
    <cfRule type="expression" priority="2270" dxfId="1">
      <formula>AND(IF($Q113=3,1,0),IF($X113&lt;30,1,0))</formula>
    </cfRule>
    <cfRule type="expression" priority="2271" dxfId="0">
      <formula>AND(IF($Q113=3,1,IF($Q113=4,1,0)),IF($F113&lt;=85,1,0))</formula>
    </cfRule>
  </conditionalFormatting>
  <conditionalFormatting sqref="AV114">
    <cfRule type="expression" priority="2266" dxfId="17">
      <formula>AV114="X"</formula>
    </cfRule>
    <cfRule type="expression" priority="2267" dxfId="16">
      <formula>AV114="후보"</formula>
    </cfRule>
  </conditionalFormatting>
  <conditionalFormatting sqref="AC114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114">
    <cfRule type="cellIs" priority="2261" operator="greaterThan" dxfId="13">
      <formula>0.9</formula>
    </cfRule>
    <cfRule type="cellIs" priority="2262" operator="greaterThan" dxfId="12">
      <formula>0.85</formula>
    </cfRule>
  </conditionalFormatting>
  <conditionalFormatting sqref="E114">
    <cfRule type="expression" priority="2257" dxfId="3">
      <formula>AND(IF(OR($Q114=1,$Q114=2),1,0),IF($X114&lt;=20,1,0))</formula>
    </cfRule>
    <cfRule type="expression" priority="2258" dxfId="2">
      <formula>AND(IF($Q114=2,1,0),IF($X114&lt;30,1,0))</formula>
    </cfRule>
    <cfRule type="expression" priority="2259" dxfId="1">
      <formula>AND(IF($Q114=3,1,0),IF($X114&lt;30,1,0))</formula>
    </cfRule>
    <cfRule type="expression" priority="2260" dxfId="0">
      <formula>AND(IF($Q114=3,1,IF($Q114=4,1,0)),IF($F114&lt;=85,1,0))</formula>
    </cfRule>
  </conditionalFormatting>
  <conditionalFormatting sqref="X114">
    <cfRule type="expression" priority="2253" dxfId="3">
      <formula>AND(IF(OR($Q114=1,$Q114=2),1,0),IF($X114&lt;=20,1,0))</formula>
    </cfRule>
    <cfRule type="expression" priority="2254" dxfId="2">
      <formula>AND(IF($Q114=2,1,0),IF($X114&lt;30,1,0))</formula>
    </cfRule>
    <cfRule type="expression" priority="2255" dxfId="1">
      <formula>AND(IF($Q114=3,1,0),IF($X114&lt;30,1,0))</formula>
    </cfRule>
    <cfRule type="expression" priority="2256" dxfId="0">
      <formula>AND(IF($Q114=3,1,IF($Q114=4,1,0)),IF($F114&lt;=85,1,0))</formula>
    </cfRule>
  </conditionalFormatting>
  <conditionalFormatting sqref="AI114">
    <cfRule type="expression" priority="2249" dxfId="3">
      <formula>AND(IF(OR($Q114=1,$Q114=2),1,0),IF($X114&lt;=20,1,0))</formula>
    </cfRule>
    <cfRule type="expression" priority="2250" dxfId="2">
      <formula>AND(IF($Q114=2,1,0),IF($X114&lt;30,1,0))</formula>
    </cfRule>
    <cfRule type="expression" priority="2251" dxfId="1">
      <formula>AND(IF($Q114=3,1,0),IF($X114&lt;30,1,0))</formula>
    </cfRule>
    <cfRule type="expression" priority="2252" dxfId="0">
      <formula>AND(IF($Q114=3,1,IF($Q114=4,1,0)),IF($F114&lt;=85,1,0))</formula>
    </cfRule>
  </conditionalFormatting>
  <conditionalFormatting sqref="AV115">
    <cfRule type="expression" priority="2247" dxfId="17">
      <formula>AV115="X"</formula>
    </cfRule>
    <cfRule type="expression" priority="2248" dxfId="16">
      <formula>AV115="후보"</formula>
    </cfRule>
  </conditionalFormatting>
  <conditionalFormatting sqref="AC115 N115">
    <cfRule type="cellIs" priority="2244" operator="greaterThan" dxfId="13">
      <formula>0.9</formula>
    </cfRule>
    <cfRule type="cellIs" priority="2245" operator="greaterThan" dxfId="12">
      <formula>0.85</formula>
    </cfRule>
  </conditionalFormatting>
  <conditionalFormatting sqref="AV116">
    <cfRule type="expression" priority="2242" dxfId="17">
      <formula>AV116="X"</formula>
    </cfRule>
    <cfRule type="expression" priority="2243" dxfId="16">
      <formula>AV116="후보"</formula>
    </cfRule>
  </conditionalFormatting>
  <conditionalFormatting sqref="AC116">
    <cfRule type="cellIs" priority="2239" operator="greaterThan" dxfId="13">
      <formula>0.9</formula>
    </cfRule>
    <cfRule type="cellIs" priority="2240" operator="greaterThan" dxfId="12">
      <formula>0.85</formula>
    </cfRule>
  </conditionalFormatting>
  <conditionalFormatting sqref="N116">
    <cfRule type="cellIs" priority="2237" operator="greaterThan" dxfId="13">
      <formula>0.9</formula>
    </cfRule>
    <cfRule type="cellIs" priority="2238" operator="greaterThan" dxfId="12">
      <formula>0.85</formula>
    </cfRule>
  </conditionalFormatting>
  <conditionalFormatting sqref="E116">
    <cfRule type="expression" priority="2233" dxfId="3">
      <formula>AND(IF(OR($Q116=1,$Q116=2),1,0),IF($X116&lt;=20,1,0))</formula>
    </cfRule>
    <cfRule type="expression" priority="2234" dxfId="2">
      <formula>AND(IF($Q116=2,1,0),IF($X116&lt;30,1,0))</formula>
    </cfRule>
    <cfRule type="expression" priority="2235" dxfId="1">
      <formula>AND(IF($Q116=3,1,0),IF($X116&lt;30,1,0))</formula>
    </cfRule>
    <cfRule type="expression" priority="2236" dxfId="0">
      <formula>AND(IF($Q116=3,1,IF($Q116=4,1,0)),IF($F116&lt;=85,1,0))</formula>
    </cfRule>
  </conditionalFormatting>
  <conditionalFormatting sqref="X116">
    <cfRule type="expression" priority="2229" dxfId="3">
      <formula>AND(IF(OR($Q116=1,$Q116=2),1,0),IF($X116&lt;=20,1,0))</formula>
    </cfRule>
    <cfRule type="expression" priority="2230" dxfId="2">
      <formula>AND(IF($Q116=2,1,0),IF($X116&lt;30,1,0))</formula>
    </cfRule>
    <cfRule type="expression" priority="2231" dxfId="1">
      <formula>AND(IF($Q116=3,1,0),IF($X116&lt;30,1,0))</formula>
    </cfRule>
    <cfRule type="expression" priority="2232" dxfId="0">
      <formula>AND(IF($Q116=3,1,IF($Q116=4,1,0)),IF($F116&lt;=85,1,0))</formula>
    </cfRule>
  </conditionalFormatting>
  <conditionalFormatting sqref="AI116">
    <cfRule type="expression" priority="2225" dxfId="3">
      <formula>AND(IF(OR($Q116=1,$Q116=2),1,0),IF($X116&lt;=20,1,0))</formula>
    </cfRule>
    <cfRule type="expression" priority="2226" dxfId="2">
      <formula>AND(IF($Q116=2,1,0),IF($X116&lt;30,1,0))</formula>
    </cfRule>
    <cfRule type="expression" priority="2227" dxfId="1">
      <formula>AND(IF($Q116=3,1,0),IF($X116&lt;30,1,0))</formula>
    </cfRule>
    <cfRule type="expression" priority="2228" dxfId="0">
      <formula>AND(IF($Q116=3,1,IF($Q116=4,1,0)),IF($F116&lt;=85,1,0))</formula>
    </cfRule>
  </conditionalFormatting>
  <conditionalFormatting sqref="AV117">
    <cfRule type="expression" priority="2223" dxfId="17">
      <formula>AV117="X"</formula>
    </cfRule>
    <cfRule type="expression" priority="2224" dxfId="16">
      <formula>AV117="후보"</formula>
    </cfRule>
  </conditionalFormatting>
  <conditionalFormatting sqref="AC117">
    <cfRule type="cellIs" priority="2220" operator="greaterThan" dxfId="13">
      <formula>0.9</formula>
    </cfRule>
    <cfRule type="cellIs" priority="2221" operator="greaterThan" dxfId="12">
      <formula>0.85</formula>
    </cfRule>
  </conditionalFormatting>
  <conditionalFormatting sqref="N117">
    <cfRule type="cellIs" priority="2218" operator="greaterThan" dxfId="13">
      <formula>0.9</formula>
    </cfRule>
    <cfRule type="cellIs" priority="2219" operator="greaterThan" dxfId="12">
      <formula>0.85</formula>
    </cfRule>
  </conditionalFormatting>
  <conditionalFormatting sqref="E117">
    <cfRule type="expression" priority="2214" dxfId="3">
      <formula>AND(IF(OR($Q117=1,$Q117=2),1,0),IF($X117&lt;=20,1,0))</formula>
    </cfRule>
    <cfRule type="expression" priority="2215" dxfId="2">
      <formula>AND(IF($Q117=2,1,0),IF($X117&lt;30,1,0))</formula>
    </cfRule>
    <cfRule type="expression" priority="2216" dxfId="1">
      <formula>AND(IF($Q117=3,1,0),IF($X117&lt;30,1,0))</formula>
    </cfRule>
    <cfRule type="expression" priority="2217" dxfId="0">
      <formula>AND(IF($Q117=3,1,IF($Q117=4,1,0)),IF($F117&lt;=85,1,0))</formula>
    </cfRule>
  </conditionalFormatting>
  <conditionalFormatting sqref="X117">
    <cfRule type="expression" priority="2210" dxfId="3">
      <formula>AND(IF(OR($Q117=1,$Q117=2),1,0),IF($X117&lt;=20,1,0))</formula>
    </cfRule>
    <cfRule type="expression" priority="2211" dxfId="2">
      <formula>AND(IF($Q117=2,1,0),IF($X117&lt;30,1,0))</formula>
    </cfRule>
    <cfRule type="expression" priority="2212" dxfId="1">
      <formula>AND(IF($Q117=3,1,0),IF($X117&lt;30,1,0))</formula>
    </cfRule>
    <cfRule type="expression" priority="2213" dxfId="0">
      <formula>AND(IF($Q117=3,1,IF($Q117=4,1,0)),IF($F117&lt;=85,1,0))</formula>
    </cfRule>
  </conditionalFormatting>
  <conditionalFormatting sqref="AI117">
    <cfRule type="expression" priority="2206" dxfId="3">
      <formula>AND(IF(OR($Q117=1,$Q117=2),1,0),IF($X117&lt;=20,1,0))</formula>
    </cfRule>
    <cfRule type="expression" priority="2207" dxfId="2">
      <formula>AND(IF($Q117=2,1,0),IF($X117&lt;30,1,0))</formula>
    </cfRule>
    <cfRule type="expression" priority="2208" dxfId="1">
      <formula>AND(IF($Q117=3,1,0),IF($X117&lt;30,1,0))</formula>
    </cfRule>
    <cfRule type="expression" priority="2209" dxfId="0">
      <formula>AND(IF($Q117=3,1,IF($Q117=4,1,0)),IF($F117&lt;=85,1,0))</formula>
    </cfRule>
  </conditionalFormatting>
  <conditionalFormatting sqref="AV118">
    <cfRule type="expression" priority="2204" dxfId="17">
      <formula>AV118="X"</formula>
    </cfRule>
    <cfRule type="expression" priority="2205" dxfId="16">
      <formula>AV118="후보"</formula>
    </cfRule>
  </conditionalFormatting>
  <conditionalFormatting sqref="AC118">
    <cfRule type="cellIs" priority="2201" operator="greaterThan" dxfId="13">
      <formula>0.9</formula>
    </cfRule>
    <cfRule type="cellIs" priority="2202" operator="greaterThan" dxfId="12">
      <formula>0.85</formula>
    </cfRule>
  </conditionalFormatting>
  <conditionalFormatting sqref="N118">
    <cfRule type="cellIs" priority="2199" operator="greaterThan" dxfId="13">
      <formula>0.9</formula>
    </cfRule>
    <cfRule type="cellIs" priority="2200" operator="greaterThan" dxfId="12">
      <formula>0.85</formula>
    </cfRule>
  </conditionalFormatting>
  <conditionalFormatting sqref="E118">
    <cfRule type="expression" priority="2195" dxfId="3">
      <formula>AND(IF(OR($Q118=1,$Q118=2),1,0),IF($X118&lt;=20,1,0))</formula>
    </cfRule>
    <cfRule type="expression" priority="2196" dxfId="2">
      <formula>AND(IF($Q118=2,1,0),IF($X118&lt;30,1,0))</formula>
    </cfRule>
    <cfRule type="expression" priority="2197" dxfId="1">
      <formula>AND(IF($Q118=3,1,0),IF($X118&lt;30,1,0))</formula>
    </cfRule>
    <cfRule type="expression" priority="2198" dxfId="0">
      <formula>AND(IF($Q118=3,1,IF($Q118=4,1,0)),IF($F118&lt;=85,1,0))</formula>
    </cfRule>
  </conditionalFormatting>
  <conditionalFormatting sqref="X118">
    <cfRule type="expression" priority="2191" dxfId="3">
      <formula>AND(IF(OR($Q118=1,$Q118=2),1,0),IF($X118&lt;=20,1,0))</formula>
    </cfRule>
    <cfRule type="expression" priority="2192" dxfId="2">
      <formula>AND(IF($Q118=2,1,0),IF($X118&lt;30,1,0))</formula>
    </cfRule>
    <cfRule type="expression" priority="2193" dxfId="1">
      <formula>AND(IF($Q118=3,1,0),IF($X118&lt;30,1,0))</formula>
    </cfRule>
    <cfRule type="expression" priority="2194" dxfId="0">
      <formula>AND(IF($Q118=3,1,IF($Q118=4,1,0)),IF($F118&lt;=85,1,0))</formula>
    </cfRule>
  </conditionalFormatting>
  <conditionalFormatting sqref="AI118">
    <cfRule type="expression" priority="2187" dxfId="3">
      <formula>AND(IF(OR($Q118=1,$Q118=2),1,0),IF($X118&lt;=20,1,0))</formula>
    </cfRule>
    <cfRule type="expression" priority="2188" dxfId="2">
      <formula>AND(IF($Q118=2,1,0),IF($X118&lt;30,1,0))</formula>
    </cfRule>
    <cfRule type="expression" priority="2189" dxfId="1">
      <formula>AND(IF($Q118=3,1,0),IF($X118&lt;30,1,0))</formula>
    </cfRule>
    <cfRule type="expression" priority="2190" dxfId="0">
      <formula>AND(IF($Q118=3,1,IF($Q118=4,1,0)),IF($F118&lt;=85,1,0))</formula>
    </cfRule>
  </conditionalFormatting>
  <conditionalFormatting sqref="AV119">
    <cfRule type="expression" priority="2185" dxfId="17">
      <formula>AV119="X"</formula>
    </cfRule>
    <cfRule type="expression" priority="2186" dxfId="16">
      <formula>AV119="후보"</formula>
    </cfRule>
  </conditionalFormatting>
  <conditionalFormatting sqref="AC119">
    <cfRule type="cellIs" priority="2182" operator="greaterThan" dxfId="13">
      <formula>0.9</formula>
    </cfRule>
    <cfRule type="cellIs" priority="2183" operator="greaterThan" dxfId="12">
      <formula>0.85</formula>
    </cfRule>
  </conditionalFormatting>
  <conditionalFormatting sqref="N119">
    <cfRule type="cellIs" priority="2180" operator="greaterThan" dxfId="13">
      <formula>0.9</formula>
    </cfRule>
    <cfRule type="cellIs" priority="2181" operator="greaterThan" dxfId="12">
      <formula>0.85</formula>
    </cfRule>
  </conditionalFormatting>
  <conditionalFormatting sqref="E119">
    <cfRule type="expression" priority="2176" dxfId="3">
      <formula>AND(IF(OR($Q119=1,$Q119=2),1,0),IF($X119&lt;=20,1,0))</formula>
    </cfRule>
    <cfRule type="expression" priority="2177" dxfId="2">
      <formula>AND(IF($Q119=2,1,0),IF($X119&lt;30,1,0))</formula>
    </cfRule>
    <cfRule type="expression" priority="2178" dxfId="1">
      <formula>AND(IF($Q119=3,1,0),IF($X119&lt;30,1,0))</formula>
    </cfRule>
    <cfRule type="expression" priority="2179" dxfId="0">
      <formula>AND(IF($Q119=3,1,IF($Q119=4,1,0)),IF($F119&lt;=85,1,0))</formula>
    </cfRule>
  </conditionalFormatting>
  <conditionalFormatting sqref="X119">
    <cfRule type="expression" priority="2172" dxfId="3">
      <formula>AND(IF(OR($Q119=1,$Q119=2),1,0),IF($X119&lt;=20,1,0))</formula>
    </cfRule>
    <cfRule type="expression" priority="2173" dxfId="2">
      <formula>AND(IF($Q119=2,1,0),IF($X119&lt;30,1,0))</formula>
    </cfRule>
    <cfRule type="expression" priority="2174" dxfId="1">
      <formula>AND(IF($Q119=3,1,0),IF($X119&lt;30,1,0))</formula>
    </cfRule>
    <cfRule type="expression" priority="2175" dxfId="0">
      <formula>AND(IF($Q119=3,1,IF($Q119=4,1,0)),IF($F119&lt;=85,1,0))</formula>
    </cfRule>
  </conditionalFormatting>
  <conditionalFormatting sqref="AI119">
    <cfRule type="expression" priority="2168" dxfId="3">
      <formula>AND(IF(OR($Q119=1,$Q119=2),1,0),IF($X119&lt;=20,1,0))</formula>
    </cfRule>
    <cfRule type="expression" priority="2169" dxfId="2">
      <formula>AND(IF($Q119=2,1,0),IF($X119&lt;30,1,0))</formula>
    </cfRule>
    <cfRule type="expression" priority="2170" dxfId="1">
      <formula>AND(IF($Q119=3,1,0),IF($X119&lt;30,1,0))</formula>
    </cfRule>
    <cfRule type="expression" priority="2171" dxfId="0">
      <formula>AND(IF($Q119=3,1,IF($Q119=4,1,0)),IF($F119&lt;=85,1,0))</formula>
    </cfRule>
  </conditionalFormatting>
  <conditionalFormatting sqref="AV120">
    <cfRule type="expression" priority="2166" dxfId="17">
      <formula>AV120="X"</formula>
    </cfRule>
    <cfRule type="expression" priority="2167" dxfId="16">
      <formula>AV120="후보"</formula>
    </cfRule>
  </conditionalFormatting>
  <conditionalFormatting sqref="AC120">
    <cfRule type="cellIs" priority="2163" operator="greaterThan" dxfId="13">
      <formula>0.9</formula>
    </cfRule>
    <cfRule type="cellIs" priority="2164" operator="greaterThan" dxfId="12">
      <formula>0.85</formula>
    </cfRule>
  </conditionalFormatting>
  <conditionalFormatting sqref="N120">
    <cfRule type="cellIs" priority="2161" operator="greaterThan" dxfId="13">
      <formula>0.9</formula>
    </cfRule>
    <cfRule type="cellIs" priority="2162" operator="greaterThan" dxfId="12">
      <formula>0.85</formula>
    </cfRule>
  </conditionalFormatting>
  <conditionalFormatting sqref="E120">
    <cfRule type="expression" priority="2157" dxfId="3">
      <formula>AND(IF(OR($Q120=1,$Q120=2),1,0),IF($X120&lt;=20,1,0))</formula>
    </cfRule>
    <cfRule type="expression" priority="2158" dxfId="2">
      <formula>AND(IF($Q120=2,1,0),IF($X120&lt;30,1,0))</formula>
    </cfRule>
    <cfRule type="expression" priority="2159" dxfId="1">
      <formula>AND(IF($Q120=3,1,0),IF($X120&lt;30,1,0))</formula>
    </cfRule>
    <cfRule type="expression" priority="2160" dxfId="0">
      <formula>AND(IF($Q120=3,1,IF($Q120=4,1,0)),IF($F120&lt;=85,1,0))</formula>
    </cfRule>
  </conditionalFormatting>
  <conditionalFormatting sqref="X120">
    <cfRule type="expression" priority="2153" dxfId="3">
      <formula>AND(IF(OR($Q120=1,$Q120=2),1,0),IF($X120&lt;=20,1,0))</formula>
    </cfRule>
    <cfRule type="expression" priority="2154" dxfId="2">
      <formula>AND(IF($Q120=2,1,0),IF($X120&lt;30,1,0))</formula>
    </cfRule>
    <cfRule type="expression" priority="2155" dxfId="1">
      <formula>AND(IF($Q120=3,1,0),IF($X120&lt;30,1,0))</formula>
    </cfRule>
    <cfRule type="expression" priority="2156" dxfId="0">
      <formula>AND(IF($Q120=3,1,IF($Q120=4,1,0)),IF($F120&lt;=85,1,0))</formula>
    </cfRule>
  </conditionalFormatting>
  <conditionalFormatting sqref="AI120">
    <cfRule type="expression" priority="2149" dxfId="3">
      <formula>AND(IF(OR($Q120=1,$Q120=2),1,0),IF($X120&lt;=20,1,0))</formula>
    </cfRule>
    <cfRule type="expression" priority="2150" dxfId="2">
      <formula>AND(IF($Q120=2,1,0),IF($X120&lt;30,1,0))</formula>
    </cfRule>
    <cfRule type="expression" priority="2151" dxfId="1">
      <formula>AND(IF($Q120=3,1,0),IF($X120&lt;30,1,0))</formula>
    </cfRule>
    <cfRule type="expression" priority="2152" dxfId="0">
      <formula>AND(IF($Q120=3,1,IF($Q120=4,1,0)),IF($F120&lt;=85,1,0))</formula>
    </cfRule>
  </conditionalFormatting>
  <conditionalFormatting sqref="AV121">
    <cfRule type="expression" priority="2147" dxfId="17">
      <formula>AV121="X"</formula>
    </cfRule>
    <cfRule type="expression" priority="2148" dxfId="16">
      <formula>AV121="후보"</formula>
    </cfRule>
  </conditionalFormatting>
  <conditionalFormatting sqref="AC121">
    <cfRule type="cellIs" priority="2144" operator="greaterThan" dxfId="13">
      <formula>0.9</formula>
    </cfRule>
    <cfRule type="cellIs" priority="2145" operator="greaterThan" dxfId="12">
      <formula>0.85</formula>
    </cfRule>
  </conditionalFormatting>
  <conditionalFormatting sqref="N121">
    <cfRule type="cellIs" priority="2142" operator="greaterThan" dxfId="13">
      <formula>0.9</formula>
    </cfRule>
    <cfRule type="cellIs" priority="2143" operator="greaterThan" dxfId="12">
      <formula>0.85</formula>
    </cfRule>
  </conditionalFormatting>
  <conditionalFormatting sqref="E121">
    <cfRule type="expression" priority="2138" dxfId="3">
      <formula>AND(IF(OR($Q121=1,$Q121=2),1,0),IF($X121&lt;=20,1,0))</formula>
    </cfRule>
    <cfRule type="expression" priority="2139" dxfId="2">
      <formula>AND(IF($Q121=2,1,0),IF($X121&lt;30,1,0))</formula>
    </cfRule>
    <cfRule type="expression" priority="2140" dxfId="1">
      <formula>AND(IF($Q121=3,1,0),IF($X121&lt;30,1,0))</formula>
    </cfRule>
    <cfRule type="expression" priority="2141" dxfId="0">
      <formula>AND(IF($Q121=3,1,IF($Q121=4,1,0)),IF($F121&lt;=85,1,0))</formula>
    </cfRule>
  </conditionalFormatting>
  <conditionalFormatting sqref="X121">
    <cfRule type="expression" priority="2134" dxfId="3">
      <formula>AND(IF(OR($Q121=1,$Q121=2),1,0),IF($X121&lt;=20,1,0))</formula>
    </cfRule>
    <cfRule type="expression" priority="2135" dxfId="2">
      <formula>AND(IF($Q121=2,1,0),IF($X121&lt;30,1,0))</formula>
    </cfRule>
    <cfRule type="expression" priority="2136" dxfId="1">
      <formula>AND(IF($Q121=3,1,0),IF($X121&lt;30,1,0))</formula>
    </cfRule>
    <cfRule type="expression" priority="2137" dxfId="0">
      <formula>AND(IF($Q121=3,1,IF($Q121=4,1,0)),IF($F121&lt;=85,1,0))</formula>
    </cfRule>
  </conditionalFormatting>
  <conditionalFormatting sqref="AI121">
    <cfRule type="expression" priority="2130" dxfId="3">
      <formula>AND(IF(OR($Q121=1,$Q121=2),1,0),IF($X121&lt;=20,1,0))</formula>
    </cfRule>
    <cfRule type="expression" priority="2131" dxfId="2">
      <formula>AND(IF($Q121=2,1,0),IF($X121&lt;30,1,0))</formula>
    </cfRule>
    <cfRule type="expression" priority="2132" dxfId="1">
      <formula>AND(IF($Q121=3,1,0),IF($X121&lt;30,1,0))</formula>
    </cfRule>
    <cfRule type="expression" priority="2133" dxfId="0">
      <formula>AND(IF($Q121=3,1,IF($Q121=4,1,0)),IF($F121&lt;=85,1,0))</formula>
    </cfRule>
  </conditionalFormatting>
  <conditionalFormatting sqref="AV122">
    <cfRule type="expression" priority="2128" dxfId="17">
      <formula>AV122="X"</formula>
    </cfRule>
    <cfRule type="expression" priority="2129" dxfId="16">
      <formula>AV122="후보"</formula>
    </cfRule>
  </conditionalFormatting>
  <conditionalFormatting sqref="AC122">
    <cfRule type="cellIs" priority="2125" operator="greaterThan" dxfId="13">
      <formula>0.9</formula>
    </cfRule>
    <cfRule type="cellIs" priority="2126" operator="greaterThan" dxfId="12">
      <formula>0.85</formula>
    </cfRule>
  </conditionalFormatting>
  <conditionalFormatting sqref="N122">
    <cfRule type="cellIs" priority="2123" operator="greaterThan" dxfId="13">
      <formula>0.9</formula>
    </cfRule>
    <cfRule type="cellIs" priority="2124" operator="greaterThan" dxfId="12">
      <formula>0.85</formula>
    </cfRule>
  </conditionalFormatting>
  <conditionalFormatting sqref="E122">
    <cfRule type="expression" priority="2119" dxfId="3">
      <formula>AND(IF(OR($Q122=1,$Q122=2),1,0),IF($X122&lt;=20,1,0))</formula>
    </cfRule>
    <cfRule type="expression" priority="2120" dxfId="2">
      <formula>AND(IF($Q122=2,1,0),IF($X122&lt;30,1,0))</formula>
    </cfRule>
    <cfRule type="expression" priority="2121" dxfId="1">
      <formula>AND(IF($Q122=3,1,0),IF($X122&lt;30,1,0))</formula>
    </cfRule>
    <cfRule type="expression" priority="2122" dxfId="0">
      <formula>AND(IF($Q122=3,1,IF($Q122=4,1,0)),IF($F122&lt;=85,1,0))</formula>
    </cfRule>
  </conditionalFormatting>
  <conditionalFormatting sqref="X122">
    <cfRule type="expression" priority="2115" dxfId="3">
      <formula>AND(IF(OR($Q122=1,$Q122=2),1,0),IF($X122&lt;=20,1,0))</formula>
    </cfRule>
    <cfRule type="expression" priority="2116" dxfId="2">
      <formula>AND(IF($Q122=2,1,0),IF($X122&lt;30,1,0))</formula>
    </cfRule>
    <cfRule type="expression" priority="2117" dxfId="1">
      <formula>AND(IF($Q122=3,1,0),IF($X122&lt;30,1,0))</formula>
    </cfRule>
    <cfRule type="expression" priority="2118" dxfId="0">
      <formula>AND(IF($Q122=3,1,IF($Q122=4,1,0)),IF($F122&lt;=85,1,0))</formula>
    </cfRule>
  </conditionalFormatting>
  <conditionalFormatting sqref="AI122">
    <cfRule type="expression" priority="2111" dxfId="3">
      <formula>AND(IF(OR($Q122=1,$Q122=2),1,0),IF($X122&lt;=20,1,0))</formula>
    </cfRule>
    <cfRule type="expression" priority="2112" dxfId="2">
      <formula>AND(IF($Q122=2,1,0),IF($X122&lt;30,1,0))</formula>
    </cfRule>
    <cfRule type="expression" priority="2113" dxfId="1">
      <formula>AND(IF($Q122=3,1,0),IF($X122&lt;30,1,0))</formula>
    </cfRule>
    <cfRule type="expression" priority="2114" dxfId="0">
      <formula>AND(IF($Q122=3,1,IF($Q122=4,1,0)),IF($F122&lt;=85,1,0))</formula>
    </cfRule>
  </conditionalFormatting>
  <conditionalFormatting sqref="AV123">
    <cfRule type="expression" priority="2109" dxfId="17">
      <formula>AV123="X"</formula>
    </cfRule>
    <cfRule type="expression" priority="2110" dxfId="16">
      <formula>AV123="후보"</formula>
    </cfRule>
  </conditionalFormatting>
  <conditionalFormatting sqref="AC123 N123">
    <cfRule type="cellIs" priority="2106" operator="greaterThan" dxfId="13">
      <formula>0.9</formula>
    </cfRule>
    <cfRule type="cellIs" priority="2107" operator="greaterThan" dxfId="12">
      <formula>0.85</formula>
    </cfRule>
  </conditionalFormatting>
  <conditionalFormatting sqref="AV124">
    <cfRule type="expression" priority="2104" dxfId="17">
      <formula>AV124="X"</formula>
    </cfRule>
    <cfRule type="expression" priority="2105" dxfId="16">
      <formula>AV124="후보"</formula>
    </cfRule>
  </conditionalFormatting>
  <conditionalFormatting sqref="AC124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124">
    <cfRule type="cellIs" priority="2099" operator="greaterThan" dxfId="13">
      <formula>0.9</formula>
    </cfRule>
    <cfRule type="cellIs" priority="2100" operator="greaterThan" dxfId="12">
      <formula>0.85</formula>
    </cfRule>
  </conditionalFormatting>
  <conditionalFormatting sqref="E124">
    <cfRule type="expression" priority="2095" dxfId="3">
      <formula>AND(IF(OR($Q124=1,$Q124=2),1,0),IF($X124&lt;=20,1,0))</formula>
    </cfRule>
    <cfRule type="expression" priority="2096" dxfId="2">
      <formula>AND(IF($Q124=2,1,0),IF($X124&lt;30,1,0))</formula>
    </cfRule>
    <cfRule type="expression" priority="2097" dxfId="1">
      <formula>AND(IF($Q124=3,1,0),IF($X124&lt;30,1,0))</formula>
    </cfRule>
    <cfRule type="expression" priority="2098" dxfId="0">
      <formula>AND(IF($Q124=3,1,IF($Q124=4,1,0)),IF($F124&lt;=85,1,0))</formula>
    </cfRule>
  </conditionalFormatting>
  <conditionalFormatting sqref="X124">
    <cfRule type="expression" priority="2091" dxfId="3">
      <formula>AND(IF(OR($Q124=1,$Q124=2),1,0),IF($X124&lt;=20,1,0))</formula>
    </cfRule>
    <cfRule type="expression" priority="2092" dxfId="2">
      <formula>AND(IF($Q124=2,1,0),IF($X124&lt;30,1,0))</formula>
    </cfRule>
    <cfRule type="expression" priority="2093" dxfId="1">
      <formula>AND(IF($Q124=3,1,0),IF($X124&lt;30,1,0))</formula>
    </cfRule>
    <cfRule type="expression" priority="2094" dxfId="0">
      <formula>AND(IF($Q124=3,1,IF($Q124=4,1,0)),IF($F124&lt;=85,1,0))</formula>
    </cfRule>
  </conditionalFormatting>
  <conditionalFormatting sqref="AI124">
    <cfRule type="expression" priority="2087" dxfId="3">
      <formula>AND(IF(OR($Q124=1,$Q124=2),1,0),IF($X124&lt;=20,1,0))</formula>
    </cfRule>
    <cfRule type="expression" priority="2088" dxfId="2">
      <formula>AND(IF($Q124=2,1,0),IF($X124&lt;30,1,0))</formula>
    </cfRule>
    <cfRule type="expression" priority="2089" dxfId="1">
      <formula>AND(IF($Q124=3,1,0),IF($X124&lt;30,1,0))</formula>
    </cfRule>
    <cfRule type="expression" priority="2090" dxfId="0">
      <formula>AND(IF($Q124=3,1,IF($Q124=4,1,0)),IF($F124&lt;=85,1,0))</formula>
    </cfRule>
  </conditionalFormatting>
  <conditionalFormatting sqref="AV125">
    <cfRule type="expression" priority="2085" dxfId="17">
      <formula>AV125="X"</formula>
    </cfRule>
    <cfRule type="expression" priority="2086" dxfId="16">
      <formula>AV125="후보"</formula>
    </cfRule>
  </conditionalFormatting>
  <conditionalFormatting sqref="AC125">
    <cfRule type="cellIs" priority="2082" operator="greaterThan" dxfId="13">
      <formula>0.9</formula>
    </cfRule>
    <cfRule type="cellIs" priority="2083" operator="greaterThan" dxfId="12">
      <formula>0.85</formula>
    </cfRule>
  </conditionalFormatting>
  <conditionalFormatting sqref="N125">
    <cfRule type="cellIs" priority="2080" operator="greaterThan" dxfId="13">
      <formula>0.9</formula>
    </cfRule>
    <cfRule type="cellIs" priority="2081" operator="greaterThan" dxfId="12">
      <formula>0.85</formula>
    </cfRule>
  </conditionalFormatting>
  <conditionalFormatting sqref="E125">
    <cfRule type="expression" priority="2076" dxfId="3">
      <formula>AND(IF(OR($Q125=1,$Q125=2),1,0),IF($X125&lt;=20,1,0))</formula>
    </cfRule>
    <cfRule type="expression" priority="2077" dxfId="2">
      <formula>AND(IF($Q125=2,1,0),IF($X125&lt;30,1,0))</formula>
    </cfRule>
    <cfRule type="expression" priority="2078" dxfId="1">
      <formula>AND(IF($Q125=3,1,0),IF($X125&lt;30,1,0))</formula>
    </cfRule>
    <cfRule type="expression" priority="2079" dxfId="0">
      <formula>AND(IF($Q125=3,1,IF($Q125=4,1,0)),IF($F125&lt;=85,1,0))</formula>
    </cfRule>
  </conditionalFormatting>
  <conditionalFormatting sqref="X125">
    <cfRule type="expression" priority="2072" dxfId="3">
      <formula>AND(IF(OR($Q125=1,$Q125=2),1,0),IF($X125&lt;=20,1,0))</formula>
    </cfRule>
    <cfRule type="expression" priority="2073" dxfId="2">
      <formula>AND(IF($Q125=2,1,0),IF($X125&lt;30,1,0))</formula>
    </cfRule>
    <cfRule type="expression" priority="2074" dxfId="1">
      <formula>AND(IF($Q125=3,1,0),IF($X125&lt;30,1,0))</formula>
    </cfRule>
    <cfRule type="expression" priority="2075" dxfId="0">
      <formula>AND(IF($Q125=3,1,IF($Q125=4,1,0)),IF($F125&lt;=85,1,0))</formula>
    </cfRule>
  </conditionalFormatting>
  <conditionalFormatting sqref="AI125">
    <cfRule type="expression" priority="2068" dxfId="3">
      <formula>AND(IF(OR($Q125=1,$Q125=2),1,0),IF($X125&lt;=20,1,0))</formula>
    </cfRule>
    <cfRule type="expression" priority="2069" dxfId="2">
      <formula>AND(IF($Q125=2,1,0),IF($X125&lt;30,1,0))</formula>
    </cfRule>
    <cfRule type="expression" priority="2070" dxfId="1">
      <formula>AND(IF($Q125=3,1,0),IF($X125&lt;30,1,0))</formula>
    </cfRule>
    <cfRule type="expression" priority="2071" dxfId="0">
      <formula>AND(IF($Q125=3,1,IF($Q125=4,1,0)),IF($F125&lt;=85,1,0))</formula>
    </cfRule>
  </conditionalFormatting>
  <conditionalFormatting sqref="AV126">
    <cfRule type="expression" priority="2066" dxfId="17">
      <formula>AV126="X"</formula>
    </cfRule>
    <cfRule type="expression" priority="2067" dxfId="16">
      <formula>AV126="후보"</formula>
    </cfRule>
  </conditionalFormatting>
  <conditionalFormatting sqref="AC126">
    <cfRule type="cellIs" priority="2063" operator="greaterThan" dxfId="13">
      <formula>0.9</formula>
    </cfRule>
    <cfRule type="cellIs" priority="2064" operator="greaterThan" dxfId="12">
      <formula>0.85</formula>
    </cfRule>
  </conditionalFormatting>
  <conditionalFormatting sqref="N126">
    <cfRule type="cellIs" priority="2061" operator="greaterThan" dxfId="13">
      <formula>0.9</formula>
    </cfRule>
    <cfRule type="cellIs" priority="2062" operator="greaterThan" dxfId="12">
      <formula>0.85</formula>
    </cfRule>
  </conditionalFormatting>
  <conditionalFormatting sqref="E126">
    <cfRule type="expression" priority="2057" dxfId="3">
      <formula>AND(IF(OR($Q126=1,$Q126=2),1,0),IF($X126&lt;=20,1,0))</formula>
    </cfRule>
    <cfRule type="expression" priority="2058" dxfId="2">
      <formula>AND(IF($Q126=2,1,0),IF($X126&lt;30,1,0))</formula>
    </cfRule>
    <cfRule type="expression" priority="2059" dxfId="1">
      <formula>AND(IF($Q126=3,1,0),IF($X126&lt;30,1,0))</formula>
    </cfRule>
    <cfRule type="expression" priority="2060" dxfId="0">
      <formula>AND(IF($Q126=3,1,IF($Q126=4,1,0)),IF($F126&lt;=85,1,0))</formula>
    </cfRule>
  </conditionalFormatting>
  <conditionalFormatting sqref="X126">
    <cfRule type="expression" priority="2053" dxfId="3">
      <formula>AND(IF(OR($Q126=1,$Q126=2),1,0),IF($X126&lt;=20,1,0))</formula>
    </cfRule>
    <cfRule type="expression" priority="2054" dxfId="2">
      <formula>AND(IF($Q126=2,1,0),IF($X126&lt;30,1,0))</formula>
    </cfRule>
    <cfRule type="expression" priority="2055" dxfId="1">
      <formula>AND(IF($Q126=3,1,0),IF($X126&lt;30,1,0))</formula>
    </cfRule>
    <cfRule type="expression" priority="2056" dxfId="0">
      <formula>AND(IF($Q126=3,1,IF($Q126=4,1,0)),IF($F126&lt;=85,1,0))</formula>
    </cfRule>
  </conditionalFormatting>
  <conditionalFormatting sqref="AI126">
    <cfRule type="expression" priority="2049" dxfId="3">
      <formula>AND(IF(OR($Q126=1,$Q126=2),1,0),IF($X126&lt;=20,1,0))</formula>
    </cfRule>
    <cfRule type="expression" priority="2050" dxfId="2">
      <formula>AND(IF($Q126=2,1,0),IF($X126&lt;30,1,0))</formula>
    </cfRule>
    <cfRule type="expression" priority="2051" dxfId="1">
      <formula>AND(IF($Q126=3,1,0),IF($X126&lt;30,1,0))</formula>
    </cfRule>
    <cfRule type="expression" priority="2052" dxfId="0">
      <formula>AND(IF($Q126=3,1,IF($Q126=4,1,0)),IF($F126&lt;=85,1,0))</formula>
    </cfRule>
  </conditionalFormatting>
  <conditionalFormatting sqref="AV127">
    <cfRule type="expression" priority="2047" dxfId="17">
      <formula>AV127="X"</formula>
    </cfRule>
    <cfRule type="expression" priority="2048" dxfId="16">
      <formula>AV127="후보"</formula>
    </cfRule>
  </conditionalFormatting>
  <conditionalFormatting sqref="AC127">
    <cfRule type="cellIs" priority="2044" operator="greaterThan" dxfId="13">
      <formula>0.9</formula>
    </cfRule>
    <cfRule type="cellIs" priority="2045" operator="greaterThan" dxfId="12">
      <formula>0.85</formula>
    </cfRule>
  </conditionalFormatting>
  <conditionalFormatting sqref="N127">
    <cfRule type="cellIs" priority="2042" operator="greaterThan" dxfId="13">
      <formula>0.9</formula>
    </cfRule>
    <cfRule type="cellIs" priority="2043" operator="greaterThan" dxfId="12">
      <formula>0.85</formula>
    </cfRule>
  </conditionalFormatting>
  <conditionalFormatting sqref="E127">
    <cfRule type="expression" priority="2038" dxfId="3">
      <formula>AND(IF(OR($Q127=1,$Q127=2),1,0),IF($X127&lt;=20,1,0))</formula>
    </cfRule>
    <cfRule type="expression" priority="2039" dxfId="2">
      <formula>AND(IF($Q127=2,1,0),IF($X127&lt;30,1,0))</formula>
    </cfRule>
    <cfRule type="expression" priority="2040" dxfId="1">
      <formula>AND(IF($Q127=3,1,0),IF($X127&lt;30,1,0))</formula>
    </cfRule>
    <cfRule type="expression" priority="2041" dxfId="0">
      <formula>AND(IF($Q127=3,1,IF($Q127=4,1,0)),IF($F127&lt;=85,1,0))</formula>
    </cfRule>
  </conditionalFormatting>
  <conditionalFormatting sqref="X127">
    <cfRule type="expression" priority="2034" dxfId="3">
      <formula>AND(IF(OR($Q127=1,$Q127=2),1,0),IF($X127&lt;=20,1,0))</formula>
    </cfRule>
    <cfRule type="expression" priority="2035" dxfId="2">
      <formula>AND(IF($Q127=2,1,0),IF($X127&lt;30,1,0))</formula>
    </cfRule>
    <cfRule type="expression" priority="2036" dxfId="1">
      <formula>AND(IF($Q127=3,1,0),IF($X127&lt;30,1,0))</formula>
    </cfRule>
    <cfRule type="expression" priority="2037" dxfId="0">
      <formula>AND(IF($Q127=3,1,IF($Q127=4,1,0)),IF($F127&lt;=85,1,0))</formula>
    </cfRule>
  </conditionalFormatting>
  <conditionalFormatting sqref="AI127">
    <cfRule type="expression" priority="2030" dxfId="3">
      <formula>AND(IF(OR($Q127=1,$Q127=2),1,0),IF($X127&lt;=20,1,0))</formula>
    </cfRule>
    <cfRule type="expression" priority="2031" dxfId="2">
      <formula>AND(IF($Q127=2,1,0),IF($X127&lt;30,1,0))</formula>
    </cfRule>
    <cfRule type="expression" priority="2032" dxfId="1">
      <formula>AND(IF($Q127=3,1,0),IF($X127&lt;30,1,0))</formula>
    </cfRule>
    <cfRule type="expression" priority="2033" dxfId="0">
      <formula>AND(IF($Q127=3,1,IF($Q127=4,1,0)),IF($F127&lt;=85,1,0))</formula>
    </cfRule>
  </conditionalFormatting>
  <conditionalFormatting sqref="AV128">
    <cfRule type="expression" priority="2028" dxfId="17">
      <formula>AV128="X"</formula>
    </cfRule>
    <cfRule type="expression" priority="2029" dxfId="16">
      <formula>AV128="후보"</formula>
    </cfRule>
  </conditionalFormatting>
  <conditionalFormatting sqref="AC128 N128">
    <cfRule type="cellIs" priority="2025" operator="greaterThan" dxfId="13">
      <formula>0.9</formula>
    </cfRule>
    <cfRule type="cellIs" priority="2026" operator="greaterThan" dxfId="12">
      <formula>0.85</formula>
    </cfRule>
  </conditionalFormatting>
  <conditionalFormatting sqref="AV129">
    <cfRule type="expression" priority="2023" dxfId="17">
      <formula>AV129="X"</formula>
    </cfRule>
    <cfRule type="expression" priority="2024" dxfId="16">
      <formula>AV129="후보"</formula>
    </cfRule>
  </conditionalFormatting>
  <conditionalFormatting sqref="AC129">
    <cfRule type="cellIs" priority="2020" operator="greaterThan" dxfId="13">
      <formula>0.9</formula>
    </cfRule>
    <cfRule type="cellIs" priority="2021" operator="greaterThan" dxfId="12">
      <formula>0.85</formula>
    </cfRule>
  </conditionalFormatting>
  <conditionalFormatting sqref="N129">
    <cfRule type="cellIs" priority="2018" operator="greaterThan" dxfId="13">
      <formula>0.9</formula>
    </cfRule>
    <cfRule type="cellIs" priority="2019" operator="greaterThan" dxfId="12">
      <formula>0.85</formula>
    </cfRule>
  </conditionalFormatting>
  <conditionalFormatting sqref="E129">
    <cfRule type="expression" priority="2014" dxfId="3">
      <formula>AND(IF(OR($Q129=1,$Q129=2),1,0),IF($X129&lt;=20,1,0))</formula>
    </cfRule>
    <cfRule type="expression" priority="2015" dxfId="2">
      <formula>AND(IF($Q129=2,1,0),IF($X129&lt;30,1,0))</formula>
    </cfRule>
    <cfRule type="expression" priority="2016" dxfId="1">
      <formula>AND(IF($Q129=3,1,0),IF($X129&lt;30,1,0))</formula>
    </cfRule>
    <cfRule type="expression" priority="2017" dxfId="0">
      <formula>AND(IF($Q129=3,1,IF($Q129=4,1,0)),IF($F129&lt;=85,1,0))</formula>
    </cfRule>
  </conditionalFormatting>
  <conditionalFormatting sqref="X129">
    <cfRule type="expression" priority="2010" dxfId="3">
      <formula>AND(IF(OR($Q129=1,$Q129=2),1,0),IF($X129&lt;=20,1,0))</formula>
    </cfRule>
    <cfRule type="expression" priority="2011" dxfId="2">
      <formula>AND(IF($Q129=2,1,0),IF($X129&lt;30,1,0))</formula>
    </cfRule>
    <cfRule type="expression" priority="2012" dxfId="1">
      <formula>AND(IF($Q129=3,1,0),IF($X129&lt;30,1,0))</formula>
    </cfRule>
    <cfRule type="expression" priority="2013" dxfId="0">
      <formula>AND(IF($Q129=3,1,IF($Q129=4,1,0)),IF($F129&lt;=85,1,0))</formula>
    </cfRule>
  </conditionalFormatting>
  <conditionalFormatting sqref="AI129">
    <cfRule type="expression" priority="2006" dxfId="3">
      <formula>AND(IF(OR($Q129=1,$Q129=2),1,0),IF($X129&lt;=20,1,0))</formula>
    </cfRule>
    <cfRule type="expression" priority="2007" dxfId="2">
      <formula>AND(IF($Q129=2,1,0),IF($X129&lt;30,1,0))</formula>
    </cfRule>
    <cfRule type="expression" priority="2008" dxfId="1">
      <formula>AND(IF($Q129=3,1,0),IF($X129&lt;30,1,0))</formula>
    </cfRule>
    <cfRule type="expression" priority="2009" dxfId="0">
      <formula>AND(IF($Q129=3,1,IF($Q129=4,1,0)),IF($F129&lt;=85,1,0))</formula>
    </cfRule>
  </conditionalFormatting>
  <conditionalFormatting sqref="AV130">
    <cfRule type="expression" priority="2004" dxfId="17">
      <formula>AV130="X"</formula>
    </cfRule>
    <cfRule type="expression" priority="2005" dxfId="16">
      <formula>AV130="후보"</formula>
    </cfRule>
  </conditionalFormatting>
  <conditionalFormatting sqref="AC130">
    <cfRule type="cellIs" priority="2001" operator="greaterThan" dxfId="13">
      <formula>0.9</formula>
    </cfRule>
    <cfRule type="cellIs" priority="2002" operator="greaterThan" dxfId="12">
      <formula>0.85</formula>
    </cfRule>
  </conditionalFormatting>
  <conditionalFormatting sqref="N130">
    <cfRule type="cellIs" priority="1999" operator="greaterThan" dxfId="13">
      <formula>0.9</formula>
    </cfRule>
    <cfRule type="cellIs" priority="2000" operator="greaterThan" dxfId="12">
      <formula>0.85</formula>
    </cfRule>
  </conditionalFormatting>
  <conditionalFormatting sqref="E130">
    <cfRule type="expression" priority="1995" dxfId="3">
      <formula>AND(IF(OR($Q130=1,$Q130=2),1,0),IF($X130&lt;=20,1,0))</formula>
    </cfRule>
    <cfRule type="expression" priority="1996" dxfId="2">
      <formula>AND(IF($Q130=2,1,0),IF($X130&lt;30,1,0))</formula>
    </cfRule>
    <cfRule type="expression" priority="1997" dxfId="1">
      <formula>AND(IF($Q130=3,1,0),IF($X130&lt;30,1,0))</formula>
    </cfRule>
    <cfRule type="expression" priority="1998" dxfId="0">
      <formula>AND(IF($Q130=3,1,IF($Q130=4,1,0)),IF($F130&lt;=85,1,0))</formula>
    </cfRule>
  </conditionalFormatting>
  <conditionalFormatting sqref="X130">
    <cfRule type="expression" priority="1991" dxfId="3">
      <formula>AND(IF(OR($Q130=1,$Q130=2),1,0),IF($X130&lt;=20,1,0))</formula>
    </cfRule>
    <cfRule type="expression" priority="1992" dxfId="2">
      <formula>AND(IF($Q130=2,1,0),IF($X130&lt;30,1,0))</formula>
    </cfRule>
    <cfRule type="expression" priority="1993" dxfId="1">
      <formula>AND(IF($Q130=3,1,0),IF($X130&lt;30,1,0))</formula>
    </cfRule>
    <cfRule type="expression" priority="1994" dxfId="0">
      <formula>AND(IF($Q130=3,1,IF($Q130=4,1,0)),IF($F130&lt;=85,1,0))</formula>
    </cfRule>
  </conditionalFormatting>
  <conditionalFormatting sqref="AI130">
    <cfRule type="expression" priority="1987" dxfId="3">
      <formula>AND(IF(OR($Q130=1,$Q130=2),1,0),IF($X130&lt;=20,1,0))</formula>
    </cfRule>
    <cfRule type="expression" priority="1988" dxfId="2">
      <formula>AND(IF($Q130=2,1,0),IF($X130&lt;30,1,0))</formula>
    </cfRule>
    <cfRule type="expression" priority="1989" dxfId="1">
      <formula>AND(IF($Q130=3,1,0),IF($X130&lt;30,1,0))</formula>
    </cfRule>
    <cfRule type="expression" priority="1990" dxfId="0">
      <formula>AND(IF($Q130=3,1,IF($Q130=4,1,0)),IF($F130&lt;=85,1,0))</formula>
    </cfRule>
  </conditionalFormatting>
  <conditionalFormatting sqref="AV131">
    <cfRule type="expression" priority="1985" dxfId="17">
      <formula>AV131="X"</formula>
    </cfRule>
    <cfRule type="expression" priority="1986" dxfId="16">
      <formula>AV131="후보"</formula>
    </cfRule>
  </conditionalFormatting>
  <conditionalFormatting sqref="AC131">
    <cfRule type="cellIs" priority="1982" operator="greaterThan" dxfId="13">
      <formula>0.9</formula>
    </cfRule>
    <cfRule type="cellIs" priority="1983" operator="greaterThan" dxfId="12">
      <formula>0.85</formula>
    </cfRule>
  </conditionalFormatting>
  <conditionalFormatting sqref="N131">
    <cfRule type="cellIs" priority="1980" operator="greaterThan" dxfId="13">
      <formula>0.9</formula>
    </cfRule>
    <cfRule type="cellIs" priority="1981" operator="greaterThan" dxfId="12">
      <formula>0.85</formula>
    </cfRule>
  </conditionalFormatting>
  <conditionalFormatting sqref="E131">
    <cfRule type="expression" priority="1976" dxfId="3">
      <formula>AND(IF(OR($Q131=1,$Q131=2),1,0),IF($X131&lt;=20,1,0))</formula>
    </cfRule>
    <cfRule type="expression" priority="1977" dxfId="2">
      <formula>AND(IF($Q131=2,1,0),IF($X131&lt;30,1,0))</formula>
    </cfRule>
    <cfRule type="expression" priority="1978" dxfId="1">
      <formula>AND(IF($Q131=3,1,0),IF($X131&lt;30,1,0))</formula>
    </cfRule>
    <cfRule type="expression" priority="1979" dxfId="0">
      <formula>AND(IF($Q131=3,1,IF($Q131=4,1,0)),IF($F131&lt;=85,1,0))</formula>
    </cfRule>
  </conditionalFormatting>
  <conditionalFormatting sqref="X131">
    <cfRule type="expression" priority="1972" dxfId="3">
      <formula>AND(IF(OR($Q131=1,$Q131=2),1,0),IF($X131&lt;=20,1,0))</formula>
    </cfRule>
    <cfRule type="expression" priority="1973" dxfId="2">
      <formula>AND(IF($Q131=2,1,0),IF($X131&lt;30,1,0))</formula>
    </cfRule>
    <cfRule type="expression" priority="1974" dxfId="1">
      <formula>AND(IF($Q131=3,1,0),IF($X131&lt;30,1,0))</formula>
    </cfRule>
    <cfRule type="expression" priority="1975" dxfId="0">
      <formula>AND(IF($Q131=3,1,IF($Q131=4,1,0)),IF($F131&lt;=85,1,0))</formula>
    </cfRule>
  </conditionalFormatting>
  <conditionalFormatting sqref="AI131">
    <cfRule type="expression" priority="1968" dxfId="3">
      <formula>AND(IF(OR($Q131=1,$Q131=2),1,0),IF($X131&lt;=20,1,0))</formula>
    </cfRule>
    <cfRule type="expression" priority="1969" dxfId="2">
      <formula>AND(IF($Q131=2,1,0),IF($X131&lt;30,1,0))</formula>
    </cfRule>
    <cfRule type="expression" priority="1970" dxfId="1">
      <formula>AND(IF($Q131=3,1,0),IF($X131&lt;30,1,0))</formula>
    </cfRule>
    <cfRule type="expression" priority="1971" dxfId="0">
      <formula>AND(IF($Q131=3,1,IF($Q131=4,1,0)),IF($F131&lt;=85,1,0))</formula>
    </cfRule>
  </conditionalFormatting>
  <conditionalFormatting sqref="AV132">
    <cfRule type="expression" priority="1966" dxfId="17">
      <formula>AV132="X"</formula>
    </cfRule>
    <cfRule type="expression" priority="1967" dxfId="16">
      <formula>AV132="후보"</formula>
    </cfRule>
  </conditionalFormatting>
  <conditionalFormatting sqref="AC132">
    <cfRule type="cellIs" priority="1963" operator="greaterThan" dxfId="13">
      <formula>0.9</formula>
    </cfRule>
    <cfRule type="cellIs" priority="1964" operator="greaterThan" dxfId="12">
      <formula>0.85</formula>
    </cfRule>
  </conditionalFormatting>
  <conditionalFormatting sqref="N132">
    <cfRule type="cellIs" priority="1961" operator="greaterThan" dxfId="13">
      <formula>0.9</formula>
    </cfRule>
    <cfRule type="cellIs" priority="1962" operator="greaterThan" dxfId="12">
      <formula>0.85</formula>
    </cfRule>
  </conditionalFormatting>
  <conditionalFormatting sqref="E132">
    <cfRule type="expression" priority="1957" dxfId="3">
      <formula>AND(IF(OR($Q132=1,$Q132=2),1,0),IF($X132&lt;=20,1,0))</formula>
    </cfRule>
    <cfRule type="expression" priority="1958" dxfId="2">
      <formula>AND(IF($Q132=2,1,0),IF($X132&lt;30,1,0))</formula>
    </cfRule>
    <cfRule type="expression" priority="1959" dxfId="1">
      <formula>AND(IF($Q132=3,1,0),IF($X132&lt;30,1,0))</formula>
    </cfRule>
    <cfRule type="expression" priority="1960" dxfId="0">
      <formula>AND(IF($Q132=3,1,IF($Q132=4,1,0)),IF($F132&lt;=85,1,0))</formula>
    </cfRule>
  </conditionalFormatting>
  <conditionalFormatting sqref="X132">
    <cfRule type="expression" priority="1953" dxfId="3">
      <formula>AND(IF(OR($Q132=1,$Q132=2),1,0),IF($X132&lt;=20,1,0))</formula>
    </cfRule>
    <cfRule type="expression" priority="1954" dxfId="2">
      <formula>AND(IF($Q132=2,1,0),IF($X132&lt;30,1,0))</formula>
    </cfRule>
    <cfRule type="expression" priority="1955" dxfId="1">
      <formula>AND(IF($Q132=3,1,0),IF($X132&lt;30,1,0))</formula>
    </cfRule>
    <cfRule type="expression" priority="1956" dxfId="0">
      <formula>AND(IF($Q132=3,1,IF($Q132=4,1,0)),IF($F132&lt;=85,1,0))</formula>
    </cfRule>
  </conditionalFormatting>
  <conditionalFormatting sqref="AI132">
    <cfRule type="expression" priority="1949" dxfId="3">
      <formula>AND(IF(OR($Q132=1,$Q132=2),1,0),IF($X132&lt;=20,1,0))</formula>
    </cfRule>
    <cfRule type="expression" priority="1950" dxfId="2">
      <formula>AND(IF($Q132=2,1,0),IF($X132&lt;30,1,0))</formula>
    </cfRule>
    <cfRule type="expression" priority="1951" dxfId="1">
      <formula>AND(IF($Q132=3,1,0),IF($X132&lt;30,1,0))</formula>
    </cfRule>
    <cfRule type="expression" priority="1952" dxfId="0">
      <formula>AND(IF($Q132=3,1,IF($Q132=4,1,0)),IF($F132&lt;=85,1,0))</formula>
    </cfRule>
  </conditionalFormatting>
  <conditionalFormatting sqref="AV133">
    <cfRule type="expression" priority="1947" dxfId="17">
      <formula>AV133="X"</formula>
    </cfRule>
    <cfRule type="expression" priority="1948" dxfId="16">
      <formula>AV133="후보"</formula>
    </cfRule>
  </conditionalFormatting>
  <conditionalFormatting sqref="AC133">
    <cfRule type="cellIs" priority="1944" operator="greaterThan" dxfId="13">
      <formula>0.9</formula>
    </cfRule>
    <cfRule type="cellIs" priority="1945" operator="greaterThan" dxfId="12">
      <formula>0.85</formula>
    </cfRule>
  </conditionalFormatting>
  <conditionalFormatting sqref="N133">
    <cfRule type="cellIs" priority="1942" operator="greaterThan" dxfId="13">
      <formula>0.9</formula>
    </cfRule>
    <cfRule type="cellIs" priority="1943" operator="greaterThan" dxfId="12">
      <formula>0.85</formula>
    </cfRule>
  </conditionalFormatting>
  <conditionalFormatting sqref="E133">
    <cfRule type="expression" priority="1938" dxfId="3">
      <formula>AND(IF(OR($Q133=1,$Q133=2),1,0),IF($X133&lt;=20,1,0))</formula>
    </cfRule>
    <cfRule type="expression" priority="1939" dxfId="2">
      <formula>AND(IF($Q133=2,1,0),IF($X133&lt;30,1,0))</formula>
    </cfRule>
    <cfRule type="expression" priority="1940" dxfId="1">
      <formula>AND(IF($Q133=3,1,0),IF($X133&lt;30,1,0))</formula>
    </cfRule>
    <cfRule type="expression" priority="1941" dxfId="0">
      <formula>AND(IF($Q133=3,1,IF($Q133=4,1,0)),IF($F133&lt;=85,1,0))</formula>
    </cfRule>
  </conditionalFormatting>
  <conditionalFormatting sqref="X133">
    <cfRule type="expression" priority="1934" dxfId="3">
      <formula>AND(IF(OR($Q133=1,$Q133=2),1,0),IF($X133&lt;=20,1,0))</formula>
    </cfRule>
    <cfRule type="expression" priority="1935" dxfId="2">
      <formula>AND(IF($Q133=2,1,0),IF($X133&lt;30,1,0))</formula>
    </cfRule>
    <cfRule type="expression" priority="1936" dxfId="1">
      <formula>AND(IF($Q133=3,1,0),IF($X133&lt;30,1,0))</formula>
    </cfRule>
    <cfRule type="expression" priority="1937" dxfId="0">
      <formula>AND(IF($Q133=3,1,IF($Q133=4,1,0)),IF($F133&lt;=85,1,0))</formula>
    </cfRule>
  </conditionalFormatting>
  <conditionalFormatting sqref="AI133">
    <cfRule type="expression" priority="1930" dxfId="3">
      <formula>AND(IF(OR($Q133=1,$Q133=2),1,0),IF($X133&lt;=20,1,0))</formula>
    </cfRule>
    <cfRule type="expression" priority="1931" dxfId="2">
      <formula>AND(IF($Q133=2,1,0),IF($X133&lt;30,1,0))</formula>
    </cfRule>
    <cfRule type="expression" priority="1932" dxfId="1">
      <formula>AND(IF($Q133=3,1,0),IF($X133&lt;30,1,0))</formula>
    </cfRule>
    <cfRule type="expression" priority="1933" dxfId="0">
      <formula>AND(IF($Q133=3,1,IF($Q133=4,1,0)),IF($F133&lt;=85,1,0))</formula>
    </cfRule>
  </conditionalFormatting>
  <conditionalFormatting sqref="AV134">
    <cfRule type="expression" priority="1928" dxfId="17">
      <formula>AV134="X"</formula>
    </cfRule>
    <cfRule type="expression" priority="1929" dxfId="16">
      <formula>AV134="후보"</formula>
    </cfRule>
  </conditionalFormatting>
  <conditionalFormatting sqref="AC134">
    <cfRule type="cellIs" priority="1925" operator="greaterThan" dxfId="13">
      <formula>0.9</formula>
    </cfRule>
    <cfRule type="cellIs" priority="1926" operator="greaterThan" dxfId="12">
      <formula>0.85</formula>
    </cfRule>
  </conditionalFormatting>
  <conditionalFormatting sqref="N134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E134">
    <cfRule type="expression" priority="1919" dxfId="3">
      <formula>AND(IF(OR($Q134=1,$Q134=2),1,0),IF($X134&lt;=20,1,0))</formula>
    </cfRule>
    <cfRule type="expression" priority="1920" dxfId="2">
      <formula>AND(IF($Q134=2,1,0),IF($X134&lt;30,1,0))</formula>
    </cfRule>
    <cfRule type="expression" priority="1921" dxfId="1">
      <formula>AND(IF($Q134=3,1,0),IF($X134&lt;30,1,0))</formula>
    </cfRule>
    <cfRule type="expression" priority="1922" dxfId="0">
      <formula>AND(IF($Q134=3,1,IF($Q134=4,1,0)),IF($F134&lt;=85,1,0))</formula>
    </cfRule>
  </conditionalFormatting>
  <conditionalFormatting sqref="X134">
    <cfRule type="expression" priority="1915" dxfId="3">
      <formula>AND(IF(OR($Q134=1,$Q134=2),1,0),IF($X134&lt;=20,1,0))</formula>
    </cfRule>
    <cfRule type="expression" priority="1916" dxfId="2">
      <formula>AND(IF($Q134=2,1,0),IF($X134&lt;30,1,0))</formula>
    </cfRule>
    <cfRule type="expression" priority="1917" dxfId="1">
      <formula>AND(IF($Q134=3,1,0),IF($X134&lt;30,1,0))</formula>
    </cfRule>
    <cfRule type="expression" priority="1918" dxfId="0">
      <formula>AND(IF($Q134=3,1,IF($Q134=4,1,0)),IF($F134&lt;=85,1,0))</formula>
    </cfRule>
  </conditionalFormatting>
  <conditionalFormatting sqref="AI134">
    <cfRule type="expression" priority="1911" dxfId="3">
      <formula>AND(IF(OR($Q134=1,$Q134=2),1,0),IF($X134&lt;=20,1,0))</formula>
    </cfRule>
    <cfRule type="expression" priority="1912" dxfId="2">
      <formula>AND(IF($Q134=2,1,0),IF($X134&lt;30,1,0))</formula>
    </cfRule>
    <cfRule type="expression" priority="1913" dxfId="1">
      <formula>AND(IF($Q134=3,1,0),IF($X134&lt;30,1,0))</formula>
    </cfRule>
    <cfRule type="expression" priority="1914" dxfId="0">
      <formula>AND(IF($Q134=3,1,IF($Q134=4,1,0)),IF($F134&lt;=85,1,0))</formula>
    </cfRule>
  </conditionalFormatting>
  <conditionalFormatting sqref="AV135">
    <cfRule type="expression" priority="1909" dxfId="17">
      <formula>AV135="X"</formula>
    </cfRule>
    <cfRule type="expression" priority="1910" dxfId="16">
      <formula>AV135="후보"</formula>
    </cfRule>
  </conditionalFormatting>
  <conditionalFormatting sqref="AC135">
    <cfRule type="cellIs" priority="1906" operator="greaterThan" dxfId="13">
      <formula>0.9</formula>
    </cfRule>
    <cfRule type="cellIs" priority="1907" operator="greaterThan" dxfId="12">
      <formula>0.85</formula>
    </cfRule>
  </conditionalFormatting>
  <conditionalFormatting sqref="N135">
    <cfRule type="cellIs" priority="1904" operator="greaterThan" dxfId="13">
      <formula>0.9</formula>
    </cfRule>
    <cfRule type="cellIs" priority="1905" operator="greaterThan" dxfId="12">
      <formula>0.85</formula>
    </cfRule>
  </conditionalFormatting>
  <conditionalFormatting sqref="E135">
    <cfRule type="expression" priority="1900" dxfId="3">
      <formula>AND(IF(OR($Q135=1,$Q135=2),1,0),IF($X135&lt;=20,1,0))</formula>
    </cfRule>
    <cfRule type="expression" priority="1901" dxfId="2">
      <formula>AND(IF($Q135=2,1,0),IF($X135&lt;30,1,0))</formula>
    </cfRule>
    <cfRule type="expression" priority="1902" dxfId="1">
      <formula>AND(IF($Q135=3,1,0),IF($X135&lt;30,1,0))</formula>
    </cfRule>
    <cfRule type="expression" priority="1903" dxfId="0">
      <formula>AND(IF($Q135=3,1,IF($Q135=4,1,0)),IF($F135&lt;=85,1,0))</formula>
    </cfRule>
  </conditionalFormatting>
  <conditionalFormatting sqref="X135">
    <cfRule type="expression" priority="1896" dxfId="3">
      <formula>AND(IF(OR($Q135=1,$Q135=2),1,0),IF($X135&lt;=20,1,0))</formula>
    </cfRule>
    <cfRule type="expression" priority="1897" dxfId="2">
      <formula>AND(IF($Q135=2,1,0),IF($X135&lt;30,1,0))</formula>
    </cfRule>
    <cfRule type="expression" priority="1898" dxfId="1">
      <formula>AND(IF($Q135=3,1,0),IF($X135&lt;30,1,0))</formula>
    </cfRule>
    <cfRule type="expression" priority="1899" dxfId="0">
      <formula>AND(IF($Q135=3,1,IF($Q135=4,1,0)),IF($F135&lt;=85,1,0))</formula>
    </cfRule>
  </conditionalFormatting>
  <conditionalFormatting sqref="AI135">
    <cfRule type="expression" priority="1892" dxfId="3">
      <formula>AND(IF(OR($Q135=1,$Q135=2),1,0),IF($X135&lt;=20,1,0))</formula>
    </cfRule>
    <cfRule type="expression" priority="1893" dxfId="2">
      <formula>AND(IF($Q135=2,1,0),IF($X135&lt;30,1,0))</formula>
    </cfRule>
    <cfRule type="expression" priority="1894" dxfId="1">
      <formula>AND(IF($Q135=3,1,0),IF($X135&lt;30,1,0))</formula>
    </cfRule>
    <cfRule type="expression" priority="1895" dxfId="0">
      <formula>AND(IF($Q135=3,1,IF($Q135=4,1,0)),IF($F135&lt;=85,1,0))</formula>
    </cfRule>
  </conditionalFormatting>
  <conditionalFormatting sqref="AV136">
    <cfRule type="expression" priority="1890" dxfId="17">
      <formula>AV136="X"</formula>
    </cfRule>
    <cfRule type="expression" priority="1891" dxfId="16">
      <formula>AV136="후보"</formula>
    </cfRule>
  </conditionalFormatting>
  <conditionalFormatting sqref="AC136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136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136">
    <cfRule type="expression" priority="1881" dxfId="3">
      <formula>AND(IF(OR($Q136=1,$Q136=2),1,0),IF($X136&lt;=20,1,0))</formula>
    </cfRule>
    <cfRule type="expression" priority="1882" dxfId="2">
      <formula>AND(IF($Q136=2,1,0),IF($X136&lt;30,1,0))</formula>
    </cfRule>
    <cfRule type="expression" priority="1883" dxfId="1">
      <formula>AND(IF($Q136=3,1,0),IF($X136&lt;30,1,0))</formula>
    </cfRule>
    <cfRule type="expression" priority="1884" dxfId="0">
      <formula>AND(IF($Q136=3,1,IF($Q136=4,1,0)),IF($F136&lt;=85,1,0))</formula>
    </cfRule>
  </conditionalFormatting>
  <conditionalFormatting sqref="X136">
    <cfRule type="expression" priority="1877" dxfId="3">
      <formula>AND(IF(OR($Q136=1,$Q136=2),1,0),IF($X136&lt;=20,1,0))</formula>
    </cfRule>
    <cfRule type="expression" priority="1878" dxfId="2">
      <formula>AND(IF($Q136=2,1,0),IF($X136&lt;30,1,0))</formula>
    </cfRule>
    <cfRule type="expression" priority="1879" dxfId="1">
      <formula>AND(IF($Q136=3,1,0),IF($X136&lt;30,1,0))</formula>
    </cfRule>
    <cfRule type="expression" priority="1880" dxfId="0">
      <formula>AND(IF($Q136=3,1,IF($Q136=4,1,0)),IF($F136&lt;=85,1,0))</formula>
    </cfRule>
  </conditionalFormatting>
  <conditionalFormatting sqref="AI136">
    <cfRule type="expression" priority="1873" dxfId="3">
      <formula>AND(IF(OR($Q136=1,$Q136=2),1,0),IF($X136&lt;=20,1,0))</formula>
    </cfRule>
    <cfRule type="expression" priority="1874" dxfId="2">
      <formula>AND(IF($Q136=2,1,0),IF($X136&lt;30,1,0))</formula>
    </cfRule>
    <cfRule type="expression" priority="1875" dxfId="1">
      <formula>AND(IF($Q136=3,1,0),IF($X136&lt;30,1,0))</formula>
    </cfRule>
    <cfRule type="expression" priority="1876" dxfId="0">
      <formula>AND(IF($Q136=3,1,IF($Q136=4,1,0)),IF($F136&lt;=85,1,0))</formula>
    </cfRule>
  </conditionalFormatting>
  <conditionalFormatting sqref="AV137">
    <cfRule type="expression" priority="1871" dxfId="17">
      <formula>AV137="X"</formula>
    </cfRule>
    <cfRule type="expression" priority="1872" dxfId="16">
      <formula>AV137="후보"</formula>
    </cfRule>
  </conditionalFormatting>
  <conditionalFormatting sqref="AC137">
    <cfRule type="cellIs" priority="1868" operator="greaterThan" dxfId="13">
      <formula>0.9</formula>
    </cfRule>
    <cfRule type="cellIs" priority="1869" operator="greaterThan" dxfId="12">
      <formula>0.85</formula>
    </cfRule>
  </conditionalFormatting>
  <conditionalFormatting sqref="N137">
    <cfRule type="cellIs" priority="1866" operator="greaterThan" dxfId="13">
      <formula>0.9</formula>
    </cfRule>
    <cfRule type="cellIs" priority="1867" operator="greaterThan" dxfId="12">
      <formula>0.85</formula>
    </cfRule>
  </conditionalFormatting>
  <conditionalFormatting sqref="E137">
    <cfRule type="expression" priority="1862" dxfId="3">
      <formula>AND(IF(OR($Q137=1,$Q137=2),1,0),IF($X137&lt;=20,1,0))</formula>
    </cfRule>
    <cfRule type="expression" priority="1863" dxfId="2">
      <formula>AND(IF($Q137=2,1,0),IF($X137&lt;30,1,0))</formula>
    </cfRule>
    <cfRule type="expression" priority="1864" dxfId="1">
      <formula>AND(IF($Q137=3,1,0),IF($X137&lt;30,1,0))</formula>
    </cfRule>
    <cfRule type="expression" priority="1865" dxfId="0">
      <formula>AND(IF($Q137=3,1,IF($Q137=4,1,0)),IF($F137&lt;=85,1,0))</formula>
    </cfRule>
  </conditionalFormatting>
  <conditionalFormatting sqref="X137">
    <cfRule type="expression" priority="1858" dxfId="3">
      <formula>AND(IF(OR($Q137=1,$Q137=2),1,0),IF($X137&lt;=20,1,0))</formula>
    </cfRule>
    <cfRule type="expression" priority="1859" dxfId="2">
      <formula>AND(IF($Q137=2,1,0),IF($X137&lt;30,1,0))</formula>
    </cfRule>
    <cfRule type="expression" priority="1860" dxfId="1">
      <formula>AND(IF($Q137=3,1,0),IF($X137&lt;30,1,0))</formula>
    </cfRule>
    <cfRule type="expression" priority="1861" dxfId="0">
      <formula>AND(IF($Q137=3,1,IF($Q137=4,1,0)),IF($F137&lt;=85,1,0))</formula>
    </cfRule>
  </conditionalFormatting>
  <conditionalFormatting sqref="AI137">
    <cfRule type="expression" priority="1854" dxfId="3">
      <formula>AND(IF(OR($Q137=1,$Q137=2),1,0),IF($X137&lt;=20,1,0))</formula>
    </cfRule>
    <cfRule type="expression" priority="1855" dxfId="2">
      <formula>AND(IF($Q137=2,1,0),IF($X137&lt;30,1,0))</formula>
    </cfRule>
    <cfRule type="expression" priority="1856" dxfId="1">
      <formula>AND(IF($Q137=3,1,0),IF($X137&lt;30,1,0))</formula>
    </cfRule>
    <cfRule type="expression" priority="1857" dxfId="0">
      <formula>AND(IF($Q137=3,1,IF($Q137=4,1,0)),IF($F137&lt;=85,1,0))</formula>
    </cfRule>
  </conditionalFormatting>
  <conditionalFormatting sqref="AV138">
    <cfRule type="expression" priority="1852" dxfId="17">
      <formula>AV138="X"</formula>
    </cfRule>
    <cfRule type="expression" priority="1853" dxfId="16">
      <formula>AV138="후보"</formula>
    </cfRule>
  </conditionalFormatting>
  <conditionalFormatting sqref="AC138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138">
    <cfRule type="cellIs" priority="1847" operator="greaterThan" dxfId="13">
      <formula>0.9</formula>
    </cfRule>
    <cfRule type="cellIs" priority="1848" operator="greaterThan" dxfId="12">
      <formula>0.85</formula>
    </cfRule>
  </conditionalFormatting>
  <conditionalFormatting sqref="E138">
    <cfRule type="expression" priority="1843" dxfId="3">
      <formula>AND(IF(OR($Q138=1,$Q138=2),1,0),IF($X138&lt;=20,1,0))</formula>
    </cfRule>
    <cfRule type="expression" priority="1844" dxfId="2">
      <formula>AND(IF($Q138=2,1,0),IF($X138&lt;30,1,0))</formula>
    </cfRule>
    <cfRule type="expression" priority="1845" dxfId="1">
      <formula>AND(IF($Q138=3,1,0),IF($X138&lt;30,1,0))</formula>
    </cfRule>
    <cfRule type="expression" priority="1846" dxfId="0">
      <formula>AND(IF($Q138=3,1,IF($Q138=4,1,0)),IF($F138&lt;=85,1,0))</formula>
    </cfRule>
  </conditionalFormatting>
  <conditionalFormatting sqref="X138">
    <cfRule type="expression" priority="1839" dxfId="3">
      <formula>AND(IF(OR($Q138=1,$Q138=2),1,0),IF($X138&lt;=20,1,0))</formula>
    </cfRule>
    <cfRule type="expression" priority="1840" dxfId="2">
      <formula>AND(IF($Q138=2,1,0),IF($X138&lt;30,1,0))</formula>
    </cfRule>
    <cfRule type="expression" priority="1841" dxfId="1">
      <formula>AND(IF($Q138=3,1,0),IF($X138&lt;30,1,0))</formula>
    </cfRule>
    <cfRule type="expression" priority="1842" dxfId="0">
      <formula>AND(IF($Q138=3,1,IF($Q138=4,1,0)),IF($F138&lt;=85,1,0))</formula>
    </cfRule>
  </conditionalFormatting>
  <conditionalFormatting sqref="AI138">
    <cfRule type="expression" priority="1835" dxfId="3">
      <formula>AND(IF(OR($Q138=1,$Q138=2),1,0),IF($X138&lt;=20,1,0))</formula>
    </cfRule>
    <cfRule type="expression" priority="1836" dxfId="2">
      <formula>AND(IF($Q138=2,1,0),IF($X138&lt;30,1,0))</formula>
    </cfRule>
    <cfRule type="expression" priority="1837" dxfId="1">
      <formula>AND(IF($Q138=3,1,0),IF($X138&lt;30,1,0))</formula>
    </cfRule>
    <cfRule type="expression" priority="1838" dxfId="0">
      <formula>AND(IF($Q138=3,1,IF($Q138=4,1,0)),IF($F138&lt;=85,1,0))</formula>
    </cfRule>
  </conditionalFormatting>
  <conditionalFormatting sqref="AV139">
    <cfRule type="expression" priority="1833" dxfId="17">
      <formula>AV139="X"</formula>
    </cfRule>
    <cfRule type="expression" priority="1834" dxfId="16">
      <formula>AV139="후보"</formula>
    </cfRule>
  </conditionalFormatting>
  <conditionalFormatting sqref="AC139 N139">
    <cfRule type="cellIs" priority="1830" operator="greaterThan" dxfId="13">
      <formula>0.9</formula>
    </cfRule>
    <cfRule type="cellIs" priority="1831" operator="greaterThan" dxfId="12">
      <formula>0.85</formula>
    </cfRule>
  </conditionalFormatting>
  <conditionalFormatting sqref="AV140">
    <cfRule type="expression" priority="1828" dxfId="17">
      <formula>AV140="X"</formula>
    </cfRule>
    <cfRule type="expression" priority="1829" dxfId="16">
      <formula>AV140="후보"</formula>
    </cfRule>
  </conditionalFormatting>
  <conditionalFormatting sqref="AC140">
    <cfRule type="cellIs" priority="1825" operator="greaterThan" dxfId="13">
      <formula>0.9</formula>
    </cfRule>
    <cfRule type="cellIs" priority="1826" operator="greaterThan" dxfId="12">
      <formula>0.85</formula>
    </cfRule>
  </conditionalFormatting>
  <conditionalFormatting sqref="N140">
    <cfRule type="cellIs" priority="1823" operator="greaterThan" dxfId="13">
      <formula>0.9</formula>
    </cfRule>
    <cfRule type="cellIs" priority="1824" operator="greaterThan" dxfId="12">
      <formula>0.85</formula>
    </cfRule>
  </conditionalFormatting>
  <conditionalFormatting sqref="E140">
    <cfRule type="expression" priority="1819" dxfId="3">
      <formula>AND(IF(OR($Q140=1,$Q140=2),1,0),IF($X140&lt;=20,1,0))</formula>
    </cfRule>
    <cfRule type="expression" priority="1820" dxfId="2">
      <formula>AND(IF($Q140=2,1,0),IF($X140&lt;30,1,0))</formula>
    </cfRule>
    <cfRule type="expression" priority="1821" dxfId="1">
      <formula>AND(IF($Q140=3,1,0),IF($X140&lt;30,1,0))</formula>
    </cfRule>
    <cfRule type="expression" priority="1822" dxfId="0">
      <formula>AND(IF($Q140=3,1,IF($Q140=4,1,0)),IF($F140&lt;=85,1,0))</formula>
    </cfRule>
  </conditionalFormatting>
  <conditionalFormatting sqref="X140">
    <cfRule type="expression" priority="1815" dxfId="3">
      <formula>AND(IF(OR($Q140=1,$Q140=2),1,0),IF($X140&lt;=20,1,0))</formula>
    </cfRule>
    <cfRule type="expression" priority="1816" dxfId="2">
      <formula>AND(IF($Q140=2,1,0),IF($X140&lt;30,1,0))</formula>
    </cfRule>
    <cfRule type="expression" priority="1817" dxfId="1">
      <formula>AND(IF($Q140=3,1,0),IF($X140&lt;30,1,0))</formula>
    </cfRule>
    <cfRule type="expression" priority="1818" dxfId="0">
      <formula>AND(IF($Q140=3,1,IF($Q140=4,1,0)),IF($F140&lt;=85,1,0))</formula>
    </cfRule>
  </conditionalFormatting>
  <conditionalFormatting sqref="AI140">
    <cfRule type="expression" priority="1811" dxfId="3">
      <formula>AND(IF(OR($Q140=1,$Q140=2),1,0),IF($X140&lt;=20,1,0))</formula>
    </cfRule>
    <cfRule type="expression" priority="1812" dxfId="2">
      <formula>AND(IF($Q140=2,1,0),IF($X140&lt;30,1,0))</formula>
    </cfRule>
    <cfRule type="expression" priority="1813" dxfId="1">
      <formula>AND(IF($Q140=3,1,0),IF($X140&lt;30,1,0))</formula>
    </cfRule>
    <cfRule type="expression" priority="1814" dxfId="0">
      <formula>AND(IF($Q140=3,1,IF($Q140=4,1,0)),IF($F140&lt;=85,1,0))</formula>
    </cfRule>
  </conditionalFormatting>
  <conditionalFormatting sqref="AV141">
    <cfRule type="expression" priority="1809" dxfId="17">
      <formula>AV141="X"</formula>
    </cfRule>
    <cfRule type="expression" priority="1810" dxfId="16">
      <formula>AV141="후보"</formula>
    </cfRule>
  </conditionalFormatting>
  <conditionalFormatting sqref="AC141">
    <cfRule type="cellIs" priority="1806" operator="greaterThan" dxfId="13">
      <formula>0.9</formula>
    </cfRule>
    <cfRule type="cellIs" priority="1807" operator="greaterThan" dxfId="12">
      <formula>0.85</formula>
    </cfRule>
  </conditionalFormatting>
  <conditionalFormatting sqref="N141">
    <cfRule type="cellIs" priority="1804" operator="greaterThan" dxfId="13">
      <formula>0.9</formula>
    </cfRule>
    <cfRule type="cellIs" priority="1805" operator="greaterThan" dxfId="12">
      <formula>0.85</formula>
    </cfRule>
  </conditionalFormatting>
  <conditionalFormatting sqref="E141">
    <cfRule type="expression" priority="1800" dxfId="3">
      <formula>AND(IF(OR($Q141=1,$Q141=2),1,0),IF($X141&lt;=20,1,0))</formula>
    </cfRule>
    <cfRule type="expression" priority="1801" dxfId="2">
      <formula>AND(IF($Q141=2,1,0),IF($X141&lt;30,1,0))</formula>
    </cfRule>
    <cfRule type="expression" priority="1802" dxfId="1">
      <formula>AND(IF($Q141=3,1,0),IF($X141&lt;30,1,0))</formula>
    </cfRule>
    <cfRule type="expression" priority="1803" dxfId="0">
      <formula>AND(IF($Q141=3,1,IF($Q141=4,1,0)),IF($F141&lt;=85,1,0))</formula>
    </cfRule>
  </conditionalFormatting>
  <conditionalFormatting sqref="X141">
    <cfRule type="expression" priority="1796" dxfId="3">
      <formula>AND(IF(OR($Q141=1,$Q141=2),1,0),IF($X141&lt;=20,1,0))</formula>
    </cfRule>
    <cfRule type="expression" priority="1797" dxfId="2">
      <formula>AND(IF($Q141=2,1,0),IF($X141&lt;30,1,0))</formula>
    </cfRule>
    <cfRule type="expression" priority="1798" dxfId="1">
      <formula>AND(IF($Q141=3,1,0),IF($X141&lt;30,1,0))</formula>
    </cfRule>
    <cfRule type="expression" priority="1799" dxfId="0">
      <formula>AND(IF($Q141=3,1,IF($Q141=4,1,0)),IF($F141&lt;=85,1,0))</formula>
    </cfRule>
  </conditionalFormatting>
  <conditionalFormatting sqref="AI141">
    <cfRule type="expression" priority="1792" dxfId="3">
      <formula>AND(IF(OR($Q141=1,$Q141=2),1,0),IF($X141&lt;=20,1,0))</formula>
    </cfRule>
    <cfRule type="expression" priority="1793" dxfId="2">
      <formula>AND(IF($Q141=2,1,0),IF($X141&lt;30,1,0))</formula>
    </cfRule>
    <cfRule type="expression" priority="1794" dxfId="1">
      <formula>AND(IF($Q141=3,1,0),IF($X141&lt;30,1,0))</formula>
    </cfRule>
    <cfRule type="expression" priority="1795" dxfId="0">
      <formula>AND(IF($Q141=3,1,IF($Q141=4,1,0)),IF($F141&lt;=85,1,0))</formula>
    </cfRule>
  </conditionalFormatting>
  <conditionalFormatting sqref="AV142">
    <cfRule type="expression" priority="1790" dxfId="17">
      <formula>AV142="X"</formula>
    </cfRule>
    <cfRule type="expression" priority="1791" dxfId="16">
      <formula>AV142="후보"</formula>
    </cfRule>
  </conditionalFormatting>
  <conditionalFormatting sqref="AC142">
    <cfRule type="cellIs" priority="1787" operator="greaterThan" dxfId="13">
      <formula>0.9</formula>
    </cfRule>
    <cfRule type="cellIs" priority="1788" operator="greaterThan" dxfId="12">
      <formula>0.85</formula>
    </cfRule>
  </conditionalFormatting>
  <conditionalFormatting sqref="N142">
    <cfRule type="cellIs" priority="1785" operator="greaterThan" dxfId="13">
      <formula>0.9</formula>
    </cfRule>
    <cfRule type="cellIs" priority="1786" operator="greaterThan" dxfId="12">
      <formula>0.85</formula>
    </cfRule>
  </conditionalFormatting>
  <conditionalFormatting sqref="E142">
    <cfRule type="expression" priority="1781" dxfId="3">
      <formula>AND(IF(OR($Q142=1,$Q142=2),1,0),IF($X142&lt;=20,1,0))</formula>
    </cfRule>
    <cfRule type="expression" priority="1782" dxfId="2">
      <formula>AND(IF($Q142=2,1,0),IF($X142&lt;30,1,0))</formula>
    </cfRule>
    <cfRule type="expression" priority="1783" dxfId="1">
      <formula>AND(IF($Q142=3,1,0),IF($X142&lt;30,1,0))</formula>
    </cfRule>
    <cfRule type="expression" priority="1784" dxfId="0">
      <formula>AND(IF($Q142=3,1,IF($Q142=4,1,0)),IF($F142&lt;=85,1,0))</formula>
    </cfRule>
  </conditionalFormatting>
  <conditionalFormatting sqref="X142">
    <cfRule type="expression" priority="1777" dxfId="3">
      <formula>AND(IF(OR($Q142=1,$Q142=2),1,0),IF($X142&lt;=20,1,0))</formula>
    </cfRule>
    <cfRule type="expression" priority="1778" dxfId="2">
      <formula>AND(IF($Q142=2,1,0),IF($X142&lt;30,1,0))</formula>
    </cfRule>
    <cfRule type="expression" priority="1779" dxfId="1">
      <formula>AND(IF($Q142=3,1,0),IF($X142&lt;30,1,0))</formula>
    </cfRule>
    <cfRule type="expression" priority="1780" dxfId="0">
      <formula>AND(IF($Q142=3,1,IF($Q142=4,1,0)),IF($F142&lt;=85,1,0))</formula>
    </cfRule>
  </conditionalFormatting>
  <conditionalFormatting sqref="AI142">
    <cfRule type="expression" priority="1773" dxfId="3">
      <formula>AND(IF(OR($Q142=1,$Q142=2),1,0),IF($X142&lt;=20,1,0))</formula>
    </cfRule>
    <cfRule type="expression" priority="1774" dxfId="2">
      <formula>AND(IF($Q142=2,1,0),IF($X142&lt;30,1,0))</formula>
    </cfRule>
    <cfRule type="expression" priority="1775" dxfId="1">
      <formula>AND(IF($Q142=3,1,0),IF($X142&lt;30,1,0))</formula>
    </cfRule>
    <cfRule type="expression" priority="1776" dxfId="0">
      <formula>AND(IF($Q142=3,1,IF($Q142=4,1,0)),IF($F142&lt;=85,1,0))</formula>
    </cfRule>
  </conditionalFormatting>
  <conditionalFormatting sqref="AV143">
    <cfRule type="expression" priority="1771" dxfId="17">
      <formula>AV143="X"</formula>
    </cfRule>
    <cfRule type="expression" priority="1772" dxfId="16">
      <formula>AV143="후보"</formula>
    </cfRule>
  </conditionalFormatting>
  <conditionalFormatting sqref="AC143 N143">
    <cfRule type="cellIs" priority="1768" operator="greaterThan" dxfId="13">
      <formula>0.9</formula>
    </cfRule>
    <cfRule type="cellIs" priority="1769" operator="greaterThan" dxfId="12">
      <formula>0.85</formula>
    </cfRule>
  </conditionalFormatting>
  <conditionalFormatting sqref="AV144">
    <cfRule type="expression" priority="1766" dxfId="17">
      <formula>AV144="X"</formula>
    </cfRule>
    <cfRule type="expression" priority="1767" dxfId="16">
      <formula>AV144="후보"</formula>
    </cfRule>
  </conditionalFormatting>
  <conditionalFormatting sqref="AC144">
    <cfRule type="cellIs" priority="1763" operator="greaterThan" dxfId="13">
      <formula>0.9</formula>
    </cfRule>
    <cfRule type="cellIs" priority="1764" operator="greaterThan" dxfId="12">
      <formula>0.85</formula>
    </cfRule>
  </conditionalFormatting>
  <conditionalFormatting sqref="N144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E144">
    <cfRule type="expression" priority="1757" dxfId="3">
      <formula>AND(IF(OR($Q144=1,$Q144=2),1,0),IF($X144&lt;=20,1,0))</formula>
    </cfRule>
    <cfRule type="expression" priority="1758" dxfId="2">
      <formula>AND(IF($Q144=2,1,0),IF($X144&lt;30,1,0))</formula>
    </cfRule>
    <cfRule type="expression" priority="1759" dxfId="1">
      <formula>AND(IF($Q144=3,1,0),IF($X144&lt;30,1,0))</formula>
    </cfRule>
    <cfRule type="expression" priority="1760" dxfId="0">
      <formula>AND(IF($Q144=3,1,IF($Q144=4,1,0)),IF($F144&lt;=85,1,0))</formula>
    </cfRule>
  </conditionalFormatting>
  <conditionalFormatting sqref="X144">
    <cfRule type="expression" priority="1753" dxfId="3">
      <formula>AND(IF(OR($Q144=1,$Q144=2),1,0),IF($X144&lt;=20,1,0))</formula>
    </cfRule>
    <cfRule type="expression" priority="1754" dxfId="2">
      <formula>AND(IF($Q144=2,1,0),IF($X144&lt;30,1,0))</formula>
    </cfRule>
    <cfRule type="expression" priority="1755" dxfId="1">
      <formula>AND(IF($Q144=3,1,0),IF($X144&lt;30,1,0))</formula>
    </cfRule>
    <cfRule type="expression" priority="1756" dxfId="0">
      <formula>AND(IF($Q144=3,1,IF($Q144=4,1,0)),IF($F144&lt;=85,1,0))</formula>
    </cfRule>
  </conditionalFormatting>
  <conditionalFormatting sqref="AI144">
    <cfRule type="expression" priority="1749" dxfId="3">
      <formula>AND(IF(OR($Q144=1,$Q144=2),1,0),IF($X144&lt;=20,1,0))</formula>
    </cfRule>
    <cfRule type="expression" priority="1750" dxfId="2">
      <formula>AND(IF($Q144=2,1,0),IF($X144&lt;30,1,0))</formula>
    </cfRule>
    <cfRule type="expression" priority="1751" dxfId="1">
      <formula>AND(IF($Q144=3,1,0),IF($X144&lt;30,1,0))</formula>
    </cfRule>
    <cfRule type="expression" priority="1752" dxfId="0">
      <formula>AND(IF($Q144=3,1,IF($Q144=4,1,0)),IF($F144&lt;=85,1,0))</formula>
    </cfRule>
  </conditionalFormatting>
  <conditionalFormatting sqref="AV145">
    <cfRule type="expression" priority="1747" dxfId="17">
      <formula>AV145="X"</formula>
    </cfRule>
    <cfRule type="expression" priority="1748" dxfId="16">
      <formula>AV145="후보"</formula>
    </cfRule>
  </conditionalFormatting>
  <conditionalFormatting sqref="AC145">
    <cfRule type="cellIs" priority="1744" operator="greaterThan" dxfId="13">
      <formula>0.9</formula>
    </cfRule>
    <cfRule type="cellIs" priority="1745" operator="greaterThan" dxfId="12">
      <formula>0.85</formula>
    </cfRule>
  </conditionalFormatting>
  <conditionalFormatting sqref="N145">
    <cfRule type="cellIs" priority="1742" operator="greaterThan" dxfId="13">
      <formula>0.9</formula>
    </cfRule>
    <cfRule type="cellIs" priority="1743" operator="greaterThan" dxfId="12">
      <formula>0.85</formula>
    </cfRule>
  </conditionalFormatting>
  <conditionalFormatting sqref="E145">
    <cfRule type="expression" priority="1738" dxfId="3">
      <formula>AND(IF(OR($Q145=1,$Q145=2),1,0),IF($X145&lt;=20,1,0))</formula>
    </cfRule>
    <cfRule type="expression" priority="1739" dxfId="2">
      <formula>AND(IF($Q145=2,1,0),IF($X145&lt;30,1,0))</formula>
    </cfRule>
    <cfRule type="expression" priority="1740" dxfId="1">
      <formula>AND(IF($Q145=3,1,0),IF($X145&lt;30,1,0))</formula>
    </cfRule>
    <cfRule type="expression" priority="1741" dxfId="0">
      <formula>AND(IF($Q145=3,1,IF($Q145=4,1,0)),IF($F145&lt;=85,1,0))</formula>
    </cfRule>
  </conditionalFormatting>
  <conditionalFormatting sqref="X145">
    <cfRule type="expression" priority="1734" dxfId="3">
      <formula>AND(IF(OR($Q145=1,$Q145=2),1,0),IF($X145&lt;=20,1,0))</formula>
    </cfRule>
    <cfRule type="expression" priority="1735" dxfId="2">
      <formula>AND(IF($Q145=2,1,0),IF($X145&lt;30,1,0))</formula>
    </cfRule>
    <cfRule type="expression" priority="1736" dxfId="1">
      <formula>AND(IF($Q145=3,1,0),IF($X145&lt;30,1,0))</formula>
    </cfRule>
    <cfRule type="expression" priority="1737" dxfId="0">
      <formula>AND(IF($Q145=3,1,IF($Q145=4,1,0)),IF($F145&lt;=85,1,0))</formula>
    </cfRule>
  </conditionalFormatting>
  <conditionalFormatting sqref="AI145">
    <cfRule type="expression" priority="1730" dxfId="3">
      <formula>AND(IF(OR($Q145=1,$Q145=2),1,0),IF($X145&lt;=20,1,0))</formula>
    </cfRule>
    <cfRule type="expression" priority="1731" dxfId="2">
      <formula>AND(IF($Q145=2,1,0),IF($X145&lt;30,1,0))</formula>
    </cfRule>
    <cfRule type="expression" priority="1732" dxfId="1">
      <formula>AND(IF($Q145=3,1,0),IF($X145&lt;30,1,0))</formula>
    </cfRule>
    <cfRule type="expression" priority="1733" dxfId="0">
      <formula>AND(IF($Q145=3,1,IF($Q145=4,1,0)),IF($F145&lt;=85,1,0))</formula>
    </cfRule>
  </conditionalFormatting>
  <conditionalFormatting sqref="AV146">
    <cfRule type="expression" priority="1728" dxfId="17">
      <formula>AV146="X"</formula>
    </cfRule>
    <cfRule type="expression" priority="1729" dxfId="16">
      <formula>AV146="후보"</formula>
    </cfRule>
  </conditionalFormatting>
  <conditionalFormatting sqref="AC146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146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146">
    <cfRule type="expression" priority="1719" dxfId="3">
      <formula>AND(IF(OR($Q146=1,$Q146=2),1,0),IF($X146&lt;=20,1,0))</formula>
    </cfRule>
    <cfRule type="expression" priority="1720" dxfId="2">
      <formula>AND(IF($Q146=2,1,0),IF($X146&lt;30,1,0))</formula>
    </cfRule>
    <cfRule type="expression" priority="1721" dxfId="1">
      <formula>AND(IF($Q146=3,1,0),IF($X146&lt;30,1,0))</formula>
    </cfRule>
    <cfRule type="expression" priority="1722" dxfId="0">
      <formula>AND(IF($Q146=3,1,IF($Q146=4,1,0)),IF($F146&lt;=85,1,0))</formula>
    </cfRule>
  </conditionalFormatting>
  <conditionalFormatting sqref="X146">
    <cfRule type="expression" priority="1715" dxfId="3">
      <formula>AND(IF(OR($Q146=1,$Q146=2),1,0),IF($X146&lt;=20,1,0))</formula>
    </cfRule>
    <cfRule type="expression" priority="1716" dxfId="2">
      <formula>AND(IF($Q146=2,1,0),IF($X146&lt;30,1,0))</formula>
    </cfRule>
    <cfRule type="expression" priority="1717" dxfId="1">
      <formula>AND(IF($Q146=3,1,0),IF($X146&lt;30,1,0))</formula>
    </cfRule>
    <cfRule type="expression" priority="1718" dxfId="0">
      <formula>AND(IF($Q146=3,1,IF($Q146=4,1,0)),IF($F146&lt;=85,1,0))</formula>
    </cfRule>
  </conditionalFormatting>
  <conditionalFormatting sqref="AI146">
    <cfRule type="expression" priority="1711" dxfId="3">
      <formula>AND(IF(OR($Q146=1,$Q146=2),1,0),IF($X146&lt;=20,1,0))</formula>
    </cfRule>
    <cfRule type="expression" priority="1712" dxfId="2">
      <formula>AND(IF($Q146=2,1,0),IF($X146&lt;30,1,0))</formula>
    </cfRule>
    <cfRule type="expression" priority="1713" dxfId="1">
      <formula>AND(IF($Q146=3,1,0),IF($X146&lt;30,1,0))</formula>
    </cfRule>
    <cfRule type="expression" priority="1714" dxfId="0">
      <formula>AND(IF($Q146=3,1,IF($Q146=4,1,0)),IF($F146&lt;=85,1,0))</formula>
    </cfRule>
  </conditionalFormatting>
  <conditionalFormatting sqref="AV147">
    <cfRule type="expression" priority="1709" dxfId="17">
      <formula>AV147="X"</formula>
    </cfRule>
    <cfRule type="expression" priority="1710" dxfId="16">
      <formula>AV147="후보"</formula>
    </cfRule>
  </conditionalFormatting>
  <conditionalFormatting sqref="AC147">
    <cfRule type="cellIs" priority="1706" operator="greaterThan" dxfId="13">
      <formula>0.9</formula>
    </cfRule>
    <cfRule type="cellIs" priority="1707" operator="greaterThan" dxfId="12">
      <formula>0.85</formula>
    </cfRule>
  </conditionalFormatting>
  <conditionalFormatting sqref="N147">
    <cfRule type="cellIs" priority="1704" operator="greaterThan" dxfId="13">
      <formula>0.9</formula>
    </cfRule>
    <cfRule type="cellIs" priority="1705" operator="greaterThan" dxfId="12">
      <formula>0.85</formula>
    </cfRule>
  </conditionalFormatting>
  <conditionalFormatting sqref="E147">
    <cfRule type="expression" priority="1700" dxfId="3">
      <formula>AND(IF(OR($Q147=1,$Q147=2),1,0),IF($X147&lt;=20,1,0))</formula>
    </cfRule>
    <cfRule type="expression" priority="1701" dxfId="2">
      <formula>AND(IF($Q147=2,1,0),IF($X147&lt;30,1,0))</formula>
    </cfRule>
    <cfRule type="expression" priority="1702" dxfId="1">
      <formula>AND(IF($Q147=3,1,0),IF($X147&lt;30,1,0))</formula>
    </cfRule>
    <cfRule type="expression" priority="1703" dxfId="0">
      <formula>AND(IF($Q147=3,1,IF($Q147=4,1,0)),IF($F147&lt;=85,1,0))</formula>
    </cfRule>
  </conditionalFormatting>
  <conditionalFormatting sqref="X147">
    <cfRule type="expression" priority="1696" dxfId="3">
      <formula>AND(IF(OR($Q147=1,$Q147=2),1,0),IF($X147&lt;=20,1,0))</formula>
    </cfRule>
    <cfRule type="expression" priority="1697" dxfId="2">
      <formula>AND(IF($Q147=2,1,0),IF($X147&lt;30,1,0))</formula>
    </cfRule>
    <cfRule type="expression" priority="1698" dxfId="1">
      <formula>AND(IF($Q147=3,1,0),IF($X147&lt;30,1,0))</formula>
    </cfRule>
    <cfRule type="expression" priority="1699" dxfId="0">
      <formula>AND(IF($Q147=3,1,IF($Q147=4,1,0)),IF($F147&lt;=85,1,0))</formula>
    </cfRule>
  </conditionalFormatting>
  <conditionalFormatting sqref="AI147">
    <cfRule type="expression" priority="1692" dxfId="3">
      <formula>AND(IF(OR($Q147=1,$Q147=2),1,0),IF($X147&lt;=20,1,0))</formula>
    </cfRule>
    <cfRule type="expression" priority="1693" dxfId="2">
      <formula>AND(IF($Q147=2,1,0),IF($X147&lt;30,1,0))</formula>
    </cfRule>
    <cfRule type="expression" priority="1694" dxfId="1">
      <formula>AND(IF($Q147=3,1,0),IF($X147&lt;30,1,0))</formula>
    </cfRule>
    <cfRule type="expression" priority="1695" dxfId="0">
      <formula>AND(IF($Q147=3,1,IF($Q147=4,1,0)),IF($F147&lt;=85,1,0))</formula>
    </cfRule>
  </conditionalFormatting>
  <conditionalFormatting sqref="AV148">
    <cfRule type="expression" priority="1690" dxfId="17">
      <formula>AV148="X"</formula>
    </cfRule>
    <cfRule type="expression" priority="1691" dxfId="16">
      <formula>AV148="후보"</formula>
    </cfRule>
  </conditionalFormatting>
  <conditionalFormatting sqref="AC148 N148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AV149">
    <cfRule type="expression" priority="1685" dxfId="17">
      <formula>AV149="X"</formula>
    </cfRule>
    <cfRule type="expression" priority="1686" dxfId="16">
      <formula>AV149="후보"</formula>
    </cfRule>
  </conditionalFormatting>
  <conditionalFormatting sqref="AC149">
    <cfRule type="cellIs" priority="1682" operator="greaterThan" dxfId="13">
      <formula>0.9</formula>
    </cfRule>
    <cfRule type="cellIs" priority="1683" operator="greaterThan" dxfId="12">
      <formula>0.85</formula>
    </cfRule>
  </conditionalFormatting>
  <conditionalFormatting sqref="N149">
    <cfRule type="cellIs" priority="1680" operator="greaterThan" dxfId="13">
      <formula>0.9</formula>
    </cfRule>
    <cfRule type="cellIs" priority="1681" operator="greaterThan" dxfId="12">
      <formula>0.85</formula>
    </cfRule>
  </conditionalFormatting>
  <conditionalFormatting sqref="E149">
    <cfRule type="expression" priority="1676" dxfId="3">
      <formula>AND(IF(OR($Q149=1,$Q149=2),1,0),IF($X149&lt;=20,1,0))</formula>
    </cfRule>
    <cfRule type="expression" priority="1677" dxfId="2">
      <formula>AND(IF($Q149=2,1,0),IF($X149&lt;30,1,0))</formula>
    </cfRule>
    <cfRule type="expression" priority="1678" dxfId="1">
      <formula>AND(IF($Q149=3,1,0),IF($X149&lt;30,1,0))</formula>
    </cfRule>
    <cfRule type="expression" priority="1679" dxfId="0">
      <formula>AND(IF($Q149=3,1,IF($Q149=4,1,0)),IF($F149&lt;=85,1,0))</formula>
    </cfRule>
  </conditionalFormatting>
  <conditionalFormatting sqref="X149">
    <cfRule type="expression" priority="1672" dxfId="3">
      <formula>AND(IF(OR($Q149=1,$Q149=2),1,0),IF($X149&lt;=20,1,0))</formula>
    </cfRule>
    <cfRule type="expression" priority="1673" dxfId="2">
      <formula>AND(IF($Q149=2,1,0),IF($X149&lt;30,1,0))</formula>
    </cfRule>
    <cfRule type="expression" priority="1674" dxfId="1">
      <formula>AND(IF($Q149=3,1,0),IF($X149&lt;30,1,0))</formula>
    </cfRule>
    <cfRule type="expression" priority="1675" dxfId="0">
      <formula>AND(IF($Q149=3,1,IF($Q149=4,1,0)),IF($F149&lt;=85,1,0))</formula>
    </cfRule>
  </conditionalFormatting>
  <conditionalFormatting sqref="AI149">
    <cfRule type="expression" priority="1668" dxfId="3">
      <formula>AND(IF(OR($Q149=1,$Q149=2),1,0),IF($X149&lt;=20,1,0))</formula>
    </cfRule>
    <cfRule type="expression" priority="1669" dxfId="2">
      <formula>AND(IF($Q149=2,1,0),IF($X149&lt;30,1,0))</formula>
    </cfRule>
    <cfRule type="expression" priority="1670" dxfId="1">
      <formula>AND(IF($Q149=3,1,0),IF($X149&lt;30,1,0))</formula>
    </cfRule>
    <cfRule type="expression" priority="1671" dxfId="0">
      <formula>AND(IF($Q149=3,1,IF($Q149=4,1,0)),IF($F149&lt;=85,1,0))</formula>
    </cfRule>
  </conditionalFormatting>
  <conditionalFormatting sqref="AV150">
    <cfRule type="expression" priority="1666" dxfId="17">
      <formula>AV150="X"</formula>
    </cfRule>
    <cfRule type="expression" priority="1667" dxfId="16">
      <formula>AV150="후보"</formula>
    </cfRule>
  </conditionalFormatting>
  <conditionalFormatting sqref="AC150">
    <cfRule type="cellIs" priority="1663" operator="greaterThan" dxfId="13">
      <formula>0.9</formula>
    </cfRule>
    <cfRule type="cellIs" priority="1664" operator="greaterThan" dxfId="12">
      <formula>0.85</formula>
    </cfRule>
  </conditionalFormatting>
  <conditionalFormatting sqref="N150">
    <cfRule type="cellIs" priority="1661" operator="greaterThan" dxfId="13">
      <formula>0.9</formula>
    </cfRule>
    <cfRule type="cellIs" priority="1662" operator="greaterThan" dxfId="12">
      <formula>0.85</formula>
    </cfRule>
  </conditionalFormatting>
  <conditionalFormatting sqref="E150">
    <cfRule type="expression" priority="1657" dxfId="3">
      <formula>AND(IF(OR($Q150=1,$Q150=2),1,0),IF($X150&lt;=20,1,0))</formula>
    </cfRule>
    <cfRule type="expression" priority="1658" dxfId="2">
      <formula>AND(IF($Q150=2,1,0),IF($X150&lt;30,1,0))</formula>
    </cfRule>
    <cfRule type="expression" priority="1659" dxfId="1">
      <formula>AND(IF($Q150=3,1,0),IF($X150&lt;30,1,0))</formula>
    </cfRule>
    <cfRule type="expression" priority="1660" dxfId="0">
      <formula>AND(IF($Q150=3,1,IF($Q150=4,1,0)),IF($F150&lt;=85,1,0))</formula>
    </cfRule>
  </conditionalFormatting>
  <conditionalFormatting sqref="X150">
    <cfRule type="expression" priority="1653" dxfId="3">
      <formula>AND(IF(OR($Q150=1,$Q150=2),1,0),IF($X150&lt;=20,1,0))</formula>
    </cfRule>
    <cfRule type="expression" priority="1654" dxfId="2">
      <formula>AND(IF($Q150=2,1,0),IF($X150&lt;30,1,0))</formula>
    </cfRule>
    <cfRule type="expression" priority="1655" dxfId="1">
      <formula>AND(IF($Q150=3,1,0),IF($X150&lt;30,1,0))</formula>
    </cfRule>
    <cfRule type="expression" priority="1656" dxfId="0">
      <formula>AND(IF($Q150=3,1,IF($Q150=4,1,0)),IF($F150&lt;=85,1,0))</formula>
    </cfRule>
  </conditionalFormatting>
  <conditionalFormatting sqref="AI150">
    <cfRule type="expression" priority="1649" dxfId="3">
      <formula>AND(IF(OR($Q150=1,$Q150=2),1,0),IF($X150&lt;=20,1,0))</formula>
    </cfRule>
    <cfRule type="expression" priority="1650" dxfId="2">
      <formula>AND(IF($Q150=2,1,0),IF($X150&lt;30,1,0))</formula>
    </cfRule>
    <cfRule type="expression" priority="1651" dxfId="1">
      <formula>AND(IF($Q150=3,1,0),IF($X150&lt;30,1,0))</formula>
    </cfRule>
    <cfRule type="expression" priority="1652" dxfId="0">
      <formula>AND(IF($Q150=3,1,IF($Q150=4,1,0)),IF($F150&lt;=85,1,0))</formula>
    </cfRule>
  </conditionalFormatting>
  <conditionalFormatting sqref="AV151">
    <cfRule type="expression" priority="1647" dxfId="17">
      <formula>AV151="X"</formula>
    </cfRule>
    <cfRule type="expression" priority="1648" dxfId="16">
      <formula>AV151="후보"</formula>
    </cfRule>
  </conditionalFormatting>
  <conditionalFormatting sqref="AC151">
    <cfRule type="cellIs" priority="1644" operator="greaterThan" dxfId="13">
      <formula>0.9</formula>
    </cfRule>
    <cfRule type="cellIs" priority="1645" operator="greaterThan" dxfId="12">
      <formula>0.85</formula>
    </cfRule>
  </conditionalFormatting>
  <conditionalFormatting sqref="N151">
    <cfRule type="cellIs" priority="1642" operator="greaterThan" dxfId="13">
      <formula>0.9</formula>
    </cfRule>
    <cfRule type="cellIs" priority="1643" operator="greaterThan" dxfId="12">
      <formula>0.85</formula>
    </cfRule>
  </conditionalFormatting>
  <conditionalFormatting sqref="E151">
    <cfRule type="expression" priority="1638" dxfId="3">
      <formula>AND(IF(OR($Q151=1,$Q151=2),1,0),IF($X151&lt;=20,1,0))</formula>
    </cfRule>
    <cfRule type="expression" priority="1639" dxfId="2">
      <formula>AND(IF($Q151=2,1,0),IF($X151&lt;30,1,0))</formula>
    </cfRule>
    <cfRule type="expression" priority="1640" dxfId="1">
      <formula>AND(IF($Q151=3,1,0),IF($X151&lt;30,1,0))</formula>
    </cfRule>
    <cfRule type="expression" priority="1641" dxfId="0">
      <formula>AND(IF($Q151=3,1,IF($Q151=4,1,0)),IF($F151&lt;=85,1,0))</formula>
    </cfRule>
  </conditionalFormatting>
  <conditionalFormatting sqref="X151">
    <cfRule type="expression" priority="1634" dxfId="3">
      <formula>AND(IF(OR($Q151=1,$Q151=2),1,0),IF($X151&lt;=20,1,0))</formula>
    </cfRule>
    <cfRule type="expression" priority="1635" dxfId="2">
      <formula>AND(IF($Q151=2,1,0),IF($X151&lt;30,1,0))</formula>
    </cfRule>
    <cfRule type="expression" priority="1636" dxfId="1">
      <formula>AND(IF($Q151=3,1,0),IF($X151&lt;30,1,0))</formula>
    </cfRule>
    <cfRule type="expression" priority="1637" dxfId="0">
      <formula>AND(IF($Q151=3,1,IF($Q151=4,1,0)),IF($F151&lt;=85,1,0))</formula>
    </cfRule>
  </conditionalFormatting>
  <conditionalFormatting sqref="AI151">
    <cfRule type="expression" priority="1630" dxfId="3">
      <formula>AND(IF(OR($Q151=1,$Q151=2),1,0),IF($X151&lt;=20,1,0))</formula>
    </cfRule>
    <cfRule type="expression" priority="1631" dxfId="2">
      <formula>AND(IF($Q151=2,1,0),IF($X151&lt;30,1,0))</formula>
    </cfRule>
    <cfRule type="expression" priority="1632" dxfId="1">
      <formula>AND(IF($Q151=3,1,0),IF($X151&lt;30,1,0))</formula>
    </cfRule>
    <cfRule type="expression" priority="1633" dxfId="0">
      <formula>AND(IF($Q151=3,1,IF($Q151=4,1,0)),IF($F151&lt;=85,1,0))</formula>
    </cfRule>
  </conditionalFormatting>
  <conditionalFormatting sqref="AV152">
    <cfRule type="expression" priority="1628" dxfId="17">
      <formula>AV152="X"</formula>
    </cfRule>
    <cfRule type="expression" priority="1629" dxfId="16">
      <formula>AV152="후보"</formula>
    </cfRule>
  </conditionalFormatting>
  <conditionalFormatting sqref="AC152 N152">
    <cfRule type="cellIs" priority="1625" operator="greaterThan" dxfId="13">
      <formula>0.9</formula>
    </cfRule>
    <cfRule type="cellIs" priority="1626" operator="greaterThan" dxfId="12">
      <formula>0.85</formula>
    </cfRule>
  </conditionalFormatting>
  <conditionalFormatting sqref="AV153">
    <cfRule type="expression" priority="1623" dxfId="17">
      <formula>AV153="X"</formula>
    </cfRule>
    <cfRule type="expression" priority="1624" dxfId="16">
      <formula>AV153="후보"</formula>
    </cfRule>
  </conditionalFormatting>
  <conditionalFormatting sqref="AC153">
    <cfRule type="cellIs" priority="1620" operator="greaterThan" dxfId="13">
      <formula>0.9</formula>
    </cfRule>
    <cfRule type="cellIs" priority="1621" operator="greaterThan" dxfId="12">
      <formula>0.85</formula>
    </cfRule>
  </conditionalFormatting>
  <conditionalFormatting sqref="N153">
    <cfRule type="cellIs" priority="1618" operator="greaterThan" dxfId="13">
      <formula>0.9</formula>
    </cfRule>
    <cfRule type="cellIs" priority="1619" operator="greaterThan" dxfId="12">
      <formula>0.85</formula>
    </cfRule>
  </conditionalFormatting>
  <conditionalFormatting sqref="E153">
    <cfRule type="expression" priority="1614" dxfId="3">
      <formula>AND(IF(OR($Q153=1,$Q153=2),1,0),IF($X153&lt;=20,1,0))</formula>
    </cfRule>
    <cfRule type="expression" priority="1615" dxfId="2">
      <formula>AND(IF($Q153=2,1,0),IF($X153&lt;30,1,0))</formula>
    </cfRule>
    <cfRule type="expression" priority="1616" dxfId="1">
      <formula>AND(IF($Q153=3,1,0),IF($X153&lt;30,1,0))</formula>
    </cfRule>
    <cfRule type="expression" priority="1617" dxfId="0">
      <formula>AND(IF($Q153=3,1,IF($Q153=4,1,0)),IF($F153&lt;=85,1,0))</formula>
    </cfRule>
  </conditionalFormatting>
  <conditionalFormatting sqref="X153">
    <cfRule type="expression" priority="1610" dxfId="3">
      <formula>AND(IF(OR($Q153=1,$Q153=2),1,0),IF($X153&lt;=20,1,0))</formula>
    </cfRule>
    <cfRule type="expression" priority="1611" dxfId="2">
      <formula>AND(IF($Q153=2,1,0),IF($X153&lt;30,1,0))</formula>
    </cfRule>
    <cfRule type="expression" priority="1612" dxfId="1">
      <formula>AND(IF($Q153=3,1,0),IF($X153&lt;30,1,0))</formula>
    </cfRule>
    <cfRule type="expression" priority="1613" dxfId="0">
      <formula>AND(IF($Q153=3,1,IF($Q153=4,1,0)),IF($F153&lt;=85,1,0))</formula>
    </cfRule>
  </conditionalFormatting>
  <conditionalFormatting sqref="AI153">
    <cfRule type="expression" priority="1606" dxfId="3">
      <formula>AND(IF(OR($Q153=1,$Q153=2),1,0),IF($X153&lt;=20,1,0))</formula>
    </cfRule>
    <cfRule type="expression" priority="1607" dxfId="2">
      <formula>AND(IF($Q153=2,1,0),IF($X153&lt;30,1,0))</formula>
    </cfRule>
    <cfRule type="expression" priority="1608" dxfId="1">
      <formula>AND(IF($Q153=3,1,0),IF($X153&lt;30,1,0))</formula>
    </cfRule>
    <cfRule type="expression" priority="1609" dxfId="0">
      <formula>AND(IF($Q153=3,1,IF($Q153=4,1,0)),IF($F153&lt;=85,1,0))</formula>
    </cfRule>
  </conditionalFormatting>
  <conditionalFormatting sqref="AV154">
    <cfRule type="expression" priority="1604" dxfId="17">
      <formula>AV154="X"</formula>
    </cfRule>
    <cfRule type="expression" priority="1605" dxfId="16">
      <formula>AV154="후보"</formula>
    </cfRule>
  </conditionalFormatting>
  <conditionalFormatting sqref="AC154">
    <cfRule type="cellIs" priority="1601" operator="greaterThan" dxfId="13">
      <formula>0.9</formula>
    </cfRule>
    <cfRule type="cellIs" priority="1602" operator="greaterThan" dxfId="12">
      <formula>0.85</formula>
    </cfRule>
  </conditionalFormatting>
  <conditionalFormatting sqref="N154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E154">
    <cfRule type="expression" priority="1595" dxfId="3">
      <formula>AND(IF(OR($Q154=1,$Q154=2),1,0),IF($X154&lt;=20,1,0))</formula>
    </cfRule>
    <cfRule type="expression" priority="1596" dxfId="2">
      <formula>AND(IF($Q154=2,1,0),IF($X154&lt;30,1,0))</formula>
    </cfRule>
    <cfRule type="expression" priority="1597" dxfId="1">
      <formula>AND(IF($Q154=3,1,0),IF($X154&lt;30,1,0))</formula>
    </cfRule>
    <cfRule type="expression" priority="1598" dxfId="0">
      <formula>AND(IF($Q154=3,1,IF($Q154=4,1,0)),IF($F154&lt;=85,1,0))</formula>
    </cfRule>
  </conditionalFormatting>
  <conditionalFormatting sqref="X154">
    <cfRule type="expression" priority="1591" dxfId="3">
      <formula>AND(IF(OR($Q154=1,$Q154=2),1,0),IF($X154&lt;=20,1,0))</formula>
    </cfRule>
    <cfRule type="expression" priority="1592" dxfId="2">
      <formula>AND(IF($Q154=2,1,0),IF($X154&lt;30,1,0))</formula>
    </cfRule>
    <cfRule type="expression" priority="1593" dxfId="1">
      <formula>AND(IF($Q154=3,1,0),IF($X154&lt;30,1,0))</formula>
    </cfRule>
    <cfRule type="expression" priority="1594" dxfId="0">
      <formula>AND(IF($Q154=3,1,IF($Q154=4,1,0)),IF($F154&lt;=85,1,0))</formula>
    </cfRule>
  </conditionalFormatting>
  <conditionalFormatting sqref="AI154">
    <cfRule type="expression" priority="1587" dxfId="3">
      <formula>AND(IF(OR($Q154=1,$Q154=2),1,0),IF($X154&lt;=20,1,0))</formula>
    </cfRule>
    <cfRule type="expression" priority="1588" dxfId="2">
      <formula>AND(IF($Q154=2,1,0),IF($X154&lt;30,1,0))</formula>
    </cfRule>
    <cfRule type="expression" priority="1589" dxfId="1">
      <formula>AND(IF($Q154=3,1,0),IF($X154&lt;30,1,0))</formula>
    </cfRule>
    <cfRule type="expression" priority="1590" dxfId="0">
      <formula>AND(IF($Q154=3,1,IF($Q154=4,1,0)),IF($F154&lt;=85,1,0))</formula>
    </cfRule>
  </conditionalFormatting>
  <conditionalFormatting sqref="AV155">
    <cfRule type="expression" priority="1585" dxfId="17">
      <formula>AV155="X"</formula>
    </cfRule>
    <cfRule type="expression" priority="1586" dxfId="16">
      <formula>AV155="후보"</formula>
    </cfRule>
  </conditionalFormatting>
  <conditionalFormatting sqref="AC155">
    <cfRule type="cellIs" priority="1582" operator="greaterThan" dxfId="13">
      <formula>0.9</formula>
    </cfRule>
    <cfRule type="cellIs" priority="1583" operator="greaterThan" dxfId="12">
      <formula>0.85</formula>
    </cfRule>
  </conditionalFormatting>
  <conditionalFormatting sqref="N155">
    <cfRule type="cellIs" priority="1580" operator="greaterThan" dxfId="13">
      <formula>0.9</formula>
    </cfRule>
    <cfRule type="cellIs" priority="1581" operator="greaterThan" dxfId="12">
      <formula>0.85</formula>
    </cfRule>
  </conditionalFormatting>
  <conditionalFormatting sqref="E155">
    <cfRule type="expression" priority="1576" dxfId="3">
      <formula>AND(IF(OR($Q155=1,$Q155=2),1,0),IF($X155&lt;=20,1,0))</formula>
    </cfRule>
    <cfRule type="expression" priority="1577" dxfId="2">
      <formula>AND(IF($Q155=2,1,0),IF($X155&lt;30,1,0))</formula>
    </cfRule>
    <cfRule type="expression" priority="1578" dxfId="1">
      <formula>AND(IF($Q155=3,1,0),IF($X155&lt;30,1,0))</formula>
    </cfRule>
    <cfRule type="expression" priority="1579" dxfId="0">
      <formula>AND(IF($Q155=3,1,IF($Q155=4,1,0)),IF($F155&lt;=85,1,0))</formula>
    </cfRule>
  </conditionalFormatting>
  <conditionalFormatting sqref="X155">
    <cfRule type="expression" priority="1572" dxfId="3">
      <formula>AND(IF(OR($Q155=1,$Q155=2),1,0),IF($X155&lt;=20,1,0))</formula>
    </cfRule>
    <cfRule type="expression" priority="1573" dxfId="2">
      <formula>AND(IF($Q155=2,1,0),IF($X155&lt;30,1,0))</formula>
    </cfRule>
    <cfRule type="expression" priority="1574" dxfId="1">
      <formula>AND(IF($Q155=3,1,0),IF($X155&lt;30,1,0))</formula>
    </cfRule>
    <cfRule type="expression" priority="1575" dxfId="0">
      <formula>AND(IF($Q155=3,1,IF($Q155=4,1,0)),IF($F155&lt;=85,1,0))</formula>
    </cfRule>
  </conditionalFormatting>
  <conditionalFormatting sqref="AI155">
    <cfRule type="expression" priority="1568" dxfId="3">
      <formula>AND(IF(OR($Q155=1,$Q155=2),1,0),IF($X155&lt;=20,1,0))</formula>
    </cfRule>
    <cfRule type="expression" priority="1569" dxfId="2">
      <formula>AND(IF($Q155=2,1,0),IF($X155&lt;30,1,0))</formula>
    </cfRule>
    <cfRule type="expression" priority="1570" dxfId="1">
      <formula>AND(IF($Q155=3,1,0),IF($X155&lt;30,1,0))</formula>
    </cfRule>
    <cfRule type="expression" priority="1571" dxfId="0">
      <formula>AND(IF($Q155=3,1,IF($Q155=4,1,0)),IF($F155&lt;=85,1,0))</formula>
    </cfRule>
  </conditionalFormatting>
  <conditionalFormatting sqref="AV156">
    <cfRule type="expression" priority="1566" dxfId="17">
      <formula>AV156="X"</formula>
    </cfRule>
    <cfRule type="expression" priority="1567" dxfId="16">
      <formula>AV156="후보"</formula>
    </cfRule>
  </conditionalFormatting>
  <conditionalFormatting sqref="AC156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156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156">
    <cfRule type="expression" priority="1557" dxfId="3">
      <formula>AND(IF(OR($Q156=1,$Q156=2),1,0),IF($X156&lt;=20,1,0))</formula>
    </cfRule>
    <cfRule type="expression" priority="1558" dxfId="2">
      <formula>AND(IF($Q156=2,1,0),IF($X156&lt;30,1,0))</formula>
    </cfRule>
    <cfRule type="expression" priority="1559" dxfId="1">
      <formula>AND(IF($Q156=3,1,0),IF($X156&lt;30,1,0))</formula>
    </cfRule>
    <cfRule type="expression" priority="1560" dxfId="0">
      <formula>AND(IF($Q156=3,1,IF($Q156=4,1,0)),IF($F156&lt;=85,1,0))</formula>
    </cfRule>
  </conditionalFormatting>
  <conditionalFormatting sqref="X156">
    <cfRule type="expression" priority="1553" dxfId="3">
      <formula>AND(IF(OR($Q156=1,$Q156=2),1,0),IF($X156&lt;=20,1,0))</formula>
    </cfRule>
    <cfRule type="expression" priority="1554" dxfId="2">
      <formula>AND(IF($Q156=2,1,0),IF($X156&lt;30,1,0))</formula>
    </cfRule>
    <cfRule type="expression" priority="1555" dxfId="1">
      <formula>AND(IF($Q156=3,1,0),IF($X156&lt;30,1,0))</formula>
    </cfRule>
    <cfRule type="expression" priority="1556" dxfId="0">
      <formula>AND(IF($Q156=3,1,IF($Q156=4,1,0)),IF($F156&lt;=85,1,0))</formula>
    </cfRule>
  </conditionalFormatting>
  <conditionalFormatting sqref="AI156">
    <cfRule type="expression" priority="1549" dxfId="3">
      <formula>AND(IF(OR($Q156=1,$Q156=2),1,0),IF($X156&lt;=20,1,0))</formula>
    </cfRule>
    <cfRule type="expression" priority="1550" dxfId="2">
      <formula>AND(IF($Q156=2,1,0),IF($X156&lt;30,1,0))</formula>
    </cfRule>
    <cfRule type="expression" priority="1551" dxfId="1">
      <formula>AND(IF($Q156=3,1,0),IF($X156&lt;30,1,0))</formula>
    </cfRule>
    <cfRule type="expression" priority="1552" dxfId="0">
      <formula>AND(IF($Q156=3,1,IF($Q156=4,1,0)),IF($F156&lt;=85,1,0))</formula>
    </cfRule>
  </conditionalFormatting>
  <conditionalFormatting sqref="AV157">
    <cfRule type="expression" priority="1547" dxfId="17">
      <formula>AV157="X"</formula>
    </cfRule>
    <cfRule type="expression" priority="1548" dxfId="16">
      <formula>AV157="후보"</formula>
    </cfRule>
  </conditionalFormatting>
  <conditionalFormatting sqref="AC157 N157">
    <cfRule type="cellIs" priority="1544" operator="greaterThan" dxfId="13">
      <formula>0.9</formula>
    </cfRule>
    <cfRule type="cellIs" priority="1545" operator="greaterThan" dxfId="12">
      <formula>0.85</formula>
    </cfRule>
  </conditionalFormatting>
  <conditionalFormatting sqref="AV158">
    <cfRule type="expression" priority="1542" dxfId="17">
      <formula>AV158="X"</formula>
    </cfRule>
    <cfRule type="expression" priority="1543" dxfId="16">
      <formula>AV158="후보"</formula>
    </cfRule>
  </conditionalFormatting>
  <conditionalFormatting sqref="AC158">
    <cfRule type="cellIs" priority="1539" operator="greaterThan" dxfId="13">
      <formula>0.9</formula>
    </cfRule>
    <cfRule type="cellIs" priority="1540" operator="greaterThan" dxfId="12">
      <formula>0.85</formula>
    </cfRule>
  </conditionalFormatting>
  <conditionalFormatting sqref="N158">
    <cfRule type="cellIs" priority="1537" operator="greaterThan" dxfId="13">
      <formula>0.9</formula>
    </cfRule>
    <cfRule type="cellIs" priority="1538" operator="greaterThan" dxfId="12">
      <formula>0.85</formula>
    </cfRule>
  </conditionalFormatting>
  <conditionalFormatting sqref="E158">
    <cfRule type="expression" priority="1533" dxfId="3">
      <formula>AND(IF(OR($Q158=1,$Q158=2),1,0),IF($X158&lt;=20,1,0))</formula>
    </cfRule>
    <cfRule type="expression" priority="1534" dxfId="2">
      <formula>AND(IF($Q158=2,1,0),IF($X158&lt;30,1,0))</formula>
    </cfRule>
    <cfRule type="expression" priority="1535" dxfId="1">
      <formula>AND(IF($Q158=3,1,0),IF($X158&lt;30,1,0))</formula>
    </cfRule>
    <cfRule type="expression" priority="1536" dxfId="0">
      <formula>AND(IF($Q158=3,1,IF($Q158=4,1,0)),IF($F158&lt;=85,1,0))</formula>
    </cfRule>
  </conditionalFormatting>
  <conditionalFormatting sqref="X158">
    <cfRule type="expression" priority="1529" dxfId="3">
      <formula>AND(IF(OR($Q158=1,$Q158=2),1,0),IF($X158&lt;=20,1,0))</formula>
    </cfRule>
    <cfRule type="expression" priority="1530" dxfId="2">
      <formula>AND(IF($Q158=2,1,0),IF($X158&lt;30,1,0))</formula>
    </cfRule>
    <cfRule type="expression" priority="1531" dxfId="1">
      <formula>AND(IF($Q158=3,1,0),IF($X158&lt;30,1,0))</formula>
    </cfRule>
    <cfRule type="expression" priority="1532" dxfId="0">
      <formula>AND(IF($Q158=3,1,IF($Q158=4,1,0)),IF($F158&lt;=85,1,0))</formula>
    </cfRule>
  </conditionalFormatting>
  <conditionalFormatting sqref="AI158">
    <cfRule type="expression" priority="1525" dxfId="3">
      <formula>AND(IF(OR($Q158=1,$Q158=2),1,0),IF($X158&lt;=20,1,0))</formula>
    </cfRule>
    <cfRule type="expression" priority="1526" dxfId="2">
      <formula>AND(IF($Q158=2,1,0),IF($X158&lt;30,1,0))</formula>
    </cfRule>
    <cfRule type="expression" priority="1527" dxfId="1">
      <formula>AND(IF($Q158=3,1,0),IF($X158&lt;30,1,0))</formula>
    </cfRule>
    <cfRule type="expression" priority="1528" dxfId="0">
      <formula>AND(IF($Q158=3,1,IF($Q158=4,1,0)),IF($F158&lt;=85,1,0))</formula>
    </cfRule>
  </conditionalFormatting>
  <conditionalFormatting sqref="AV159">
    <cfRule type="expression" priority="1523" dxfId="17">
      <formula>AV159="X"</formula>
    </cfRule>
    <cfRule type="expression" priority="1524" dxfId="16">
      <formula>AV159="후보"</formula>
    </cfRule>
  </conditionalFormatting>
  <conditionalFormatting sqref="AC159">
    <cfRule type="cellIs" priority="1520" operator="greaterThan" dxfId="13">
      <formula>0.9</formula>
    </cfRule>
    <cfRule type="cellIs" priority="1521" operator="greaterThan" dxfId="12">
      <formula>0.85</formula>
    </cfRule>
  </conditionalFormatting>
  <conditionalFormatting sqref="N159">
    <cfRule type="cellIs" priority="1518" operator="greaterThan" dxfId="13">
      <formula>0.9</formula>
    </cfRule>
    <cfRule type="cellIs" priority="1519" operator="greaterThan" dxfId="12">
      <formula>0.85</formula>
    </cfRule>
  </conditionalFormatting>
  <conditionalFormatting sqref="E159">
    <cfRule type="expression" priority="1514" dxfId="3">
      <formula>AND(IF(OR($Q159=1,$Q159=2),1,0),IF($X159&lt;=20,1,0))</formula>
    </cfRule>
    <cfRule type="expression" priority="1515" dxfId="2">
      <formula>AND(IF($Q159=2,1,0),IF($X159&lt;30,1,0))</formula>
    </cfRule>
    <cfRule type="expression" priority="1516" dxfId="1">
      <formula>AND(IF($Q159=3,1,0),IF($X159&lt;30,1,0))</formula>
    </cfRule>
    <cfRule type="expression" priority="1517" dxfId="0">
      <formula>AND(IF($Q159=3,1,IF($Q159=4,1,0)),IF($F159&lt;=85,1,0))</formula>
    </cfRule>
  </conditionalFormatting>
  <conditionalFormatting sqref="X159">
    <cfRule type="expression" priority="1510" dxfId="3">
      <formula>AND(IF(OR($Q159=1,$Q159=2),1,0),IF($X159&lt;=20,1,0))</formula>
    </cfRule>
    <cfRule type="expression" priority="1511" dxfId="2">
      <formula>AND(IF($Q159=2,1,0),IF($X159&lt;30,1,0))</formula>
    </cfRule>
    <cfRule type="expression" priority="1512" dxfId="1">
      <formula>AND(IF($Q159=3,1,0),IF($X159&lt;30,1,0))</formula>
    </cfRule>
    <cfRule type="expression" priority="1513" dxfId="0">
      <formula>AND(IF($Q159=3,1,IF($Q159=4,1,0)),IF($F159&lt;=85,1,0))</formula>
    </cfRule>
  </conditionalFormatting>
  <conditionalFormatting sqref="AI159">
    <cfRule type="expression" priority="1506" dxfId="3">
      <formula>AND(IF(OR($Q159=1,$Q159=2),1,0),IF($X159&lt;=20,1,0))</formula>
    </cfRule>
    <cfRule type="expression" priority="1507" dxfId="2">
      <formula>AND(IF($Q159=2,1,0),IF($X159&lt;30,1,0))</formula>
    </cfRule>
    <cfRule type="expression" priority="1508" dxfId="1">
      <formula>AND(IF($Q159=3,1,0),IF($X159&lt;30,1,0))</formula>
    </cfRule>
    <cfRule type="expression" priority="1509" dxfId="0">
      <formula>AND(IF($Q159=3,1,IF($Q159=4,1,0)),IF($F159&lt;=85,1,0))</formula>
    </cfRule>
  </conditionalFormatting>
  <conditionalFormatting sqref="AV160">
    <cfRule type="expression" priority="1504" dxfId="17">
      <formula>AV160="X"</formula>
    </cfRule>
    <cfRule type="expression" priority="1505" dxfId="16">
      <formula>AV160="후보"</formula>
    </cfRule>
  </conditionalFormatting>
  <conditionalFormatting sqref="AC160">
    <cfRule type="cellIs" priority="1501" operator="greaterThan" dxfId="13">
      <formula>0.9</formula>
    </cfRule>
    <cfRule type="cellIs" priority="1502" operator="greaterThan" dxfId="12">
      <formula>0.85</formula>
    </cfRule>
  </conditionalFormatting>
  <conditionalFormatting sqref="N160">
    <cfRule type="cellIs" priority="1499" operator="greaterThan" dxfId="13">
      <formula>0.9</formula>
    </cfRule>
    <cfRule type="cellIs" priority="1500" operator="greaterThan" dxfId="12">
      <formula>0.85</formula>
    </cfRule>
  </conditionalFormatting>
  <conditionalFormatting sqref="E160">
    <cfRule type="expression" priority="1495" dxfId="3">
      <formula>AND(IF(OR($Q160=1,$Q160=2),1,0),IF($X160&lt;=20,1,0))</formula>
    </cfRule>
    <cfRule type="expression" priority="1496" dxfId="2">
      <formula>AND(IF($Q160=2,1,0),IF($X160&lt;30,1,0))</formula>
    </cfRule>
    <cfRule type="expression" priority="1497" dxfId="1">
      <formula>AND(IF($Q160=3,1,0),IF($X160&lt;30,1,0))</formula>
    </cfRule>
    <cfRule type="expression" priority="1498" dxfId="0">
      <formula>AND(IF($Q160=3,1,IF($Q160=4,1,0)),IF($F160&lt;=85,1,0))</formula>
    </cfRule>
  </conditionalFormatting>
  <conditionalFormatting sqref="X160">
    <cfRule type="expression" priority="1491" dxfId="3">
      <formula>AND(IF(OR($Q160=1,$Q160=2),1,0),IF($X160&lt;=20,1,0))</formula>
    </cfRule>
    <cfRule type="expression" priority="1492" dxfId="2">
      <formula>AND(IF($Q160=2,1,0),IF($X160&lt;30,1,0))</formula>
    </cfRule>
    <cfRule type="expression" priority="1493" dxfId="1">
      <formula>AND(IF($Q160=3,1,0),IF($X160&lt;30,1,0))</formula>
    </cfRule>
    <cfRule type="expression" priority="1494" dxfId="0">
      <formula>AND(IF($Q160=3,1,IF($Q160=4,1,0)),IF($F160&lt;=85,1,0))</formula>
    </cfRule>
  </conditionalFormatting>
  <conditionalFormatting sqref="AI160">
    <cfRule type="expression" priority="1487" dxfId="3">
      <formula>AND(IF(OR($Q160=1,$Q160=2),1,0),IF($X160&lt;=20,1,0))</formula>
    </cfRule>
    <cfRule type="expression" priority="1488" dxfId="2">
      <formula>AND(IF($Q160=2,1,0),IF($X160&lt;30,1,0))</formula>
    </cfRule>
    <cfRule type="expression" priority="1489" dxfId="1">
      <formula>AND(IF($Q160=3,1,0),IF($X160&lt;30,1,0))</formula>
    </cfRule>
    <cfRule type="expression" priority="1490" dxfId="0">
      <formula>AND(IF($Q160=3,1,IF($Q160=4,1,0)),IF($F160&lt;=85,1,0))</formula>
    </cfRule>
  </conditionalFormatting>
  <conditionalFormatting sqref="AV161">
    <cfRule type="expression" priority="1485" dxfId="17">
      <formula>AV161="X"</formula>
    </cfRule>
    <cfRule type="expression" priority="1486" dxfId="16">
      <formula>AV161="후보"</formula>
    </cfRule>
  </conditionalFormatting>
  <conditionalFormatting sqref="AC161">
    <cfRule type="cellIs" priority="1482" operator="greaterThan" dxfId="13">
      <formula>0.9</formula>
    </cfRule>
    <cfRule type="cellIs" priority="1483" operator="greaterThan" dxfId="12">
      <formula>0.85</formula>
    </cfRule>
  </conditionalFormatting>
  <conditionalFormatting sqref="N161">
    <cfRule type="cellIs" priority="1480" operator="greaterThan" dxfId="13">
      <formula>0.9</formula>
    </cfRule>
    <cfRule type="cellIs" priority="1481" operator="greaterThan" dxfId="12">
      <formula>0.85</formula>
    </cfRule>
  </conditionalFormatting>
  <conditionalFormatting sqref="E161">
    <cfRule type="expression" priority="1476" dxfId="3">
      <formula>AND(IF(OR($Q161=1,$Q161=2),1,0),IF($X161&lt;=20,1,0))</formula>
    </cfRule>
    <cfRule type="expression" priority="1477" dxfId="2">
      <formula>AND(IF($Q161=2,1,0),IF($X161&lt;30,1,0))</formula>
    </cfRule>
    <cfRule type="expression" priority="1478" dxfId="1">
      <formula>AND(IF($Q161=3,1,0),IF($X161&lt;30,1,0))</formula>
    </cfRule>
    <cfRule type="expression" priority="1479" dxfId="0">
      <formula>AND(IF($Q161=3,1,IF($Q161=4,1,0)),IF($F161&lt;=85,1,0))</formula>
    </cfRule>
  </conditionalFormatting>
  <conditionalFormatting sqref="X161">
    <cfRule type="expression" priority="1472" dxfId="3">
      <formula>AND(IF(OR($Q161=1,$Q161=2),1,0),IF($X161&lt;=20,1,0))</formula>
    </cfRule>
    <cfRule type="expression" priority="1473" dxfId="2">
      <formula>AND(IF($Q161=2,1,0),IF($X161&lt;30,1,0))</formula>
    </cfRule>
    <cfRule type="expression" priority="1474" dxfId="1">
      <formula>AND(IF($Q161=3,1,0),IF($X161&lt;30,1,0))</formula>
    </cfRule>
    <cfRule type="expression" priority="1475" dxfId="0">
      <formula>AND(IF($Q161=3,1,IF($Q161=4,1,0)),IF($F161&lt;=85,1,0))</formula>
    </cfRule>
  </conditionalFormatting>
  <conditionalFormatting sqref="AI161">
    <cfRule type="expression" priority="1468" dxfId="3">
      <formula>AND(IF(OR($Q161=1,$Q161=2),1,0),IF($X161&lt;=20,1,0))</formula>
    </cfRule>
    <cfRule type="expression" priority="1469" dxfId="2">
      <formula>AND(IF($Q161=2,1,0),IF($X161&lt;30,1,0))</formula>
    </cfRule>
    <cfRule type="expression" priority="1470" dxfId="1">
      <formula>AND(IF($Q161=3,1,0),IF($X161&lt;30,1,0))</formula>
    </cfRule>
    <cfRule type="expression" priority="1471" dxfId="0">
      <formula>AND(IF($Q161=3,1,IF($Q161=4,1,0)),IF($F161&lt;=85,1,0))</formula>
    </cfRule>
  </conditionalFormatting>
  <conditionalFormatting sqref="AV162">
    <cfRule type="expression" priority="1466" dxfId="17">
      <formula>AV162="X"</formula>
    </cfRule>
    <cfRule type="expression" priority="1467" dxfId="16">
      <formula>AV162="후보"</formula>
    </cfRule>
  </conditionalFormatting>
  <conditionalFormatting sqref="AC162">
    <cfRule type="cellIs" priority="1463" operator="greaterThan" dxfId="13">
      <formula>0.9</formula>
    </cfRule>
    <cfRule type="cellIs" priority="1464" operator="greaterThan" dxfId="12">
      <formula>0.85</formula>
    </cfRule>
  </conditionalFormatting>
  <conditionalFormatting sqref="N162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E162">
    <cfRule type="expression" priority="1457" dxfId="3">
      <formula>AND(IF(OR($Q162=1,$Q162=2),1,0),IF($X162&lt;=20,1,0))</formula>
    </cfRule>
    <cfRule type="expression" priority="1458" dxfId="2">
      <formula>AND(IF($Q162=2,1,0),IF($X162&lt;30,1,0))</formula>
    </cfRule>
    <cfRule type="expression" priority="1459" dxfId="1">
      <formula>AND(IF($Q162=3,1,0),IF($X162&lt;30,1,0))</formula>
    </cfRule>
    <cfRule type="expression" priority="1460" dxfId="0">
      <formula>AND(IF($Q162=3,1,IF($Q162=4,1,0)),IF($F162&lt;=85,1,0))</formula>
    </cfRule>
  </conditionalFormatting>
  <conditionalFormatting sqref="X162">
    <cfRule type="expression" priority="1453" dxfId="3">
      <formula>AND(IF(OR($Q162=1,$Q162=2),1,0),IF($X162&lt;=20,1,0))</formula>
    </cfRule>
    <cfRule type="expression" priority="1454" dxfId="2">
      <formula>AND(IF($Q162=2,1,0),IF($X162&lt;30,1,0))</formula>
    </cfRule>
    <cfRule type="expression" priority="1455" dxfId="1">
      <formula>AND(IF($Q162=3,1,0),IF($X162&lt;30,1,0))</formula>
    </cfRule>
    <cfRule type="expression" priority="1456" dxfId="0">
      <formula>AND(IF($Q162=3,1,IF($Q162=4,1,0)),IF($F162&lt;=85,1,0))</formula>
    </cfRule>
  </conditionalFormatting>
  <conditionalFormatting sqref="AI162">
    <cfRule type="expression" priority="1449" dxfId="3">
      <formula>AND(IF(OR($Q162=1,$Q162=2),1,0),IF($X162&lt;=20,1,0))</formula>
    </cfRule>
    <cfRule type="expression" priority="1450" dxfId="2">
      <formula>AND(IF($Q162=2,1,0),IF($X162&lt;30,1,0))</formula>
    </cfRule>
    <cfRule type="expression" priority="1451" dxfId="1">
      <formula>AND(IF($Q162=3,1,0),IF($X162&lt;30,1,0))</formula>
    </cfRule>
    <cfRule type="expression" priority="1452" dxfId="0">
      <formula>AND(IF($Q162=3,1,IF($Q162=4,1,0)),IF($F162&lt;=85,1,0))</formula>
    </cfRule>
  </conditionalFormatting>
  <conditionalFormatting sqref="AV163">
    <cfRule type="expression" priority="1447" dxfId="17">
      <formula>AV163="X"</formula>
    </cfRule>
    <cfRule type="expression" priority="1448" dxfId="16">
      <formula>AV163="후보"</formula>
    </cfRule>
  </conditionalFormatting>
  <conditionalFormatting sqref="AC163">
    <cfRule type="cellIs" priority="1444" operator="greaterThan" dxfId="13">
      <formula>0.9</formula>
    </cfRule>
    <cfRule type="cellIs" priority="1445" operator="greaterThan" dxfId="12">
      <formula>0.85</formula>
    </cfRule>
  </conditionalFormatting>
  <conditionalFormatting sqref="N163">
    <cfRule type="cellIs" priority="1442" operator="greaterThan" dxfId="13">
      <formula>0.9</formula>
    </cfRule>
    <cfRule type="cellIs" priority="1443" operator="greaterThan" dxfId="12">
      <formula>0.85</formula>
    </cfRule>
  </conditionalFormatting>
  <conditionalFormatting sqref="E163">
    <cfRule type="expression" priority="1438" dxfId="3">
      <formula>AND(IF(OR($Q163=1,$Q163=2),1,0),IF($X163&lt;=20,1,0))</formula>
    </cfRule>
    <cfRule type="expression" priority="1439" dxfId="2">
      <formula>AND(IF($Q163=2,1,0),IF($X163&lt;30,1,0))</formula>
    </cfRule>
    <cfRule type="expression" priority="1440" dxfId="1">
      <formula>AND(IF($Q163=3,1,0),IF($X163&lt;30,1,0))</formula>
    </cfRule>
    <cfRule type="expression" priority="1441" dxfId="0">
      <formula>AND(IF($Q163=3,1,IF($Q163=4,1,0)),IF($F163&lt;=85,1,0))</formula>
    </cfRule>
  </conditionalFormatting>
  <conditionalFormatting sqref="X163">
    <cfRule type="expression" priority="1434" dxfId="3">
      <formula>AND(IF(OR($Q163=1,$Q163=2),1,0),IF($X163&lt;=20,1,0))</formula>
    </cfRule>
    <cfRule type="expression" priority="1435" dxfId="2">
      <formula>AND(IF($Q163=2,1,0),IF($X163&lt;30,1,0))</formula>
    </cfRule>
    <cfRule type="expression" priority="1436" dxfId="1">
      <formula>AND(IF($Q163=3,1,0),IF($X163&lt;30,1,0))</formula>
    </cfRule>
    <cfRule type="expression" priority="1437" dxfId="0">
      <formula>AND(IF($Q163=3,1,IF($Q163=4,1,0)),IF($F163&lt;=85,1,0))</formula>
    </cfRule>
  </conditionalFormatting>
  <conditionalFormatting sqref="AI163">
    <cfRule type="expression" priority="1430" dxfId="3">
      <formula>AND(IF(OR($Q163=1,$Q163=2),1,0),IF($X163&lt;=20,1,0))</formula>
    </cfRule>
    <cfRule type="expression" priority="1431" dxfId="2">
      <formula>AND(IF($Q163=2,1,0),IF($X163&lt;30,1,0))</formula>
    </cfRule>
    <cfRule type="expression" priority="1432" dxfId="1">
      <formula>AND(IF($Q163=3,1,0),IF($X163&lt;30,1,0))</formula>
    </cfRule>
    <cfRule type="expression" priority="1433" dxfId="0">
      <formula>AND(IF($Q163=3,1,IF($Q163=4,1,0)),IF($F163&lt;=85,1,0))</formula>
    </cfRule>
  </conditionalFormatting>
  <conditionalFormatting sqref="AV164">
    <cfRule type="expression" priority="1428" dxfId="17">
      <formula>AV164="X"</formula>
    </cfRule>
    <cfRule type="expression" priority="1429" dxfId="16">
      <formula>AV164="후보"</formula>
    </cfRule>
  </conditionalFormatting>
  <conditionalFormatting sqref="AC164">
    <cfRule type="cellIs" priority="1425" operator="greaterThan" dxfId="13">
      <formula>0.9</formula>
    </cfRule>
    <cfRule type="cellIs" priority="1426" operator="greaterThan" dxfId="12">
      <formula>0.85</formula>
    </cfRule>
  </conditionalFormatting>
  <conditionalFormatting sqref="N164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E164">
    <cfRule type="expression" priority="1419" dxfId="3">
      <formula>AND(IF(OR($Q164=1,$Q164=2),1,0),IF($X164&lt;=20,1,0))</formula>
    </cfRule>
    <cfRule type="expression" priority="1420" dxfId="2">
      <formula>AND(IF($Q164=2,1,0),IF($X164&lt;30,1,0))</formula>
    </cfRule>
    <cfRule type="expression" priority="1421" dxfId="1">
      <formula>AND(IF($Q164=3,1,0),IF($X164&lt;30,1,0))</formula>
    </cfRule>
    <cfRule type="expression" priority="1422" dxfId="0">
      <formula>AND(IF($Q164=3,1,IF($Q164=4,1,0)),IF($F164&lt;=85,1,0))</formula>
    </cfRule>
  </conditionalFormatting>
  <conditionalFormatting sqref="X164">
    <cfRule type="expression" priority="1415" dxfId="3">
      <formula>AND(IF(OR($Q164=1,$Q164=2),1,0),IF($X164&lt;=20,1,0))</formula>
    </cfRule>
    <cfRule type="expression" priority="1416" dxfId="2">
      <formula>AND(IF($Q164=2,1,0),IF($X164&lt;30,1,0))</formula>
    </cfRule>
    <cfRule type="expression" priority="1417" dxfId="1">
      <formula>AND(IF($Q164=3,1,0),IF($X164&lt;30,1,0))</formula>
    </cfRule>
    <cfRule type="expression" priority="1418" dxfId="0">
      <formula>AND(IF($Q164=3,1,IF($Q164=4,1,0)),IF($F164&lt;=85,1,0))</formula>
    </cfRule>
  </conditionalFormatting>
  <conditionalFormatting sqref="AI164">
    <cfRule type="expression" priority="1411" dxfId="3">
      <formula>AND(IF(OR($Q164=1,$Q164=2),1,0),IF($X164&lt;=20,1,0))</formula>
    </cfRule>
    <cfRule type="expression" priority="1412" dxfId="2">
      <formula>AND(IF($Q164=2,1,0),IF($X164&lt;30,1,0))</formula>
    </cfRule>
    <cfRule type="expression" priority="1413" dxfId="1">
      <formula>AND(IF($Q164=3,1,0),IF($X164&lt;30,1,0))</formula>
    </cfRule>
    <cfRule type="expression" priority="1414" dxfId="0">
      <formula>AND(IF($Q164=3,1,IF($Q164=4,1,0)),IF($F164&lt;=85,1,0))</formula>
    </cfRule>
  </conditionalFormatting>
  <conditionalFormatting sqref="AV165">
    <cfRule type="expression" priority="1409" dxfId="17">
      <formula>AV165="X"</formula>
    </cfRule>
    <cfRule type="expression" priority="1410" dxfId="16">
      <formula>AV165="후보"</formula>
    </cfRule>
  </conditionalFormatting>
  <conditionalFormatting sqref="AC165">
    <cfRule type="cellIs" priority="1406" operator="greaterThan" dxfId="13">
      <formula>0.9</formula>
    </cfRule>
    <cfRule type="cellIs" priority="1407" operator="greaterThan" dxfId="12">
      <formula>0.85</formula>
    </cfRule>
  </conditionalFormatting>
  <conditionalFormatting sqref="N165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E165">
    <cfRule type="expression" priority="1400" dxfId="3">
      <formula>AND(IF(OR($Q165=1,$Q165=2),1,0),IF($X165&lt;=20,1,0))</formula>
    </cfRule>
    <cfRule type="expression" priority="1401" dxfId="2">
      <formula>AND(IF($Q165=2,1,0),IF($X165&lt;30,1,0))</formula>
    </cfRule>
    <cfRule type="expression" priority="1402" dxfId="1">
      <formula>AND(IF($Q165=3,1,0),IF($X165&lt;30,1,0))</formula>
    </cfRule>
    <cfRule type="expression" priority="1403" dxfId="0">
      <formula>AND(IF($Q165=3,1,IF($Q165=4,1,0)),IF($F165&lt;=85,1,0))</formula>
    </cfRule>
  </conditionalFormatting>
  <conditionalFormatting sqref="X165">
    <cfRule type="expression" priority="1396" dxfId="3">
      <formula>AND(IF(OR($Q165=1,$Q165=2),1,0),IF($X165&lt;=20,1,0))</formula>
    </cfRule>
    <cfRule type="expression" priority="1397" dxfId="2">
      <formula>AND(IF($Q165=2,1,0),IF($X165&lt;30,1,0))</formula>
    </cfRule>
    <cfRule type="expression" priority="1398" dxfId="1">
      <formula>AND(IF($Q165=3,1,0),IF($X165&lt;30,1,0))</formula>
    </cfRule>
    <cfRule type="expression" priority="1399" dxfId="0">
      <formula>AND(IF($Q165=3,1,IF($Q165=4,1,0)),IF($F165&lt;=85,1,0))</formula>
    </cfRule>
  </conditionalFormatting>
  <conditionalFormatting sqref="AI165">
    <cfRule type="expression" priority="1392" dxfId="3">
      <formula>AND(IF(OR($Q165=1,$Q165=2),1,0),IF($X165&lt;=20,1,0))</formula>
    </cfRule>
    <cfRule type="expression" priority="1393" dxfId="2">
      <formula>AND(IF($Q165=2,1,0),IF($X165&lt;30,1,0))</formula>
    </cfRule>
    <cfRule type="expression" priority="1394" dxfId="1">
      <formula>AND(IF($Q165=3,1,0),IF($X165&lt;30,1,0))</formula>
    </cfRule>
    <cfRule type="expression" priority="1395" dxfId="0">
      <formula>AND(IF($Q165=3,1,IF($Q165=4,1,0)),IF($F165&lt;=85,1,0))</formula>
    </cfRule>
  </conditionalFormatting>
  <conditionalFormatting sqref="AV166">
    <cfRule type="expression" priority="1390" dxfId="17">
      <formula>AV166="X"</formula>
    </cfRule>
    <cfRule type="expression" priority="1391" dxfId="16">
      <formula>AV166="후보"</formula>
    </cfRule>
  </conditionalFormatting>
  <conditionalFormatting sqref="AC166 N166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AV167">
    <cfRule type="expression" priority="1385" dxfId="17">
      <formula>AV167="X"</formula>
    </cfRule>
    <cfRule type="expression" priority="1386" dxfId="16">
      <formula>AV167="후보"</formula>
    </cfRule>
  </conditionalFormatting>
  <conditionalFormatting sqref="AC167">
    <cfRule type="cellIs" priority="1382" operator="greaterThan" dxfId="13">
      <formula>0.9</formula>
    </cfRule>
    <cfRule type="cellIs" priority="1383" operator="greaterThan" dxfId="12">
      <formula>0.85</formula>
    </cfRule>
  </conditionalFormatting>
  <conditionalFormatting sqref="N167">
    <cfRule type="cellIs" priority="1380" operator="greaterThan" dxfId="13">
      <formula>0.9</formula>
    </cfRule>
    <cfRule type="cellIs" priority="1381" operator="greaterThan" dxfId="12">
      <formula>0.85</formula>
    </cfRule>
  </conditionalFormatting>
  <conditionalFormatting sqref="E167">
    <cfRule type="expression" priority="1376" dxfId="3">
      <formula>AND(IF(OR($Q167=1,$Q167=2),1,0),IF($X167&lt;=20,1,0))</formula>
    </cfRule>
    <cfRule type="expression" priority="1377" dxfId="2">
      <formula>AND(IF($Q167=2,1,0),IF($X167&lt;30,1,0))</formula>
    </cfRule>
    <cfRule type="expression" priority="1378" dxfId="1">
      <formula>AND(IF($Q167=3,1,0),IF($X167&lt;30,1,0))</formula>
    </cfRule>
    <cfRule type="expression" priority="1379" dxfId="0">
      <formula>AND(IF($Q167=3,1,IF($Q167=4,1,0)),IF($F167&lt;=85,1,0))</formula>
    </cfRule>
  </conditionalFormatting>
  <conditionalFormatting sqref="X167">
    <cfRule type="expression" priority="1372" dxfId="3">
      <formula>AND(IF(OR($Q167=1,$Q167=2),1,0),IF($X167&lt;=20,1,0))</formula>
    </cfRule>
    <cfRule type="expression" priority="1373" dxfId="2">
      <formula>AND(IF($Q167=2,1,0),IF($X167&lt;30,1,0))</formula>
    </cfRule>
    <cfRule type="expression" priority="1374" dxfId="1">
      <formula>AND(IF($Q167=3,1,0),IF($X167&lt;30,1,0))</formula>
    </cfRule>
    <cfRule type="expression" priority="1375" dxfId="0">
      <formula>AND(IF($Q167=3,1,IF($Q167=4,1,0)),IF($F167&lt;=85,1,0))</formula>
    </cfRule>
  </conditionalFormatting>
  <conditionalFormatting sqref="AI167">
    <cfRule type="expression" priority="1368" dxfId="3">
      <formula>AND(IF(OR($Q167=1,$Q167=2),1,0),IF($X167&lt;=20,1,0))</formula>
    </cfRule>
    <cfRule type="expression" priority="1369" dxfId="2">
      <formula>AND(IF($Q167=2,1,0),IF($X167&lt;30,1,0))</formula>
    </cfRule>
    <cfRule type="expression" priority="1370" dxfId="1">
      <formula>AND(IF($Q167=3,1,0),IF($X167&lt;30,1,0))</formula>
    </cfRule>
    <cfRule type="expression" priority="1371" dxfId="0">
      <formula>AND(IF($Q167=3,1,IF($Q167=4,1,0)),IF($F167&lt;=85,1,0))</formula>
    </cfRule>
  </conditionalFormatting>
  <conditionalFormatting sqref="AV168">
    <cfRule type="expression" priority="1366" dxfId="17">
      <formula>AV168="X"</formula>
    </cfRule>
    <cfRule type="expression" priority="1367" dxfId="16">
      <formula>AV168="후보"</formula>
    </cfRule>
  </conditionalFormatting>
  <conditionalFormatting sqref="AC168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168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E168">
    <cfRule type="expression" priority="1357" dxfId="3">
      <formula>AND(IF(OR($Q168=1,$Q168=2),1,0),IF($X168&lt;=20,1,0))</formula>
    </cfRule>
    <cfRule type="expression" priority="1358" dxfId="2">
      <formula>AND(IF($Q168=2,1,0),IF($X168&lt;30,1,0))</formula>
    </cfRule>
    <cfRule type="expression" priority="1359" dxfId="1">
      <formula>AND(IF($Q168=3,1,0),IF($X168&lt;30,1,0))</formula>
    </cfRule>
    <cfRule type="expression" priority="1360" dxfId="0">
      <formula>AND(IF($Q168=3,1,IF($Q168=4,1,0)),IF($F168&lt;=85,1,0))</formula>
    </cfRule>
  </conditionalFormatting>
  <conditionalFormatting sqref="X168">
    <cfRule type="expression" priority="1353" dxfId="3">
      <formula>AND(IF(OR($Q168=1,$Q168=2),1,0),IF($X168&lt;=20,1,0))</formula>
    </cfRule>
    <cfRule type="expression" priority="1354" dxfId="2">
      <formula>AND(IF($Q168=2,1,0),IF($X168&lt;30,1,0))</formula>
    </cfRule>
    <cfRule type="expression" priority="1355" dxfId="1">
      <formula>AND(IF($Q168=3,1,0),IF($X168&lt;30,1,0))</formula>
    </cfRule>
    <cfRule type="expression" priority="1356" dxfId="0">
      <formula>AND(IF($Q168=3,1,IF($Q168=4,1,0)),IF($F168&lt;=85,1,0))</formula>
    </cfRule>
  </conditionalFormatting>
  <conditionalFormatting sqref="AI168">
    <cfRule type="expression" priority="1349" dxfId="3">
      <formula>AND(IF(OR($Q168=1,$Q168=2),1,0),IF($X168&lt;=20,1,0))</formula>
    </cfRule>
    <cfRule type="expression" priority="1350" dxfId="2">
      <formula>AND(IF($Q168=2,1,0),IF($X168&lt;30,1,0))</formula>
    </cfRule>
    <cfRule type="expression" priority="1351" dxfId="1">
      <formula>AND(IF($Q168=3,1,0),IF($X168&lt;30,1,0))</formula>
    </cfRule>
    <cfRule type="expression" priority="1352" dxfId="0">
      <formula>AND(IF($Q168=3,1,IF($Q168=4,1,0)),IF($F168&lt;=85,1,0))</formula>
    </cfRule>
  </conditionalFormatting>
  <conditionalFormatting sqref="AV169">
    <cfRule type="expression" priority="1347" dxfId="17">
      <formula>AV169="X"</formula>
    </cfRule>
    <cfRule type="expression" priority="1348" dxfId="16">
      <formula>AV169="후보"</formula>
    </cfRule>
  </conditionalFormatting>
  <conditionalFormatting sqref="AC169">
    <cfRule type="cellIs" priority="1344" operator="greaterThan" dxfId="13">
      <formula>0.9</formula>
    </cfRule>
    <cfRule type="cellIs" priority="1345" operator="greaterThan" dxfId="12">
      <formula>0.85</formula>
    </cfRule>
  </conditionalFormatting>
  <conditionalFormatting sqref="N169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E169">
    <cfRule type="expression" priority="1338" dxfId="3">
      <formula>AND(IF(OR($Q169=1,$Q169=2),1,0),IF($X169&lt;=20,1,0))</formula>
    </cfRule>
    <cfRule type="expression" priority="1339" dxfId="2">
      <formula>AND(IF($Q169=2,1,0),IF($X169&lt;30,1,0))</formula>
    </cfRule>
    <cfRule type="expression" priority="1340" dxfId="1">
      <formula>AND(IF($Q169=3,1,0),IF($X169&lt;30,1,0))</formula>
    </cfRule>
    <cfRule type="expression" priority="1341" dxfId="0">
      <formula>AND(IF($Q169=3,1,IF($Q169=4,1,0)),IF($F169&lt;=85,1,0))</formula>
    </cfRule>
  </conditionalFormatting>
  <conditionalFormatting sqref="X169">
    <cfRule type="expression" priority="1334" dxfId="3">
      <formula>AND(IF(OR($Q169=1,$Q169=2),1,0),IF($X169&lt;=20,1,0))</formula>
    </cfRule>
    <cfRule type="expression" priority="1335" dxfId="2">
      <formula>AND(IF($Q169=2,1,0),IF($X169&lt;30,1,0))</formula>
    </cfRule>
    <cfRule type="expression" priority="1336" dxfId="1">
      <formula>AND(IF($Q169=3,1,0),IF($X169&lt;30,1,0))</formula>
    </cfRule>
    <cfRule type="expression" priority="1337" dxfId="0">
      <formula>AND(IF($Q169=3,1,IF($Q169=4,1,0)),IF($F169&lt;=85,1,0))</formula>
    </cfRule>
  </conditionalFormatting>
  <conditionalFormatting sqref="AI169">
    <cfRule type="expression" priority="1330" dxfId="3">
      <formula>AND(IF(OR($Q169=1,$Q169=2),1,0),IF($X169&lt;=20,1,0))</formula>
    </cfRule>
    <cfRule type="expression" priority="1331" dxfId="2">
      <formula>AND(IF($Q169=2,1,0),IF($X169&lt;30,1,0))</formula>
    </cfRule>
    <cfRule type="expression" priority="1332" dxfId="1">
      <formula>AND(IF($Q169=3,1,0),IF($X169&lt;30,1,0))</formula>
    </cfRule>
    <cfRule type="expression" priority="1333" dxfId="0">
      <formula>AND(IF($Q169=3,1,IF($Q169=4,1,0)),IF($F169&lt;=85,1,0))</formula>
    </cfRule>
  </conditionalFormatting>
  <conditionalFormatting sqref="AV170">
    <cfRule type="expression" priority="1328" dxfId="17">
      <formula>AV170="X"</formula>
    </cfRule>
    <cfRule type="expression" priority="1329" dxfId="16">
      <formula>AV170="후보"</formula>
    </cfRule>
  </conditionalFormatting>
  <conditionalFormatting sqref="AC170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N170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E170">
    <cfRule type="expression" priority="1319" dxfId="3">
      <formula>AND(IF(OR($Q170=1,$Q170=2),1,0),IF($X170&lt;=20,1,0))</formula>
    </cfRule>
    <cfRule type="expression" priority="1320" dxfId="2">
      <formula>AND(IF($Q170=2,1,0),IF($X170&lt;30,1,0))</formula>
    </cfRule>
    <cfRule type="expression" priority="1321" dxfId="1">
      <formula>AND(IF($Q170=3,1,0),IF($X170&lt;30,1,0))</formula>
    </cfRule>
    <cfRule type="expression" priority="1322" dxfId="0">
      <formula>AND(IF($Q170=3,1,IF($Q170=4,1,0)),IF($F170&lt;=85,1,0))</formula>
    </cfRule>
  </conditionalFormatting>
  <conditionalFormatting sqref="X170">
    <cfRule type="expression" priority="1315" dxfId="3">
      <formula>AND(IF(OR($Q170=1,$Q170=2),1,0),IF($X170&lt;=20,1,0))</formula>
    </cfRule>
    <cfRule type="expression" priority="1316" dxfId="2">
      <formula>AND(IF($Q170=2,1,0),IF($X170&lt;30,1,0))</formula>
    </cfRule>
    <cfRule type="expression" priority="1317" dxfId="1">
      <formula>AND(IF($Q170=3,1,0),IF($X170&lt;30,1,0))</formula>
    </cfRule>
    <cfRule type="expression" priority="1318" dxfId="0">
      <formula>AND(IF($Q170=3,1,IF($Q170=4,1,0)),IF($F170&lt;=85,1,0))</formula>
    </cfRule>
  </conditionalFormatting>
  <conditionalFormatting sqref="AI170">
    <cfRule type="expression" priority="1311" dxfId="3">
      <formula>AND(IF(OR($Q170=1,$Q170=2),1,0),IF($X170&lt;=20,1,0))</formula>
    </cfRule>
    <cfRule type="expression" priority="1312" dxfId="2">
      <formula>AND(IF($Q170=2,1,0),IF($X170&lt;30,1,0))</formula>
    </cfRule>
    <cfRule type="expression" priority="1313" dxfId="1">
      <formula>AND(IF($Q170=3,1,0),IF($X170&lt;30,1,0))</formula>
    </cfRule>
    <cfRule type="expression" priority="1314" dxfId="0">
      <formula>AND(IF($Q170=3,1,IF($Q170=4,1,0)),IF($F170&lt;=85,1,0))</formula>
    </cfRule>
  </conditionalFormatting>
  <conditionalFormatting sqref="AV171">
    <cfRule type="expression" priority="1309" dxfId="17">
      <formula>AV171="X"</formula>
    </cfRule>
    <cfRule type="expression" priority="1310" dxfId="16">
      <formula>AV171="후보"</formula>
    </cfRule>
  </conditionalFormatting>
  <conditionalFormatting sqref="AC171">
    <cfRule type="cellIs" priority="1306" operator="greaterThan" dxfId="13">
      <formula>0.9</formula>
    </cfRule>
    <cfRule type="cellIs" priority="1307" operator="greaterThan" dxfId="12">
      <formula>0.85</formula>
    </cfRule>
  </conditionalFormatting>
  <conditionalFormatting sqref="N171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E171">
    <cfRule type="expression" priority="1300" dxfId="3">
      <formula>AND(IF(OR($Q171=1,$Q171=2),1,0),IF($X171&lt;=20,1,0))</formula>
    </cfRule>
    <cfRule type="expression" priority="1301" dxfId="2">
      <formula>AND(IF($Q171=2,1,0),IF($X171&lt;30,1,0))</formula>
    </cfRule>
    <cfRule type="expression" priority="1302" dxfId="1">
      <formula>AND(IF($Q171=3,1,0),IF($X171&lt;30,1,0))</formula>
    </cfRule>
    <cfRule type="expression" priority="1303" dxfId="0">
      <formula>AND(IF($Q171=3,1,IF($Q171=4,1,0)),IF($F171&lt;=85,1,0))</formula>
    </cfRule>
  </conditionalFormatting>
  <conditionalFormatting sqref="X171">
    <cfRule type="expression" priority="1296" dxfId="3">
      <formula>AND(IF(OR($Q171=1,$Q171=2),1,0),IF($X171&lt;=20,1,0))</formula>
    </cfRule>
    <cfRule type="expression" priority="1297" dxfId="2">
      <formula>AND(IF($Q171=2,1,0),IF($X171&lt;30,1,0))</formula>
    </cfRule>
    <cfRule type="expression" priority="1298" dxfId="1">
      <formula>AND(IF($Q171=3,1,0),IF($X171&lt;30,1,0))</formula>
    </cfRule>
    <cfRule type="expression" priority="1299" dxfId="0">
      <formula>AND(IF($Q171=3,1,IF($Q171=4,1,0)),IF($F171&lt;=85,1,0))</formula>
    </cfRule>
  </conditionalFormatting>
  <conditionalFormatting sqref="AI171">
    <cfRule type="expression" priority="1292" dxfId="3">
      <formula>AND(IF(OR($Q171=1,$Q171=2),1,0),IF($X171&lt;=20,1,0))</formula>
    </cfRule>
    <cfRule type="expression" priority="1293" dxfId="2">
      <formula>AND(IF($Q171=2,1,0),IF($X171&lt;30,1,0))</formula>
    </cfRule>
    <cfRule type="expression" priority="1294" dxfId="1">
      <formula>AND(IF($Q171=3,1,0),IF($X171&lt;30,1,0))</formula>
    </cfRule>
    <cfRule type="expression" priority="1295" dxfId="0">
      <formula>AND(IF($Q171=3,1,IF($Q171=4,1,0)),IF($F171&lt;=85,1,0))</formula>
    </cfRule>
  </conditionalFormatting>
  <conditionalFormatting sqref="AV172">
    <cfRule type="expression" priority="1290" dxfId="17">
      <formula>AV172="X"</formula>
    </cfRule>
    <cfRule type="expression" priority="1291" dxfId="16">
      <formula>AV172="후보"</formula>
    </cfRule>
  </conditionalFormatting>
  <conditionalFormatting sqref="AC172 N172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AV173">
    <cfRule type="expression" priority="1285" dxfId="17">
      <formula>AV173="X"</formula>
    </cfRule>
    <cfRule type="expression" priority="1286" dxfId="16">
      <formula>AV173="후보"</formula>
    </cfRule>
  </conditionalFormatting>
  <conditionalFormatting sqref="AC173">
    <cfRule type="cellIs" priority="1282" operator="greaterThan" dxfId="13">
      <formula>0.9</formula>
    </cfRule>
    <cfRule type="cellIs" priority="1283" operator="greaterThan" dxfId="12">
      <formula>0.85</formula>
    </cfRule>
  </conditionalFormatting>
  <conditionalFormatting sqref="N173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E173">
    <cfRule type="expression" priority="1276" dxfId="3">
      <formula>AND(IF(OR($Q173=1,$Q173=2),1,0),IF($X173&lt;=20,1,0))</formula>
    </cfRule>
    <cfRule type="expression" priority="1277" dxfId="2">
      <formula>AND(IF($Q173=2,1,0),IF($X173&lt;30,1,0))</formula>
    </cfRule>
    <cfRule type="expression" priority="1278" dxfId="1">
      <formula>AND(IF($Q173=3,1,0),IF($X173&lt;30,1,0))</formula>
    </cfRule>
    <cfRule type="expression" priority="1279" dxfId="0">
      <formula>AND(IF($Q173=3,1,IF($Q173=4,1,0)),IF($F173&lt;=85,1,0))</formula>
    </cfRule>
  </conditionalFormatting>
  <conditionalFormatting sqref="X173">
    <cfRule type="expression" priority="1272" dxfId="3">
      <formula>AND(IF(OR($Q173=1,$Q173=2),1,0),IF($X173&lt;=20,1,0))</formula>
    </cfRule>
    <cfRule type="expression" priority="1273" dxfId="2">
      <formula>AND(IF($Q173=2,1,0),IF($X173&lt;30,1,0))</formula>
    </cfRule>
    <cfRule type="expression" priority="1274" dxfId="1">
      <formula>AND(IF($Q173=3,1,0),IF($X173&lt;30,1,0))</formula>
    </cfRule>
    <cfRule type="expression" priority="1275" dxfId="0">
      <formula>AND(IF($Q173=3,1,IF($Q173=4,1,0)),IF($F173&lt;=85,1,0))</formula>
    </cfRule>
  </conditionalFormatting>
  <conditionalFormatting sqref="AI173">
    <cfRule type="expression" priority="1268" dxfId="3">
      <formula>AND(IF(OR($Q173=1,$Q173=2),1,0),IF($X173&lt;=20,1,0))</formula>
    </cfRule>
    <cfRule type="expression" priority="1269" dxfId="2">
      <formula>AND(IF($Q173=2,1,0),IF($X173&lt;30,1,0))</formula>
    </cfRule>
    <cfRule type="expression" priority="1270" dxfId="1">
      <formula>AND(IF($Q173=3,1,0),IF($X173&lt;30,1,0))</formula>
    </cfRule>
    <cfRule type="expression" priority="1271" dxfId="0">
      <formula>AND(IF($Q173=3,1,IF($Q173=4,1,0)),IF($F173&lt;=85,1,0))</formula>
    </cfRule>
  </conditionalFormatting>
  <conditionalFormatting sqref="AV174">
    <cfRule type="expression" priority="1266" dxfId="17">
      <formula>AV174="X"</formula>
    </cfRule>
    <cfRule type="expression" priority="1267" dxfId="16">
      <formula>AV174="후보"</formula>
    </cfRule>
  </conditionalFormatting>
  <conditionalFormatting sqref="AC174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174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E174">
    <cfRule type="expression" priority="1257" dxfId="3">
      <formula>AND(IF(OR($Q174=1,$Q174=2),1,0),IF($X174&lt;=20,1,0))</formula>
    </cfRule>
    <cfRule type="expression" priority="1258" dxfId="2">
      <formula>AND(IF($Q174=2,1,0),IF($X174&lt;30,1,0))</formula>
    </cfRule>
    <cfRule type="expression" priority="1259" dxfId="1">
      <formula>AND(IF($Q174=3,1,0),IF($X174&lt;30,1,0))</formula>
    </cfRule>
    <cfRule type="expression" priority="1260" dxfId="0">
      <formula>AND(IF($Q174=3,1,IF($Q174=4,1,0)),IF($F174&lt;=85,1,0))</formula>
    </cfRule>
  </conditionalFormatting>
  <conditionalFormatting sqref="X174">
    <cfRule type="expression" priority="1253" dxfId="3">
      <formula>AND(IF(OR($Q174=1,$Q174=2),1,0),IF($X174&lt;=20,1,0))</formula>
    </cfRule>
    <cfRule type="expression" priority="1254" dxfId="2">
      <formula>AND(IF($Q174=2,1,0),IF($X174&lt;30,1,0))</formula>
    </cfRule>
    <cfRule type="expression" priority="1255" dxfId="1">
      <formula>AND(IF($Q174=3,1,0),IF($X174&lt;30,1,0))</formula>
    </cfRule>
    <cfRule type="expression" priority="1256" dxfId="0">
      <formula>AND(IF($Q174=3,1,IF($Q174=4,1,0)),IF($F174&lt;=85,1,0))</formula>
    </cfRule>
  </conditionalFormatting>
  <conditionalFormatting sqref="AI174">
    <cfRule type="expression" priority="1249" dxfId="3">
      <formula>AND(IF(OR($Q174=1,$Q174=2),1,0),IF($X174&lt;=20,1,0))</formula>
    </cfRule>
    <cfRule type="expression" priority="1250" dxfId="2">
      <formula>AND(IF($Q174=2,1,0),IF($X174&lt;30,1,0))</formula>
    </cfRule>
    <cfRule type="expression" priority="1251" dxfId="1">
      <formula>AND(IF($Q174=3,1,0),IF($X174&lt;30,1,0))</formula>
    </cfRule>
    <cfRule type="expression" priority="1252" dxfId="0">
      <formula>AND(IF($Q174=3,1,IF($Q174=4,1,0)),IF($F174&lt;=85,1,0))</formula>
    </cfRule>
  </conditionalFormatting>
  <conditionalFormatting sqref="AV175">
    <cfRule type="expression" priority="1247" dxfId="17">
      <formula>AV175="X"</formula>
    </cfRule>
    <cfRule type="expression" priority="1248" dxfId="16">
      <formula>AV175="후보"</formula>
    </cfRule>
  </conditionalFormatting>
  <conditionalFormatting sqref="AC175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175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175">
    <cfRule type="expression" priority="1238" dxfId="3">
      <formula>AND(IF(OR($Q175=1,$Q175=2),1,0),IF($X175&lt;=20,1,0))</formula>
    </cfRule>
    <cfRule type="expression" priority="1239" dxfId="2">
      <formula>AND(IF($Q175=2,1,0),IF($X175&lt;30,1,0))</formula>
    </cfRule>
    <cfRule type="expression" priority="1240" dxfId="1">
      <formula>AND(IF($Q175=3,1,0),IF($X175&lt;30,1,0))</formula>
    </cfRule>
    <cfRule type="expression" priority="1241" dxfId="0">
      <formula>AND(IF($Q175=3,1,IF($Q175=4,1,0)),IF($F175&lt;=85,1,0))</formula>
    </cfRule>
  </conditionalFormatting>
  <conditionalFormatting sqref="X175">
    <cfRule type="expression" priority="1234" dxfId="3">
      <formula>AND(IF(OR($Q175=1,$Q175=2),1,0),IF($X175&lt;=20,1,0))</formula>
    </cfRule>
    <cfRule type="expression" priority="1235" dxfId="2">
      <formula>AND(IF($Q175=2,1,0),IF($X175&lt;30,1,0))</formula>
    </cfRule>
    <cfRule type="expression" priority="1236" dxfId="1">
      <formula>AND(IF($Q175=3,1,0),IF($X175&lt;30,1,0))</formula>
    </cfRule>
    <cfRule type="expression" priority="1237" dxfId="0">
      <formula>AND(IF($Q175=3,1,IF($Q175=4,1,0)),IF($F175&lt;=85,1,0))</formula>
    </cfRule>
  </conditionalFormatting>
  <conditionalFormatting sqref="AI175">
    <cfRule type="expression" priority="1230" dxfId="3">
      <formula>AND(IF(OR($Q175=1,$Q175=2),1,0),IF($X175&lt;=20,1,0))</formula>
    </cfRule>
    <cfRule type="expression" priority="1231" dxfId="2">
      <formula>AND(IF($Q175=2,1,0),IF($X175&lt;30,1,0))</formula>
    </cfRule>
    <cfRule type="expression" priority="1232" dxfId="1">
      <formula>AND(IF($Q175=3,1,0),IF($X175&lt;30,1,0))</formula>
    </cfRule>
    <cfRule type="expression" priority="1233" dxfId="0">
      <formula>AND(IF($Q175=3,1,IF($Q175=4,1,0)),IF($F175&lt;=85,1,0))</formula>
    </cfRule>
  </conditionalFormatting>
  <conditionalFormatting sqref="AV176">
    <cfRule type="expression" priority="1228" dxfId="17">
      <formula>AV176="X"</formula>
    </cfRule>
    <cfRule type="expression" priority="1229" dxfId="16">
      <formula>AV176="후보"</formula>
    </cfRule>
  </conditionalFormatting>
  <conditionalFormatting sqref="AC176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N176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E176">
    <cfRule type="expression" priority="1219" dxfId="3">
      <formula>AND(IF(OR($Q176=1,$Q176=2),1,0),IF($X176&lt;=20,1,0))</formula>
    </cfRule>
    <cfRule type="expression" priority="1220" dxfId="2">
      <formula>AND(IF($Q176=2,1,0),IF($X176&lt;30,1,0))</formula>
    </cfRule>
    <cfRule type="expression" priority="1221" dxfId="1">
      <formula>AND(IF($Q176=3,1,0),IF($X176&lt;30,1,0))</formula>
    </cfRule>
    <cfRule type="expression" priority="1222" dxfId="0">
      <formula>AND(IF($Q176=3,1,IF($Q176=4,1,0)),IF($F176&lt;=85,1,0))</formula>
    </cfRule>
  </conditionalFormatting>
  <conditionalFormatting sqref="X176">
    <cfRule type="expression" priority="1215" dxfId="3">
      <formula>AND(IF(OR($Q176=1,$Q176=2),1,0),IF($X176&lt;=20,1,0))</formula>
    </cfRule>
    <cfRule type="expression" priority="1216" dxfId="2">
      <formula>AND(IF($Q176=2,1,0),IF($X176&lt;30,1,0))</formula>
    </cfRule>
    <cfRule type="expression" priority="1217" dxfId="1">
      <formula>AND(IF($Q176=3,1,0),IF($X176&lt;30,1,0))</formula>
    </cfRule>
    <cfRule type="expression" priority="1218" dxfId="0">
      <formula>AND(IF($Q176=3,1,IF($Q176=4,1,0)),IF($F176&lt;=85,1,0))</formula>
    </cfRule>
  </conditionalFormatting>
  <conditionalFormatting sqref="AI176">
    <cfRule type="expression" priority="1211" dxfId="3">
      <formula>AND(IF(OR($Q176=1,$Q176=2),1,0),IF($X176&lt;=20,1,0))</formula>
    </cfRule>
    <cfRule type="expression" priority="1212" dxfId="2">
      <formula>AND(IF($Q176=2,1,0),IF($X176&lt;30,1,0))</formula>
    </cfRule>
    <cfRule type="expression" priority="1213" dxfId="1">
      <formula>AND(IF($Q176=3,1,0),IF($X176&lt;30,1,0))</formula>
    </cfRule>
    <cfRule type="expression" priority="1214" dxfId="0">
      <formula>AND(IF($Q176=3,1,IF($Q176=4,1,0)),IF($F176&lt;=85,1,0))</formula>
    </cfRule>
  </conditionalFormatting>
  <conditionalFormatting sqref="AV177">
    <cfRule type="expression" priority="1209" dxfId="17">
      <formula>AV177="X"</formula>
    </cfRule>
    <cfRule type="expression" priority="1210" dxfId="16">
      <formula>AV177="후보"</formula>
    </cfRule>
  </conditionalFormatting>
  <conditionalFormatting sqref="AC177 N177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AV178">
    <cfRule type="expression" priority="1204" dxfId="17">
      <formula>AV178="X"</formula>
    </cfRule>
    <cfRule type="expression" priority="1205" dxfId="16">
      <formula>AV178="후보"</formula>
    </cfRule>
  </conditionalFormatting>
  <conditionalFormatting sqref="AC178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178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E178">
    <cfRule type="expression" priority="1195" dxfId="3">
      <formula>AND(IF(OR($Q178=1,$Q178=2),1,0),IF($X178&lt;=20,1,0))</formula>
    </cfRule>
    <cfRule type="expression" priority="1196" dxfId="2">
      <formula>AND(IF($Q178=2,1,0),IF($X178&lt;30,1,0))</formula>
    </cfRule>
    <cfRule type="expression" priority="1197" dxfId="1">
      <formula>AND(IF($Q178=3,1,0),IF($X178&lt;30,1,0))</formula>
    </cfRule>
    <cfRule type="expression" priority="1198" dxfId="0">
      <formula>AND(IF($Q178=3,1,IF($Q178=4,1,0)),IF($F178&lt;=85,1,0))</formula>
    </cfRule>
  </conditionalFormatting>
  <conditionalFormatting sqref="X178">
    <cfRule type="expression" priority="1191" dxfId="3">
      <formula>AND(IF(OR($Q178=1,$Q178=2),1,0),IF($X178&lt;=20,1,0))</formula>
    </cfRule>
    <cfRule type="expression" priority="1192" dxfId="2">
      <formula>AND(IF($Q178=2,1,0),IF($X178&lt;30,1,0))</formula>
    </cfRule>
    <cfRule type="expression" priority="1193" dxfId="1">
      <formula>AND(IF($Q178=3,1,0),IF($X178&lt;30,1,0))</formula>
    </cfRule>
    <cfRule type="expression" priority="1194" dxfId="0">
      <formula>AND(IF($Q178=3,1,IF($Q178=4,1,0)),IF($F178&lt;=85,1,0))</formula>
    </cfRule>
  </conditionalFormatting>
  <conditionalFormatting sqref="AI178">
    <cfRule type="expression" priority="1187" dxfId="3">
      <formula>AND(IF(OR($Q178=1,$Q178=2),1,0),IF($X178&lt;=20,1,0))</formula>
    </cfRule>
    <cfRule type="expression" priority="1188" dxfId="2">
      <formula>AND(IF($Q178=2,1,0),IF($X178&lt;30,1,0))</formula>
    </cfRule>
    <cfRule type="expression" priority="1189" dxfId="1">
      <formula>AND(IF($Q178=3,1,0),IF($X178&lt;30,1,0))</formula>
    </cfRule>
    <cfRule type="expression" priority="1190" dxfId="0">
      <formula>AND(IF($Q178=3,1,IF($Q178=4,1,0)),IF($F178&lt;=85,1,0))</formula>
    </cfRule>
  </conditionalFormatting>
  <conditionalFormatting sqref="AV179">
    <cfRule type="expression" priority="1185" dxfId="17">
      <formula>AV179="X"</formula>
    </cfRule>
    <cfRule type="expression" priority="1186" dxfId="16">
      <formula>AV179="후보"</formula>
    </cfRule>
  </conditionalFormatting>
  <conditionalFormatting sqref="AC179 N179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AV180">
    <cfRule type="expression" priority="1180" dxfId="17">
      <formula>AV180="X"</formula>
    </cfRule>
    <cfRule type="expression" priority="1181" dxfId="16">
      <formula>AV180="후보"</formula>
    </cfRule>
  </conditionalFormatting>
  <conditionalFormatting sqref="AC180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N180">
    <cfRule type="cellIs" priority="1175" operator="greaterThan" dxfId="13">
      <formula>0.9</formula>
    </cfRule>
    <cfRule type="cellIs" priority="1176" operator="greaterThan" dxfId="12">
      <formula>0.85</formula>
    </cfRule>
  </conditionalFormatting>
  <conditionalFormatting sqref="E180">
    <cfRule type="expression" priority="1171" dxfId="3">
      <formula>AND(IF(OR($Q180=1,$Q180=2),1,0),IF($X180&lt;=20,1,0))</formula>
    </cfRule>
    <cfRule type="expression" priority="1172" dxfId="2">
      <formula>AND(IF($Q180=2,1,0),IF($X180&lt;30,1,0))</formula>
    </cfRule>
    <cfRule type="expression" priority="1173" dxfId="1">
      <formula>AND(IF($Q180=3,1,0),IF($X180&lt;30,1,0))</formula>
    </cfRule>
    <cfRule type="expression" priority="1174" dxfId="0">
      <formula>AND(IF($Q180=3,1,IF($Q180=4,1,0)),IF($F180&lt;=85,1,0))</formula>
    </cfRule>
  </conditionalFormatting>
  <conditionalFormatting sqref="X180">
    <cfRule type="expression" priority="1167" dxfId="3">
      <formula>AND(IF(OR($Q180=1,$Q180=2),1,0),IF($X180&lt;=20,1,0))</formula>
    </cfRule>
    <cfRule type="expression" priority="1168" dxfId="2">
      <formula>AND(IF($Q180=2,1,0),IF($X180&lt;30,1,0))</formula>
    </cfRule>
    <cfRule type="expression" priority="1169" dxfId="1">
      <formula>AND(IF($Q180=3,1,0),IF($X180&lt;30,1,0))</formula>
    </cfRule>
    <cfRule type="expression" priority="1170" dxfId="0">
      <formula>AND(IF($Q180=3,1,IF($Q180=4,1,0)),IF($F180&lt;=85,1,0))</formula>
    </cfRule>
  </conditionalFormatting>
  <conditionalFormatting sqref="AI180">
    <cfRule type="expression" priority="1163" dxfId="3">
      <formula>AND(IF(OR($Q180=1,$Q180=2),1,0),IF($X180&lt;=20,1,0))</formula>
    </cfRule>
    <cfRule type="expression" priority="1164" dxfId="2">
      <formula>AND(IF($Q180=2,1,0),IF($X180&lt;30,1,0))</formula>
    </cfRule>
    <cfRule type="expression" priority="1165" dxfId="1">
      <formula>AND(IF($Q180=3,1,0),IF($X180&lt;30,1,0))</formula>
    </cfRule>
    <cfRule type="expression" priority="1166" dxfId="0">
      <formula>AND(IF($Q180=3,1,IF($Q180=4,1,0)),IF($F180&lt;=85,1,0))</formula>
    </cfRule>
  </conditionalFormatting>
  <conditionalFormatting sqref="AV181">
    <cfRule type="expression" priority="1161" dxfId="17">
      <formula>AV181="X"</formula>
    </cfRule>
    <cfRule type="expression" priority="1162" dxfId="16">
      <formula>AV181="후보"</formula>
    </cfRule>
  </conditionalFormatting>
  <conditionalFormatting sqref="AC181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N181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E181">
    <cfRule type="expression" priority="1152" dxfId="3">
      <formula>AND(IF(OR($Q181=1,$Q181=2),1,0),IF($X181&lt;=20,1,0))</formula>
    </cfRule>
    <cfRule type="expression" priority="1153" dxfId="2">
      <formula>AND(IF($Q181=2,1,0),IF($X181&lt;30,1,0))</formula>
    </cfRule>
    <cfRule type="expression" priority="1154" dxfId="1">
      <formula>AND(IF($Q181=3,1,0),IF($X181&lt;30,1,0))</formula>
    </cfRule>
    <cfRule type="expression" priority="1155" dxfId="0">
      <formula>AND(IF($Q181=3,1,IF($Q181=4,1,0)),IF($F181&lt;=85,1,0))</formula>
    </cfRule>
  </conditionalFormatting>
  <conditionalFormatting sqref="X181">
    <cfRule type="expression" priority="1148" dxfId="3">
      <formula>AND(IF(OR($Q181=1,$Q181=2),1,0),IF($X181&lt;=20,1,0))</formula>
    </cfRule>
    <cfRule type="expression" priority="1149" dxfId="2">
      <formula>AND(IF($Q181=2,1,0),IF($X181&lt;30,1,0))</formula>
    </cfRule>
    <cfRule type="expression" priority="1150" dxfId="1">
      <formula>AND(IF($Q181=3,1,0),IF($X181&lt;30,1,0))</formula>
    </cfRule>
    <cfRule type="expression" priority="1151" dxfId="0">
      <formula>AND(IF($Q181=3,1,IF($Q181=4,1,0)),IF($F181&lt;=85,1,0))</formula>
    </cfRule>
  </conditionalFormatting>
  <conditionalFormatting sqref="AI181">
    <cfRule type="expression" priority="1144" dxfId="3">
      <formula>AND(IF(OR($Q181=1,$Q181=2),1,0),IF($X181&lt;=20,1,0))</formula>
    </cfRule>
    <cfRule type="expression" priority="1145" dxfId="2">
      <formula>AND(IF($Q181=2,1,0),IF($X181&lt;30,1,0))</formula>
    </cfRule>
    <cfRule type="expression" priority="1146" dxfId="1">
      <formula>AND(IF($Q181=3,1,0),IF($X181&lt;30,1,0))</formula>
    </cfRule>
    <cfRule type="expression" priority="1147" dxfId="0">
      <formula>AND(IF($Q181=3,1,IF($Q181=4,1,0)),IF($F181&lt;=85,1,0))</formula>
    </cfRule>
  </conditionalFormatting>
  <conditionalFormatting sqref="AV182">
    <cfRule type="expression" priority="1142" dxfId="17">
      <formula>AV182="X"</formula>
    </cfRule>
    <cfRule type="expression" priority="1143" dxfId="16">
      <formula>AV182="후보"</formula>
    </cfRule>
  </conditionalFormatting>
  <conditionalFormatting sqref="AC182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N182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E182">
    <cfRule type="expression" priority="1133" dxfId="3">
      <formula>AND(IF(OR($Q182=1,$Q182=2),1,0),IF($X182&lt;=20,1,0))</formula>
    </cfRule>
    <cfRule type="expression" priority="1134" dxfId="2">
      <formula>AND(IF($Q182=2,1,0),IF($X182&lt;30,1,0))</formula>
    </cfRule>
    <cfRule type="expression" priority="1135" dxfId="1">
      <formula>AND(IF($Q182=3,1,0),IF($X182&lt;30,1,0))</formula>
    </cfRule>
    <cfRule type="expression" priority="1136" dxfId="0">
      <formula>AND(IF($Q182=3,1,IF($Q182=4,1,0)),IF($F182&lt;=85,1,0))</formula>
    </cfRule>
  </conditionalFormatting>
  <conditionalFormatting sqref="X182">
    <cfRule type="expression" priority="1129" dxfId="3">
      <formula>AND(IF(OR($Q182=1,$Q182=2),1,0),IF($X182&lt;=20,1,0))</formula>
    </cfRule>
    <cfRule type="expression" priority="1130" dxfId="2">
      <formula>AND(IF($Q182=2,1,0),IF($X182&lt;30,1,0))</formula>
    </cfRule>
    <cfRule type="expression" priority="1131" dxfId="1">
      <formula>AND(IF($Q182=3,1,0),IF($X182&lt;30,1,0))</formula>
    </cfRule>
    <cfRule type="expression" priority="1132" dxfId="0">
      <formula>AND(IF($Q182=3,1,IF($Q182=4,1,0)),IF($F182&lt;=85,1,0))</formula>
    </cfRule>
  </conditionalFormatting>
  <conditionalFormatting sqref="AI182">
    <cfRule type="expression" priority="1125" dxfId="3">
      <formula>AND(IF(OR($Q182=1,$Q182=2),1,0),IF($X182&lt;=20,1,0))</formula>
    </cfRule>
    <cfRule type="expression" priority="1126" dxfId="2">
      <formula>AND(IF($Q182=2,1,0),IF($X182&lt;30,1,0))</formula>
    </cfRule>
    <cfRule type="expression" priority="1127" dxfId="1">
      <formula>AND(IF($Q182=3,1,0),IF($X182&lt;30,1,0))</formula>
    </cfRule>
    <cfRule type="expression" priority="1128" dxfId="0">
      <formula>AND(IF($Q182=3,1,IF($Q182=4,1,0)),IF($F182&lt;=85,1,0))</formula>
    </cfRule>
  </conditionalFormatting>
  <conditionalFormatting sqref="AV183">
    <cfRule type="expression" priority="1123" dxfId="17">
      <formula>AV183="X"</formula>
    </cfRule>
    <cfRule type="expression" priority="1124" dxfId="16">
      <formula>AV183="후보"</formula>
    </cfRule>
  </conditionalFormatting>
  <conditionalFormatting sqref="AC183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183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183">
    <cfRule type="expression" priority="1114" dxfId="3">
      <formula>AND(IF(OR($Q183=1,$Q183=2),1,0),IF($X183&lt;=20,1,0))</formula>
    </cfRule>
    <cfRule type="expression" priority="1115" dxfId="2">
      <formula>AND(IF($Q183=2,1,0),IF($X183&lt;30,1,0))</formula>
    </cfRule>
    <cfRule type="expression" priority="1116" dxfId="1">
      <formula>AND(IF($Q183=3,1,0),IF($X183&lt;30,1,0))</formula>
    </cfRule>
    <cfRule type="expression" priority="1117" dxfId="0">
      <formula>AND(IF($Q183=3,1,IF($Q183=4,1,0)),IF($F183&lt;=85,1,0))</formula>
    </cfRule>
  </conditionalFormatting>
  <conditionalFormatting sqref="X183">
    <cfRule type="expression" priority="1110" dxfId="3">
      <formula>AND(IF(OR($Q183=1,$Q183=2),1,0),IF($X183&lt;=20,1,0))</formula>
    </cfRule>
    <cfRule type="expression" priority="1111" dxfId="2">
      <formula>AND(IF($Q183=2,1,0),IF($X183&lt;30,1,0))</formula>
    </cfRule>
    <cfRule type="expression" priority="1112" dxfId="1">
      <formula>AND(IF($Q183=3,1,0),IF($X183&lt;30,1,0))</formula>
    </cfRule>
    <cfRule type="expression" priority="1113" dxfId="0">
      <formula>AND(IF($Q183=3,1,IF($Q183=4,1,0)),IF($F183&lt;=85,1,0))</formula>
    </cfRule>
  </conditionalFormatting>
  <conditionalFormatting sqref="AI183">
    <cfRule type="expression" priority="1106" dxfId="3">
      <formula>AND(IF(OR($Q183=1,$Q183=2),1,0),IF($X183&lt;=20,1,0))</formula>
    </cfRule>
    <cfRule type="expression" priority="1107" dxfId="2">
      <formula>AND(IF($Q183=2,1,0),IF($X183&lt;30,1,0))</formula>
    </cfRule>
    <cfRule type="expression" priority="1108" dxfId="1">
      <formula>AND(IF($Q183=3,1,0),IF($X183&lt;30,1,0))</formula>
    </cfRule>
    <cfRule type="expression" priority="1109" dxfId="0">
      <formula>AND(IF($Q183=3,1,IF($Q183=4,1,0)),IF($F183&lt;=85,1,0))</formula>
    </cfRule>
  </conditionalFormatting>
  <conditionalFormatting sqref="AV184">
    <cfRule type="expression" priority="1104" dxfId="17">
      <formula>AV184="X"</formula>
    </cfRule>
    <cfRule type="expression" priority="1105" dxfId="16">
      <formula>AV184="후보"</formula>
    </cfRule>
  </conditionalFormatting>
  <conditionalFormatting sqref="AC184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184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184">
    <cfRule type="expression" priority="1095" dxfId="3">
      <formula>AND(IF(OR($Q184=1,$Q184=2),1,0),IF($X184&lt;=20,1,0))</formula>
    </cfRule>
    <cfRule type="expression" priority="1096" dxfId="2">
      <formula>AND(IF($Q184=2,1,0),IF($X184&lt;30,1,0))</formula>
    </cfRule>
    <cfRule type="expression" priority="1097" dxfId="1">
      <formula>AND(IF($Q184=3,1,0),IF($X184&lt;30,1,0))</formula>
    </cfRule>
    <cfRule type="expression" priority="1098" dxfId="0">
      <formula>AND(IF($Q184=3,1,IF($Q184=4,1,0)),IF($F184&lt;=85,1,0))</formula>
    </cfRule>
  </conditionalFormatting>
  <conditionalFormatting sqref="X184">
    <cfRule type="expression" priority="1091" dxfId="3">
      <formula>AND(IF(OR($Q184=1,$Q184=2),1,0),IF($X184&lt;=20,1,0))</formula>
    </cfRule>
    <cfRule type="expression" priority="1092" dxfId="2">
      <formula>AND(IF($Q184=2,1,0),IF($X184&lt;30,1,0))</formula>
    </cfRule>
    <cfRule type="expression" priority="1093" dxfId="1">
      <formula>AND(IF($Q184=3,1,0),IF($X184&lt;30,1,0))</formula>
    </cfRule>
    <cfRule type="expression" priority="1094" dxfId="0">
      <formula>AND(IF($Q184=3,1,IF($Q184=4,1,0)),IF($F184&lt;=85,1,0))</formula>
    </cfRule>
  </conditionalFormatting>
  <conditionalFormatting sqref="AI184">
    <cfRule type="expression" priority="1087" dxfId="3">
      <formula>AND(IF(OR($Q184=1,$Q184=2),1,0),IF($X184&lt;=20,1,0))</formula>
    </cfRule>
    <cfRule type="expression" priority="1088" dxfId="2">
      <formula>AND(IF($Q184=2,1,0),IF($X184&lt;30,1,0))</formula>
    </cfRule>
    <cfRule type="expression" priority="1089" dxfId="1">
      <formula>AND(IF($Q184=3,1,0),IF($X184&lt;30,1,0))</formula>
    </cfRule>
    <cfRule type="expression" priority="1090" dxfId="0">
      <formula>AND(IF($Q184=3,1,IF($Q184=4,1,0)),IF($F184&lt;=85,1,0))</formula>
    </cfRule>
  </conditionalFormatting>
  <conditionalFormatting sqref="AV185">
    <cfRule type="expression" priority="1085" dxfId="17">
      <formula>AV185="X"</formula>
    </cfRule>
    <cfRule type="expression" priority="1086" dxfId="16">
      <formula>AV185="후보"</formula>
    </cfRule>
  </conditionalFormatting>
  <conditionalFormatting sqref="AC185 N185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AV186">
    <cfRule type="expression" priority="1080" dxfId="17">
      <formula>AV186="X"</formula>
    </cfRule>
    <cfRule type="expression" priority="1081" dxfId="16">
      <formula>AV186="후보"</formula>
    </cfRule>
  </conditionalFormatting>
  <conditionalFormatting sqref="AC186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186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186">
    <cfRule type="expression" priority="1071" dxfId="3">
      <formula>AND(IF(OR($Q186=1,$Q186=2),1,0),IF($X186&lt;=20,1,0))</formula>
    </cfRule>
    <cfRule type="expression" priority="1072" dxfId="2">
      <formula>AND(IF($Q186=2,1,0),IF($X186&lt;30,1,0))</formula>
    </cfRule>
    <cfRule type="expression" priority="1073" dxfId="1">
      <formula>AND(IF($Q186=3,1,0),IF($X186&lt;30,1,0))</formula>
    </cfRule>
    <cfRule type="expression" priority="1074" dxfId="0">
      <formula>AND(IF($Q186=3,1,IF($Q186=4,1,0)),IF($F186&lt;=85,1,0))</formula>
    </cfRule>
  </conditionalFormatting>
  <conditionalFormatting sqref="X186">
    <cfRule type="expression" priority="1067" dxfId="3">
      <formula>AND(IF(OR($Q186=1,$Q186=2),1,0),IF($X186&lt;=20,1,0))</formula>
    </cfRule>
    <cfRule type="expression" priority="1068" dxfId="2">
      <formula>AND(IF($Q186=2,1,0),IF($X186&lt;30,1,0))</formula>
    </cfRule>
    <cfRule type="expression" priority="1069" dxfId="1">
      <formula>AND(IF($Q186=3,1,0),IF($X186&lt;30,1,0))</formula>
    </cfRule>
    <cfRule type="expression" priority="1070" dxfId="0">
      <formula>AND(IF($Q186=3,1,IF($Q186=4,1,0)),IF($F186&lt;=85,1,0))</formula>
    </cfRule>
  </conditionalFormatting>
  <conditionalFormatting sqref="AI186">
    <cfRule type="expression" priority="1063" dxfId="3">
      <formula>AND(IF(OR($Q186=1,$Q186=2),1,0),IF($X186&lt;=20,1,0))</formula>
    </cfRule>
    <cfRule type="expression" priority="1064" dxfId="2">
      <formula>AND(IF($Q186=2,1,0),IF($X186&lt;30,1,0))</formula>
    </cfRule>
    <cfRule type="expression" priority="1065" dxfId="1">
      <formula>AND(IF($Q186=3,1,0),IF($X186&lt;30,1,0))</formula>
    </cfRule>
    <cfRule type="expression" priority="1066" dxfId="0">
      <formula>AND(IF($Q186=3,1,IF($Q186=4,1,0)),IF($F186&lt;=85,1,0))</formula>
    </cfRule>
  </conditionalFormatting>
  <conditionalFormatting sqref="AV187">
    <cfRule type="expression" priority="1061" dxfId="17">
      <formula>AV187="X"</formula>
    </cfRule>
    <cfRule type="expression" priority="1062" dxfId="16">
      <formula>AV187="후보"</formula>
    </cfRule>
  </conditionalFormatting>
  <conditionalFormatting sqref="AC187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187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187">
    <cfRule type="expression" priority="1052" dxfId="3">
      <formula>AND(IF(OR($Q187=1,$Q187=2),1,0),IF($X187&lt;=20,1,0))</formula>
    </cfRule>
    <cfRule type="expression" priority="1053" dxfId="2">
      <formula>AND(IF($Q187=2,1,0),IF($X187&lt;30,1,0))</formula>
    </cfRule>
    <cfRule type="expression" priority="1054" dxfId="1">
      <formula>AND(IF($Q187=3,1,0),IF($X187&lt;30,1,0))</formula>
    </cfRule>
    <cfRule type="expression" priority="1055" dxfId="0">
      <formula>AND(IF($Q187=3,1,IF($Q187=4,1,0)),IF($F187&lt;=85,1,0))</formula>
    </cfRule>
  </conditionalFormatting>
  <conditionalFormatting sqref="X187">
    <cfRule type="expression" priority="1048" dxfId="3">
      <formula>AND(IF(OR($Q187=1,$Q187=2),1,0),IF($X187&lt;=20,1,0))</formula>
    </cfRule>
    <cfRule type="expression" priority="1049" dxfId="2">
      <formula>AND(IF($Q187=2,1,0),IF($X187&lt;30,1,0))</formula>
    </cfRule>
    <cfRule type="expression" priority="1050" dxfId="1">
      <formula>AND(IF($Q187=3,1,0),IF($X187&lt;30,1,0))</formula>
    </cfRule>
    <cfRule type="expression" priority="1051" dxfId="0">
      <formula>AND(IF($Q187=3,1,IF($Q187=4,1,0)),IF($F187&lt;=85,1,0))</formula>
    </cfRule>
  </conditionalFormatting>
  <conditionalFormatting sqref="AI187">
    <cfRule type="expression" priority="1044" dxfId="3">
      <formula>AND(IF(OR($Q187=1,$Q187=2),1,0),IF($X187&lt;=20,1,0))</formula>
    </cfRule>
    <cfRule type="expression" priority="1045" dxfId="2">
      <formula>AND(IF($Q187=2,1,0),IF($X187&lt;30,1,0))</formula>
    </cfRule>
    <cfRule type="expression" priority="1046" dxfId="1">
      <formula>AND(IF($Q187=3,1,0),IF($X187&lt;30,1,0))</formula>
    </cfRule>
    <cfRule type="expression" priority="1047" dxfId="0">
      <formula>AND(IF($Q187=3,1,IF($Q187=4,1,0)),IF($F187&lt;=85,1,0))</formula>
    </cfRule>
  </conditionalFormatting>
  <conditionalFormatting sqref="AV188">
    <cfRule type="expression" priority="1042" dxfId="17">
      <formula>AV188="X"</formula>
    </cfRule>
    <cfRule type="expression" priority="1043" dxfId="16">
      <formula>AV188="후보"</formula>
    </cfRule>
  </conditionalFormatting>
  <conditionalFormatting sqref="AC188 N188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AV189">
    <cfRule type="expression" priority="1037" dxfId="17">
      <formula>AV189="X"</formula>
    </cfRule>
    <cfRule type="expression" priority="1038" dxfId="16">
      <formula>AV189="후보"</formula>
    </cfRule>
  </conditionalFormatting>
  <conditionalFormatting sqref="AC189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189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189">
    <cfRule type="expression" priority="1028" dxfId="3">
      <formula>AND(IF(OR($Q189=1,$Q189=2),1,0),IF($X189&lt;=20,1,0))</formula>
    </cfRule>
    <cfRule type="expression" priority="1029" dxfId="2">
      <formula>AND(IF($Q189=2,1,0),IF($X189&lt;30,1,0))</formula>
    </cfRule>
    <cfRule type="expression" priority="1030" dxfId="1">
      <formula>AND(IF($Q189=3,1,0),IF($X189&lt;30,1,0))</formula>
    </cfRule>
    <cfRule type="expression" priority="1031" dxfId="0">
      <formula>AND(IF($Q189=3,1,IF($Q189=4,1,0)),IF($F189&lt;=85,1,0))</formula>
    </cfRule>
  </conditionalFormatting>
  <conditionalFormatting sqref="X189">
    <cfRule type="expression" priority="1024" dxfId="3">
      <formula>AND(IF(OR($Q189=1,$Q189=2),1,0),IF($X189&lt;=20,1,0))</formula>
    </cfRule>
    <cfRule type="expression" priority="1025" dxfId="2">
      <formula>AND(IF($Q189=2,1,0),IF($X189&lt;30,1,0))</formula>
    </cfRule>
    <cfRule type="expression" priority="1026" dxfId="1">
      <formula>AND(IF($Q189=3,1,0),IF($X189&lt;30,1,0))</formula>
    </cfRule>
    <cfRule type="expression" priority="1027" dxfId="0">
      <formula>AND(IF($Q189=3,1,IF($Q189=4,1,0)),IF($F189&lt;=85,1,0))</formula>
    </cfRule>
  </conditionalFormatting>
  <conditionalFormatting sqref="AI189">
    <cfRule type="expression" priority="1020" dxfId="3">
      <formula>AND(IF(OR($Q189=1,$Q189=2),1,0),IF($X189&lt;=20,1,0))</formula>
    </cfRule>
    <cfRule type="expression" priority="1021" dxfId="2">
      <formula>AND(IF($Q189=2,1,0),IF($X189&lt;30,1,0))</formula>
    </cfRule>
    <cfRule type="expression" priority="1022" dxfId="1">
      <formula>AND(IF($Q189=3,1,0),IF($X189&lt;30,1,0))</formula>
    </cfRule>
    <cfRule type="expression" priority="1023" dxfId="0">
      <formula>AND(IF($Q189=3,1,IF($Q189=4,1,0)),IF($F189&lt;=85,1,0))</formula>
    </cfRule>
  </conditionalFormatting>
  <conditionalFormatting sqref="AV190">
    <cfRule type="expression" priority="1018" dxfId="17">
      <formula>AV190="X"</formula>
    </cfRule>
    <cfRule type="expression" priority="1019" dxfId="16">
      <formula>AV190="후보"</formula>
    </cfRule>
  </conditionalFormatting>
  <conditionalFormatting sqref="AC190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190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190">
    <cfRule type="expression" priority="1009" dxfId="3">
      <formula>AND(IF(OR($Q190=1,$Q190=2),1,0),IF($X190&lt;=20,1,0))</formula>
    </cfRule>
    <cfRule type="expression" priority="1010" dxfId="2">
      <formula>AND(IF($Q190=2,1,0),IF($X190&lt;30,1,0))</formula>
    </cfRule>
    <cfRule type="expression" priority="1011" dxfId="1">
      <formula>AND(IF($Q190=3,1,0),IF($X190&lt;30,1,0))</formula>
    </cfRule>
    <cfRule type="expression" priority="1012" dxfId="0">
      <formula>AND(IF($Q190=3,1,IF($Q190=4,1,0)),IF($F190&lt;=85,1,0))</formula>
    </cfRule>
  </conditionalFormatting>
  <conditionalFormatting sqref="X190">
    <cfRule type="expression" priority="1005" dxfId="3">
      <formula>AND(IF(OR($Q190=1,$Q190=2),1,0),IF($X190&lt;=20,1,0))</formula>
    </cfRule>
    <cfRule type="expression" priority="1006" dxfId="2">
      <formula>AND(IF($Q190=2,1,0),IF($X190&lt;30,1,0))</formula>
    </cfRule>
    <cfRule type="expression" priority="1007" dxfId="1">
      <formula>AND(IF($Q190=3,1,0),IF($X190&lt;30,1,0))</formula>
    </cfRule>
    <cfRule type="expression" priority="1008" dxfId="0">
      <formula>AND(IF($Q190=3,1,IF($Q190=4,1,0)),IF($F190&lt;=85,1,0))</formula>
    </cfRule>
  </conditionalFormatting>
  <conditionalFormatting sqref="AI190">
    <cfRule type="expression" priority="1001" dxfId="3">
      <formula>AND(IF(OR($Q190=1,$Q190=2),1,0),IF($X190&lt;=20,1,0))</formula>
    </cfRule>
    <cfRule type="expression" priority="1002" dxfId="2">
      <formula>AND(IF($Q190=2,1,0),IF($X190&lt;30,1,0))</formula>
    </cfRule>
    <cfRule type="expression" priority="1003" dxfId="1">
      <formula>AND(IF($Q190=3,1,0),IF($X190&lt;30,1,0))</formula>
    </cfRule>
    <cfRule type="expression" priority="1004" dxfId="0">
      <formula>AND(IF($Q190=3,1,IF($Q190=4,1,0)),IF($F190&lt;=85,1,0))</formula>
    </cfRule>
  </conditionalFormatting>
  <conditionalFormatting sqref="AV191">
    <cfRule type="expression" priority="999" dxfId="17">
      <formula>AV191="X"</formula>
    </cfRule>
    <cfRule type="expression" priority="1000" dxfId="16">
      <formula>AV191="후보"</formula>
    </cfRule>
  </conditionalFormatting>
  <conditionalFormatting sqref="AC191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191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191">
    <cfRule type="expression" priority="990" dxfId="3">
      <formula>AND(IF(OR($Q191=1,$Q191=2),1,0),IF($X191&lt;=20,1,0))</formula>
    </cfRule>
    <cfRule type="expression" priority="991" dxfId="2">
      <formula>AND(IF($Q191=2,1,0),IF($X191&lt;30,1,0))</formula>
    </cfRule>
    <cfRule type="expression" priority="992" dxfId="1">
      <formula>AND(IF($Q191=3,1,0),IF($X191&lt;30,1,0))</formula>
    </cfRule>
    <cfRule type="expression" priority="993" dxfId="0">
      <formula>AND(IF($Q191=3,1,IF($Q191=4,1,0)),IF($F191&lt;=85,1,0))</formula>
    </cfRule>
  </conditionalFormatting>
  <conditionalFormatting sqref="X191">
    <cfRule type="expression" priority="986" dxfId="3">
      <formula>AND(IF(OR($Q191=1,$Q191=2),1,0),IF($X191&lt;=20,1,0))</formula>
    </cfRule>
    <cfRule type="expression" priority="987" dxfId="2">
      <formula>AND(IF($Q191=2,1,0),IF($X191&lt;30,1,0))</formula>
    </cfRule>
    <cfRule type="expression" priority="988" dxfId="1">
      <formula>AND(IF($Q191=3,1,0),IF($X191&lt;30,1,0))</formula>
    </cfRule>
    <cfRule type="expression" priority="989" dxfId="0">
      <formula>AND(IF($Q191=3,1,IF($Q191=4,1,0)),IF($F191&lt;=85,1,0))</formula>
    </cfRule>
  </conditionalFormatting>
  <conditionalFormatting sqref="AI191">
    <cfRule type="expression" priority="982" dxfId="3">
      <formula>AND(IF(OR($Q191=1,$Q191=2),1,0),IF($X191&lt;=20,1,0))</formula>
    </cfRule>
    <cfRule type="expression" priority="983" dxfId="2">
      <formula>AND(IF($Q191=2,1,0),IF($X191&lt;30,1,0))</formula>
    </cfRule>
    <cfRule type="expression" priority="984" dxfId="1">
      <formula>AND(IF($Q191=3,1,0),IF($X191&lt;30,1,0))</formula>
    </cfRule>
    <cfRule type="expression" priority="985" dxfId="0">
      <formula>AND(IF($Q191=3,1,IF($Q191=4,1,0)),IF($F191&lt;=85,1,0))</formula>
    </cfRule>
  </conditionalFormatting>
  <conditionalFormatting sqref="AV192">
    <cfRule type="expression" priority="980" dxfId="17">
      <formula>AV192="X"</formula>
    </cfRule>
    <cfRule type="expression" priority="981" dxfId="16">
      <formula>AV192="후보"</formula>
    </cfRule>
  </conditionalFormatting>
  <conditionalFormatting sqref="AC192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192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192">
    <cfRule type="expression" priority="971" dxfId="3">
      <formula>AND(IF(OR($Q192=1,$Q192=2),1,0),IF($X192&lt;=20,1,0))</formula>
    </cfRule>
    <cfRule type="expression" priority="972" dxfId="2">
      <formula>AND(IF($Q192=2,1,0),IF($X192&lt;30,1,0))</formula>
    </cfRule>
    <cfRule type="expression" priority="973" dxfId="1">
      <formula>AND(IF($Q192=3,1,0),IF($X192&lt;30,1,0))</formula>
    </cfRule>
    <cfRule type="expression" priority="974" dxfId="0">
      <formula>AND(IF($Q192=3,1,IF($Q192=4,1,0)),IF($F192&lt;=85,1,0))</formula>
    </cfRule>
  </conditionalFormatting>
  <conditionalFormatting sqref="X192">
    <cfRule type="expression" priority="967" dxfId="3">
      <formula>AND(IF(OR($Q192=1,$Q192=2),1,0),IF($X192&lt;=20,1,0))</formula>
    </cfRule>
    <cfRule type="expression" priority="968" dxfId="2">
      <formula>AND(IF($Q192=2,1,0),IF($X192&lt;30,1,0))</formula>
    </cfRule>
    <cfRule type="expression" priority="969" dxfId="1">
      <formula>AND(IF($Q192=3,1,0),IF($X192&lt;30,1,0))</formula>
    </cfRule>
    <cfRule type="expression" priority="970" dxfId="0">
      <formula>AND(IF($Q192=3,1,IF($Q192=4,1,0)),IF($F192&lt;=85,1,0))</formula>
    </cfRule>
  </conditionalFormatting>
  <conditionalFormatting sqref="AI192">
    <cfRule type="expression" priority="963" dxfId="3">
      <formula>AND(IF(OR($Q192=1,$Q192=2),1,0),IF($X192&lt;=20,1,0))</formula>
    </cfRule>
    <cfRule type="expression" priority="964" dxfId="2">
      <formula>AND(IF($Q192=2,1,0),IF($X192&lt;30,1,0))</formula>
    </cfRule>
    <cfRule type="expression" priority="965" dxfId="1">
      <formula>AND(IF($Q192=3,1,0),IF($X192&lt;30,1,0))</formula>
    </cfRule>
    <cfRule type="expression" priority="966" dxfId="0">
      <formula>AND(IF($Q192=3,1,IF($Q192=4,1,0)),IF($F192&lt;=85,1,0))</formula>
    </cfRule>
  </conditionalFormatting>
  <conditionalFormatting sqref="AV193">
    <cfRule type="expression" priority="961" dxfId="17">
      <formula>AV193="X"</formula>
    </cfRule>
    <cfRule type="expression" priority="962" dxfId="16">
      <formula>AV193="후보"</formula>
    </cfRule>
  </conditionalFormatting>
  <conditionalFormatting sqref="AC193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193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193">
    <cfRule type="expression" priority="952" dxfId="3">
      <formula>AND(IF(OR($Q193=1,$Q193=2),1,0),IF($X193&lt;=20,1,0))</formula>
    </cfRule>
    <cfRule type="expression" priority="953" dxfId="2">
      <formula>AND(IF($Q193=2,1,0),IF($X193&lt;30,1,0))</formula>
    </cfRule>
    <cfRule type="expression" priority="954" dxfId="1">
      <formula>AND(IF($Q193=3,1,0),IF($X193&lt;30,1,0))</formula>
    </cfRule>
    <cfRule type="expression" priority="955" dxfId="0">
      <formula>AND(IF($Q193=3,1,IF($Q193=4,1,0)),IF($F193&lt;=85,1,0))</formula>
    </cfRule>
  </conditionalFormatting>
  <conditionalFormatting sqref="X193">
    <cfRule type="expression" priority="948" dxfId="3">
      <formula>AND(IF(OR($Q193=1,$Q193=2),1,0),IF($X193&lt;=20,1,0))</formula>
    </cfRule>
    <cfRule type="expression" priority="949" dxfId="2">
      <formula>AND(IF($Q193=2,1,0),IF($X193&lt;30,1,0))</formula>
    </cfRule>
    <cfRule type="expression" priority="950" dxfId="1">
      <formula>AND(IF($Q193=3,1,0),IF($X193&lt;30,1,0))</formula>
    </cfRule>
    <cfRule type="expression" priority="951" dxfId="0">
      <formula>AND(IF($Q193=3,1,IF($Q193=4,1,0)),IF($F193&lt;=85,1,0))</formula>
    </cfRule>
  </conditionalFormatting>
  <conditionalFormatting sqref="AI193">
    <cfRule type="expression" priority="944" dxfId="3">
      <formula>AND(IF(OR($Q193=1,$Q193=2),1,0),IF($X193&lt;=20,1,0))</formula>
    </cfRule>
    <cfRule type="expression" priority="945" dxfId="2">
      <formula>AND(IF($Q193=2,1,0),IF($X193&lt;30,1,0))</formula>
    </cfRule>
    <cfRule type="expression" priority="946" dxfId="1">
      <formula>AND(IF($Q193=3,1,0),IF($X193&lt;30,1,0))</formula>
    </cfRule>
    <cfRule type="expression" priority="947" dxfId="0">
      <formula>AND(IF($Q193=3,1,IF($Q193=4,1,0)),IF($F193&lt;=85,1,0))</formula>
    </cfRule>
  </conditionalFormatting>
  <conditionalFormatting sqref="AV194">
    <cfRule type="expression" priority="942" dxfId="17">
      <formula>AV194="X"</formula>
    </cfRule>
    <cfRule type="expression" priority="943" dxfId="16">
      <formula>AV194="후보"</formula>
    </cfRule>
  </conditionalFormatting>
  <conditionalFormatting sqref="AC194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194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194">
    <cfRule type="expression" priority="933" dxfId="3">
      <formula>AND(IF(OR($Q194=1,$Q194=2),1,0),IF($X194&lt;=20,1,0))</formula>
    </cfRule>
    <cfRule type="expression" priority="934" dxfId="2">
      <formula>AND(IF($Q194=2,1,0),IF($X194&lt;30,1,0))</formula>
    </cfRule>
    <cfRule type="expression" priority="935" dxfId="1">
      <formula>AND(IF($Q194=3,1,0),IF($X194&lt;30,1,0))</formula>
    </cfRule>
    <cfRule type="expression" priority="936" dxfId="0">
      <formula>AND(IF($Q194=3,1,IF($Q194=4,1,0)),IF($F194&lt;=85,1,0))</formula>
    </cfRule>
  </conditionalFormatting>
  <conditionalFormatting sqref="X194">
    <cfRule type="expression" priority="929" dxfId="3">
      <formula>AND(IF(OR($Q194=1,$Q194=2),1,0),IF($X194&lt;=20,1,0))</formula>
    </cfRule>
    <cfRule type="expression" priority="930" dxfId="2">
      <formula>AND(IF($Q194=2,1,0),IF($X194&lt;30,1,0))</formula>
    </cfRule>
    <cfRule type="expression" priority="931" dxfId="1">
      <formula>AND(IF($Q194=3,1,0),IF($X194&lt;30,1,0))</formula>
    </cfRule>
    <cfRule type="expression" priority="932" dxfId="0">
      <formula>AND(IF($Q194=3,1,IF($Q194=4,1,0)),IF($F194&lt;=85,1,0))</formula>
    </cfRule>
  </conditionalFormatting>
  <conditionalFormatting sqref="AI194">
    <cfRule type="expression" priority="925" dxfId="3">
      <formula>AND(IF(OR($Q194=1,$Q194=2),1,0),IF($X194&lt;=20,1,0))</formula>
    </cfRule>
    <cfRule type="expression" priority="926" dxfId="2">
      <formula>AND(IF($Q194=2,1,0),IF($X194&lt;30,1,0))</formula>
    </cfRule>
    <cfRule type="expression" priority="927" dxfId="1">
      <formula>AND(IF($Q194=3,1,0),IF($X194&lt;30,1,0))</formula>
    </cfRule>
    <cfRule type="expression" priority="928" dxfId="0">
      <formula>AND(IF($Q194=3,1,IF($Q194=4,1,0)),IF($F194&lt;=85,1,0))</formula>
    </cfRule>
  </conditionalFormatting>
  <conditionalFormatting sqref="AV195">
    <cfRule type="expression" priority="923" dxfId="17">
      <formula>AV195="X"</formula>
    </cfRule>
    <cfRule type="expression" priority="924" dxfId="16">
      <formula>AV195="후보"</formula>
    </cfRule>
  </conditionalFormatting>
  <conditionalFormatting sqref="AC195 N195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AV196">
    <cfRule type="expression" priority="918" dxfId="17">
      <formula>AV196="X"</formula>
    </cfRule>
    <cfRule type="expression" priority="919" dxfId="16">
      <formula>AV196="후보"</formula>
    </cfRule>
  </conditionalFormatting>
  <conditionalFormatting sqref="AC196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196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196">
    <cfRule type="expression" priority="909" dxfId="3">
      <formula>AND(IF(OR($Q196=1,$Q196=2),1,0),IF($X196&lt;=20,1,0))</formula>
    </cfRule>
    <cfRule type="expression" priority="910" dxfId="2">
      <formula>AND(IF($Q196=2,1,0),IF($X196&lt;30,1,0))</formula>
    </cfRule>
    <cfRule type="expression" priority="911" dxfId="1">
      <formula>AND(IF($Q196=3,1,0),IF($X196&lt;30,1,0))</formula>
    </cfRule>
    <cfRule type="expression" priority="912" dxfId="0">
      <formula>AND(IF($Q196=3,1,IF($Q196=4,1,0)),IF($F196&lt;=85,1,0))</formula>
    </cfRule>
  </conditionalFormatting>
  <conditionalFormatting sqref="X196">
    <cfRule type="expression" priority="905" dxfId="3">
      <formula>AND(IF(OR($Q196=1,$Q196=2),1,0),IF($X196&lt;=20,1,0))</formula>
    </cfRule>
    <cfRule type="expression" priority="906" dxfId="2">
      <formula>AND(IF($Q196=2,1,0),IF($X196&lt;30,1,0))</formula>
    </cfRule>
    <cfRule type="expression" priority="907" dxfId="1">
      <formula>AND(IF($Q196=3,1,0),IF($X196&lt;30,1,0))</formula>
    </cfRule>
    <cfRule type="expression" priority="908" dxfId="0">
      <formula>AND(IF($Q196=3,1,IF($Q196=4,1,0)),IF($F196&lt;=85,1,0))</formula>
    </cfRule>
  </conditionalFormatting>
  <conditionalFormatting sqref="AI196">
    <cfRule type="expression" priority="901" dxfId="3">
      <formula>AND(IF(OR($Q196=1,$Q196=2),1,0),IF($X196&lt;=20,1,0))</formula>
    </cfRule>
    <cfRule type="expression" priority="902" dxfId="2">
      <formula>AND(IF($Q196=2,1,0),IF($X196&lt;30,1,0))</formula>
    </cfRule>
    <cfRule type="expression" priority="903" dxfId="1">
      <formula>AND(IF($Q196=3,1,0),IF($X196&lt;30,1,0))</formula>
    </cfRule>
    <cfRule type="expression" priority="904" dxfId="0">
      <formula>AND(IF($Q196=3,1,IF($Q196=4,1,0)),IF($F196&lt;=85,1,0))</formula>
    </cfRule>
  </conditionalFormatting>
  <conditionalFormatting sqref="AV197">
    <cfRule type="expression" priority="899" dxfId="17">
      <formula>AV197="X"</formula>
    </cfRule>
    <cfRule type="expression" priority="900" dxfId="16">
      <formula>AV197="후보"</formula>
    </cfRule>
  </conditionalFormatting>
  <conditionalFormatting sqref="AC197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197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197">
    <cfRule type="expression" priority="890" dxfId="3">
      <formula>AND(IF(OR($Q197=1,$Q197=2),1,0),IF($X197&lt;=20,1,0))</formula>
    </cfRule>
    <cfRule type="expression" priority="891" dxfId="2">
      <formula>AND(IF($Q197=2,1,0),IF($X197&lt;30,1,0))</formula>
    </cfRule>
    <cfRule type="expression" priority="892" dxfId="1">
      <formula>AND(IF($Q197=3,1,0),IF($X197&lt;30,1,0))</formula>
    </cfRule>
    <cfRule type="expression" priority="893" dxfId="0">
      <formula>AND(IF($Q197=3,1,IF($Q197=4,1,0)),IF($F197&lt;=85,1,0))</formula>
    </cfRule>
  </conditionalFormatting>
  <conditionalFormatting sqref="X197">
    <cfRule type="expression" priority="886" dxfId="3">
      <formula>AND(IF(OR($Q197=1,$Q197=2),1,0),IF($X197&lt;=20,1,0))</formula>
    </cfRule>
    <cfRule type="expression" priority="887" dxfId="2">
      <formula>AND(IF($Q197=2,1,0),IF($X197&lt;30,1,0))</formula>
    </cfRule>
    <cfRule type="expression" priority="888" dxfId="1">
      <formula>AND(IF($Q197=3,1,0),IF($X197&lt;30,1,0))</formula>
    </cfRule>
    <cfRule type="expression" priority="889" dxfId="0">
      <formula>AND(IF($Q197=3,1,IF($Q197=4,1,0)),IF($F197&lt;=85,1,0))</formula>
    </cfRule>
  </conditionalFormatting>
  <conditionalFormatting sqref="AI197">
    <cfRule type="expression" priority="882" dxfId="3">
      <formula>AND(IF(OR($Q197=1,$Q197=2),1,0),IF($X197&lt;=20,1,0))</formula>
    </cfRule>
    <cfRule type="expression" priority="883" dxfId="2">
      <formula>AND(IF($Q197=2,1,0),IF($X197&lt;30,1,0))</formula>
    </cfRule>
    <cfRule type="expression" priority="884" dxfId="1">
      <formula>AND(IF($Q197=3,1,0),IF($X197&lt;30,1,0))</formula>
    </cfRule>
    <cfRule type="expression" priority="885" dxfId="0">
      <formula>AND(IF($Q197=3,1,IF($Q197=4,1,0)),IF($F197&lt;=85,1,0))</formula>
    </cfRule>
  </conditionalFormatting>
  <conditionalFormatting sqref="AV198">
    <cfRule type="expression" priority="880" dxfId="17">
      <formula>AV198="X"</formula>
    </cfRule>
    <cfRule type="expression" priority="881" dxfId="16">
      <formula>AV198="후보"</formula>
    </cfRule>
  </conditionalFormatting>
  <conditionalFormatting sqref="AC198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198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198">
    <cfRule type="expression" priority="871" dxfId="3">
      <formula>AND(IF(OR($Q198=1,$Q198=2),1,0),IF($X198&lt;=20,1,0))</formula>
    </cfRule>
    <cfRule type="expression" priority="872" dxfId="2">
      <formula>AND(IF($Q198=2,1,0),IF($X198&lt;30,1,0))</formula>
    </cfRule>
    <cfRule type="expression" priority="873" dxfId="1">
      <formula>AND(IF($Q198=3,1,0),IF($X198&lt;30,1,0))</formula>
    </cfRule>
    <cfRule type="expression" priority="874" dxfId="0">
      <formula>AND(IF($Q198=3,1,IF($Q198=4,1,0)),IF($F198&lt;=85,1,0))</formula>
    </cfRule>
  </conditionalFormatting>
  <conditionalFormatting sqref="X198">
    <cfRule type="expression" priority="867" dxfId="3">
      <formula>AND(IF(OR($Q198=1,$Q198=2),1,0),IF($X198&lt;=20,1,0))</formula>
    </cfRule>
    <cfRule type="expression" priority="868" dxfId="2">
      <formula>AND(IF($Q198=2,1,0),IF($X198&lt;30,1,0))</formula>
    </cfRule>
    <cfRule type="expression" priority="869" dxfId="1">
      <formula>AND(IF($Q198=3,1,0),IF($X198&lt;30,1,0))</formula>
    </cfRule>
    <cfRule type="expression" priority="870" dxfId="0">
      <formula>AND(IF($Q198=3,1,IF($Q198=4,1,0)),IF($F198&lt;=85,1,0))</formula>
    </cfRule>
  </conditionalFormatting>
  <conditionalFormatting sqref="AI198">
    <cfRule type="expression" priority="863" dxfId="3">
      <formula>AND(IF(OR($Q198=1,$Q198=2),1,0),IF($X198&lt;=20,1,0))</formula>
    </cfRule>
    <cfRule type="expression" priority="864" dxfId="2">
      <formula>AND(IF($Q198=2,1,0),IF($X198&lt;30,1,0))</formula>
    </cfRule>
    <cfRule type="expression" priority="865" dxfId="1">
      <formula>AND(IF($Q198=3,1,0),IF($X198&lt;30,1,0))</formula>
    </cfRule>
    <cfRule type="expression" priority="866" dxfId="0">
      <formula>AND(IF($Q198=3,1,IF($Q198=4,1,0)),IF($F198&lt;=85,1,0))</formula>
    </cfRule>
  </conditionalFormatting>
  <conditionalFormatting sqref="AV199">
    <cfRule type="expression" priority="861" dxfId="17">
      <formula>AV199="X"</formula>
    </cfRule>
    <cfRule type="expression" priority="862" dxfId="16">
      <formula>AV199="후보"</formula>
    </cfRule>
  </conditionalFormatting>
  <conditionalFormatting sqref="AC199 N199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AV200">
    <cfRule type="expression" priority="856" dxfId="17">
      <formula>AV200="X"</formula>
    </cfRule>
    <cfRule type="expression" priority="857" dxfId="16">
      <formula>AV200="후보"</formula>
    </cfRule>
  </conditionalFormatting>
  <conditionalFormatting sqref="AC200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200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200">
    <cfRule type="expression" priority="847" dxfId="3">
      <formula>AND(IF(OR($Q200=1,$Q200=2),1,0),IF($X200&lt;=20,1,0))</formula>
    </cfRule>
    <cfRule type="expression" priority="848" dxfId="2">
      <formula>AND(IF($Q200=2,1,0),IF($X200&lt;30,1,0))</formula>
    </cfRule>
    <cfRule type="expression" priority="849" dxfId="1">
      <formula>AND(IF($Q200=3,1,0),IF($X200&lt;30,1,0))</formula>
    </cfRule>
    <cfRule type="expression" priority="850" dxfId="0">
      <formula>AND(IF($Q200=3,1,IF($Q200=4,1,0)),IF($F200&lt;=85,1,0))</formula>
    </cfRule>
  </conditionalFormatting>
  <conditionalFormatting sqref="X200">
    <cfRule type="expression" priority="843" dxfId="3">
      <formula>AND(IF(OR($Q200=1,$Q200=2),1,0),IF($X200&lt;=20,1,0))</formula>
    </cfRule>
    <cfRule type="expression" priority="844" dxfId="2">
      <formula>AND(IF($Q200=2,1,0),IF($X200&lt;30,1,0))</formula>
    </cfRule>
    <cfRule type="expression" priority="845" dxfId="1">
      <formula>AND(IF($Q200=3,1,0),IF($X200&lt;30,1,0))</formula>
    </cfRule>
    <cfRule type="expression" priority="846" dxfId="0">
      <formula>AND(IF($Q200=3,1,IF($Q200=4,1,0)),IF($F200&lt;=85,1,0))</formula>
    </cfRule>
  </conditionalFormatting>
  <conditionalFormatting sqref="AI200">
    <cfRule type="expression" priority="839" dxfId="3">
      <formula>AND(IF(OR($Q200=1,$Q200=2),1,0),IF($X200&lt;=20,1,0))</formula>
    </cfRule>
    <cfRule type="expression" priority="840" dxfId="2">
      <formula>AND(IF($Q200=2,1,0),IF($X200&lt;30,1,0))</formula>
    </cfRule>
    <cfRule type="expression" priority="841" dxfId="1">
      <formula>AND(IF($Q200=3,1,0),IF($X200&lt;30,1,0))</formula>
    </cfRule>
    <cfRule type="expression" priority="842" dxfId="0">
      <formula>AND(IF($Q200=3,1,IF($Q200=4,1,0)),IF($F200&lt;=85,1,0))</formula>
    </cfRule>
  </conditionalFormatting>
  <conditionalFormatting sqref="AV201">
    <cfRule type="expression" priority="837" dxfId="17">
      <formula>AV201="X"</formula>
    </cfRule>
    <cfRule type="expression" priority="838" dxfId="16">
      <formula>AV201="후보"</formula>
    </cfRule>
  </conditionalFormatting>
  <conditionalFormatting sqref="AC201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201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201">
    <cfRule type="expression" priority="828" dxfId="3">
      <formula>AND(IF(OR($Q201=1,$Q201=2),1,0),IF($X201&lt;=20,1,0))</formula>
    </cfRule>
    <cfRule type="expression" priority="829" dxfId="2">
      <formula>AND(IF($Q201=2,1,0),IF($X201&lt;30,1,0))</formula>
    </cfRule>
    <cfRule type="expression" priority="830" dxfId="1">
      <formula>AND(IF($Q201=3,1,0),IF($X201&lt;30,1,0))</formula>
    </cfRule>
    <cfRule type="expression" priority="831" dxfId="0">
      <formula>AND(IF($Q201=3,1,IF($Q201=4,1,0)),IF($F201&lt;=85,1,0))</formula>
    </cfRule>
  </conditionalFormatting>
  <conditionalFormatting sqref="X201">
    <cfRule type="expression" priority="824" dxfId="3">
      <formula>AND(IF(OR($Q201=1,$Q201=2),1,0),IF($X201&lt;=20,1,0))</formula>
    </cfRule>
    <cfRule type="expression" priority="825" dxfId="2">
      <formula>AND(IF($Q201=2,1,0),IF($X201&lt;30,1,0))</formula>
    </cfRule>
    <cfRule type="expression" priority="826" dxfId="1">
      <formula>AND(IF($Q201=3,1,0),IF($X201&lt;30,1,0))</formula>
    </cfRule>
    <cfRule type="expression" priority="827" dxfId="0">
      <formula>AND(IF($Q201=3,1,IF($Q201=4,1,0)),IF($F201&lt;=85,1,0))</formula>
    </cfRule>
  </conditionalFormatting>
  <conditionalFormatting sqref="AI201">
    <cfRule type="expression" priority="820" dxfId="3">
      <formula>AND(IF(OR($Q201=1,$Q201=2),1,0),IF($X201&lt;=20,1,0))</formula>
    </cfRule>
    <cfRule type="expression" priority="821" dxfId="2">
      <formula>AND(IF($Q201=2,1,0),IF($X201&lt;30,1,0))</formula>
    </cfRule>
    <cfRule type="expression" priority="822" dxfId="1">
      <formula>AND(IF($Q201=3,1,0),IF($X201&lt;30,1,0))</formula>
    </cfRule>
    <cfRule type="expression" priority="823" dxfId="0">
      <formula>AND(IF($Q201=3,1,IF($Q201=4,1,0)),IF($F201&lt;=85,1,0))</formula>
    </cfRule>
  </conditionalFormatting>
  <conditionalFormatting sqref="AV202">
    <cfRule type="expression" priority="818" dxfId="17">
      <formula>AV202="X"</formula>
    </cfRule>
    <cfRule type="expression" priority="819" dxfId="16">
      <formula>AV202="후보"</formula>
    </cfRule>
  </conditionalFormatting>
  <conditionalFormatting sqref="AC202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202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202">
    <cfRule type="expression" priority="809" dxfId="3">
      <formula>AND(IF(OR($Q202=1,$Q202=2),1,0),IF($X202&lt;=20,1,0))</formula>
    </cfRule>
    <cfRule type="expression" priority="810" dxfId="2">
      <formula>AND(IF($Q202=2,1,0),IF($X202&lt;30,1,0))</formula>
    </cfRule>
    <cfRule type="expression" priority="811" dxfId="1">
      <formula>AND(IF($Q202=3,1,0),IF($X202&lt;30,1,0))</formula>
    </cfRule>
    <cfRule type="expression" priority="812" dxfId="0">
      <formula>AND(IF($Q202=3,1,IF($Q202=4,1,0)),IF($F202&lt;=85,1,0))</formula>
    </cfRule>
  </conditionalFormatting>
  <conditionalFormatting sqref="X202">
    <cfRule type="expression" priority="805" dxfId="3">
      <formula>AND(IF(OR($Q202=1,$Q202=2),1,0),IF($X202&lt;=20,1,0))</formula>
    </cfRule>
    <cfRule type="expression" priority="806" dxfId="2">
      <formula>AND(IF($Q202=2,1,0),IF($X202&lt;30,1,0))</formula>
    </cfRule>
    <cfRule type="expression" priority="807" dxfId="1">
      <formula>AND(IF($Q202=3,1,0),IF($X202&lt;30,1,0))</formula>
    </cfRule>
    <cfRule type="expression" priority="808" dxfId="0">
      <formula>AND(IF($Q202=3,1,IF($Q202=4,1,0)),IF($F202&lt;=85,1,0))</formula>
    </cfRule>
  </conditionalFormatting>
  <conditionalFormatting sqref="AI202">
    <cfRule type="expression" priority="801" dxfId="3">
      <formula>AND(IF(OR($Q202=1,$Q202=2),1,0),IF($X202&lt;=20,1,0))</formula>
    </cfRule>
    <cfRule type="expression" priority="802" dxfId="2">
      <formula>AND(IF($Q202=2,1,0),IF($X202&lt;30,1,0))</formula>
    </cfRule>
    <cfRule type="expression" priority="803" dxfId="1">
      <formula>AND(IF($Q202=3,1,0),IF($X202&lt;30,1,0))</formula>
    </cfRule>
    <cfRule type="expression" priority="804" dxfId="0">
      <formula>AND(IF($Q202=3,1,IF($Q202=4,1,0)),IF($F202&lt;=85,1,0))</formula>
    </cfRule>
  </conditionalFormatting>
  <conditionalFormatting sqref="AV203">
    <cfRule type="expression" priority="799" dxfId="17">
      <formula>AV203="X"</formula>
    </cfRule>
    <cfRule type="expression" priority="800" dxfId="16">
      <formula>AV203="후보"</formula>
    </cfRule>
  </conditionalFormatting>
  <conditionalFormatting sqref="AC203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203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203">
    <cfRule type="expression" priority="790" dxfId="3">
      <formula>AND(IF(OR($Q203=1,$Q203=2),1,0),IF($X203&lt;=20,1,0))</formula>
    </cfRule>
    <cfRule type="expression" priority="791" dxfId="2">
      <formula>AND(IF($Q203=2,1,0),IF($X203&lt;30,1,0))</formula>
    </cfRule>
    <cfRule type="expression" priority="792" dxfId="1">
      <formula>AND(IF($Q203=3,1,0),IF($X203&lt;30,1,0))</formula>
    </cfRule>
    <cfRule type="expression" priority="793" dxfId="0">
      <formula>AND(IF($Q203=3,1,IF($Q203=4,1,0)),IF($F203&lt;=85,1,0))</formula>
    </cfRule>
  </conditionalFormatting>
  <conditionalFormatting sqref="X203">
    <cfRule type="expression" priority="786" dxfId="3">
      <formula>AND(IF(OR($Q203=1,$Q203=2),1,0),IF($X203&lt;=20,1,0))</formula>
    </cfRule>
    <cfRule type="expression" priority="787" dxfId="2">
      <formula>AND(IF($Q203=2,1,0),IF($X203&lt;30,1,0))</formula>
    </cfRule>
    <cfRule type="expression" priority="788" dxfId="1">
      <formula>AND(IF($Q203=3,1,0),IF($X203&lt;30,1,0))</formula>
    </cfRule>
    <cfRule type="expression" priority="789" dxfId="0">
      <formula>AND(IF($Q203=3,1,IF($Q203=4,1,0)),IF($F203&lt;=85,1,0))</formula>
    </cfRule>
  </conditionalFormatting>
  <conditionalFormatting sqref="AI203">
    <cfRule type="expression" priority="782" dxfId="3">
      <formula>AND(IF(OR($Q203=1,$Q203=2),1,0),IF($X203&lt;=20,1,0))</formula>
    </cfRule>
    <cfRule type="expression" priority="783" dxfId="2">
      <formula>AND(IF($Q203=2,1,0),IF($X203&lt;30,1,0))</formula>
    </cfRule>
    <cfRule type="expression" priority="784" dxfId="1">
      <formula>AND(IF($Q203=3,1,0),IF($X203&lt;30,1,0))</formula>
    </cfRule>
    <cfRule type="expression" priority="785" dxfId="0">
      <formula>AND(IF($Q203=3,1,IF($Q203=4,1,0)),IF($F203&lt;=85,1,0))</formula>
    </cfRule>
  </conditionalFormatting>
  <conditionalFormatting sqref="AV204">
    <cfRule type="expression" priority="780" dxfId="17">
      <formula>AV204="X"</formula>
    </cfRule>
    <cfRule type="expression" priority="781" dxfId="16">
      <formula>AV204="후보"</formula>
    </cfRule>
  </conditionalFormatting>
  <conditionalFormatting sqref="AC204 N204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AV205">
    <cfRule type="expression" priority="775" dxfId="17">
      <formula>AV205="X"</formula>
    </cfRule>
    <cfRule type="expression" priority="776" dxfId="16">
      <formula>AV205="후보"</formula>
    </cfRule>
  </conditionalFormatting>
  <conditionalFormatting sqref="AC205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205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205">
    <cfRule type="expression" priority="766" dxfId="3">
      <formula>AND(IF(OR($Q205=1,$Q205=2),1,0),IF($X205&lt;=20,1,0))</formula>
    </cfRule>
    <cfRule type="expression" priority="767" dxfId="2">
      <formula>AND(IF($Q205=2,1,0),IF($X205&lt;30,1,0))</formula>
    </cfRule>
    <cfRule type="expression" priority="768" dxfId="1">
      <formula>AND(IF($Q205=3,1,0),IF($X205&lt;30,1,0))</formula>
    </cfRule>
    <cfRule type="expression" priority="769" dxfId="0">
      <formula>AND(IF($Q205=3,1,IF($Q205=4,1,0)),IF($F205&lt;=85,1,0))</formula>
    </cfRule>
  </conditionalFormatting>
  <conditionalFormatting sqref="X205">
    <cfRule type="expression" priority="762" dxfId="3">
      <formula>AND(IF(OR($Q205=1,$Q205=2),1,0),IF($X205&lt;=20,1,0))</formula>
    </cfRule>
    <cfRule type="expression" priority="763" dxfId="2">
      <formula>AND(IF($Q205=2,1,0),IF($X205&lt;30,1,0))</formula>
    </cfRule>
    <cfRule type="expression" priority="764" dxfId="1">
      <formula>AND(IF($Q205=3,1,0),IF($X205&lt;30,1,0))</formula>
    </cfRule>
    <cfRule type="expression" priority="765" dxfId="0">
      <formula>AND(IF($Q205=3,1,IF($Q205=4,1,0)),IF($F205&lt;=85,1,0))</formula>
    </cfRule>
  </conditionalFormatting>
  <conditionalFormatting sqref="AI205">
    <cfRule type="expression" priority="758" dxfId="3">
      <formula>AND(IF(OR($Q205=1,$Q205=2),1,0),IF($X205&lt;=20,1,0))</formula>
    </cfRule>
    <cfRule type="expression" priority="759" dxfId="2">
      <formula>AND(IF($Q205=2,1,0),IF($X205&lt;30,1,0))</formula>
    </cfRule>
    <cfRule type="expression" priority="760" dxfId="1">
      <formula>AND(IF($Q205=3,1,0),IF($X205&lt;30,1,0))</formula>
    </cfRule>
    <cfRule type="expression" priority="761" dxfId="0">
      <formula>AND(IF($Q205=3,1,IF($Q205=4,1,0)),IF($F205&lt;=85,1,0))</formula>
    </cfRule>
  </conditionalFormatting>
  <conditionalFormatting sqref="AV206">
    <cfRule type="expression" priority="756" dxfId="17">
      <formula>AV206="X"</formula>
    </cfRule>
    <cfRule type="expression" priority="757" dxfId="16">
      <formula>AV206="후보"</formula>
    </cfRule>
  </conditionalFormatting>
  <conditionalFormatting sqref="AC206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206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206">
    <cfRule type="expression" priority="747" dxfId="3">
      <formula>AND(IF(OR($Q206=1,$Q206=2),1,0),IF($X206&lt;=20,1,0))</formula>
    </cfRule>
    <cfRule type="expression" priority="748" dxfId="2">
      <formula>AND(IF($Q206=2,1,0),IF($X206&lt;30,1,0))</formula>
    </cfRule>
    <cfRule type="expression" priority="749" dxfId="1">
      <formula>AND(IF($Q206=3,1,0),IF($X206&lt;30,1,0))</formula>
    </cfRule>
    <cfRule type="expression" priority="750" dxfId="0">
      <formula>AND(IF($Q206=3,1,IF($Q206=4,1,0)),IF($F206&lt;=85,1,0))</formula>
    </cfRule>
  </conditionalFormatting>
  <conditionalFormatting sqref="X206">
    <cfRule type="expression" priority="743" dxfId="3">
      <formula>AND(IF(OR($Q206=1,$Q206=2),1,0),IF($X206&lt;=20,1,0))</formula>
    </cfRule>
    <cfRule type="expression" priority="744" dxfId="2">
      <formula>AND(IF($Q206=2,1,0),IF($X206&lt;30,1,0))</formula>
    </cfRule>
    <cfRule type="expression" priority="745" dxfId="1">
      <formula>AND(IF($Q206=3,1,0),IF($X206&lt;30,1,0))</formula>
    </cfRule>
    <cfRule type="expression" priority="746" dxfId="0">
      <formula>AND(IF($Q206=3,1,IF($Q206=4,1,0)),IF($F206&lt;=85,1,0))</formula>
    </cfRule>
  </conditionalFormatting>
  <conditionalFormatting sqref="AI206">
    <cfRule type="expression" priority="739" dxfId="3">
      <formula>AND(IF(OR($Q206=1,$Q206=2),1,0),IF($X206&lt;=20,1,0))</formula>
    </cfRule>
    <cfRule type="expression" priority="740" dxfId="2">
      <formula>AND(IF($Q206=2,1,0),IF($X206&lt;30,1,0))</formula>
    </cfRule>
    <cfRule type="expression" priority="741" dxfId="1">
      <formula>AND(IF($Q206=3,1,0),IF($X206&lt;30,1,0))</formula>
    </cfRule>
    <cfRule type="expression" priority="742" dxfId="0">
      <formula>AND(IF($Q206=3,1,IF($Q206=4,1,0)),IF($F206&lt;=85,1,0))</formula>
    </cfRule>
  </conditionalFormatting>
  <conditionalFormatting sqref="AV207">
    <cfRule type="expression" priority="737" dxfId="17">
      <formula>AV207="X"</formula>
    </cfRule>
    <cfRule type="expression" priority="738" dxfId="16">
      <formula>AV207="후보"</formula>
    </cfRule>
  </conditionalFormatting>
  <conditionalFormatting sqref="AC207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207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207">
    <cfRule type="expression" priority="728" dxfId="3">
      <formula>AND(IF(OR($Q207=1,$Q207=2),1,0),IF($X207&lt;=20,1,0))</formula>
    </cfRule>
    <cfRule type="expression" priority="729" dxfId="2">
      <formula>AND(IF($Q207=2,1,0),IF($X207&lt;30,1,0))</formula>
    </cfRule>
    <cfRule type="expression" priority="730" dxfId="1">
      <formula>AND(IF($Q207=3,1,0),IF($X207&lt;30,1,0))</formula>
    </cfRule>
    <cfRule type="expression" priority="731" dxfId="0">
      <formula>AND(IF($Q207=3,1,IF($Q207=4,1,0)),IF($F207&lt;=85,1,0))</formula>
    </cfRule>
  </conditionalFormatting>
  <conditionalFormatting sqref="X207">
    <cfRule type="expression" priority="724" dxfId="3">
      <formula>AND(IF(OR($Q207=1,$Q207=2),1,0),IF($X207&lt;=20,1,0))</formula>
    </cfRule>
    <cfRule type="expression" priority="725" dxfId="2">
      <formula>AND(IF($Q207=2,1,0),IF($X207&lt;30,1,0))</formula>
    </cfRule>
    <cfRule type="expression" priority="726" dxfId="1">
      <formula>AND(IF($Q207=3,1,0),IF($X207&lt;30,1,0))</formula>
    </cfRule>
    <cfRule type="expression" priority="727" dxfId="0">
      <formula>AND(IF($Q207=3,1,IF($Q207=4,1,0)),IF($F207&lt;=85,1,0))</formula>
    </cfRule>
  </conditionalFormatting>
  <conditionalFormatting sqref="AI207">
    <cfRule type="expression" priority="720" dxfId="3">
      <formula>AND(IF(OR($Q207=1,$Q207=2),1,0),IF($X207&lt;=20,1,0))</formula>
    </cfRule>
    <cfRule type="expression" priority="721" dxfId="2">
      <formula>AND(IF($Q207=2,1,0),IF($X207&lt;30,1,0))</formula>
    </cfRule>
    <cfRule type="expression" priority="722" dxfId="1">
      <formula>AND(IF($Q207=3,1,0),IF($X207&lt;30,1,0))</formula>
    </cfRule>
    <cfRule type="expression" priority="723" dxfId="0">
      <formula>AND(IF($Q207=3,1,IF($Q207=4,1,0)),IF($F207&lt;=85,1,0))</formula>
    </cfRule>
  </conditionalFormatting>
  <conditionalFormatting sqref="AV208">
    <cfRule type="expression" priority="718" dxfId="17">
      <formula>AV208="X"</formula>
    </cfRule>
    <cfRule type="expression" priority="719" dxfId="16">
      <formula>AV208="후보"</formula>
    </cfRule>
  </conditionalFormatting>
  <conditionalFormatting sqref="AC208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08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208">
    <cfRule type="expression" priority="709" dxfId="3">
      <formula>AND(IF(OR($Q208=1,$Q208=2),1,0),IF($X208&lt;=20,1,0))</formula>
    </cfRule>
    <cfRule type="expression" priority="710" dxfId="2">
      <formula>AND(IF($Q208=2,1,0),IF($X208&lt;30,1,0))</formula>
    </cfRule>
    <cfRule type="expression" priority="711" dxfId="1">
      <formula>AND(IF($Q208=3,1,0),IF($X208&lt;30,1,0))</formula>
    </cfRule>
    <cfRule type="expression" priority="712" dxfId="0">
      <formula>AND(IF($Q208=3,1,IF($Q208=4,1,0)),IF($F208&lt;=85,1,0))</formula>
    </cfRule>
  </conditionalFormatting>
  <conditionalFormatting sqref="X208">
    <cfRule type="expression" priority="705" dxfId="3">
      <formula>AND(IF(OR($Q208=1,$Q208=2),1,0),IF($X208&lt;=20,1,0))</formula>
    </cfRule>
    <cfRule type="expression" priority="706" dxfId="2">
      <formula>AND(IF($Q208=2,1,0),IF($X208&lt;30,1,0))</formula>
    </cfRule>
    <cfRule type="expression" priority="707" dxfId="1">
      <formula>AND(IF($Q208=3,1,0),IF($X208&lt;30,1,0))</formula>
    </cfRule>
    <cfRule type="expression" priority="708" dxfId="0">
      <formula>AND(IF($Q208=3,1,IF($Q208=4,1,0)),IF($F208&lt;=85,1,0))</formula>
    </cfRule>
  </conditionalFormatting>
  <conditionalFormatting sqref="AI208">
    <cfRule type="expression" priority="701" dxfId="3">
      <formula>AND(IF(OR($Q208=1,$Q208=2),1,0),IF($X208&lt;=20,1,0))</formula>
    </cfRule>
    <cfRule type="expression" priority="702" dxfId="2">
      <formula>AND(IF($Q208=2,1,0),IF($X208&lt;30,1,0))</formula>
    </cfRule>
    <cfRule type="expression" priority="703" dxfId="1">
      <formula>AND(IF($Q208=3,1,0),IF($X208&lt;30,1,0))</formula>
    </cfRule>
    <cfRule type="expression" priority="704" dxfId="0">
      <formula>AND(IF($Q208=3,1,IF($Q208=4,1,0)),IF($F208&lt;=85,1,0))</formula>
    </cfRule>
  </conditionalFormatting>
  <conditionalFormatting sqref="AV209">
    <cfRule type="expression" priority="699" dxfId="17">
      <formula>AV209="X"</formula>
    </cfRule>
    <cfRule type="expression" priority="700" dxfId="16">
      <formula>AV209="후보"</formula>
    </cfRule>
  </conditionalFormatting>
  <conditionalFormatting sqref="AC209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209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209">
    <cfRule type="expression" priority="690" dxfId="3">
      <formula>AND(IF(OR($Q209=1,$Q209=2),1,0),IF($X209&lt;=20,1,0))</formula>
    </cfRule>
    <cfRule type="expression" priority="691" dxfId="2">
      <formula>AND(IF($Q209=2,1,0),IF($X209&lt;30,1,0))</formula>
    </cfRule>
    <cfRule type="expression" priority="692" dxfId="1">
      <formula>AND(IF($Q209=3,1,0),IF($X209&lt;30,1,0))</formula>
    </cfRule>
    <cfRule type="expression" priority="693" dxfId="0">
      <formula>AND(IF($Q209=3,1,IF($Q209=4,1,0)),IF($F209&lt;=85,1,0))</formula>
    </cfRule>
  </conditionalFormatting>
  <conditionalFormatting sqref="X209">
    <cfRule type="expression" priority="686" dxfId="3">
      <formula>AND(IF(OR($Q209=1,$Q209=2),1,0),IF($X209&lt;=20,1,0))</formula>
    </cfRule>
    <cfRule type="expression" priority="687" dxfId="2">
      <formula>AND(IF($Q209=2,1,0),IF($X209&lt;30,1,0))</formula>
    </cfRule>
    <cfRule type="expression" priority="688" dxfId="1">
      <formula>AND(IF($Q209=3,1,0),IF($X209&lt;30,1,0))</formula>
    </cfRule>
    <cfRule type="expression" priority="689" dxfId="0">
      <formula>AND(IF($Q209=3,1,IF($Q209=4,1,0)),IF($F209&lt;=85,1,0))</formula>
    </cfRule>
  </conditionalFormatting>
  <conditionalFormatting sqref="AI209">
    <cfRule type="expression" priority="682" dxfId="3">
      <formula>AND(IF(OR($Q209=1,$Q209=2),1,0),IF($X209&lt;=20,1,0))</formula>
    </cfRule>
    <cfRule type="expression" priority="683" dxfId="2">
      <formula>AND(IF($Q209=2,1,0),IF($X209&lt;30,1,0))</formula>
    </cfRule>
    <cfRule type="expression" priority="684" dxfId="1">
      <formula>AND(IF($Q209=3,1,0),IF($X209&lt;30,1,0))</formula>
    </cfRule>
    <cfRule type="expression" priority="685" dxfId="0">
      <formula>AND(IF($Q209=3,1,IF($Q209=4,1,0)),IF($F209&lt;=85,1,0))</formula>
    </cfRule>
  </conditionalFormatting>
  <conditionalFormatting sqref="AV210">
    <cfRule type="expression" priority="680" dxfId="17">
      <formula>AV210="X"</formula>
    </cfRule>
    <cfRule type="expression" priority="681" dxfId="16">
      <formula>AV210="후보"</formula>
    </cfRule>
  </conditionalFormatting>
  <conditionalFormatting sqref="AC210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210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210">
    <cfRule type="expression" priority="671" dxfId="3">
      <formula>AND(IF(OR($Q210=1,$Q210=2),1,0),IF($X210&lt;=20,1,0))</formula>
    </cfRule>
    <cfRule type="expression" priority="672" dxfId="2">
      <formula>AND(IF($Q210=2,1,0),IF($X210&lt;30,1,0))</formula>
    </cfRule>
    <cfRule type="expression" priority="673" dxfId="1">
      <formula>AND(IF($Q210=3,1,0),IF($X210&lt;30,1,0))</formula>
    </cfRule>
    <cfRule type="expression" priority="674" dxfId="0">
      <formula>AND(IF($Q210=3,1,IF($Q210=4,1,0)),IF($F210&lt;=85,1,0))</formula>
    </cfRule>
  </conditionalFormatting>
  <conditionalFormatting sqref="X210">
    <cfRule type="expression" priority="667" dxfId="3">
      <formula>AND(IF(OR($Q210=1,$Q210=2),1,0),IF($X210&lt;=20,1,0))</formula>
    </cfRule>
    <cfRule type="expression" priority="668" dxfId="2">
      <formula>AND(IF($Q210=2,1,0),IF($X210&lt;30,1,0))</formula>
    </cfRule>
    <cfRule type="expression" priority="669" dxfId="1">
      <formula>AND(IF($Q210=3,1,0),IF($X210&lt;30,1,0))</formula>
    </cfRule>
    <cfRule type="expression" priority="670" dxfId="0">
      <formula>AND(IF($Q210=3,1,IF($Q210=4,1,0)),IF($F210&lt;=85,1,0))</formula>
    </cfRule>
  </conditionalFormatting>
  <conditionalFormatting sqref="AI210">
    <cfRule type="expression" priority="663" dxfId="3">
      <formula>AND(IF(OR($Q210=1,$Q210=2),1,0),IF($X210&lt;=20,1,0))</formula>
    </cfRule>
    <cfRule type="expression" priority="664" dxfId="2">
      <formula>AND(IF($Q210=2,1,0),IF($X210&lt;30,1,0))</formula>
    </cfRule>
    <cfRule type="expression" priority="665" dxfId="1">
      <formula>AND(IF($Q210=3,1,0),IF($X210&lt;30,1,0))</formula>
    </cfRule>
    <cfRule type="expression" priority="666" dxfId="0">
      <formula>AND(IF($Q210=3,1,IF($Q210=4,1,0)),IF($F210&lt;=85,1,0))</formula>
    </cfRule>
  </conditionalFormatting>
  <conditionalFormatting sqref="AV211">
    <cfRule type="expression" priority="661" dxfId="17">
      <formula>AV211="X"</formula>
    </cfRule>
    <cfRule type="expression" priority="662" dxfId="16">
      <formula>AV211="후보"</formula>
    </cfRule>
  </conditionalFormatting>
  <conditionalFormatting sqref="AC211 N211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AV212">
    <cfRule type="expression" priority="656" dxfId="17">
      <formula>AV212="X"</formula>
    </cfRule>
    <cfRule type="expression" priority="657" dxfId="16">
      <formula>AV212="후보"</formula>
    </cfRule>
  </conditionalFormatting>
  <conditionalFormatting sqref="AC212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212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212">
    <cfRule type="expression" priority="647" dxfId="3">
      <formula>AND(IF(OR($Q212=1,$Q212=2),1,0),IF($X212&lt;=20,1,0))</formula>
    </cfRule>
    <cfRule type="expression" priority="648" dxfId="2">
      <formula>AND(IF($Q212=2,1,0),IF($X212&lt;30,1,0))</formula>
    </cfRule>
    <cfRule type="expression" priority="649" dxfId="1">
      <formula>AND(IF($Q212=3,1,0),IF($X212&lt;30,1,0))</formula>
    </cfRule>
    <cfRule type="expression" priority="650" dxfId="0">
      <formula>AND(IF($Q212=3,1,IF($Q212=4,1,0)),IF($F212&lt;=85,1,0))</formula>
    </cfRule>
  </conditionalFormatting>
  <conditionalFormatting sqref="X212">
    <cfRule type="expression" priority="643" dxfId="3">
      <formula>AND(IF(OR($Q212=1,$Q212=2),1,0),IF($X212&lt;=20,1,0))</formula>
    </cfRule>
    <cfRule type="expression" priority="644" dxfId="2">
      <formula>AND(IF($Q212=2,1,0),IF($X212&lt;30,1,0))</formula>
    </cfRule>
    <cfRule type="expression" priority="645" dxfId="1">
      <formula>AND(IF($Q212=3,1,0),IF($X212&lt;30,1,0))</formula>
    </cfRule>
    <cfRule type="expression" priority="646" dxfId="0">
      <formula>AND(IF($Q212=3,1,IF($Q212=4,1,0)),IF($F212&lt;=85,1,0))</formula>
    </cfRule>
  </conditionalFormatting>
  <conditionalFormatting sqref="AI212">
    <cfRule type="expression" priority="639" dxfId="3">
      <formula>AND(IF(OR($Q212=1,$Q212=2),1,0),IF($X212&lt;=20,1,0))</formula>
    </cfRule>
    <cfRule type="expression" priority="640" dxfId="2">
      <formula>AND(IF($Q212=2,1,0),IF($X212&lt;30,1,0))</formula>
    </cfRule>
    <cfRule type="expression" priority="641" dxfId="1">
      <formula>AND(IF($Q212=3,1,0),IF($X212&lt;30,1,0))</formula>
    </cfRule>
    <cfRule type="expression" priority="642" dxfId="0">
      <formula>AND(IF($Q212=3,1,IF($Q212=4,1,0)),IF($F212&lt;=85,1,0))</formula>
    </cfRule>
  </conditionalFormatting>
  <conditionalFormatting sqref="AV213">
    <cfRule type="expression" priority="637" dxfId="17">
      <formula>AV213="X"</formula>
    </cfRule>
    <cfRule type="expression" priority="638" dxfId="16">
      <formula>AV213="후보"</formula>
    </cfRule>
  </conditionalFormatting>
  <conditionalFormatting sqref="AC213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213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213">
    <cfRule type="expression" priority="628" dxfId="3">
      <formula>AND(IF(OR($Q213=1,$Q213=2),1,0),IF($X213&lt;=20,1,0))</formula>
    </cfRule>
    <cfRule type="expression" priority="629" dxfId="2">
      <formula>AND(IF($Q213=2,1,0),IF($X213&lt;30,1,0))</formula>
    </cfRule>
    <cfRule type="expression" priority="630" dxfId="1">
      <formula>AND(IF($Q213=3,1,0),IF($X213&lt;30,1,0))</formula>
    </cfRule>
    <cfRule type="expression" priority="631" dxfId="0">
      <formula>AND(IF($Q213=3,1,IF($Q213=4,1,0)),IF($F213&lt;=85,1,0))</formula>
    </cfRule>
  </conditionalFormatting>
  <conditionalFormatting sqref="X213">
    <cfRule type="expression" priority="624" dxfId="3">
      <formula>AND(IF(OR($Q213=1,$Q213=2),1,0),IF($X213&lt;=20,1,0))</formula>
    </cfRule>
    <cfRule type="expression" priority="625" dxfId="2">
      <formula>AND(IF($Q213=2,1,0),IF($X213&lt;30,1,0))</formula>
    </cfRule>
    <cfRule type="expression" priority="626" dxfId="1">
      <formula>AND(IF($Q213=3,1,0),IF($X213&lt;30,1,0))</formula>
    </cfRule>
    <cfRule type="expression" priority="627" dxfId="0">
      <formula>AND(IF($Q213=3,1,IF($Q213=4,1,0)),IF($F213&lt;=85,1,0))</formula>
    </cfRule>
  </conditionalFormatting>
  <conditionalFormatting sqref="AI213">
    <cfRule type="expression" priority="620" dxfId="3">
      <formula>AND(IF(OR($Q213=1,$Q213=2),1,0),IF($X213&lt;=20,1,0))</formula>
    </cfRule>
    <cfRule type="expression" priority="621" dxfId="2">
      <formula>AND(IF($Q213=2,1,0),IF($X213&lt;30,1,0))</formula>
    </cfRule>
    <cfRule type="expression" priority="622" dxfId="1">
      <formula>AND(IF($Q213=3,1,0),IF($X213&lt;30,1,0))</formula>
    </cfRule>
    <cfRule type="expression" priority="623" dxfId="0">
      <formula>AND(IF($Q213=3,1,IF($Q213=4,1,0)),IF($F213&lt;=85,1,0))</formula>
    </cfRule>
  </conditionalFormatting>
  <conditionalFormatting sqref="AV214">
    <cfRule type="expression" priority="618" dxfId="17">
      <formula>AV214="X"</formula>
    </cfRule>
    <cfRule type="expression" priority="619" dxfId="16">
      <formula>AV214="후보"</formula>
    </cfRule>
  </conditionalFormatting>
  <conditionalFormatting sqref="AC214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214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214">
    <cfRule type="expression" priority="609" dxfId="3">
      <formula>AND(IF(OR($Q214=1,$Q214=2),1,0),IF($X214&lt;=20,1,0))</formula>
    </cfRule>
    <cfRule type="expression" priority="610" dxfId="2">
      <formula>AND(IF($Q214=2,1,0),IF($X214&lt;30,1,0))</formula>
    </cfRule>
    <cfRule type="expression" priority="611" dxfId="1">
      <formula>AND(IF($Q214=3,1,0),IF($X214&lt;30,1,0))</formula>
    </cfRule>
    <cfRule type="expression" priority="612" dxfId="0">
      <formula>AND(IF($Q214=3,1,IF($Q214=4,1,0)),IF($F214&lt;=85,1,0))</formula>
    </cfRule>
  </conditionalFormatting>
  <conditionalFormatting sqref="X214">
    <cfRule type="expression" priority="605" dxfId="3">
      <formula>AND(IF(OR($Q214=1,$Q214=2),1,0),IF($X214&lt;=20,1,0))</formula>
    </cfRule>
    <cfRule type="expression" priority="606" dxfId="2">
      <formula>AND(IF($Q214=2,1,0),IF($X214&lt;30,1,0))</formula>
    </cfRule>
    <cfRule type="expression" priority="607" dxfId="1">
      <formula>AND(IF($Q214=3,1,0),IF($X214&lt;30,1,0))</formula>
    </cfRule>
    <cfRule type="expression" priority="608" dxfId="0">
      <formula>AND(IF($Q214=3,1,IF($Q214=4,1,0)),IF($F214&lt;=85,1,0))</formula>
    </cfRule>
  </conditionalFormatting>
  <conditionalFormatting sqref="AI214">
    <cfRule type="expression" priority="601" dxfId="3">
      <formula>AND(IF(OR($Q214=1,$Q214=2),1,0),IF($X214&lt;=20,1,0))</formula>
    </cfRule>
    <cfRule type="expression" priority="602" dxfId="2">
      <formula>AND(IF($Q214=2,1,0),IF($X214&lt;30,1,0))</formula>
    </cfRule>
    <cfRule type="expression" priority="603" dxfId="1">
      <formula>AND(IF($Q214=3,1,0),IF($X214&lt;30,1,0))</formula>
    </cfRule>
    <cfRule type="expression" priority="604" dxfId="0">
      <formula>AND(IF($Q214=3,1,IF($Q214=4,1,0)),IF($F214&lt;=85,1,0))</formula>
    </cfRule>
  </conditionalFormatting>
  <conditionalFormatting sqref="AV215">
    <cfRule type="expression" priority="599" dxfId="17">
      <formula>AV215="X"</formula>
    </cfRule>
    <cfRule type="expression" priority="600" dxfId="16">
      <formula>AV215="후보"</formula>
    </cfRule>
  </conditionalFormatting>
  <conditionalFormatting sqref="AC215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215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215">
    <cfRule type="expression" priority="590" dxfId="3">
      <formula>AND(IF(OR($Q215=1,$Q215=2),1,0),IF($X215&lt;=20,1,0))</formula>
    </cfRule>
    <cfRule type="expression" priority="591" dxfId="2">
      <formula>AND(IF($Q215=2,1,0),IF($X215&lt;30,1,0))</formula>
    </cfRule>
    <cfRule type="expression" priority="592" dxfId="1">
      <formula>AND(IF($Q215=3,1,0),IF($X215&lt;30,1,0))</formula>
    </cfRule>
    <cfRule type="expression" priority="593" dxfId="0">
      <formula>AND(IF($Q215=3,1,IF($Q215=4,1,0)),IF($F215&lt;=85,1,0))</formula>
    </cfRule>
  </conditionalFormatting>
  <conditionalFormatting sqref="X215">
    <cfRule type="expression" priority="586" dxfId="3">
      <formula>AND(IF(OR($Q215=1,$Q215=2),1,0),IF($X215&lt;=20,1,0))</formula>
    </cfRule>
    <cfRule type="expression" priority="587" dxfId="2">
      <formula>AND(IF($Q215=2,1,0),IF($X215&lt;30,1,0))</formula>
    </cfRule>
    <cfRule type="expression" priority="588" dxfId="1">
      <formula>AND(IF($Q215=3,1,0),IF($X215&lt;30,1,0))</formula>
    </cfRule>
    <cfRule type="expression" priority="589" dxfId="0">
      <formula>AND(IF($Q215=3,1,IF($Q215=4,1,0)),IF($F215&lt;=85,1,0))</formula>
    </cfRule>
  </conditionalFormatting>
  <conditionalFormatting sqref="AI215">
    <cfRule type="expression" priority="582" dxfId="3">
      <formula>AND(IF(OR($Q215=1,$Q215=2),1,0),IF($X215&lt;=20,1,0))</formula>
    </cfRule>
    <cfRule type="expression" priority="583" dxfId="2">
      <formula>AND(IF($Q215=2,1,0),IF($X215&lt;30,1,0))</formula>
    </cfRule>
    <cfRule type="expression" priority="584" dxfId="1">
      <formula>AND(IF($Q215=3,1,0),IF($X215&lt;30,1,0))</formula>
    </cfRule>
    <cfRule type="expression" priority="585" dxfId="0">
      <formula>AND(IF($Q215=3,1,IF($Q215=4,1,0)),IF($F215&lt;=85,1,0))</formula>
    </cfRule>
  </conditionalFormatting>
  <conditionalFormatting sqref="AV216">
    <cfRule type="expression" priority="580" dxfId="17">
      <formula>AV216="X"</formula>
    </cfRule>
    <cfRule type="expression" priority="581" dxfId="16">
      <formula>AV216="후보"</formula>
    </cfRule>
  </conditionalFormatting>
  <conditionalFormatting sqref="AC216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216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216">
    <cfRule type="expression" priority="571" dxfId="3">
      <formula>AND(IF(OR($Q216=1,$Q216=2),1,0),IF($X216&lt;=20,1,0))</formula>
    </cfRule>
    <cfRule type="expression" priority="572" dxfId="2">
      <formula>AND(IF($Q216=2,1,0),IF($X216&lt;30,1,0))</formula>
    </cfRule>
    <cfRule type="expression" priority="573" dxfId="1">
      <formula>AND(IF($Q216=3,1,0),IF($X216&lt;30,1,0))</formula>
    </cfRule>
    <cfRule type="expression" priority="574" dxfId="0">
      <formula>AND(IF($Q216=3,1,IF($Q216=4,1,0)),IF($F216&lt;=85,1,0))</formula>
    </cfRule>
  </conditionalFormatting>
  <conditionalFormatting sqref="X216">
    <cfRule type="expression" priority="567" dxfId="3">
      <formula>AND(IF(OR($Q216=1,$Q216=2),1,0),IF($X216&lt;=20,1,0))</formula>
    </cfRule>
    <cfRule type="expression" priority="568" dxfId="2">
      <formula>AND(IF($Q216=2,1,0),IF($X216&lt;30,1,0))</formula>
    </cfRule>
    <cfRule type="expression" priority="569" dxfId="1">
      <formula>AND(IF($Q216=3,1,0),IF($X216&lt;30,1,0))</formula>
    </cfRule>
    <cfRule type="expression" priority="570" dxfId="0">
      <formula>AND(IF($Q216=3,1,IF($Q216=4,1,0)),IF($F216&lt;=85,1,0))</formula>
    </cfRule>
  </conditionalFormatting>
  <conditionalFormatting sqref="AI216">
    <cfRule type="expression" priority="563" dxfId="3">
      <formula>AND(IF(OR($Q216=1,$Q216=2),1,0),IF($X216&lt;=20,1,0))</formula>
    </cfRule>
    <cfRule type="expression" priority="564" dxfId="2">
      <formula>AND(IF($Q216=2,1,0),IF($X216&lt;30,1,0))</formula>
    </cfRule>
    <cfRule type="expression" priority="565" dxfId="1">
      <formula>AND(IF($Q216=3,1,0),IF($X216&lt;30,1,0))</formula>
    </cfRule>
    <cfRule type="expression" priority="566" dxfId="0">
      <formula>AND(IF($Q216=3,1,IF($Q216=4,1,0)),IF($F216&lt;=85,1,0))</formula>
    </cfRule>
  </conditionalFormatting>
  <conditionalFormatting sqref="AV217">
    <cfRule type="expression" priority="561" dxfId="17">
      <formula>AV217="X"</formula>
    </cfRule>
    <cfRule type="expression" priority="562" dxfId="16">
      <formula>AV217="후보"</formula>
    </cfRule>
  </conditionalFormatting>
  <conditionalFormatting sqref="AC217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217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217">
    <cfRule type="expression" priority="552" dxfId="3">
      <formula>AND(IF(OR($Q217=1,$Q217=2),1,0),IF($X217&lt;=20,1,0))</formula>
    </cfRule>
    <cfRule type="expression" priority="553" dxfId="2">
      <formula>AND(IF($Q217=2,1,0),IF($X217&lt;30,1,0))</formula>
    </cfRule>
    <cfRule type="expression" priority="554" dxfId="1">
      <formula>AND(IF($Q217=3,1,0),IF($X217&lt;30,1,0))</formula>
    </cfRule>
    <cfRule type="expression" priority="555" dxfId="0">
      <formula>AND(IF($Q217=3,1,IF($Q217=4,1,0)),IF($F217&lt;=85,1,0))</formula>
    </cfRule>
  </conditionalFormatting>
  <conditionalFormatting sqref="X217">
    <cfRule type="expression" priority="548" dxfId="3">
      <formula>AND(IF(OR($Q217=1,$Q217=2),1,0),IF($X217&lt;=20,1,0))</formula>
    </cfRule>
    <cfRule type="expression" priority="549" dxfId="2">
      <formula>AND(IF($Q217=2,1,0),IF($X217&lt;30,1,0))</formula>
    </cfRule>
    <cfRule type="expression" priority="550" dxfId="1">
      <formula>AND(IF($Q217=3,1,0),IF($X217&lt;30,1,0))</formula>
    </cfRule>
    <cfRule type="expression" priority="551" dxfId="0">
      <formula>AND(IF($Q217=3,1,IF($Q217=4,1,0)),IF($F217&lt;=85,1,0))</formula>
    </cfRule>
  </conditionalFormatting>
  <conditionalFormatting sqref="AI217">
    <cfRule type="expression" priority="544" dxfId="3">
      <formula>AND(IF(OR($Q217=1,$Q217=2),1,0),IF($X217&lt;=20,1,0))</formula>
    </cfRule>
    <cfRule type="expression" priority="545" dxfId="2">
      <formula>AND(IF($Q217=2,1,0),IF($X217&lt;30,1,0))</formula>
    </cfRule>
    <cfRule type="expression" priority="546" dxfId="1">
      <formula>AND(IF($Q217=3,1,0),IF($X217&lt;30,1,0))</formula>
    </cfRule>
    <cfRule type="expression" priority="547" dxfId="0">
      <formula>AND(IF($Q217=3,1,IF($Q217=4,1,0)),IF($F217&lt;=85,1,0))</formula>
    </cfRule>
  </conditionalFormatting>
  <conditionalFormatting sqref="AV218">
    <cfRule type="expression" priority="542" dxfId="17">
      <formula>AV218="X"</formula>
    </cfRule>
    <cfRule type="expression" priority="543" dxfId="16">
      <formula>AV218="후보"</formula>
    </cfRule>
  </conditionalFormatting>
  <conditionalFormatting sqref="AC218 N218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AV219">
    <cfRule type="expression" priority="537" dxfId="17">
      <formula>AV219="X"</formula>
    </cfRule>
    <cfRule type="expression" priority="538" dxfId="16">
      <formula>AV219="후보"</formula>
    </cfRule>
  </conditionalFormatting>
  <conditionalFormatting sqref="AC219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219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219">
    <cfRule type="expression" priority="528" dxfId="3">
      <formula>AND(IF(OR($Q219=1,$Q219=2),1,0),IF($X219&lt;=20,1,0))</formula>
    </cfRule>
    <cfRule type="expression" priority="529" dxfId="2">
      <formula>AND(IF($Q219=2,1,0),IF($X219&lt;30,1,0))</formula>
    </cfRule>
    <cfRule type="expression" priority="530" dxfId="1">
      <formula>AND(IF($Q219=3,1,0),IF($X219&lt;30,1,0))</formula>
    </cfRule>
    <cfRule type="expression" priority="531" dxfId="0">
      <formula>AND(IF($Q219=3,1,IF($Q219=4,1,0)),IF($F219&lt;=85,1,0))</formula>
    </cfRule>
  </conditionalFormatting>
  <conditionalFormatting sqref="X219">
    <cfRule type="expression" priority="524" dxfId="3">
      <formula>AND(IF(OR($Q219=1,$Q219=2),1,0),IF($X219&lt;=20,1,0))</formula>
    </cfRule>
    <cfRule type="expression" priority="525" dxfId="2">
      <formula>AND(IF($Q219=2,1,0),IF($X219&lt;30,1,0))</formula>
    </cfRule>
    <cfRule type="expression" priority="526" dxfId="1">
      <formula>AND(IF($Q219=3,1,0),IF($X219&lt;30,1,0))</formula>
    </cfRule>
    <cfRule type="expression" priority="527" dxfId="0">
      <formula>AND(IF($Q219=3,1,IF($Q219=4,1,0)),IF($F219&lt;=85,1,0))</formula>
    </cfRule>
  </conditionalFormatting>
  <conditionalFormatting sqref="AI219">
    <cfRule type="expression" priority="520" dxfId="3">
      <formula>AND(IF(OR($Q219=1,$Q219=2),1,0),IF($X219&lt;=20,1,0))</formula>
    </cfRule>
    <cfRule type="expression" priority="521" dxfId="2">
      <formula>AND(IF($Q219=2,1,0),IF($X219&lt;30,1,0))</formula>
    </cfRule>
    <cfRule type="expression" priority="522" dxfId="1">
      <formula>AND(IF($Q219=3,1,0),IF($X219&lt;30,1,0))</formula>
    </cfRule>
    <cfRule type="expression" priority="523" dxfId="0">
      <formula>AND(IF($Q219=3,1,IF($Q219=4,1,0)),IF($F219&lt;=85,1,0))</formula>
    </cfRule>
  </conditionalFormatting>
  <conditionalFormatting sqref="AV220">
    <cfRule type="expression" priority="518" dxfId="17">
      <formula>AV220="X"</formula>
    </cfRule>
    <cfRule type="expression" priority="519" dxfId="16">
      <formula>AV220="후보"</formula>
    </cfRule>
  </conditionalFormatting>
  <conditionalFormatting sqref="AC220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220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220">
    <cfRule type="expression" priority="509" dxfId="3">
      <formula>AND(IF(OR($Q220=1,$Q220=2),1,0),IF($X220&lt;=20,1,0))</formula>
    </cfRule>
    <cfRule type="expression" priority="510" dxfId="2">
      <formula>AND(IF($Q220=2,1,0),IF($X220&lt;30,1,0))</formula>
    </cfRule>
    <cfRule type="expression" priority="511" dxfId="1">
      <formula>AND(IF($Q220=3,1,0),IF($X220&lt;30,1,0))</formula>
    </cfRule>
    <cfRule type="expression" priority="512" dxfId="0">
      <formula>AND(IF($Q220=3,1,IF($Q220=4,1,0)),IF($F220&lt;=85,1,0))</formula>
    </cfRule>
  </conditionalFormatting>
  <conditionalFormatting sqref="X220">
    <cfRule type="expression" priority="505" dxfId="3">
      <formula>AND(IF(OR($Q220=1,$Q220=2),1,0),IF($X220&lt;=20,1,0))</formula>
    </cfRule>
    <cfRule type="expression" priority="506" dxfId="2">
      <formula>AND(IF($Q220=2,1,0),IF($X220&lt;30,1,0))</formula>
    </cfRule>
    <cfRule type="expression" priority="507" dxfId="1">
      <formula>AND(IF($Q220=3,1,0),IF($X220&lt;30,1,0))</formula>
    </cfRule>
    <cfRule type="expression" priority="508" dxfId="0">
      <formula>AND(IF($Q220=3,1,IF($Q220=4,1,0)),IF($F220&lt;=85,1,0))</formula>
    </cfRule>
  </conditionalFormatting>
  <conditionalFormatting sqref="AI220">
    <cfRule type="expression" priority="501" dxfId="3">
      <formula>AND(IF(OR($Q220=1,$Q220=2),1,0),IF($X220&lt;=20,1,0))</formula>
    </cfRule>
    <cfRule type="expression" priority="502" dxfId="2">
      <formula>AND(IF($Q220=2,1,0),IF($X220&lt;30,1,0))</formula>
    </cfRule>
    <cfRule type="expression" priority="503" dxfId="1">
      <formula>AND(IF($Q220=3,1,0),IF($X220&lt;30,1,0))</formula>
    </cfRule>
    <cfRule type="expression" priority="504" dxfId="0">
      <formula>AND(IF($Q220=3,1,IF($Q220=4,1,0)),IF($F220&lt;=85,1,0))</formula>
    </cfRule>
  </conditionalFormatting>
  <conditionalFormatting sqref="AV221">
    <cfRule type="expression" priority="499" dxfId="17">
      <formula>AV221="X"</formula>
    </cfRule>
    <cfRule type="expression" priority="500" dxfId="16">
      <formula>AV221="후보"</formula>
    </cfRule>
  </conditionalFormatting>
  <conditionalFormatting sqref="AC221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221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221">
    <cfRule type="expression" priority="490" dxfId="3">
      <formula>AND(IF(OR($Q221=1,$Q221=2),1,0),IF($X221&lt;=20,1,0))</formula>
    </cfRule>
    <cfRule type="expression" priority="491" dxfId="2">
      <formula>AND(IF($Q221=2,1,0),IF($X221&lt;30,1,0))</formula>
    </cfRule>
    <cfRule type="expression" priority="492" dxfId="1">
      <formula>AND(IF($Q221=3,1,0),IF($X221&lt;30,1,0))</formula>
    </cfRule>
    <cfRule type="expression" priority="493" dxfId="0">
      <formula>AND(IF($Q221=3,1,IF($Q221=4,1,0)),IF($F221&lt;=85,1,0))</formula>
    </cfRule>
  </conditionalFormatting>
  <conditionalFormatting sqref="X221">
    <cfRule type="expression" priority="486" dxfId="3">
      <formula>AND(IF(OR($Q221=1,$Q221=2),1,0),IF($X221&lt;=20,1,0))</formula>
    </cfRule>
    <cfRule type="expression" priority="487" dxfId="2">
      <formula>AND(IF($Q221=2,1,0),IF($X221&lt;30,1,0))</formula>
    </cfRule>
    <cfRule type="expression" priority="488" dxfId="1">
      <formula>AND(IF($Q221=3,1,0),IF($X221&lt;30,1,0))</formula>
    </cfRule>
    <cfRule type="expression" priority="489" dxfId="0">
      <formula>AND(IF($Q221=3,1,IF($Q221=4,1,0)),IF($F221&lt;=85,1,0))</formula>
    </cfRule>
  </conditionalFormatting>
  <conditionalFormatting sqref="AI221">
    <cfRule type="expression" priority="482" dxfId="3">
      <formula>AND(IF(OR($Q221=1,$Q221=2),1,0),IF($X221&lt;=20,1,0))</formula>
    </cfRule>
    <cfRule type="expression" priority="483" dxfId="2">
      <formula>AND(IF($Q221=2,1,0),IF($X221&lt;30,1,0))</formula>
    </cfRule>
    <cfRule type="expression" priority="484" dxfId="1">
      <formula>AND(IF($Q221=3,1,0),IF($X221&lt;30,1,0))</formula>
    </cfRule>
    <cfRule type="expression" priority="485" dxfId="0">
      <formula>AND(IF($Q221=3,1,IF($Q221=4,1,0)),IF($F221&lt;=85,1,0))</formula>
    </cfRule>
  </conditionalFormatting>
  <conditionalFormatting sqref="AV222">
    <cfRule type="expression" priority="480" dxfId="17">
      <formula>AV222="X"</formula>
    </cfRule>
    <cfRule type="expression" priority="481" dxfId="16">
      <formula>AV222="후보"</formula>
    </cfRule>
  </conditionalFormatting>
  <conditionalFormatting sqref="AC222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222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222">
    <cfRule type="expression" priority="471" dxfId="3">
      <formula>AND(IF(OR($Q222=1,$Q222=2),1,0),IF($X222&lt;=20,1,0))</formula>
    </cfRule>
    <cfRule type="expression" priority="472" dxfId="2">
      <formula>AND(IF($Q222=2,1,0),IF($X222&lt;30,1,0))</formula>
    </cfRule>
    <cfRule type="expression" priority="473" dxfId="1">
      <formula>AND(IF($Q222=3,1,0),IF($X222&lt;30,1,0))</formula>
    </cfRule>
    <cfRule type="expression" priority="474" dxfId="0">
      <formula>AND(IF($Q222=3,1,IF($Q222=4,1,0)),IF($F222&lt;=85,1,0))</formula>
    </cfRule>
  </conditionalFormatting>
  <conditionalFormatting sqref="X222">
    <cfRule type="expression" priority="467" dxfId="3">
      <formula>AND(IF(OR($Q222=1,$Q222=2),1,0),IF($X222&lt;=20,1,0))</formula>
    </cfRule>
    <cfRule type="expression" priority="468" dxfId="2">
      <formula>AND(IF($Q222=2,1,0),IF($X222&lt;30,1,0))</formula>
    </cfRule>
    <cfRule type="expression" priority="469" dxfId="1">
      <formula>AND(IF($Q222=3,1,0),IF($X222&lt;30,1,0))</formula>
    </cfRule>
    <cfRule type="expression" priority="470" dxfId="0">
      <formula>AND(IF($Q222=3,1,IF($Q222=4,1,0)),IF($F222&lt;=85,1,0))</formula>
    </cfRule>
  </conditionalFormatting>
  <conditionalFormatting sqref="AI222">
    <cfRule type="expression" priority="463" dxfId="3">
      <formula>AND(IF(OR($Q222=1,$Q222=2),1,0),IF($X222&lt;=20,1,0))</formula>
    </cfRule>
    <cfRule type="expression" priority="464" dxfId="2">
      <formula>AND(IF($Q222=2,1,0),IF($X222&lt;30,1,0))</formula>
    </cfRule>
    <cfRule type="expression" priority="465" dxfId="1">
      <formula>AND(IF($Q222=3,1,0),IF($X222&lt;30,1,0))</formula>
    </cfRule>
    <cfRule type="expression" priority="466" dxfId="0">
      <formula>AND(IF($Q222=3,1,IF($Q222=4,1,0)),IF($F222&lt;=85,1,0))</formula>
    </cfRule>
  </conditionalFormatting>
  <conditionalFormatting sqref="AV223">
    <cfRule type="expression" priority="461" dxfId="17">
      <formula>AV223="X"</formula>
    </cfRule>
    <cfRule type="expression" priority="462" dxfId="16">
      <formula>AV223="후보"</formula>
    </cfRule>
  </conditionalFormatting>
  <conditionalFormatting sqref="AC223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223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223">
    <cfRule type="expression" priority="452" dxfId="3">
      <formula>AND(IF(OR($Q223=1,$Q223=2),1,0),IF($X223&lt;=20,1,0))</formula>
    </cfRule>
    <cfRule type="expression" priority="453" dxfId="2">
      <formula>AND(IF($Q223=2,1,0),IF($X223&lt;30,1,0))</formula>
    </cfRule>
    <cfRule type="expression" priority="454" dxfId="1">
      <formula>AND(IF($Q223=3,1,0),IF($X223&lt;30,1,0))</formula>
    </cfRule>
    <cfRule type="expression" priority="455" dxfId="0">
      <formula>AND(IF($Q223=3,1,IF($Q223=4,1,0)),IF($F223&lt;=85,1,0))</formula>
    </cfRule>
  </conditionalFormatting>
  <conditionalFormatting sqref="X223">
    <cfRule type="expression" priority="448" dxfId="3">
      <formula>AND(IF(OR($Q223=1,$Q223=2),1,0),IF($X223&lt;=20,1,0))</formula>
    </cfRule>
    <cfRule type="expression" priority="449" dxfId="2">
      <formula>AND(IF($Q223=2,1,0),IF($X223&lt;30,1,0))</formula>
    </cfRule>
    <cfRule type="expression" priority="450" dxfId="1">
      <formula>AND(IF($Q223=3,1,0),IF($X223&lt;30,1,0))</formula>
    </cfRule>
    <cfRule type="expression" priority="451" dxfId="0">
      <formula>AND(IF($Q223=3,1,IF($Q223=4,1,0)),IF($F223&lt;=85,1,0))</formula>
    </cfRule>
  </conditionalFormatting>
  <conditionalFormatting sqref="AI223">
    <cfRule type="expression" priority="444" dxfId="3">
      <formula>AND(IF(OR($Q223=1,$Q223=2),1,0),IF($X223&lt;=20,1,0))</formula>
    </cfRule>
    <cfRule type="expression" priority="445" dxfId="2">
      <formula>AND(IF($Q223=2,1,0),IF($X223&lt;30,1,0))</formula>
    </cfRule>
    <cfRule type="expression" priority="446" dxfId="1">
      <formula>AND(IF($Q223=3,1,0),IF($X223&lt;30,1,0))</formula>
    </cfRule>
    <cfRule type="expression" priority="447" dxfId="0">
      <formula>AND(IF($Q223=3,1,IF($Q223=4,1,0)),IF($F223&lt;=85,1,0))</formula>
    </cfRule>
  </conditionalFormatting>
  <conditionalFormatting sqref="AV224">
    <cfRule type="expression" priority="442" dxfId="17">
      <formula>AV224="X"</formula>
    </cfRule>
    <cfRule type="expression" priority="443" dxfId="16">
      <formula>AV224="후보"</formula>
    </cfRule>
  </conditionalFormatting>
  <conditionalFormatting sqref="AC224 N224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AV225">
    <cfRule type="expression" priority="437" dxfId="17">
      <formula>AV225="X"</formula>
    </cfRule>
    <cfRule type="expression" priority="438" dxfId="16">
      <formula>AV225="후보"</formula>
    </cfRule>
  </conditionalFormatting>
  <conditionalFormatting sqref="AC225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225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225">
    <cfRule type="expression" priority="428" dxfId="3">
      <formula>AND(IF(OR($Q225=1,$Q225=2),1,0),IF($X225&lt;=20,1,0))</formula>
    </cfRule>
    <cfRule type="expression" priority="429" dxfId="2">
      <formula>AND(IF($Q225=2,1,0),IF($X225&lt;30,1,0))</formula>
    </cfRule>
    <cfRule type="expression" priority="430" dxfId="1">
      <formula>AND(IF($Q225=3,1,0),IF($X225&lt;30,1,0))</formula>
    </cfRule>
    <cfRule type="expression" priority="431" dxfId="0">
      <formula>AND(IF($Q225=3,1,IF($Q225=4,1,0)),IF($F225&lt;=85,1,0))</formula>
    </cfRule>
  </conditionalFormatting>
  <conditionalFormatting sqref="X225">
    <cfRule type="expression" priority="424" dxfId="3">
      <formula>AND(IF(OR($Q225=1,$Q225=2),1,0),IF($X225&lt;=20,1,0))</formula>
    </cfRule>
    <cfRule type="expression" priority="425" dxfId="2">
      <formula>AND(IF($Q225=2,1,0),IF($X225&lt;30,1,0))</formula>
    </cfRule>
    <cfRule type="expression" priority="426" dxfId="1">
      <formula>AND(IF($Q225=3,1,0),IF($X225&lt;30,1,0))</formula>
    </cfRule>
    <cfRule type="expression" priority="427" dxfId="0">
      <formula>AND(IF($Q225=3,1,IF($Q225=4,1,0)),IF($F225&lt;=85,1,0))</formula>
    </cfRule>
  </conditionalFormatting>
  <conditionalFormatting sqref="AI225">
    <cfRule type="expression" priority="420" dxfId="3">
      <formula>AND(IF(OR($Q225=1,$Q225=2),1,0),IF($X225&lt;=20,1,0))</formula>
    </cfRule>
    <cfRule type="expression" priority="421" dxfId="2">
      <formula>AND(IF($Q225=2,1,0),IF($X225&lt;30,1,0))</formula>
    </cfRule>
    <cfRule type="expression" priority="422" dxfId="1">
      <formula>AND(IF($Q225=3,1,0),IF($X225&lt;30,1,0))</formula>
    </cfRule>
    <cfRule type="expression" priority="423" dxfId="0">
      <formula>AND(IF($Q225=3,1,IF($Q225=4,1,0)),IF($F225&lt;=85,1,0))</formula>
    </cfRule>
  </conditionalFormatting>
  <conditionalFormatting sqref="AV226">
    <cfRule type="expression" priority="418" dxfId="17">
      <formula>AV226="X"</formula>
    </cfRule>
    <cfRule type="expression" priority="419" dxfId="16">
      <formula>AV226="후보"</formula>
    </cfRule>
  </conditionalFormatting>
  <conditionalFormatting sqref="AC226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226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226">
    <cfRule type="expression" priority="409" dxfId="3">
      <formula>AND(IF(OR($Q226=1,$Q226=2),1,0),IF($X226&lt;=20,1,0))</formula>
    </cfRule>
    <cfRule type="expression" priority="410" dxfId="2">
      <formula>AND(IF($Q226=2,1,0),IF($X226&lt;30,1,0))</formula>
    </cfRule>
    <cfRule type="expression" priority="411" dxfId="1">
      <formula>AND(IF($Q226=3,1,0),IF($X226&lt;30,1,0))</formula>
    </cfRule>
    <cfRule type="expression" priority="412" dxfId="0">
      <formula>AND(IF($Q226=3,1,IF($Q226=4,1,0)),IF($F226&lt;=85,1,0))</formula>
    </cfRule>
  </conditionalFormatting>
  <conditionalFormatting sqref="X226">
    <cfRule type="expression" priority="405" dxfId="3">
      <formula>AND(IF(OR($Q226=1,$Q226=2),1,0),IF($X226&lt;=20,1,0))</formula>
    </cfRule>
    <cfRule type="expression" priority="406" dxfId="2">
      <formula>AND(IF($Q226=2,1,0),IF($X226&lt;30,1,0))</formula>
    </cfRule>
    <cfRule type="expression" priority="407" dxfId="1">
      <formula>AND(IF($Q226=3,1,0),IF($X226&lt;30,1,0))</formula>
    </cfRule>
    <cfRule type="expression" priority="408" dxfId="0">
      <formula>AND(IF($Q226=3,1,IF($Q226=4,1,0)),IF($F226&lt;=85,1,0))</formula>
    </cfRule>
  </conditionalFormatting>
  <conditionalFormatting sqref="AI226">
    <cfRule type="expression" priority="401" dxfId="3">
      <formula>AND(IF(OR($Q226=1,$Q226=2),1,0),IF($X226&lt;=20,1,0))</formula>
    </cfRule>
    <cfRule type="expression" priority="402" dxfId="2">
      <formula>AND(IF($Q226=2,1,0),IF($X226&lt;30,1,0))</formula>
    </cfRule>
    <cfRule type="expression" priority="403" dxfId="1">
      <formula>AND(IF($Q226=3,1,0),IF($X226&lt;30,1,0))</formula>
    </cfRule>
    <cfRule type="expression" priority="404" dxfId="0">
      <formula>AND(IF($Q226=3,1,IF($Q226=4,1,0)),IF($F226&lt;=85,1,0))</formula>
    </cfRule>
  </conditionalFormatting>
  <conditionalFormatting sqref="AV227">
    <cfRule type="expression" priority="399" dxfId="17">
      <formula>AV227="X"</formula>
    </cfRule>
    <cfRule type="expression" priority="400" dxfId="16">
      <formula>AV227="후보"</formula>
    </cfRule>
  </conditionalFormatting>
  <conditionalFormatting sqref="AC227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227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227">
    <cfRule type="expression" priority="390" dxfId="3">
      <formula>AND(IF(OR($Q227=1,$Q227=2),1,0),IF($X227&lt;=20,1,0))</formula>
    </cfRule>
    <cfRule type="expression" priority="391" dxfId="2">
      <formula>AND(IF($Q227=2,1,0),IF($X227&lt;30,1,0))</formula>
    </cfRule>
    <cfRule type="expression" priority="392" dxfId="1">
      <formula>AND(IF($Q227=3,1,0),IF($X227&lt;30,1,0))</formula>
    </cfRule>
    <cfRule type="expression" priority="393" dxfId="0">
      <formula>AND(IF($Q227=3,1,IF($Q227=4,1,0)),IF($F227&lt;=85,1,0))</formula>
    </cfRule>
  </conditionalFormatting>
  <conditionalFormatting sqref="X227">
    <cfRule type="expression" priority="386" dxfId="3">
      <formula>AND(IF(OR($Q227=1,$Q227=2),1,0),IF($X227&lt;=20,1,0))</formula>
    </cfRule>
    <cfRule type="expression" priority="387" dxfId="2">
      <formula>AND(IF($Q227=2,1,0),IF($X227&lt;30,1,0))</formula>
    </cfRule>
    <cfRule type="expression" priority="388" dxfId="1">
      <formula>AND(IF($Q227=3,1,0),IF($X227&lt;30,1,0))</formula>
    </cfRule>
    <cfRule type="expression" priority="389" dxfId="0">
      <formula>AND(IF($Q227=3,1,IF($Q227=4,1,0)),IF($F227&lt;=85,1,0))</formula>
    </cfRule>
  </conditionalFormatting>
  <conditionalFormatting sqref="AI227">
    <cfRule type="expression" priority="382" dxfId="3">
      <formula>AND(IF(OR($Q227=1,$Q227=2),1,0),IF($X227&lt;=20,1,0))</formula>
    </cfRule>
    <cfRule type="expression" priority="383" dxfId="2">
      <formula>AND(IF($Q227=2,1,0),IF($X227&lt;30,1,0))</formula>
    </cfRule>
    <cfRule type="expression" priority="384" dxfId="1">
      <formula>AND(IF($Q227=3,1,0),IF($X227&lt;30,1,0))</formula>
    </cfRule>
    <cfRule type="expression" priority="385" dxfId="0">
      <formula>AND(IF($Q227=3,1,IF($Q227=4,1,0)),IF($F227&lt;=85,1,0))</formula>
    </cfRule>
  </conditionalFormatting>
  <conditionalFormatting sqref="AV228">
    <cfRule type="expression" priority="380" dxfId="17">
      <formula>AV228="X"</formula>
    </cfRule>
    <cfRule type="expression" priority="381" dxfId="16">
      <formula>AV228="후보"</formula>
    </cfRule>
  </conditionalFormatting>
  <conditionalFormatting sqref="AC228 N228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AV229">
    <cfRule type="expression" priority="375" dxfId="17">
      <formula>AV229="X"</formula>
    </cfRule>
    <cfRule type="expression" priority="376" dxfId="16">
      <formula>AV229="후보"</formula>
    </cfRule>
  </conditionalFormatting>
  <conditionalFormatting sqref="AC229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229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229">
    <cfRule type="expression" priority="366" dxfId="3">
      <formula>AND(IF(OR($Q229=1,$Q229=2),1,0),IF($X229&lt;=20,1,0))</formula>
    </cfRule>
    <cfRule type="expression" priority="367" dxfId="2">
      <formula>AND(IF($Q229=2,1,0),IF($X229&lt;30,1,0))</formula>
    </cfRule>
    <cfRule type="expression" priority="368" dxfId="1">
      <formula>AND(IF($Q229=3,1,0),IF($X229&lt;30,1,0))</formula>
    </cfRule>
    <cfRule type="expression" priority="369" dxfId="0">
      <formula>AND(IF($Q229=3,1,IF($Q229=4,1,0)),IF($F229&lt;=85,1,0))</formula>
    </cfRule>
  </conditionalFormatting>
  <conditionalFormatting sqref="X229">
    <cfRule type="expression" priority="362" dxfId="3">
      <formula>AND(IF(OR($Q229=1,$Q229=2),1,0),IF($X229&lt;=20,1,0))</formula>
    </cfRule>
    <cfRule type="expression" priority="363" dxfId="2">
      <formula>AND(IF($Q229=2,1,0),IF($X229&lt;30,1,0))</formula>
    </cfRule>
    <cfRule type="expression" priority="364" dxfId="1">
      <formula>AND(IF($Q229=3,1,0),IF($X229&lt;30,1,0))</formula>
    </cfRule>
    <cfRule type="expression" priority="365" dxfId="0">
      <formula>AND(IF($Q229=3,1,IF($Q229=4,1,0)),IF($F229&lt;=85,1,0))</formula>
    </cfRule>
  </conditionalFormatting>
  <conditionalFormatting sqref="AI229">
    <cfRule type="expression" priority="358" dxfId="3">
      <formula>AND(IF(OR($Q229=1,$Q229=2),1,0),IF($X229&lt;=20,1,0))</formula>
    </cfRule>
    <cfRule type="expression" priority="359" dxfId="2">
      <formula>AND(IF($Q229=2,1,0),IF($X229&lt;30,1,0))</formula>
    </cfRule>
    <cfRule type="expression" priority="360" dxfId="1">
      <formula>AND(IF($Q229=3,1,0),IF($X229&lt;30,1,0))</formula>
    </cfRule>
    <cfRule type="expression" priority="361" dxfId="0">
      <formula>AND(IF($Q229=3,1,IF($Q229=4,1,0)),IF($F229&lt;=85,1,0))</formula>
    </cfRule>
  </conditionalFormatting>
  <conditionalFormatting sqref="AV230">
    <cfRule type="expression" priority="356" dxfId="17">
      <formula>AV230="X"</formula>
    </cfRule>
    <cfRule type="expression" priority="357" dxfId="16">
      <formula>AV230="후보"</formula>
    </cfRule>
  </conditionalFormatting>
  <conditionalFormatting sqref="AC230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230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230">
    <cfRule type="expression" priority="347" dxfId="3">
      <formula>AND(IF(OR($Q230=1,$Q230=2),1,0),IF($X230&lt;=20,1,0))</formula>
    </cfRule>
    <cfRule type="expression" priority="348" dxfId="2">
      <formula>AND(IF($Q230=2,1,0),IF($X230&lt;30,1,0))</formula>
    </cfRule>
    <cfRule type="expression" priority="349" dxfId="1">
      <formula>AND(IF($Q230=3,1,0),IF($X230&lt;30,1,0))</formula>
    </cfRule>
    <cfRule type="expression" priority="350" dxfId="0">
      <formula>AND(IF($Q230=3,1,IF($Q230=4,1,0)),IF($F230&lt;=85,1,0))</formula>
    </cfRule>
  </conditionalFormatting>
  <conditionalFormatting sqref="X230">
    <cfRule type="expression" priority="343" dxfId="3">
      <formula>AND(IF(OR($Q230=1,$Q230=2),1,0),IF($X230&lt;=20,1,0))</formula>
    </cfRule>
    <cfRule type="expression" priority="344" dxfId="2">
      <formula>AND(IF($Q230=2,1,0),IF($X230&lt;30,1,0))</formula>
    </cfRule>
    <cfRule type="expression" priority="345" dxfId="1">
      <formula>AND(IF($Q230=3,1,0),IF($X230&lt;30,1,0))</formula>
    </cfRule>
    <cfRule type="expression" priority="346" dxfId="0">
      <formula>AND(IF($Q230=3,1,IF($Q230=4,1,0)),IF($F230&lt;=85,1,0))</formula>
    </cfRule>
  </conditionalFormatting>
  <conditionalFormatting sqref="AI230">
    <cfRule type="expression" priority="339" dxfId="3">
      <formula>AND(IF(OR($Q230=1,$Q230=2),1,0),IF($X230&lt;=20,1,0))</formula>
    </cfRule>
    <cfRule type="expression" priority="340" dxfId="2">
      <formula>AND(IF($Q230=2,1,0),IF($X230&lt;30,1,0))</formula>
    </cfRule>
    <cfRule type="expression" priority="341" dxfId="1">
      <formula>AND(IF($Q230=3,1,0),IF($X230&lt;30,1,0))</formula>
    </cfRule>
    <cfRule type="expression" priority="342" dxfId="0">
      <formula>AND(IF($Q230=3,1,IF($Q230=4,1,0)),IF($F230&lt;=85,1,0))</formula>
    </cfRule>
  </conditionalFormatting>
  <conditionalFormatting sqref="AV231">
    <cfRule type="expression" priority="337" dxfId="17">
      <formula>AV231="X"</formula>
    </cfRule>
    <cfRule type="expression" priority="338" dxfId="16">
      <formula>AV231="후보"</formula>
    </cfRule>
  </conditionalFormatting>
  <conditionalFormatting sqref="AC231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231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231">
    <cfRule type="expression" priority="328" dxfId="3">
      <formula>AND(IF(OR($Q231=1,$Q231=2),1,0),IF($X231&lt;=20,1,0))</formula>
    </cfRule>
    <cfRule type="expression" priority="329" dxfId="2">
      <formula>AND(IF($Q231=2,1,0),IF($X231&lt;30,1,0))</formula>
    </cfRule>
    <cfRule type="expression" priority="330" dxfId="1">
      <formula>AND(IF($Q231=3,1,0),IF($X231&lt;30,1,0))</formula>
    </cfRule>
    <cfRule type="expression" priority="331" dxfId="0">
      <formula>AND(IF($Q231=3,1,IF($Q231=4,1,0)),IF($F231&lt;=85,1,0))</formula>
    </cfRule>
  </conditionalFormatting>
  <conditionalFormatting sqref="X231">
    <cfRule type="expression" priority="324" dxfId="3">
      <formula>AND(IF(OR($Q231=1,$Q231=2),1,0),IF($X231&lt;=20,1,0))</formula>
    </cfRule>
    <cfRule type="expression" priority="325" dxfId="2">
      <formula>AND(IF($Q231=2,1,0),IF($X231&lt;30,1,0))</formula>
    </cfRule>
    <cfRule type="expression" priority="326" dxfId="1">
      <formula>AND(IF($Q231=3,1,0),IF($X231&lt;30,1,0))</formula>
    </cfRule>
    <cfRule type="expression" priority="327" dxfId="0">
      <formula>AND(IF($Q231=3,1,IF($Q231=4,1,0)),IF($F231&lt;=85,1,0))</formula>
    </cfRule>
  </conditionalFormatting>
  <conditionalFormatting sqref="AI231">
    <cfRule type="expression" priority="320" dxfId="3">
      <formula>AND(IF(OR($Q231=1,$Q231=2),1,0),IF($X231&lt;=20,1,0))</formula>
    </cfRule>
    <cfRule type="expression" priority="321" dxfId="2">
      <formula>AND(IF($Q231=2,1,0),IF($X231&lt;30,1,0))</formula>
    </cfRule>
    <cfRule type="expression" priority="322" dxfId="1">
      <formula>AND(IF($Q231=3,1,0),IF($X231&lt;30,1,0))</formula>
    </cfRule>
    <cfRule type="expression" priority="323" dxfId="0">
      <formula>AND(IF($Q231=3,1,IF($Q231=4,1,0)),IF($F231&lt;=85,1,0))</formula>
    </cfRule>
  </conditionalFormatting>
  <conditionalFormatting sqref="AV232">
    <cfRule type="expression" priority="318" dxfId="17">
      <formula>AV232="X"</formula>
    </cfRule>
    <cfRule type="expression" priority="319" dxfId="16">
      <formula>AV232="후보"</formula>
    </cfRule>
  </conditionalFormatting>
  <conditionalFormatting sqref="AC232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232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232">
    <cfRule type="expression" priority="309" dxfId="3">
      <formula>AND(IF(OR($Q232=1,$Q232=2),1,0),IF($X232&lt;=20,1,0))</formula>
    </cfRule>
    <cfRule type="expression" priority="310" dxfId="2">
      <formula>AND(IF($Q232=2,1,0),IF($X232&lt;30,1,0))</formula>
    </cfRule>
    <cfRule type="expression" priority="311" dxfId="1">
      <formula>AND(IF($Q232=3,1,0),IF($X232&lt;30,1,0))</formula>
    </cfRule>
    <cfRule type="expression" priority="312" dxfId="0">
      <formula>AND(IF($Q232=3,1,IF($Q232=4,1,0)),IF($F232&lt;=85,1,0))</formula>
    </cfRule>
  </conditionalFormatting>
  <conditionalFormatting sqref="X232">
    <cfRule type="expression" priority="305" dxfId="3">
      <formula>AND(IF(OR($Q232=1,$Q232=2),1,0),IF($X232&lt;=20,1,0))</formula>
    </cfRule>
    <cfRule type="expression" priority="306" dxfId="2">
      <formula>AND(IF($Q232=2,1,0),IF($X232&lt;30,1,0))</formula>
    </cfRule>
    <cfRule type="expression" priority="307" dxfId="1">
      <formula>AND(IF($Q232=3,1,0),IF($X232&lt;30,1,0))</formula>
    </cfRule>
    <cfRule type="expression" priority="308" dxfId="0">
      <formula>AND(IF($Q232=3,1,IF($Q232=4,1,0)),IF($F232&lt;=85,1,0))</formula>
    </cfRule>
  </conditionalFormatting>
  <conditionalFormatting sqref="AI232">
    <cfRule type="expression" priority="301" dxfId="3">
      <formula>AND(IF(OR($Q232=1,$Q232=2),1,0),IF($X232&lt;=20,1,0))</formula>
    </cfRule>
    <cfRule type="expression" priority="302" dxfId="2">
      <formula>AND(IF($Q232=2,1,0),IF($X232&lt;30,1,0))</formula>
    </cfRule>
    <cfRule type="expression" priority="303" dxfId="1">
      <formula>AND(IF($Q232=3,1,0),IF($X232&lt;30,1,0))</formula>
    </cfRule>
    <cfRule type="expression" priority="304" dxfId="0">
      <formula>AND(IF($Q232=3,1,IF($Q232=4,1,0)),IF($F232&lt;=85,1,0))</formula>
    </cfRule>
  </conditionalFormatting>
  <conditionalFormatting sqref="AV233">
    <cfRule type="expression" priority="299" dxfId="17">
      <formula>AV233="X"</formula>
    </cfRule>
    <cfRule type="expression" priority="300" dxfId="16">
      <formula>AV233="후보"</formula>
    </cfRule>
  </conditionalFormatting>
  <conditionalFormatting sqref="AC233 N233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AV234">
    <cfRule type="expression" priority="294" dxfId="17">
      <formula>AV234="X"</formula>
    </cfRule>
    <cfRule type="expression" priority="295" dxfId="16">
      <formula>AV234="후보"</formula>
    </cfRule>
  </conditionalFormatting>
  <conditionalFormatting sqref="AC234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234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234">
    <cfRule type="expression" priority="285" dxfId="3">
      <formula>AND(IF(OR($Q234=1,$Q234=2),1,0),IF($X234&lt;=20,1,0))</formula>
    </cfRule>
    <cfRule type="expression" priority="286" dxfId="2">
      <formula>AND(IF($Q234=2,1,0),IF($X234&lt;30,1,0))</formula>
    </cfRule>
    <cfRule type="expression" priority="287" dxfId="1">
      <formula>AND(IF($Q234=3,1,0),IF($X234&lt;30,1,0))</formula>
    </cfRule>
    <cfRule type="expression" priority="288" dxfId="0">
      <formula>AND(IF($Q234=3,1,IF($Q234=4,1,0)),IF($F234&lt;=85,1,0))</formula>
    </cfRule>
  </conditionalFormatting>
  <conditionalFormatting sqref="X234">
    <cfRule type="expression" priority="281" dxfId="3">
      <formula>AND(IF(OR($Q234=1,$Q234=2),1,0),IF($X234&lt;=20,1,0))</formula>
    </cfRule>
    <cfRule type="expression" priority="282" dxfId="2">
      <formula>AND(IF($Q234=2,1,0),IF($X234&lt;30,1,0))</formula>
    </cfRule>
    <cfRule type="expression" priority="283" dxfId="1">
      <formula>AND(IF($Q234=3,1,0),IF($X234&lt;30,1,0))</formula>
    </cfRule>
    <cfRule type="expression" priority="284" dxfId="0">
      <formula>AND(IF($Q234=3,1,IF($Q234=4,1,0)),IF($F234&lt;=85,1,0))</formula>
    </cfRule>
  </conditionalFormatting>
  <conditionalFormatting sqref="AI234">
    <cfRule type="expression" priority="277" dxfId="3">
      <formula>AND(IF(OR($Q234=1,$Q234=2),1,0),IF($X234&lt;=20,1,0))</formula>
    </cfRule>
    <cfRule type="expression" priority="278" dxfId="2">
      <formula>AND(IF($Q234=2,1,0),IF($X234&lt;30,1,0))</formula>
    </cfRule>
    <cfRule type="expression" priority="279" dxfId="1">
      <formula>AND(IF($Q234=3,1,0),IF($X234&lt;30,1,0))</formula>
    </cfRule>
    <cfRule type="expression" priority="280" dxfId="0">
      <formula>AND(IF($Q234=3,1,IF($Q234=4,1,0)),IF($F234&lt;=85,1,0))</formula>
    </cfRule>
  </conditionalFormatting>
  <conditionalFormatting sqref="AV235">
    <cfRule type="expression" priority="275" dxfId="17">
      <formula>AV235="X"</formula>
    </cfRule>
    <cfRule type="expression" priority="276" dxfId="16">
      <formula>AV235="후보"</formula>
    </cfRule>
  </conditionalFormatting>
  <conditionalFormatting sqref="AC235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235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235">
    <cfRule type="expression" priority="266" dxfId="3">
      <formula>AND(IF(OR($Q235=1,$Q235=2),1,0),IF($X235&lt;=20,1,0))</formula>
    </cfRule>
    <cfRule type="expression" priority="267" dxfId="2">
      <formula>AND(IF($Q235=2,1,0),IF($X235&lt;30,1,0))</formula>
    </cfRule>
    <cfRule type="expression" priority="268" dxfId="1">
      <formula>AND(IF($Q235=3,1,0),IF($X235&lt;30,1,0))</formula>
    </cfRule>
    <cfRule type="expression" priority="269" dxfId="0">
      <formula>AND(IF($Q235=3,1,IF($Q235=4,1,0)),IF($F235&lt;=85,1,0))</formula>
    </cfRule>
  </conditionalFormatting>
  <conditionalFormatting sqref="X235">
    <cfRule type="expression" priority="262" dxfId="3">
      <formula>AND(IF(OR($Q235=1,$Q235=2),1,0),IF($X235&lt;=20,1,0))</formula>
    </cfRule>
    <cfRule type="expression" priority="263" dxfId="2">
      <formula>AND(IF($Q235=2,1,0),IF($X235&lt;30,1,0))</formula>
    </cfRule>
    <cfRule type="expression" priority="264" dxfId="1">
      <formula>AND(IF($Q235=3,1,0),IF($X235&lt;30,1,0))</formula>
    </cfRule>
    <cfRule type="expression" priority="265" dxfId="0">
      <formula>AND(IF($Q235=3,1,IF($Q235=4,1,0)),IF($F235&lt;=85,1,0))</formula>
    </cfRule>
  </conditionalFormatting>
  <conditionalFormatting sqref="AI235">
    <cfRule type="expression" priority="258" dxfId="3">
      <formula>AND(IF(OR($Q235=1,$Q235=2),1,0),IF($X235&lt;=20,1,0))</formula>
    </cfRule>
    <cfRule type="expression" priority="259" dxfId="2">
      <formula>AND(IF($Q235=2,1,0),IF($X235&lt;30,1,0))</formula>
    </cfRule>
    <cfRule type="expression" priority="260" dxfId="1">
      <formula>AND(IF($Q235=3,1,0),IF($X235&lt;30,1,0))</formula>
    </cfRule>
    <cfRule type="expression" priority="261" dxfId="0">
      <formula>AND(IF($Q235=3,1,IF($Q235=4,1,0)),IF($F235&lt;=85,1,0))</formula>
    </cfRule>
  </conditionalFormatting>
  <conditionalFormatting sqref="AV236">
    <cfRule type="expression" priority="256" dxfId="17">
      <formula>AV236="X"</formula>
    </cfRule>
    <cfRule type="expression" priority="257" dxfId="16">
      <formula>AV236="후보"</formula>
    </cfRule>
  </conditionalFormatting>
  <conditionalFormatting sqref="AC236 N236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237">
    <cfRule type="expression" priority="251" dxfId="17">
      <formula>AV237="X"</formula>
    </cfRule>
    <cfRule type="expression" priority="252" dxfId="16">
      <formula>AV237="후보"</formula>
    </cfRule>
  </conditionalFormatting>
  <conditionalFormatting sqref="AC237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237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237">
    <cfRule type="expression" priority="242" dxfId="3">
      <formula>AND(IF(OR($Q237=1,$Q237=2),1,0),IF($X237&lt;=20,1,0))</formula>
    </cfRule>
    <cfRule type="expression" priority="243" dxfId="2">
      <formula>AND(IF($Q237=2,1,0),IF($X237&lt;30,1,0))</formula>
    </cfRule>
    <cfRule type="expression" priority="244" dxfId="1">
      <formula>AND(IF($Q237=3,1,0),IF($X237&lt;30,1,0))</formula>
    </cfRule>
    <cfRule type="expression" priority="245" dxfId="0">
      <formula>AND(IF($Q237=3,1,IF($Q237=4,1,0)),IF($F237&lt;=85,1,0))</formula>
    </cfRule>
  </conditionalFormatting>
  <conditionalFormatting sqref="X237">
    <cfRule type="expression" priority="238" dxfId="3">
      <formula>AND(IF(OR($Q237=1,$Q237=2),1,0),IF($X237&lt;=20,1,0))</formula>
    </cfRule>
    <cfRule type="expression" priority="239" dxfId="2">
      <formula>AND(IF($Q237=2,1,0),IF($X237&lt;30,1,0))</formula>
    </cfRule>
    <cfRule type="expression" priority="240" dxfId="1">
      <formula>AND(IF($Q237=3,1,0),IF($X237&lt;30,1,0))</formula>
    </cfRule>
    <cfRule type="expression" priority="241" dxfId="0">
      <formula>AND(IF($Q237=3,1,IF($Q237=4,1,0)),IF($F237&lt;=85,1,0))</formula>
    </cfRule>
  </conditionalFormatting>
  <conditionalFormatting sqref="AI237">
    <cfRule type="expression" priority="234" dxfId="3">
      <formula>AND(IF(OR($Q237=1,$Q237=2),1,0),IF($X237&lt;=20,1,0))</formula>
    </cfRule>
    <cfRule type="expression" priority="235" dxfId="2">
      <formula>AND(IF($Q237=2,1,0),IF($X237&lt;30,1,0))</formula>
    </cfRule>
    <cfRule type="expression" priority="236" dxfId="1">
      <formula>AND(IF($Q237=3,1,0),IF($X237&lt;30,1,0))</formula>
    </cfRule>
    <cfRule type="expression" priority="237" dxfId="0">
      <formula>AND(IF($Q237=3,1,IF($Q237=4,1,0)),IF($F237&lt;=85,1,0))</formula>
    </cfRule>
  </conditionalFormatting>
  <conditionalFormatting sqref="AV238">
    <cfRule type="expression" priority="232" dxfId="17">
      <formula>AV238="X"</formula>
    </cfRule>
    <cfRule type="expression" priority="233" dxfId="16">
      <formula>AV238="후보"</formula>
    </cfRule>
  </conditionalFormatting>
  <conditionalFormatting sqref="AC238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38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38">
    <cfRule type="expression" priority="223" dxfId="3">
      <formula>AND(IF(OR($Q238=1,$Q238=2),1,0),IF($X238&lt;=20,1,0))</formula>
    </cfRule>
    <cfRule type="expression" priority="224" dxfId="2">
      <formula>AND(IF($Q238=2,1,0),IF($X238&lt;30,1,0))</formula>
    </cfRule>
    <cfRule type="expression" priority="225" dxfId="1">
      <formula>AND(IF($Q238=3,1,0),IF($X238&lt;30,1,0))</formula>
    </cfRule>
    <cfRule type="expression" priority="226" dxfId="0">
      <formula>AND(IF($Q238=3,1,IF($Q238=4,1,0)),IF($F238&lt;=85,1,0))</formula>
    </cfRule>
  </conditionalFormatting>
  <conditionalFormatting sqref="X238">
    <cfRule type="expression" priority="219" dxfId="3">
      <formula>AND(IF(OR($Q238=1,$Q238=2),1,0),IF($X238&lt;=20,1,0))</formula>
    </cfRule>
    <cfRule type="expression" priority="220" dxfId="2">
      <formula>AND(IF($Q238=2,1,0),IF($X238&lt;30,1,0))</formula>
    </cfRule>
    <cfRule type="expression" priority="221" dxfId="1">
      <formula>AND(IF($Q238=3,1,0),IF($X238&lt;30,1,0))</formula>
    </cfRule>
    <cfRule type="expression" priority="222" dxfId="0">
      <formula>AND(IF($Q238=3,1,IF($Q238=4,1,0)),IF($F238&lt;=85,1,0))</formula>
    </cfRule>
  </conditionalFormatting>
  <conditionalFormatting sqref="AI238">
    <cfRule type="expression" priority="215" dxfId="3">
      <formula>AND(IF(OR($Q238=1,$Q238=2),1,0),IF($X238&lt;=20,1,0))</formula>
    </cfRule>
    <cfRule type="expression" priority="216" dxfId="2">
      <formula>AND(IF($Q238=2,1,0),IF($X238&lt;30,1,0))</formula>
    </cfRule>
    <cfRule type="expression" priority="217" dxfId="1">
      <formula>AND(IF($Q238=3,1,0),IF($X238&lt;30,1,0))</formula>
    </cfRule>
    <cfRule type="expression" priority="218" dxfId="0">
      <formula>AND(IF($Q238=3,1,IF($Q238=4,1,0)),IF($F238&lt;=85,1,0))</formula>
    </cfRule>
  </conditionalFormatting>
  <conditionalFormatting sqref="AV239">
    <cfRule type="expression" priority="213" dxfId="17">
      <formula>AV239="X"</formula>
    </cfRule>
    <cfRule type="expression" priority="214" dxfId="16">
      <formula>AV239="후보"</formula>
    </cfRule>
  </conditionalFormatting>
  <conditionalFormatting sqref="AC239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239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239">
    <cfRule type="expression" priority="204" dxfId="3">
      <formula>AND(IF(OR($Q239=1,$Q239=2),1,0),IF($X239&lt;=20,1,0))</formula>
    </cfRule>
    <cfRule type="expression" priority="205" dxfId="2">
      <formula>AND(IF($Q239=2,1,0),IF($X239&lt;30,1,0))</formula>
    </cfRule>
    <cfRule type="expression" priority="206" dxfId="1">
      <formula>AND(IF($Q239=3,1,0),IF($X239&lt;30,1,0))</formula>
    </cfRule>
    <cfRule type="expression" priority="207" dxfId="0">
      <formula>AND(IF($Q239=3,1,IF($Q239=4,1,0)),IF($F239&lt;=85,1,0))</formula>
    </cfRule>
  </conditionalFormatting>
  <conditionalFormatting sqref="X239">
    <cfRule type="expression" priority="200" dxfId="3">
      <formula>AND(IF(OR($Q239=1,$Q239=2),1,0),IF($X239&lt;=20,1,0))</formula>
    </cfRule>
    <cfRule type="expression" priority="201" dxfId="2">
      <formula>AND(IF($Q239=2,1,0),IF($X239&lt;30,1,0))</formula>
    </cfRule>
    <cfRule type="expression" priority="202" dxfId="1">
      <formula>AND(IF($Q239=3,1,0),IF($X239&lt;30,1,0))</formula>
    </cfRule>
    <cfRule type="expression" priority="203" dxfId="0">
      <formula>AND(IF($Q239=3,1,IF($Q239=4,1,0)),IF($F239&lt;=85,1,0))</formula>
    </cfRule>
  </conditionalFormatting>
  <conditionalFormatting sqref="AI239">
    <cfRule type="expression" priority="196" dxfId="3">
      <formula>AND(IF(OR($Q239=1,$Q239=2),1,0),IF($X239&lt;=20,1,0))</formula>
    </cfRule>
    <cfRule type="expression" priority="197" dxfId="2">
      <formula>AND(IF($Q239=2,1,0),IF($X239&lt;30,1,0))</formula>
    </cfRule>
    <cfRule type="expression" priority="198" dxfId="1">
      <formula>AND(IF($Q239=3,1,0),IF($X239&lt;30,1,0))</formula>
    </cfRule>
    <cfRule type="expression" priority="199" dxfId="0">
      <formula>AND(IF($Q239=3,1,IF($Q239=4,1,0)),IF($F239&lt;=85,1,0))</formula>
    </cfRule>
  </conditionalFormatting>
  <conditionalFormatting sqref="AV240">
    <cfRule type="expression" priority="194" dxfId="17">
      <formula>AV240="X"</formula>
    </cfRule>
    <cfRule type="expression" priority="195" dxfId="16">
      <formula>AV240="후보"</formula>
    </cfRule>
  </conditionalFormatting>
  <conditionalFormatting sqref="AC240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40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40">
    <cfRule type="expression" priority="185" dxfId="3">
      <formula>AND(IF(OR($Q240=1,$Q240=2),1,0),IF($X240&lt;=20,1,0))</formula>
    </cfRule>
    <cfRule type="expression" priority="186" dxfId="2">
      <formula>AND(IF($Q240=2,1,0),IF($X240&lt;30,1,0))</formula>
    </cfRule>
    <cfRule type="expression" priority="187" dxfId="1">
      <formula>AND(IF($Q240=3,1,0),IF($X240&lt;30,1,0))</formula>
    </cfRule>
    <cfRule type="expression" priority="188" dxfId="0">
      <formula>AND(IF($Q240=3,1,IF($Q240=4,1,0)),IF($F240&lt;=85,1,0))</formula>
    </cfRule>
  </conditionalFormatting>
  <conditionalFormatting sqref="X240">
    <cfRule type="expression" priority="181" dxfId="3">
      <formula>AND(IF(OR($Q240=1,$Q240=2),1,0),IF($X240&lt;=20,1,0))</formula>
    </cfRule>
    <cfRule type="expression" priority="182" dxfId="2">
      <formula>AND(IF($Q240=2,1,0),IF($X240&lt;30,1,0))</formula>
    </cfRule>
    <cfRule type="expression" priority="183" dxfId="1">
      <formula>AND(IF($Q240=3,1,0),IF($X240&lt;30,1,0))</formula>
    </cfRule>
    <cfRule type="expression" priority="184" dxfId="0">
      <formula>AND(IF($Q240=3,1,IF($Q240=4,1,0)),IF($F240&lt;=85,1,0))</formula>
    </cfRule>
  </conditionalFormatting>
  <conditionalFormatting sqref="AI240">
    <cfRule type="expression" priority="177" dxfId="3">
      <formula>AND(IF(OR($Q240=1,$Q240=2),1,0),IF($X240&lt;=20,1,0))</formula>
    </cfRule>
    <cfRule type="expression" priority="178" dxfId="2">
      <formula>AND(IF($Q240=2,1,0),IF($X240&lt;30,1,0))</formula>
    </cfRule>
    <cfRule type="expression" priority="179" dxfId="1">
      <formula>AND(IF($Q240=3,1,0),IF($X240&lt;30,1,0))</formula>
    </cfRule>
    <cfRule type="expression" priority="180" dxfId="0">
      <formula>AND(IF($Q240=3,1,IF($Q240=4,1,0)),IF($F240&lt;=85,1,0))</formula>
    </cfRule>
  </conditionalFormatting>
  <conditionalFormatting sqref="AV241">
    <cfRule type="expression" priority="175" dxfId="17">
      <formula>AV241="X"</formula>
    </cfRule>
    <cfRule type="expression" priority="176" dxfId="16">
      <formula>AV241="후보"</formula>
    </cfRule>
  </conditionalFormatting>
  <conditionalFormatting sqref="AC241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41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41">
    <cfRule type="expression" priority="166" dxfId="3">
      <formula>AND(IF(OR($Q241=1,$Q241=2),1,0),IF($X241&lt;=20,1,0))</formula>
    </cfRule>
    <cfRule type="expression" priority="167" dxfId="2">
      <formula>AND(IF($Q241=2,1,0),IF($X241&lt;30,1,0))</formula>
    </cfRule>
    <cfRule type="expression" priority="168" dxfId="1">
      <formula>AND(IF($Q241=3,1,0),IF($X241&lt;30,1,0))</formula>
    </cfRule>
    <cfRule type="expression" priority="169" dxfId="0">
      <formula>AND(IF($Q241=3,1,IF($Q241=4,1,0)),IF($F241&lt;=85,1,0))</formula>
    </cfRule>
  </conditionalFormatting>
  <conditionalFormatting sqref="X241">
    <cfRule type="expression" priority="162" dxfId="3">
      <formula>AND(IF(OR($Q241=1,$Q241=2),1,0),IF($X241&lt;=20,1,0))</formula>
    </cfRule>
    <cfRule type="expression" priority="163" dxfId="2">
      <formula>AND(IF($Q241=2,1,0),IF($X241&lt;30,1,0))</formula>
    </cfRule>
    <cfRule type="expression" priority="164" dxfId="1">
      <formula>AND(IF($Q241=3,1,0),IF($X241&lt;30,1,0))</formula>
    </cfRule>
    <cfRule type="expression" priority="165" dxfId="0">
      <formula>AND(IF($Q241=3,1,IF($Q241=4,1,0)),IF($F241&lt;=85,1,0))</formula>
    </cfRule>
  </conditionalFormatting>
  <conditionalFormatting sqref="AI241">
    <cfRule type="expression" priority="158" dxfId="3">
      <formula>AND(IF(OR($Q241=1,$Q241=2),1,0),IF($X241&lt;=20,1,0))</formula>
    </cfRule>
    <cfRule type="expression" priority="159" dxfId="2">
      <formula>AND(IF($Q241=2,1,0),IF($X241&lt;30,1,0))</formula>
    </cfRule>
    <cfRule type="expression" priority="160" dxfId="1">
      <formula>AND(IF($Q241=3,1,0),IF($X241&lt;30,1,0))</formula>
    </cfRule>
    <cfRule type="expression" priority="161" dxfId="0">
      <formula>AND(IF($Q241=3,1,IF($Q241=4,1,0)),IF($F241&lt;=85,1,0))</formula>
    </cfRule>
  </conditionalFormatting>
  <conditionalFormatting sqref="AV242">
    <cfRule type="expression" priority="156" dxfId="17">
      <formula>AV242="X"</formula>
    </cfRule>
    <cfRule type="expression" priority="157" dxfId="16">
      <formula>AV242="후보"</formula>
    </cfRule>
  </conditionalFormatting>
  <conditionalFormatting sqref="AC24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42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42">
    <cfRule type="expression" priority="147" dxfId="3">
      <formula>AND(IF(OR($Q242=1,$Q242=2),1,0),IF($X242&lt;=20,1,0))</formula>
    </cfRule>
    <cfRule type="expression" priority="148" dxfId="2">
      <formula>AND(IF($Q242=2,1,0),IF($X242&lt;30,1,0))</formula>
    </cfRule>
    <cfRule type="expression" priority="149" dxfId="1">
      <formula>AND(IF($Q242=3,1,0),IF($X242&lt;30,1,0))</formula>
    </cfRule>
    <cfRule type="expression" priority="150" dxfId="0">
      <formula>AND(IF($Q242=3,1,IF($Q242=4,1,0)),IF($F242&lt;=85,1,0))</formula>
    </cfRule>
  </conditionalFormatting>
  <conditionalFormatting sqref="X242">
    <cfRule type="expression" priority="143" dxfId="3">
      <formula>AND(IF(OR($Q242=1,$Q242=2),1,0),IF($X242&lt;=20,1,0))</formula>
    </cfRule>
    <cfRule type="expression" priority="144" dxfId="2">
      <formula>AND(IF($Q242=2,1,0),IF($X242&lt;30,1,0))</formula>
    </cfRule>
    <cfRule type="expression" priority="145" dxfId="1">
      <formula>AND(IF($Q242=3,1,0),IF($X242&lt;30,1,0))</formula>
    </cfRule>
    <cfRule type="expression" priority="146" dxfId="0">
      <formula>AND(IF($Q242=3,1,IF($Q242=4,1,0)),IF($F242&lt;=85,1,0))</formula>
    </cfRule>
  </conditionalFormatting>
  <conditionalFormatting sqref="AI242">
    <cfRule type="expression" priority="139" dxfId="3">
      <formula>AND(IF(OR($Q242=1,$Q242=2),1,0),IF($X242&lt;=20,1,0))</formula>
    </cfRule>
    <cfRule type="expression" priority="140" dxfId="2">
      <formula>AND(IF($Q242=2,1,0),IF($X242&lt;30,1,0))</formula>
    </cfRule>
    <cfRule type="expression" priority="141" dxfId="1">
      <formula>AND(IF($Q242=3,1,0),IF($X242&lt;30,1,0))</formula>
    </cfRule>
    <cfRule type="expression" priority="142" dxfId="0">
      <formula>AND(IF($Q242=3,1,IF($Q242=4,1,0)),IF($F242&lt;=85,1,0))</formula>
    </cfRule>
  </conditionalFormatting>
  <conditionalFormatting sqref="AV243">
    <cfRule type="expression" priority="137" dxfId="17">
      <formula>AV243="X"</formula>
    </cfRule>
    <cfRule type="expression" priority="138" dxfId="16">
      <formula>AV243="후보"</formula>
    </cfRule>
  </conditionalFormatting>
  <conditionalFormatting sqref="AC24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43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43">
    <cfRule type="expression" priority="128" dxfId="3">
      <formula>AND(IF(OR($Q243=1,$Q243=2),1,0),IF($X243&lt;=20,1,0))</formula>
    </cfRule>
    <cfRule type="expression" priority="129" dxfId="2">
      <formula>AND(IF($Q243=2,1,0),IF($X243&lt;30,1,0))</formula>
    </cfRule>
    <cfRule type="expression" priority="130" dxfId="1">
      <formula>AND(IF($Q243=3,1,0),IF($X243&lt;30,1,0))</formula>
    </cfRule>
    <cfRule type="expression" priority="131" dxfId="0">
      <formula>AND(IF($Q243=3,1,IF($Q243=4,1,0)),IF($F243&lt;=85,1,0))</formula>
    </cfRule>
  </conditionalFormatting>
  <conditionalFormatting sqref="X243">
    <cfRule type="expression" priority="124" dxfId="3">
      <formula>AND(IF(OR($Q243=1,$Q243=2),1,0),IF($X243&lt;=20,1,0))</formula>
    </cfRule>
    <cfRule type="expression" priority="125" dxfId="2">
      <formula>AND(IF($Q243=2,1,0),IF($X243&lt;30,1,0))</formula>
    </cfRule>
    <cfRule type="expression" priority="126" dxfId="1">
      <formula>AND(IF($Q243=3,1,0),IF($X243&lt;30,1,0))</formula>
    </cfRule>
    <cfRule type="expression" priority="127" dxfId="0">
      <formula>AND(IF($Q243=3,1,IF($Q243=4,1,0)),IF($F243&lt;=85,1,0))</formula>
    </cfRule>
  </conditionalFormatting>
  <conditionalFormatting sqref="AI243">
    <cfRule type="expression" priority="120" dxfId="3">
      <formula>AND(IF(OR($Q243=1,$Q243=2),1,0),IF($X243&lt;=20,1,0))</formula>
    </cfRule>
    <cfRule type="expression" priority="121" dxfId="2">
      <formula>AND(IF($Q243=2,1,0),IF($X243&lt;30,1,0))</formula>
    </cfRule>
    <cfRule type="expression" priority="122" dxfId="1">
      <formula>AND(IF($Q243=3,1,0),IF($X243&lt;30,1,0))</formula>
    </cfRule>
    <cfRule type="expression" priority="123" dxfId="0">
      <formula>AND(IF($Q243=3,1,IF($Q243=4,1,0)),IF($F243&lt;=85,1,0))</formula>
    </cfRule>
  </conditionalFormatting>
  <conditionalFormatting sqref="AV244">
    <cfRule type="expression" priority="118" dxfId="17">
      <formula>AV244="X"</formula>
    </cfRule>
    <cfRule type="expression" priority="119" dxfId="16">
      <formula>AV244="후보"</formula>
    </cfRule>
  </conditionalFormatting>
  <conditionalFormatting sqref="AC24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4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44">
    <cfRule type="expression" priority="109" dxfId="3">
      <formula>AND(IF(OR($Q244=1,$Q244=2),1,0),IF($X244&lt;=20,1,0))</formula>
    </cfRule>
    <cfRule type="expression" priority="110" dxfId="2">
      <formula>AND(IF($Q244=2,1,0),IF($X244&lt;30,1,0))</formula>
    </cfRule>
    <cfRule type="expression" priority="111" dxfId="1">
      <formula>AND(IF($Q244=3,1,0),IF($X244&lt;30,1,0))</formula>
    </cfRule>
    <cfRule type="expression" priority="112" dxfId="0">
      <formula>AND(IF($Q244=3,1,IF($Q244=4,1,0)),IF($F244&lt;=85,1,0))</formula>
    </cfRule>
  </conditionalFormatting>
  <conditionalFormatting sqref="X244">
    <cfRule type="expression" priority="105" dxfId="3">
      <formula>AND(IF(OR($Q244=1,$Q244=2),1,0),IF($X244&lt;=20,1,0))</formula>
    </cfRule>
    <cfRule type="expression" priority="106" dxfId="2">
      <formula>AND(IF($Q244=2,1,0),IF($X244&lt;30,1,0))</formula>
    </cfRule>
    <cfRule type="expression" priority="107" dxfId="1">
      <formula>AND(IF($Q244=3,1,0),IF($X244&lt;30,1,0))</formula>
    </cfRule>
    <cfRule type="expression" priority="108" dxfId="0">
      <formula>AND(IF($Q244=3,1,IF($Q244=4,1,0)),IF($F244&lt;=85,1,0))</formula>
    </cfRule>
  </conditionalFormatting>
  <conditionalFormatting sqref="AI244">
    <cfRule type="expression" priority="101" dxfId="3">
      <formula>AND(IF(OR($Q244=1,$Q244=2),1,0),IF($X244&lt;=20,1,0))</formula>
    </cfRule>
    <cfRule type="expression" priority="102" dxfId="2">
      <formula>AND(IF($Q244=2,1,0),IF($X244&lt;30,1,0))</formula>
    </cfRule>
    <cfRule type="expression" priority="103" dxfId="1">
      <formula>AND(IF($Q244=3,1,0),IF($X244&lt;30,1,0))</formula>
    </cfRule>
    <cfRule type="expression" priority="104" dxfId="0">
      <formula>AND(IF($Q244=3,1,IF($Q244=4,1,0)),IF($F244&lt;=85,1,0))</formula>
    </cfRule>
  </conditionalFormatting>
  <conditionalFormatting sqref="AV245">
    <cfRule type="expression" priority="99" dxfId="17">
      <formula>AV245="X"</formula>
    </cfRule>
    <cfRule type="expression" priority="100" dxfId="16">
      <formula>AV245="후보"</formula>
    </cfRule>
  </conditionalFormatting>
  <conditionalFormatting sqref="AC24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45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45">
    <cfRule type="expression" priority="90" dxfId="3">
      <formula>AND(IF(OR($Q245=1,$Q245=2),1,0),IF($X245&lt;=20,1,0))</formula>
    </cfRule>
    <cfRule type="expression" priority="91" dxfId="2">
      <formula>AND(IF($Q245=2,1,0),IF($X245&lt;30,1,0))</formula>
    </cfRule>
    <cfRule type="expression" priority="92" dxfId="1">
      <formula>AND(IF($Q245=3,1,0),IF($X245&lt;30,1,0))</formula>
    </cfRule>
    <cfRule type="expression" priority="93" dxfId="0">
      <formula>AND(IF($Q245=3,1,IF($Q245=4,1,0)),IF($F245&lt;=85,1,0))</formula>
    </cfRule>
  </conditionalFormatting>
  <conditionalFormatting sqref="X245">
    <cfRule type="expression" priority="86" dxfId="3">
      <formula>AND(IF(OR($Q245=1,$Q245=2),1,0),IF($X245&lt;=20,1,0))</formula>
    </cfRule>
    <cfRule type="expression" priority="87" dxfId="2">
      <formula>AND(IF($Q245=2,1,0),IF($X245&lt;30,1,0))</formula>
    </cfRule>
    <cfRule type="expression" priority="88" dxfId="1">
      <formula>AND(IF($Q245=3,1,0),IF($X245&lt;30,1,0))</formula>
    </cfRule>
    <cfRule type="expression" priority="89" dxfId="0">
      <formula>AND(IF($Q245=3,1,IF($Q245=4,1,0)),IF($F245&lt;=85,1,0))</formula>
    </cfRule>
  </conditionalFormatting>
  <conditionalFormatting sqref="AI245">
    <cfRule type="expression" priority="82" dxfId="3">
      <formula>AND(IF(OR($Q245=1,$Q245=2),1,0),IF($X245&lt;=20,1,0))</formula>
    </cfRule>
    <cfRule type="expression" priority="83" dxfId="2">
      <formula>AND(IF($Q245=2,1,0),IF($X245&lt;30,1,0))</formula>
    </cfRule>
    <cfRule type="expression" priority="84" dxfId="1">
      <formula>AND(IF($Q245=3,1,0),IF($X245&lt;30,1,0))</formula>
    </cfRule>
    <cfRule type="expression" priority="85" dxfId="0">
      <formula>AND(IF($Q245=3,1,IF($Q245=4,1,0)),IF($F245&lt;=85,1,0))</formula>
    </cfRule>
  </conditionalFormatting>
  <conditionalFormatting sqref="AV246">
    <cfRule type="expression" priority="80" dxfId="17">
      <formula>AV246="X"</formula>
    </cfRule>
    <cfRule type="expression" priority="81" dxfId="16">
      <formula>AV246="후보"</formula>
    </cfRule>
  </conditionalFormatting>
  <conditionalFormatting sqref="AC246 N246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247">
    <cfRule type="expression" priority="75" dxfId="17">
      <formula>AV247="X"</formula>
    </cfRule>
    <cfRule type="expression" priority="76" dxfId="16">
      <formula>AV247="후보"</formula>
    </cfRule>
  </conditionalFormatting>
  <conditionalFormatting sqref="AC24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4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47">
    <cfRule type="expression" priority="66" dxfId="3">
      <formula>AND(IF(OR($Q247=1,$Q247=2),1,0),IF($X247&lt;=20,1,0))</formula>
    </cfRule>
    <cfRule type="expression" priority="67" dxfId="2">
      <formula>AND(IF($Q247=2,1,0),IF($X247&lt;30,1,0))</formula>
    </cfRule>
    <cfRule type="expression" priority="68" dxfId="1">
      <formula>AND(IF($Q247=3,1,0),IF($X247&lt;30,1,0))</formula>
    </cfRule>
    <cfRule type="expression" priority="69" dxfId="0">
      <formula>AND(IF($Q247=3,1,IF($Q247=4,1,0)),IF($F247&lt;=85,1,0))</formula>
    </cfRule>
  </conditionalFormatting>
  <conditionalFormatting sqref="X247">
    <cfRule type="expression" priority="62" dxfId="3">
      <formula>AND(IF(OR($Q247=1,$Q247=2),1,0),IF($X247&lt;=20,1,0))</formula>
    </cfRule>
    <cfRule type="expression" priority="63" dxfId="2">
      <formula>AND(IF($Q247=2,1,0),IF($X247&lt;30,1,0))</formula>
    </cfRule>
    <cfRule type="expression" priority="64" dxfId="1">
      <formula>AND(IF($Q247=3,1,0),IF($X247&lt;30,1,0))</formula>
    </cfRule>
    <cfRule type="expression" priority="65" dxfId="0">
      <formula>AND(IF($Q247=3,1,IF($Q247=4,1,0)),IF($F247&lt;=85,1,0))</formula>
    </cfRule>
  </conditionalFormatting>
  <conditionalFormatting sqref="AI247">
    <cfRule type="expression" priority="58" dxfId="3">
      <formula>AND(IF(OR($Q247=1,$Q247=2),1,0),IF($X247&lt;=20,1,0))</formula>
    </cfRule>
    <cfRule type="expression" priority="59" dxfId="2">
      <formula>AND(IF($Q247=2,1,0),IF($X247&lt;30,1,0))</formula>
    </cfRule>
    <cfRule type="expression" priority="60" dxfId="1">
      <formula>AND(IF($Q247=3,1,0),IF($X247&lt;30,1,0))</formula>
    </cfRule>
    <cfRule type="expression" priority="61" dxfId="0">
      <formula>AND(IF($Q247=3,1,IF($Q247=4,1,0)),IF($F247&lt;=85,1,0))</formula>
    </cfRule>
  </conditionalFormatting>
  <conditionalFormatting sqref="AV248">
    <cfRule type="expression" priority="56" dxfId="17">
      <formula>AV248="X"</formula>
    </cfRule>
    <cfRule type="expression" priority="57" dxfId="16">
      <formula>AV248="후보"</formula>
    </cfRule>
  </conditionalFormatting>
  <conditionalFormatting sqref="AC24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4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48">
    <cfRule type="expression" priority="47" dxfId="3">
      <formula>AND(IF(OR($Q248=1,$Q248=2),1,0),IF($X248&lt;=20,1,0))</formula>
    </cfRule>
    <cfRule type="expression" priority="48" dxfId="2">
      <formula>AND(IF($Q248=2,1,0),IF($X248&lt;30,1,0))</formula>
    </cfRule>
    <cfRule type="expression" priority="49" dxfId="1">
      <formula>AND(IF($Q248=3,1,0),IF($X248&lt;30,1,0))</formula>
    </cfRule>
    <cfRule type="expression" priority="50" dxfId="0">
      <formula>AND(IF($Q248=3,1,IF($Q248=4,1,0)),IF($F248&lt;=85,1,0))</formula>
    </cfRule>
  </conditionalFormatting>
  <conditionalFormatting sqref="X248">
    <cfRule type="expression" priority="43" dxfId="3">
      <formula>AND(IF(OR($Q248=1,$Q248=2),1,0),IF($X248&lt;=20,1,0))</formula>
    </cfRule>
    <cfRule type="expression" priority="44" dxfId="2">
      <formula>AND(IF($Q248=2,1,0),IF($X248&lt;30,1,0))</formula>
    </cfRule>
    <cfRule type="expression" priority="45" dxfId="1">
      <formula>AND(IF($Q248=3,1,0),IF($X248&lt;30,1,0))</formula>
    </cfRule>
    <cfRule type="expression" priority="46" dxfId="0">
      <formula>AND(IF($Q248=3,1,IF($Q248=4,1,0)),IF($F248&lt;=85,1,0))</formula>
    </cfRule>
  </conditionalFormatting>
  <conditionalFormatting sqref="AI248">
    <cfRule type="expression" priority="39" dxfId="3">
      <formula>AND(IF(OR($Q248=1,$Q248=2),1,0),IF($X248&lt;=20,1,0))</formula>
    </cfRule>
    <cfRule type="expression" priority="40" dxfId="2">
      <formula>AND(IF($Q248=2,1,0),IF($X248&lt;30,1,0))</formula>
    </cfRule>
    <cfRule type="expression" priority="41" dxfId="1">
      <formula>AND(IF($Q248=3,1,0),IF($X248&lt;30,1,0))</formula>
    </cfRule>
    <cfRule type="expression" priority="42" dxfId="0">
      <formula>AND(IF($Q248=3,1,IF($Q248=4,1,0)),IF($F248&lt;=85,1,0))</formula>
    </cfRule>
  </conditionalFormatting>
  <conditionalFormatting sqref="AV249">
    <cfRule type="expression" priority="37" dxfId="17">
      <formula>AV249="X"</formula>
    </cfRule>
    <cfRule type="expression" priority="38" dxfId="16">
      <formula>AV249="후보"</formula>
    </cfRule>
  </conditionalFormatting>
  <conditionalFormatting sqref="AC24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4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49">
    <cfRule type="expression" priority="28" dxfId="3">
      <formula>AND(IF(OR($Q249=1,$Q249=2),1,0),IF($X249&lt;=20,1,0))</formula>
    </cfRule>
    <cfRule type="expression" priority="29" dxfId="2">
      <formula>AND(IF($Q249=2,1,0),IF($X249&lt;30,1,0))</formula>
    </cfRule>
    <cfRule type="expression" priority="30" dxfId="1">
      <formula>AND(IF($Q249=3,1,0),IF($X249&lt;30,1,0))</formula>
    </cfRule>
    <cfRule type="expression" priority="31" dxfId="0">
      <formula>AND(IF($Q249=3,1,IF($Q249=4,1,0)),IF($F249&lt;=85,1,0))</formula>
    </cfRule>
  </conditionalFormatting>
  <conditionalFormatting sqref="X249">
    <cfRule type="expression" priority="24" dxfId="3">
      <formula>AND(IF(OR($Q249=1,$Q249=2),1,0),IF($X249&lt;=20,1,0))</formula>
    </cfRule>
    <cfRule type="expression" priority="25" dxfId="2">
      <formula>AND(IF($Q249=2,1,0),IF($X249&lt;30,1,0))</formula>
    </cfRule>
    <cfRule type="expression" priority="26" dxfId="1">
      <formula>AND(IF($Q249=3,1,0),IF($X249&lt;30,1,0))</formula>
    </cfRule>
    <cfRule type="expression" priority="27" dxfId="0">
      <formula>AND(IF($Q249=3,1,IF($Q249=4,1,0)),IF($F249&lt;=85,1,0))</formula>
    </cfRule>
  </conditionalFormatting>
  <conditionalFormatting sqref="AI249">
    <cfRule type="expression" priority="20" dxfId="3">
      <formula>AND(IF(OR($Q249=1,$Q249=2),1,0),IF($X249&lt;=20,1,0))</formula>
    </cfRule>
    <cfRule type="expression" priority="21" dxfId="2">
      <formula>AND(IF($Q249=2,1,0),IF($X249&lt;30,1,0))</formula>
    </cfRule>
    <cfRule type="expression" priority="22" dxfId="1">
      <formula>AND(IF($Q249=3,1,0),IF($X249&lt;30,1,0))</formula>
    </cfRule>
    <cfRule type="expression" priority="23" dxfId="0">
      <formula>AND(IF($Q249=3,1,IF($Q249=4,1,0)),IF($F249&lt;=85,1,0))</formula>
    </cfRule>
  </conditionalFormatting>
  <conditionalFormatting sqref="AV250">
    <cfRule type="expression" priority="18" dxfId="17">
      <formula>AV250="X"</formula>
    </cfRule>
    <cfRule type="expression" priority="19" dxfId="16">
      <formula>AV250="후보"</formula>
    </cfRule>
  </conditionalFormatting>
  <conditionalFormatting sqref="AC25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5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50">
    <cfRule type="expression" priority="9" dxfId="3">
      <formula>AND(IF(OR($Q250=1,$Q250=2),1,0),IF($X250&lt;=20,1,0))</formula>
    </cfRule>
    <cfRule type="expression" priority="10" dxfId="2">
      <formula>AND(IF($Q250=2,1,0),IF($X250&lt;30,1,0))</formula>
    </cfRule>
    <cfRule type="expression" priority="11" dxfId="1">
      <formula>AND(IF($Q250=3,1,0),IF($X250&lt;30,1,0))</formula>
    </cfRule>
    <cfRule type="expression" priority="12" dxfId="0">
      <formula>AND(IF($Q250=3,1,IF($Q250=4,1,0)),IF($F250&lt;=85,1,0))</formula>
    </cfRule>
  </conditionalFormatting>
  <conditionalFormatting sqref="X250">
    <cfRule type="expression" priority="5" dxfId="3">
      <formula>AND(IF(OR($Q250=1,$Q250=2),1,0),IF($X250&lt;=20,1,0))</formula>
    </cfRule>
    <cfRule type="expression" priority="6" dxfId="2">
      <formula>AND(IF($Q250=2,1,0),IF($X250&lt;30,1,0))</formula>
    </cfRule>
    <cfRule type="expression" priority="7" dxfId="1">
      <formula>AND(IF($Q250=3,1,0),IF($X250&lt;30,1,0))</formula>
    </cfRule>
    <cfRule type="expression" priority="8" dxfId="0">
      <formula>AND(IF($Q250=3,1,IF($Q250=4,1,0)),IF($F250&lt;=85,1,0))</formula>
    </cfRule>
  </conditionalFormatting>
  <conditionalFormatting sqref="AI250">
    <cfRule type="expression" priority="1" dxfId="3">
      <formula>AND(IF(OR($Q250=1,$Q250=2),1,0),IF($X250&lt;=20,1,0))</formula>
    </cfRule>
    <cfRule type="expression" priority="2" dxfId="2">
      <formula>AND(IF($Q250=2,1,0),IF($X250&lt;30,1,0))</formula>
    </cfRule>
    <cfRule type="expression" priority="3" dxfId="1">
      <formula>AND(IF($Q250=3,1,0),IF($X250&lt;30,1,0))</formula>
    </cfRule>
    <cfRule type="expression" priority="4" dxfId="0">
      <formula>AND(IF($Q250=3,1,IF($Q250=4,1,0)),IF($F250&lt;=85,1,0))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4" t="n">
        <v>905</v>
      </c>
      <c r="D6" s="161" t="n">
        <v>79.3</v>
      </c>
      <c r="E6" s="163" t="n">
        <v>24</v>
      </c>
      <c r="F6" s="161" t="n">
        <v>59.8</v>
      </c>
      <c r="G6" s="27" t="n">
        <v>18</v>
      </c>
      <c r="H6" s="164" t="n">
        <v>240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2022-04-03T14:43:12Z</dcterms:modified>
  <cp:lastModifiedBy>MinsuKwon</cp:lastModifiedBy>
  <cp:lastPrinted>2018-04-28T10:52:41Z</cp:lastPrinted>
</cp:coreProperties>
</file>