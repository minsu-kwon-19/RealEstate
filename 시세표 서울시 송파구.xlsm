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4" activeTab="16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39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수원시 장안구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3952">
      <formula>18.1</formula>
    </cfRule>
    <cfRule type="cellIs" priority="69564" operator="lessThan" dxfId="13951">
      <formula>21.1</formula>
    </cfRule>
    <cfRule type="cellIs" priority="69565" operator="lessThan" dxfId="13950">
      <formula>24.1</formula>
    </cfRule>
    <cfRule type="cellIs" priority="69566" operator="lessThan" dxfId="1">
      <formula>30</formula>
    </cfRule>
    <cfRule type="cellIs" priority="69567" operator="lessThan" dxfId="13948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572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131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131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131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131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131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131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131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131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가락쌍용2차</t>
        </is>
      </c>
      <c r="B6" s="16" t="inlineStr">
        <is>
          <t>'99.10.</t>
        </is>
      </c>
      <c r="C6" s="165" t="n">
        <v>492</v>
      </c>
      <c r="D6" s="162" t="n">
        <v>81.3</v>
      </c>
      <c r="E6" s="164" t="n">
        <v>25</v>
      </c>
      <c r="F6" s="162" t="n">
        <v>59.9</v>
      </c>
      <c r="G6" s="27" t="n">
        <v>18</v>
      </c>
      <c r="H6" s="165" t="n">
        <v>175</v>
      </c>
      <c r="I6" s="166" t="n">
        <v>113000</v>
      </c>
      <c r="J6" s="166" t="inlineStr">
        <is>
          <t>23</t>
        </is>
      </c>
      <c r="K6" s="166" t="n">
        <v>51000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가락쌍용2차</t>
        </is>
      </c>
      <c r="B7" s="16" t="inlineStr">
        <is>
          <t>'99.10.</t>
        </is>
      </c>
      <c r="C7" s="165" t="n">
        <v>492</v>
      </c>
      <c r="D7" s="162" t="n">
        <v>108.3</v>
      </c>
      <c r="E7" s="164" t="n">
        <v>33</v>
      </c>
      <c r="F7" s="162" t="n">
        <v>84.40000000000001</v>
      </c>
      <c r="G7" s="27" t="n">
        <v>26</v>
      </c>
      <c r="H7" s="165" t="n">
        <v>317</v>
      </c>
      <c r="I7" s="166" t="n">
        <v>142000</v>
      </c>
      <c r="J7" s="166" t="inlineStr">
        <is>
          <t>중</t>
        </is>
      </c>
      <c r="K7" s="166" t="n">
        <v>65000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가락대림</t>
        </is>
      </c>
      <c r="B9" s="16" t="inlineStr">
        <is>
          <t>'88.11.</t>
        </is>
      </c>
      <c r="C9" s="165" t="n">
        <v>443</v>
      </c>
      <c r="D9" s="162" t="n">
        <v>73.90000000000001</v>
      </c>
      <c r="E9" s="164" t="n">
        <v>22</v>
      </c>
      <c r="F9" s="162" t="n">
        <v>59.2</v>
      </c>
      <c r="G9" s="27" t="n">
        <v>18</v>
      </c>
      <c r="H9" s="165" t="n">
        <v>30</v>
      </c>
      <c r="I9" s="166" t="n">
        <v>95000</v>
      </c>
      <c r="J9" s="166" t="inlineStr">
        <is>
          <t>13</t>
        </is>
      </c>
      <c r="K9" s="166" t="n">
        <v>48000</v>
      </c>
      <c r="L9" s="166" t="inlineStr">
        <is>
          <t>13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73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가락대림</t>
        </is>
      </c>
      <c r="B10" s="16" t="inlineStr">
        <is>
          <t>'88.11.</t>
        </is>
      </c>
      <c r="C10" s="165" t="n">
        <v>443</v>
      </c>
      <c r="D10" s="162" t="n">
        <v>88.90000000000001</v>
      </c>
      <c r="E10" s="164" t="n">
        <v>27</v>
      </c>
      <c r="F10" s="162" t="n">
        <v>68.8</v>
      </c>
      <c r="G10" s="27" t="n">
        <v>21</v>
      </c>
      <c r="H10" s="165" t="n">
        <v>45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88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가락대림</t>
        </is>
      </c>
      <c r="B11" s="16" t="inlineStr">
        <is>
          <t>'88.11.</t>
        </is>
      </c>
      <c r="C11" s="165" t="n">
        <v>443</v>
      </c>
      <c r="D11" s="162" t="n">
        <v>90.09999999999999</v>
      </c>
      <c r="E11" s="164" t="n">
        <v>27</v>
      </c>
      <c r="F11" s="162" t="n">
        <v>69.7</v>
      </c>
      <c r="G11" s="27" t="n">
        <v>21</v>
      </c>
      <c r="H11" s="165" t="n">
        <v>30</v>
      </c>
      <c r="I11" s="166" t="n">
        <v>100000</v>
      </c>
      <c r="J11" s="166" t="inlineStr">
        <is>
          <t>중</t>
        </is>
      </c>
      <c r="K11" s="166" t="n">
        <v>53000</v>
      </c>
      <c r="L11" s="166" t="inlineStr">
        <is>
          <t>고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n">
        <v>90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가락대림</t>
        </is>
      </c>
      <c r="B12" s="16" t="inlineStr">
        <is>
          <t>'88.11.</t>
        </is>
      </c>
      <c r="C12" s="165" t="n">
        <v>443</v>
      </c>
      <c r="D12" s="162" t="n">
        <v>95.5</v>
      </c>
      <c r="E12" s="164" t="n">
        <v>29</v>
      </c>
      <c r="F12" s="162" t="n">
        <v>76.5</v>
      </c>
      <c r="G12" s="27" t="n">
        <v>23</v>
      </c>
      <c r="H12" s="165" t="n">
        <v>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95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가락대림</t>
        </is>
      </c>
      <c r="B13" s="16" t="inlineStr">
        <is>
          <t>'88.11.</t>
        </is>
      </c>
      <c r="C13" s="165" t="n">
        <v>443</v>
      </c>
      <c r="D13" s="162" t="n">
        <v>101.6</v>
      </c>
      <c r="E13" s="164" t="n">
        <v>31</v>
      </c>
      <c r="F13" s="162" t="n">
        <v>84.09999999999999</v>
      </c>
      <c r="G13" s="27" t="n">
        <v>25</v>
      </c>
      <c r="H13" s="165" t="n">
        <v>112</v>
      </c>
      <c r="I13" s="166" t="n">
        <v>130000</v>
      </c>
      <c r="J13" s="166" t="inlineStr">
        <is>
          <t>고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101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가락대림</t>
        </is>
      </c>
      <c r="B14" s="16" t="inlineStr">
        <is>
          <t>'88.11.</t>
        </is>
      </c>
      <c r="C14" s="165" t="n">
        <v>443</v>
      </c>
      <c r="D14" s="162" t="n">
        <v>101</v>
      </c>
      <c r="E14" s="164" t="n">
        <v>31</v>
      </c>
      <c r="F14" s="162" t="n">
        <v>84.09999999999999</v>
      </c>
      <c r="G14" s="27" t="n">
        <v>25</v>
      </c>
      <c r="H14" s="165" t="n">
        <v>56</v>
      </c>
      <c r="I14" s="166" t="n">
        <v>150000</v>
      </c>
      <c r="J14" s="166" t="inlineStr">
        <is>
          <t>7</t>
        </is>
      </c>
      <c r="K14" s="166" t="n">
        <v>60000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101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가락대림</t>
        </is>
      </c>
      <c r="B15" s="16" t="inlineStr">
        <is>
          <t>'88.11.</t>
        </is>
      </c>
      <c r="C15" s="165" t="n">
        <v>443</v>
      </c>
      <c r="D15" s="162" t="n">
        <v>118.1</v>
      </c>
      <c r="E15" s="164" t="n">
        <v>36</v>
      </c>
      <c r="F15" s="162" t="n">
        <v>99.40000000000001</v>
      </c>
      <c r="G15" s="27" t="n">
        <v>30</v>
      </c>
      <c r="H15" s="165" t="n">
        <v>56</v>
      </c>
      <c r="I15" s="166" t="n">
        <v>150000</v>
      </c>
      <c r="J15" s="166" t="inlineStr">
        <is>
          <t>고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118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가락대림</t>
        </is>
      </c>
      <c r="B16" s="16" t="inlineStr">
        <is>
          <t>'88.11.</t>
        </is>
      </c>
      <c r="C16" s="165" t="n">
        <v>443</v>
      </c>
      <c r="D16" s="162" t="n">
        <v>133.3</v>
      </c>
      <c r="E16" s="164" t="n">
        <v>40</v>
      </c>
      <c r="F16" s="162" t="n">
        <v>113.1</v>
      </c>
      <c r="G16" s="27" t="n">
        <v>34</v>
      </c>
      <c r="H16" s="165" t="n">
        <v>28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가락대림</t>
        </is>
      </c>
      <c r="B17" s="16" t="inlineStr">
        <is>
          <t>'88.11.</t>
        </is>
      </c>
      <c r="C17" s="165" t="n">
        <v>443</v>
      </c>
      <c r="D17" s="162" t="n">
        <v>141.3</v>
      </c>
      <c r="E17" s="164" t="n">
        <v>43</v>
      </c>
      <c r="F17" s="162" t="n">
        <v>121</v>
      </c>
      <c r="G17" s="27" t="n">
        <v>37</v>
      </c>
      <c r="H17" s="165" t="n">
        <v>56</v>
      </c>
      <c r="I17" s="166" t="n">
        <v>170000</v>
      </c>
      <c r="J17" s="166" t="inlineStr">
        <is>
          <t>고</t>
        </is>
      </c>
      <c r="K17" s="166" t="n">
        <v>63000</v>
      </c>
      <c r="L17" s="166" t="inlineStr">
        <is>
          <t>7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141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가락쌍용스윗닷홈3차(101~104동)</t>
        </is>
      </c>
      <c r="B19" s="16" t="inlineStr">
        <is>
          <t>'05.02.</t>
        </is>
      </c>
      <c r="C19" s="165" t="n">
        <v>206</v>
      </c>
      <c r="D19" s="162" t="n">
        <v>79.59999999999999</v>
      </c>
      <c r="E19" s="164" t="n">
        <v>24</v>
      </c>
      <c r="F19" s="162" t="n">
        <v>59.9</v>
      </c>
      <c r="G19" s="27" t="n">
        <v>18</v>
      </c>
      <c r="H19" s="165" t="n">
        <v>45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79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가락쌍용스윗닷홈3차(101~104동)</t>
        </is>
      </c>
      <c r="B20" s="16" t="inlineStr">
        <is>
          <t>'05.02.</t>
        </is>
      </c>
      <c r="C20" s="165" t="n">
        <v>206</v>
      </c>
      <c r="D20" s="162" t="n">
        <v>105.8</v>
      </c>
      <c r="E20" s="164" t="n">
        <v>32</v>
      </c>
      <c r="F20" s="162" t="n">
        <v>84.90000000000001</v>
      </c>
      <c r="G20" s="27" t="n">
        <v>26</v>
      </c>
      <c r="H20" s="165" t="n">
        <v>64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105C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가락쌍용스윗닷홈3차(101~104동)</t>
        </is>
      </c>
      <c r="B21" s="16" t="inlineStr">
        <is>
          <t>'05.02.</t>
        </is>
      </c>
      <c r="C21" s="165" t="n">
        <v>206</v>
      </c>
      <c r="D21" s="162" t="n">
        <v>105.9</v>
      </c>
      <c r="E21" s="164" t="n">
        <v>32</v>
      </c>
      <c r="F21" s="162" t="n">
        <v>85</v>
      </c>
      <c r="G21" s="27" t="n">
        <v>26</v>
      </c>
      <c r="H21" s="165" t="n">
        <v>40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가락쌍용스윗닷홈3차(101~104동)</t>
        </is>
      </c>
      <c r="B22" s="16" t="inlineStr">
        <is>
          <t>'05.02.</t>
        </is>
      </c>
      <c r="C22" s="165" t="n">
        <v>206</v>
      </c>
      <c r="D22" s="162" t="n">
        <v>105.8</v>
      </c>
      <c r="E22" s="164" t="n">
        <v>32</v>
      </c>
      <c r="F22" s="162" t="n">
        <v>84.8</v>
      </c>
      <c r="G22" s="27" t="n">
        <v>26</v>
      </c>
      <c r="H22" s="165" t="n">
        <v>14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가락쌍용스윗닷홈3차(101~104동)</t>
        </is>
      </c>
      <c r="B23" s="16" t="inlineStr">
        <is>
          <t>'05.02.</t>
        </is>
      </c>
      <c r="C23" s="165" t="n">
        <v>206</v>
      </c>
      <c r="D23" s="162" t="n">
        <v>110.7</v>
      </c>
      <c r="E23" s="164" t="n">
        <v>33</v>
      </c>
      <c r="F23" s="162" t="n">
        <v>84.90000000000001</v>
      </c>
      <c r="G23" s="27" t="n">
        <v>26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110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가락쌍용스윗닷홈3차(101~104동)</t>
        </is>
      </c>
      <c r="B24" s="16" t="inlineStr">
        <is>
          <t>'05.02.</t>
        </is>
      </c>
      <c r="C24" s="165" t="n">
        <v>206</v>
      </c>
      <c r="D24" s="162" t="n">
        <v>148.2</v>
      </c>
      <c r="E24" s="164" t="n">
        <v>45</v>
      </c>
      <c r="F24" s="162" t="n">
        <v>122.4</v>
      </c>
      <c r="G24" s="27" t="n">
        <v>37</v>
      </c>
      <c r="H24" s="165" t="n">
        <v>36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148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가락쌍용스윗닷홈3차(101~104동)</t>
        </is>
      </c>
      <c r="B25" s="16" t="inlineStr">
        <is>
          <t>'05.02.</t>
        </is>
      </c>
      <c r="C25" s="165" t="n">
        <v>206</v>
      </c>
      <c r="D25" s="162" t="n">
        <v>154.9</v>
      </c>
      <c r="E25" s="164" t="n">
        <v>47</v>
      </c>
      <c r="F25" s="162" t="n">
        <v>119.7</v>
      </c>
      <c r="G25" s="27" t="n">
        <v>36</v>
      </c>
      <c r="H25" s="165" t="n">
        <v>5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154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현대5차</t>
        </is>
      </c>
      <c r="B27" s="16" t="inlineStr">
        <is>
          <t>'86.12.</t>
        </is>
      </c>
      <c r="C27" s="165" t="n">
        <v>210</v>
      </c>
      <c r="D27" s="162" t="n">
        <v>68.59999999999999</v>
      </c>
      <c r="E27" s="164" t="n">
        <v>21</v>
      </c>
      <c r="F27" s="162" t="n">
        <v>50.4</v>
      </c>
      <c r="G27" s="27" t="n">
        <v>15</v>
      </c>
      <c r="H27" s="165" t="n">
        <v>3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inlineStr">
        <is>
          <t>68A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현대5차</t>
        </is>
      </c>
      <c r="B28" s="16" t="inlineStr">
        <is>
          <t>'86.12.</t>
        </is>
      </c>
      <c r="C28" s="165" t="n">
        <v>210</v>
      </c>
      <c r="D28" s="162" t="n">
        <v>69.09999999999999</v>
      </c>
      <c r="E28" s="164" t="n">
        <v>21</v>
      </c>
      <c r="F28" s="162" t="n">
        <v>50.8</v>
      </c>
      <c r="G28" s="27" t="n">
        <v>15</v>
      </c>
      <c r="H28" s="165" t="n">
        <v>1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inlineStr">
        <is>
          <t>69B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현대5차</t>
        </is>
      </c>
      <c r="B29" s="16" t="inlineStr">
        <is>
          <t>'86.12.</t>
        </is>
      </c>
      <c r="C29" s="165" t="n">
        <v>210</v>
      </c>
      <c r="D29" s="162" t="n">
        <v>73.40000000000001</v>
      </c>
      <c r="E29" s="164" t="n">
        <v>22</v>
      </c>
      <c r="F29" s="162" t="n">
        <v>54</v>
      </c>
      <c r="G29" s="27" t="n">
        <v>16</v>
      </c>
      <c r="H29" s="165" t="n">
        <v>30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현대5차</t>
        </is>
      </c>
      <c r="B30" s="16" t="inlineStr">
        <is>
          <t>'86.12.</t>
        </is>
      </c>
      <c r="C30" s="165" t="n">
        <v>210</v>
      </c>
      <c r="D30" s="162" t="n">
        <v>74.59999999999999</v>
      </c>
      <c r="E30" s="164" t="n">
        <v>23</v>
      </c>
      <c r="F30" s="162" t="n">
        <v>54.9</v>
      </c>
      <c r="G30" s="27" t="n">
        <v>17</v>
      </c>
      <c r="H30" s="165" t="n">
        <v>10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74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현대5차</t>
        </is>
      </c>
      <c r="B31" s="16" t="inlineStr">
        <is>
          <t>'86.12.</t>
        </is>
      </c>
      <c r="C31" s="165" t="n">
        <v>210</v>
      </c>
      <c r="D31" s="162" t="n">
        <v>81.3</v>
      </c>
      <c r="E31" s="164" t="n">
        <v>25</v>
      </c>
      <c r="F31" s="162" t="n">
        <v>60.8</v>
      </c>
      <c r="G31" s="27" t="n">
        <v>18</v>
      </c>
      <c r="H31" s="165" t="n">
        <v>11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inlineStr">
        <is>
          <t>81B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현대5차</t>
        </is>
      </c>
      <c r="B32" s="16" t="inlineStr">
        <is>
          <t>'86.12.</t>
        </is>
      </c>
      <c r="C32" s="165" t="n">
        <v>210</v>
      </c>
      <c r="D32" s="162" t="n">
        <v>81.09999999999999</v>
      </c>
      <c r="E32" s="164" t="n">
        <v>25</v>
      </c>
      <c r="F32" s="162" t="n">
        <v>60.6</v>
      </c>
      <c r="G32" s="27" t="n">
        <v>18</v>
      </c>
      <c r="H32" s="165" t="n">
        <v>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1</v>
      </c>
      <c r="S32" s="113" t="inlineStr">
        <is>
          <t>복</t>
        </is>
      </c>
      <c r="T32" s="8" t="inlineStr">
        <is>
          <t>81A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현대5차</t>
        </is>
      </c>
      <c r="B33" s="16" t="inlineStr">
        <is>
          <t>'86.12.</t>
        </is>
      </c>
      <c r="C33" s="165" t="n">
        <v>210</v>
      </c>
      <c r="D33" s="162" t="n">
        <v>104.6</v>
      </c>
      <c r="E33" s="164" t="n">
        <v>32</v>
      </c>
      <c r="F33" s="162" t="n">
        <v>77</v>
      </c>
      <c r="G33" s="27" t="n">
        <v>23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104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현대5차</t>
        </is>
      </c>
      <c r="B34" s="16" t="inlineStr">
        <is>
          <t>'86.12.</t>
        </is>
      </c>
      <c r="C34" s="165" t="n">
        <v>210</v>
      </c>
      <c r="D34" s="162" t="n">
        <v>110.2</v>
      </c>
      <c r="E34" s="164" t="n">
        <v>33</v>
      </c>
      <c r="F34" s="162" t="n">
        <v>82.40000000000001</v>
      </c>
      <c r="G34" s="27" t="n">
        <v>25</v>
      </c>
      <c r="H34" s="165" t="n">
        <v>117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110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현대5차</t>
        </is>
      </c>
      <c r="B35" s="16" t="inlineStr">
        <is>
          <t>'86.12.</t>
        </is>
      </c>
      <c r="C35" s="165" t="n">
        <v>210</v>
      </c>
      <c r="D35" s="162" t="n">
        <v>111.9</v>
      </c>
      <c r="E35" s="164" t="n">
        <v>34</v>
      </c>
      <c r="F35" s="162" t="n">
        <v>82.3</v>
      </c>
      <c r="G35" s="27" t="n">
        <v>25</v>
      </c>
      <c r="H35" s="165" t="n">
        <v>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inlineStr">
        <is>
          <t>111A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현대5차</t>
        </is>
      </c>
      <c r="B36" s="16" t="inlineStr">
        <is>
          <t>'86.12.</t>
        </is>
      </c>
      <c r="C36" s="165" t="n">
        <v>210</v>
      </c>
      <c r="D36" s="162" t="n">
        <v>111.1</v>
      </c>
      <c r="E36" s="164" t="n">
        <v>34</v>
      </c>
      <c r="F36" s="162" t="n">
        <v>82.7</v>
      </c>
      <c r="G36" s="27" t="n">
        <v>25</v>
      </c>
      <c r="H36" s="165" t="n">
        <v>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inlineStr">
        <is>
          <t>111B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삼환가락</t>
        </is>
      </c>
      <c r="B38" s="16" t="inlineStr">
        <is>
          <t>'85.06.</t>
        </is>
      </c>
      <c r="C38" s="165" t="n">
        <v>648</v>
      </c>
      <c r="D38" s="162" t="n">
        <v>93.40000000000001</v>
      </c>
      <c r="E38" s="164" t="n">
        <v>28</v>
      </c>
      <c r="F38" s="162" t="n">
        <v>72.7</v>
      </c>
      <c r="G38" s="27" t="n">
        <v>22</v>
      </c>
      <c r="H38" s="165" t="n">
        <v>96</v>
      </c>
      <c r="I38" s="166" t="n">
        <v>130000</v>
      </c>
      <c r="J38" s="166" t="inlineStr">
        <is>
          <t>12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93A1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삼환가락</t>
        </is>
      </c>
      <c r="B39" s="16" t="inlineStr">
        <is>
          <t>'85.06.</t>
        </is>
      </c>
      <c r="C39" s="165" t="n">
        <v>648</v>
      </c>
      <c r="D39" s="162" t="n">
        <v>93.7</v>
      </c>
      <c r="E39" s="164" t="n">
        <v>28</v>
      </c>
      <c r="F39" s="162" t="n">
        <v>72.90000000000001</v>
      </c>
      <c r="G39" s="27" t="n">
        <v>22</v>
      </c>
      <c r="H39" s="165" t="n">
        <v>96</v>
      </c>
      <c r="I39" s="166" t="n">
        <v>140000</v>
      </c>
      <c r="J39" s="166" t="inlineStr">
        <is>
          <t>중</t>
        </is>
      </c>
      <c r="K39" s="166" t="n">
        <v>40000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93A2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삼환가락</t>
        </is>
      </c>
      <c r="B40" s="16" t="inlineStr">
        <is>
          <t>'85.06.</t>
        </is>
      </c>
      <c r="C40" s="165" t="n">
        <v>648</v>
      </c>
      <c r="D40" s="162" t="n">
        <v>108</v>
      </c>
      <c r="E40" s="164" t="n">
        <v>33</v>
      </c>
      <c r="F40" s="162" t="n">
        <v>84.7</v>
      </c>
      <c r="G40" s="27" t="n">
        <v>26</v>
      </c>
      <c r="H40" s="165" t="n">
        <v>96</v>
      </c>
      <c r="I40" s="166" t="n"/>
      <c r="J40" s="166" t="n"/>
      <c r="K40" s="166" t="n">
        <v>42000</v>
      </c>
      <c r="L40" s="166" t="inlineStr">
        <is>
          <t>9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107B1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삼환가락</t>
        </is>
      </c>
      <c r="B41" s="16" t="inlineStr">
        <is>
          <t>'85.06.</t>
        </is>
      </c>
      <c r="C41" s="165" t="n">
        <v>648</v>
      </c>
      <c r="D41" s="162" t="n">
        <v>108.3</v>
      </c>
      <c r="E41" s="164" t="n">
        <v>33</v>
      </c>
      <c r="F41" s="162" t="n">
        <v>85</v>
      </c>
      <c r="G41" s="27" t="n">
        <v>26</v>
      </c>
      <c r="H41" s="165" t="n">
        <v>96</v>
      </c>
      <c r="I41" s="166" t="n">
        <v>140000</v>
      </c>
      <c r="J41" s="166" t="inlineStr">
        <is>
          <t>중</t>
        </is>
      </c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inlineStr">
        <is>
          <t>108B2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삼환가락</t>
        </is>
      </c>
      <c r="B42" s="16" t="inlineStr">
        <is>
          <t>'85.06.</t>
        </is>
      </c>
      <c r="C42" s="165" t="n">
        <v>648</v>
      </c>
      <c r="D42" s="162" t="n">
        <v>143.7</v>
      </c>
      <c r="E42" s="164" t="n">
        <v>43</v>
      </c>
      <c r="F42" s="162" t="n">
        <v>121</v>
      </c>
      <c r="G42" s="27" t="n">
        <v>37</v>
      </c>
      <c r="H42" s="165" t="n">
        <v>264</v>
      </c>
      <c r="I42" s="166" t="n">
        <v>170000</v>
      </c>
      <c r="J42" s="166" t="inlineStr">
        <is>
          <t>중</t>
        </is>
      </c>
      <c r="K42" s="166" t="n">
        <v>60000</v>
      </c>
      <c r="L42" s="166" t="inlineStr">
        <is>
          <t>고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복</t>
        </is>
      </c>
      <c r="T42" s="8" t="inlineStr">
        <is>
          <t>143C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가락금호</t>
        </is>
      </c>
      <c r="B44" s="16" t="inlineStr">
        <is>
          <t>'97.08.</t>
        </is>
      </c>
      <c r="C44" s="165" t="n">
        <v>915</v>
      </c>
      <c r="D44" s="162" t="n">
        <v>80.8</v>
      </c>
      <c r="E44" s="164" t="n">
        <v>24</v>
      </c>
      <c r="F44" s="162" t="n">
        <v>59.7</v>
      </c>
      <c r="G44" s="27" t="n">
        <v>18</v>
      </c>
      <c r="H44" s="165" t="n">
        <v>19</v>
      </c>
      <c r="I44" s="166" t="n">
        <v>108000</v>
      </c>
      <c r="J44" s="166" t="inlineStr">
        <is>
          <t>중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복</t>
        </is>
      </c>
      <c r="T44" s="8" t="inlineStr">
        <is>
          <t>80C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가락금호</t>
        </is>
      </c>
      <c r="B45" s="16" t="inlineStr">
        <is>
          <t>'97.08.</t>
        </is>
      </c>
      <c r="C45" s="165" t="n">
        <v>915</v>
      </c>
      <c r="D45" s="162" t="n">
        <v>81.09999999999999</v>
      </c>
      <c r="E45" s="164" t="n">
        <v>25</v>
      </c>
      <c r="F45" s="162" t="n">
        <v>59.9</v>
      </c>
      <c r="G45" s="27" t="n">
        <v>18</v>
      </c>
      <c r="H45" s="165" t="n">
        <v>322</v>
      </c>
      <c r="I45" s="166" t="n">
        <v>94000</v>
      </c>
      <c r="J45" s="166" t="inlineStr">
        <is>
          <t>중</t>
        </is>
      </c>
      <c r="K45" s="166" t="n">
        <v>48000</v>
      </c>
      <c r="L45" s="166" t="inlineStr">
        <is>
          <t>고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복</t>
        </is>
      </c>
      <c r="T45" s="8" t="inlineStr">
        <is>
          <t>81A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가락금호</t>
        </is>
      </c>
      <c r="B46" s="16" t="inlineStr">
        <is>
          <t>'97.08.</t>
        </is>
      </c>
      <c r="C46" s="165" t="n">
        <v>915</v>
      </c>
      <c r="D46" s="162" t="n">
        <v>81.09999999999999</v>
      </c>
      <c r="E46" s="164" t="n">
        <v>25</v>
      </c>
      <c r="F46" s="162" t="n">
        <v>59.9</v>
      </c>
      <c r="G46" s="27" t="n">
        <v>18</v>
      </c>
      <c r="H46" s="165" t="n">
        <v>117</v>
      </c>
      <c r="I46" s="166" t="n">
        <v>94000</v>
      </c>
      <c r="J46" s="166" t="inlineStr">
        <is>
          <t>중</t>
        </is>
      </c>
      <c r="K46" s="166" t="n">
        <v>48000</v>
      </c>
      <c r="L46" s="166" t="inlineStr">
        <is>
          <t>고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inlineStr">
        <is>
          <t>81B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가락금호</t>
        </is>
      </c>
      <c r="B47" s="16" t="inlineStr">
        <is>
          <t>'97.08.</t>
        </is>
      </c>
      <c r="C47" s="165" t="n">
        <v>915</v>
      </c>
      <c r="D47" s="162" t="n">
        <v>108</v>
      </c>
      <c r="E47" s="164" t="n">
        <v>33</v>
      </c>
      <c r="F47" s="162" t="n">
        <v>84.90000000000001</v>
      </c>
      <c r="G47" s="27" t="n">
        <v>26</v>
      </c>
      <c r="H47" s="165" t="n">
        <v>52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107B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가락금호</t>
        </is>
      </c>
      <c r="B48" s="16" t="inlineStr">
        <is>
          <t>'97.08.</t>
        </is>
      </c>
      <c r="C48" s="165" t="n">
        <v>915</v>
      </c>
      <c r="D48" s="162" t="n">
        <v>108.1</v>
      </c>
      <c r="E48" s="164" t="n">
        <v>33</v>
      </c>
      <c r="F48" s="162" t="n">
        <v>85</v>
      </c>
      <c r="G48" s="27" t="n">
        <v>26</v>
      </c>
      <c r="H48" s="165" t="n">
        <v>405</v>
      </c>
      <c r="I48" s="166" t="n">
        <v>120000</v>
      </c>
      <c r="J48" s="166" t="inlineStr">
        <is>
          <t>15</t>
        </is>
      </c>
      <c r="K48" s="166" t="n">
        <v>60000</v>
      </c>
      <c r="L48" s="166" t="inlineStr">
        <is>
          <t>6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108A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극동</t>
        </is>
      </c>
      <c r="B50" s="16" t="inlineStr">
        <is>
          <t>'84.12.</t>
        </is>
      </c>
      <c r="C50" s="165" t="n">
        <v>555</v>
      </c>
      <c r="D50" s="162" t="n">
        <v>79.40000000000001</v>
      </c>
      <c r="E50" s="164" t="n">
        <v>24</v>
      </c>
      <c r="F50" s="162" t="n">
        <v>59.4</v>
      </c>
      <c r="G50" s="27" t="n">
        <v>18</v>
      </c>
      <c r="H50" s="165" t="n">
        <v>105</v>
      </c>
      <c r="I50" s="166" t="n">
        <v>150000</v>
      </c>
      <c r="J50" s="166" t="inlineStr">
        <is>
          <t>12</t>
        </is>
      </c>
      <c r="K50" s="166" t="n">
        <v>43000</v>
      </c>
      <c r="L50" s="166" t="inlineStr">
        <is>
          <t>7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극동</t>
        </is>
      </c>
      <c r="B51" s="16" t="inlineStr">
        <is>
          <t>'84.12.</t>
        </is>
      </c>
      <c r="C51" s="165" t="n">
        <v>555</v>
      </c>
      <c r="D51" s="162" t="n">
        <v>102.2</v>
      </c>
      <c r="E51" s="164" t="n">
        <v>31</v>
      </c>
      <c r="F51" s="162" t="n">
        <v>85</v>
      </c>
      <c r="G51" s="27" t="n">
        <v>26</v>
      </c>
      <c r="H51" s="165" t="n">
        <v>90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102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극동</t>
        </is>
      </c>
      <c r="B52" s="16" t="inlineStr">
        <is>
          <t>'84.12.</t>
        </is>
      </c>
      <c r="C52" s="165" t="n">
        <v>555</v>
      </c>
      <c r="D52" s="162" t="n">
        <v>139.6</v>
      </c>
      <c r="E52" s="164" t="n">
        <v>42</v>
      </c>
      <c r="F52" s="162" t="n">
        <v>120.4</v>
      </c>
      <c r="G52" s="27" t="n">
        <v>36</v>
      </c>
      <c r="H52" s="165" t="n">
        <v>210</v>
      </c>
      <c r="I52" s="166" t="n">
        <v>198000</v>
      </c>
      <c r="J52" s="166" t="inlineStr">
        <is>
          <t>중</t>
        </is>
      </c>
      <c r="K52" s="166" t="n">
        <v>60000</v>
      </c>
      <c r="L52" s="166" t="inlineStr">
        <is>
          <t>중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139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극동</t>
        </is>
      </c>
      <c r="B53" s="16" t="inlineStr">
        <is>
          <t>'84.12.</t>
        </is>
      </c>
      <c r="C53" s="165" t="n">
        <v>555</v>
      </c>
      <c r="D53" s="162" t="n">
        <v>171.4</v>
      </c>
      <c r="E53" s="164" t="n">
        <v>52</v>
      </c>
      <c r="F53" s="162" t="n">
        <v>149.7</v>
      </c>
      <c r="G53" s="27" t="n">
        <v>45</v>
      </c>
      <c r="H53" s="165" t="n">
        <v>150</v>
      </c>
      <c r="I53" s="166" t="n">
        <v>210000</v>
      </c>
      <c r="J53" s="166" t="inlineStr">
        <is>
          <t>12</t>
        </is>
      </c>
      <c r="K53" s="166" t="n">
        <v>60000</v>
      </c>
      <c r="L53" s="166" t="inlineStr">
        <is>
          <t>6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5</v>
      </c>
      <c r="R53" s="113" t="n">
        <v>2</v>
      </c>
      <c r="S53" s="113" t="inlineStr">
        <is>
          <t>계</t>
        </is>
      </c>
      <c r="T53" s="8" t="n">
        <v>171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가락쌍용1차</t>
        </is>
      </c>
      <c r="B55" s="16" t="inlineStr">
        <is>
          <t>'97.03.</t>
        </is>
      </c>
      <c r="C55" s="165" t="n">
        <v>2064</v>
      </c>
      <c r="D55" s="162" t="n">
        <v>81.2</v>
      </c>
      <c r="E55" s="164" t="n">
        <v>25</v>
      </c>
      <c r="F55" s="162" t="n">
        <v>59.9</v>
      </c>
      <c r="G55" s="27" t="n">
        <v>18</v>
      </c>
      <c r="H55" s="165" t="n">
        <v>1032</v>
      </c>
      <c r="I55" s="166" t="n">
        <v>103000</v>
      </c>
      <c r="J55" s="166" t="inlineStr">
        <is>
          <t>7</t>
        </is>
      </c>
      <c r="K55" s="166" t="n">
        <v>45000</v>
      </c>
      <c r="L55" s="166" t="inlineStr">
        <is>
          <t>15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81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가락쌍용1차</t>
        </is>
      </c>
      <c r="B56" s="16" t="inlineStr">
        <is>
          <t>'97.03.</t>
        </is>
      </c>
      <c r="C56" s="165" t="n">
        <v>2064</v>
      </c>
      <c r="D56" s="162" t="n">
        <v>110.7</v>
      </c>
      <c r="E56" s="164" t="n">
        <v>33</v>
      </c>
      <c r="F56" s="162" t="n">
        <v>84.7</v>
      </c>
      <c r="G56" s="27" t="n">
        <v>26</v>
      </c>
      <c r="H56" s="165" t="n">
        <v>1032</v>
      </c>
      <c r="I56" s="166" t="n">
        <v>137000</v>
      </c>
      <c r="J56" s="166" t="inlineStr">
        <is>
          <t>9</t>
        </is>
      </c>
      <c r="K56" s="166" t="n">
        <v>55000</v>
      </c>
      <c r="L56" s="166" t="inlineStr">
        <is>
          <t>12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110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2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3" t="n"/>
      <c r="P57" s="163" t="n"/>
      <c r="Q57" s="164" t="n"/>
      <c r="R57" s="164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1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가락한신</t>
        </is>
      </c>
      <c r="B58" s="16" t="inlineStr">
        <is>
          <t>'93.04.</t>
        </is>
      </c>
      <c r="C58" s="165" t="n">
        <v>256</v>
      </c>
      <c r="D58" s="162" t="n">
        <v>102.1</v>
      </c>
      <c r="E58" s="164" t="n">
        <v>31</v>
      </c>
      <c r="F58" s="162" t="n">
        <v>84.5</v>
      </c>
      <c r="G58" s="27" t="n">
        <v>26</v>
      </c>
      <c r="H58" s="165" t="n">
        <v>172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102N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가락한신</t>
        </is>
      </c>
      <c r="B59" s="16" t="inlineStr">
        <is>
          <t>'93.04.</t>
        </is>
      </c>
      <c r="C59" s="165" t="n">
        <v>256</v>
      </c>
      <c r="D59" s="162" t="n">
        <v>102.3</v>
      </c>
      <c r="E59" s="164" t="n">
        <v>31</v>
      </c>
      <c r="F59" s="162" t="n">
        <v>84.5</v>
      </c>
      <c r="G59" s="27" t="n">
        <v>26</v>
      </c>
      <c r="H59" s="165" t="n">
        <v>84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102S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가락우성1차</t>
        </is>
      </c>
      <c r="B61" s="16" t="inlineStr">
        <is>
          <t>'86.12.</t>
        </is>
      </c>
      <c r="C61" s="165" t="n">
        <v>838</v>
      </c>
      <c r="D61" s="162" t="n">
        <v>62.5</v>
      </c>
      <c r="E61" s="164" t="n">
        <v>19</v>
      </c>
      <c r="F61" s="162" t="n">
        <v>43.8</v>
      </c>
      <c r="G61" s="27" t="n">
        <v>13</v>
      </c>
      <c r="H61" s="165" t="n">
        <v>409</v>
      </c>
      <c r="I61" s="166" t="n">
        <v>80000</v>
      </c>
      <c r="J61" s="166" t="inlineStr">
        <is>
          <t>15</t>
        </is>
      </c>
      <c r="K61" s="166" t="n">
        <v>37000</v>
      </c>
      <c r="L61" s="166" t="inlineStr">
        <is>
          <t>10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복</t>
        </is>
      </c>
      <c r="T61" s="8" t="n">
        <v>62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가락우성1차</t>
        </is>
      </c>
      <c r="B62" s="16" t="inlineStr">
        <is>
          <t>'86.12.</t>
        </is>
      </c>
      <c r="C62" s="165" t="n">
        <v>838</v>
      </c>
      <c r="D62" s="162" t="n">
        <v>78.8</v>
      </c>
      <c r="E62" s="164" t="n">
        <v>24</v>
      </c>
      <c r="F62" s="162" t="n">
        <v>58.5</v>
      </c>
      <c r="G62" s="27" t="n">
        <v>18</v>
      </c>
      <c r="H62" s="165" t="n">
        <v>219</v>
      </c>
      <c r="I62" s="166" t="n">
        <v>110000</v>
      </c>
      <c r="J62" s="166" t="inlineStr">
        <is>
          <t>5</t>
        </is>
      </c>
      <c r="K62" s="166" t="n">
        <v>45000</v>
      </c>
      <c r="L62" s="166" t="inlineStr">
        <is>
          <t>6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2</v>
      </c>
      <c r="R62" s="113" t="n">
        <v>1</v>
      </c>
      <c r="S62" s="113" t="inlineStr">
        <is>
          <t>복</t>
        </is>
      </c>
      <c r="T62" s="8" t="n">
        <v>78</v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가락우성1차</t>
        </is>
      </c>
      <c r="B63" s="16" t="inlineStr">
        <is>
          <t>'86.12.</t>
        </is>
      </c>
      <c r="C63" s="165" t="n">
        <v>838</v>
      </c>
      <c r="D63" s="162" t="n">
        <v>128.4</v>
      </c>
      <c r="E63" s="164" t="n">
        <v>39</v>
      </c>
      <c r="F63" s="162" t="n">
        <v>109.3</v>
      </c>
      <c r="G63" s="27" t="n">
        <v>33</v>
      </c>
      <c r="H63" s="165" t="n">
        <v>90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128</v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가락우성1차</t>
        </is>
      </c>
      <c r="B64" s="16" t="inlineStr">
        <is>
          <t>'86.12.</t>
        </is>
      </c>
      <c r="C64" s="165" t="n">
        <v>838</v>
      </c>
      <c r="D64" s="162" t="n">
        <v>147.1</v>
      </c>
      <c r="E64" s="164" t="n">
        <v>44</v>
      </c>
      <c r="F64" s="162" t="n">
        <v>127.8</v>
      </c>
      <c r="G64" s="27" t="n">
        <v>39</v>
      </c>
      <c r="H64" s="165" t="n">
        <v>120</v>
      </c>
      <c r="I64" s="166" t="n">
        <v>195000</v>
      </c>
      <c r="J64" s="166" t="inlineStr">
        <is>
          <t>중</t>
        </is>
      </c>
      <c r="K64" s="166" t="n">
        <v>70000</v>
      </c>
      <c r="L64" s="166" t="inlineStr">
        <is>
          <t>중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147</v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2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3" t="n"/>
      <c r="P65" s="163" t="n"/>
      <c r="Q65" s="164" t="n"/>
      <c r="R65" s="164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1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송파성원상떼빌</t>
        </is>
      </c>
      <c r="B66" s="16" t="inlineStr">
        <is>
          <t>'06.06.</t>
        </is>
      </c>
      <c r="C66" s="165" t="n">
        <v>324</v>
      </c>
      <c r="D66" s="162" t="n">
        <v>113.3</v>
      </c>
      <c r="E66" s="164" t="n">
        <v>34</v>
      </c>
      <c r="F66" s="162" t="n">
        <v>90.7</v>
      </c>
      <c r="G66" s="27" t="n">
        <v>27</v>
      </c>
      <c r="H66" s="165" t="n">
        <v>30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2</v>
      </c>
      <c r="R66" s="113" t="n">
        <v>2</v>
      </c>
      <c r="S66" s="113" t="inlineStr">
        <is>
          <t>계</t>
        </is>
      </c>
      <c r="T66" s="8" t="n">
        <v>113</v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송파성원상떼빌</t>
        </is>
      </c>
      <c r="B67" s="16" t="inlineStr">
        <is>
          <t>'06.06.</t>
        </is>
      </c>
      <c r="C67" s="165" t="n">
        <v>324</v>
      </c>
      <c r="D67" s="162" t="n">
        <v>124.4</v>
      </c>
      <c r="E67" s="164" t="n">
        <v>38</v>
      </c>
      <c r="F67" s="162" t="n">
        <v>99.59999999999999</v>
      </c>
      <c r="G67" s="27" t="n">
        <v>30</v>
      </c>
      <c r="H67" s="165" t="n">
        <v>36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124A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송파성원상떼빌</t>
        </is>
      </c>
      <c r="B68" s="16" t="inlineStr">
        <is>
          <t>'06.06.</t>
        </is>
      </c>
      <c r="C68" s="165" t="n">
        <v>324</v>
      </c>
      <c r="D68" s="162" t="n">
        <v>124.5</v>
      </c>
      <c r="E68" s="164" t="n">
        <v>38</v>
      </c>
      <c r="F68" s="162" t="n">
        <v>99.59999999999999</v>
      </c>
      <c r="G68" s="27" t="n">
        <v>30</v>
      </c>
      <c r="H68" s="165" t="n">
        <v>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2</v>
      </c>
      <c r="R68" s="113" t="n">
        <v>2</v>
      </c>
      <c r="S68" s="113" t="inlineStr">
        <is>
          <t>계</t>
        </is>
      </c>
      <c r="T68" s="8" t="inlineStr">
        <is>
          <t>124B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송파성원상떼빌</t>
        </is>
      </c>
      <c r="B69" s="16" t="inlineStr">
        <is>
          <t>'06.06.</t>
        </is>
      </c>
      <c r="C69" s="165" t="n">
        <v>324</v>
      </c>
      <c r="D69" s="162" t="n">
        <v>126.8</v>
      </c>
      <c r="E69" s="164" t="n">
        <v>38</v>
      </c>
      <c r="F69" s="162" t="n">
        <v>101.5</v>
      </c>
      <c r="G69" s="27" t="n">
        <v>31</v>
      </c>
      <c r="H69" s="165" t="n">
        <v>28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126C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송파성원상떼빌</t>
        </is>
      </c>
      <c r="B70" s="16" t="inlineStr">
        <is>
          <t>'06.06.</t>
        </is>
      </c>
      <c r="C70" s="165" t="n">
        <v>324</v>
      </c>
      <c r="D70" s="162" t="n">
        <v>129.9</v>
      </c>
      <c r="E70" s="164" t="n">
        <v>39</v>
      </c>
      <c r="F70" s="162" t="n">
        <v>104</v>
      </c>
      <c r="G70" s="27" t="n">
        <v>31</v>
      </c>
      <c r="H70" s="165" t="n">
        <v>30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129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송파성원상떼빌</t>
        </is>
      </c>
      <c r="B71" s="16" t="inlineStr">
        <is>
          <t>'06.06.</t>
        </is>
      </c>
      <c r="C71" s="165" t="n">
        <v>324</v>
      </c>
      <c r="D71" s="162" t="n">
        <v>131.2</v>
      </c>
      <c r="E71" s="164" t="n">
        <v>40</v>
      </c>
      <c r="F71" s="162" t="n">
        <v>105</v>
      </c>
      <c r="G71" s="27" t="n">
        <v>32</v>
      </c>
      <c r="H71" s="165" t="n">
        <v>8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송파성원상떼빌</t>
        </is>
      </c>
      <c r="B72" s="16" t="inlineStr">
        <is>
          <t>'06.06.</t>
        </is>
      </c>
      <c r="C72" s="165" t="n">
        <v>324</v>
      </c>
      <c r="D72" s="162" t="n">
        <v>135.7</v>
      </c>
      <c r="E72" s="164" t="n">
        <v>41</v>
      </c>
      <c r="F72" s="162" t="n">
        <v>108.7</v>
      </c>
      <c r="G72" s="27" t="n">
        <v>33</v>
      </c>
      <c r="H72" s="165" t="n">
        <v>28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135B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송파성원상떼빌</t>
        </is>
      </c>
      <c r="B73" s="16" t="inlineStr">
        <is>
          <t>'06.06.</t>
        </is>
      </c>
      <c r="C73" s="165" t="n">
        <v>324</v>
      </c>
      <c r="D73" s="162" t="n">
        <v>135.7</v>
      </c>
      <c r="E73" s="164" t="n">
        <v>41</v>
      </c>
      <c r="F73" s="162" t="n">
        <v>108.6</v>
      </c>
      <c r="G73" s="27" t="n">
        <v>33</v>
      </c>
      <c r="H73" s="165" t="n">
        <v>5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135A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송파성원상떼빌</t>
        </is>
      </c>
      <c r="B74" s="16" t="inlineStr">
        <is>
          <t>'06.06.</t>
        </is>
      </c>
      <c r="C74" s="165" t="n">
        <v>324</v>
      </c>
      <c r="D74" s="162" t="n">
        <v>140.2</v>
      </c>
      <c r="E74" s="164" t="n">
        <v>42</v>
      </c>
      <c r="F74" s="162" t="n">
        <v>112.2</v>
      </c>
      <c r="G74" s="27" t="n">
        <v>34</v>
      </c>
      <c r="H74" s="165" t="n">
        <v>3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140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송파성원상떼빌</t>
        </is>
      </c>
      <c r="B75" s="16" t="inlineStr">
        <is>
          <t>'06.06.</t>
        </is>
      </c>
      <c r="C75" s="165" t="n">
        <v>324</v>
      </c>
      <c r="D75" s="162" t="n">
        <v>146.4</v>
      </c>
      <c r="E75" s="164" t="n">
        <v>44</v>
      </c>
      <c r="F75" s="162" t="n">
        <v>117.2</v>
      </c>
      <c r="G75" s="27" t="n">
        <v>35</v>
      </c>
      <c r="H75" s="165" t="n">
        <v>36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146</v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송파성원상떼빌</t>
        </is>
      </c>
      <c r="B76" s="16" t="inlineStr">
        <is>
          <t>'06.06.</t>
        </is>
      </c>
      <c r="C76" s="165" t="n">
        <v>324</v>
      </c>
      <c r="D76" s="162" t="n">
        <v>148.5</v>
      </c>
      <c r="E76" s="164" t="n">
        <v>45</v>
      </c>
      <c r="F76" s="162" t="n">
        <v>118.9</v>
      </c>
      <c r="G76" s="27" t="n">
        <v>36</v>
      </c>
      <c r="H76" s="165" t="n">
        <v>8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148</v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송파성원상떼빌</t>
        </is>
      </c>
      <c r="B77" s="16" t="inlineStr">
        <is>
          <t>'06.06.</t>
        </is>
      </c>
      <c r="C77" s="165" t="n">
        <v>324</v>
      </c>
      <c r="D77" s="162" t="n">
        <v>151.8</v>
      </c>
      <c r="E77" s="164" t="n">
        <v>46</v>
      </c>
      <c r="F77" s="162" t="n">
        <v>121.5</v>
      </c>
      <c r="G77" s="27" t="n">
        <v>37</v>
      </c>
      <c r="H77" s="165" t="n">
        <v>5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151</v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송파성원상떼빌</t>
        </is>
      </c>
      <c r="B78" s="16" t="inlineStr">
        <is>
          <t>'06.06.</t>
        </is>
      </c>
      <c r="C78" s="165" t="n">
        <v>324</v>
      </c>
      <c r="D78" s="162" t="n">
        <v>160.8</v>
      </c>
      <c r="E78" s="164" t="n">
        <v>49</v>
      </c>
      <c r="F78" s="162" t="n">
        <v>128.7</v>
      </c>
      <c r="G78" s="27" t="n">
        <v>39</v>
      </c>
      <c r="H78" s="165" t="n">
        <v>8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160</v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송파성원상떼빌</t>
        </is>
      </c>
      <c r="B79" s="16" t="inlineStr">
        <is>
          <t>'06.06.</t>
        </is>
      </c>
      <c r="C79" s="165" t="n">
        <v>324</v>
      </c>
      <c r="D79" s="162" t="n">
        <v>170.2</v>
      </c>
      <c r="E79" s="164" t="n">
        <v>51</v>
      </c>
      <c r="F79" s="162" t="n">
        <v>136.2</v>
      </c>
      <c r="G79" s="27" t="n">
        <v>41</v>
      </c>
      <c r="H79" s="165" t="n">
        <v>30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170</v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송파성원상떼빌</t>
        </is>
      </c>
      <c r="B80" s="16" t="inlineStr">
        <is>
          <t>'06.06.</t>
        </is>
      </c>
      <c r="C80" s="165" t="n">
        <v>324</v>
      </c>
      <c r="D80" s="162" t="n">
        <v>176.4</v>
      </c>
      <c r="E80" s="164" t="n">
        <v>53</v>
      </c>
      <c r="F80" s="162" t="n">
        <v>141.2</v>
      </c>
      <c r="G80" s="27" t="n">
        <v>43</v>
      </c>
      <c r="H80" s="165" t="n">
        <v>16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176</v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송파성원상떼빌</t>
        </is>
      </c>
      <c r="B81" s="16" t="inlineStr">
        <is>
          <t>'06.06.</t>
        </is>
      </c>
      <c r="C81" s="165" t="n">
        <v>324</v>
      </c>
      <c r="D81" s="162" t="n">
        <v>181.9</v>
      </c>
      <c r="E81" s="164" t="n">
        <v>55</v>
      </c>
      <c r="F81" s="162" t="n">
        <v>145.6</v>
      </c>
      <c r="G81" s="27" t="n">
        <v>44</v>
      </c>
      <c r="H81" s="165" t="n">
        <v>6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181A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송파성원상떼빌</t>
        </is>
      </c>
      <c r="B82" s="16" t="inlineStr">
        <is>
          <t>'06.06.</t>
        </is>
      </c>
      <c r="C82" s="165" t="n">
        <v>324</v>
      </c>
      <c r="D82" s="162" t="n">
        <v>182.1</v>
      </c>
      <c r="E82" s="164" t="n">
        <v>55</v>
      </c>
      <c r="F82" s="162" t="n">
        <v>145.7</v>
      </c>
      <c r="G82" s="27" t="n">
        <v>44</v>
      </c>
      <c r="H82" s="165" t="n">
        <v>44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182B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2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3" t="n"/>
      <c r="P83" s="163" t="n"/>
      <c r="Q83" s="164" t="n"/>
      <c r="R83" s="164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1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송파동부센트레빌</t>
        </is>
      </c>
      <c r="B84" s="16" t="inlineStr">
        <is>
          <t>'04.12.</t>
        </is>
      </c>
      <c r="C84" s="165" t="n">
        <v>206</v>
      </c>
      <c r="D84" s="162" t="n">
        <v>106.5</v>
      </c>
      <c r="E84" s="164" t="n">
        <v>32</v>
      </c>
      <c r="F84" s="162" t="n">
        <v>85</v>
      </c>
      <c r="G84" s="27" t="n">
        <v>26</v>
      </c>
      <c r="H84" s="165" t="n">
        <v>206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106</v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2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3" t="n"/>
      <c r="P85" s="163" t="n"/>
      <c r="Q85" s="164" t="n"/>
      <c r="R85" s="164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1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프라자</t>
        </is>
      </c>
      <c r="B86" s="16" t="inlineStr">
        <is>
          <t>'85.07.</t>
        </is>
      </c>
      <c r="C86" s="165" t="n">
        <v>672</v>
      </c>
      <c r="D86" s="162" t="n">
        <v>101.9</v>
      </c>
      <c r="E86" s="164" t="n">
        <v>31</v>
      </c>
      <c r="F86" s="162" t="n">
        <v>84.7</v>
      </c>
      <c r="G86" s="27" t="n">
        <v>26</v>
      </c>
      <c r="H86" s="165" t="n">
        <v>288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101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프라자</t>
        </is>
      </c>
      <c r="B87" s="16" t="inlineStr">
        <is>
          <t>'85.07.</t>
        </is>
      </c>
      <c r="C87" s="165" t="n">
        <v>672</v>
      </c>
      <c r="D87" s="162" t="n">
        <v>155.5</v>
      </c>
      <c r="E87" s="164" t="n">
        <v>47</v>
      </c>
      <c r="F87" s="162" t="n">
        <v>134.1</v>
      </c>
      <c r="G87" s="27" t="n">
        <v>41</v>
      </c>
      <c r="H87" s="165" t="n">
        <v>48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155B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프라자</t>
        </is>
      </c>
      <c r="B88" s="16" t="inlineStr">
        <is>
          <t>'85.07.</t>
        </is>
      </c>
      <c r="C88" s="165" t="n">
        <v>672</v>
      </c>
      <c r="D88" s="162" t="n">
        <v>156.1</v>
      </c>
      <c r="E88" s="164" t="n">
        <v>47</v>
      </c>
      <c r="F88" s="162" t="n">
        <v>133.8</v>
      </c>
      <c r="G88" s="27" t="n">
        <v>40</v>
      </c>
      <c r="H88" s="165" t="n">
        <v>288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156A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프라자</t>
        </is>
      </c>
      <c r="B89" s="16" t="inlineStr">
        <is>
          <t>'85.07.</t>
        </is>
      </c>
      <c r="C89" s="165" t="n">
        <v>672</v>
      </c>
      <c r="D89" s="162" t="n">
        <v>180.7</v>
      </c>
      <c r="E89" s="164" t="n">
        <v>55</v>
      </c>
      <c r="F89" s="162" t="n">
        <v>156.9</v>
      </c>
      <c r="G89" s="27" t="n">
        <v>47</v>
      </c>
      <c r="H89" s="165" t="n">
        <v>48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5</v>
      </c>
      <c r="R89" s="113" t="n">
        <v>2</v>
      </c>
      <c r="S89" s="113" t="inlineStr">
        <is>
          <t>계</t>
        </is>
      </c>
      <c r="T89" s="8" t="n">
        <v>180</v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2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3" t="n"/>
      <c r="P90" s="163" t="n"/>
      <c r="Q90" s="164" t="n"/>
      <c r="R90" s="164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1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헬리오시티</t>
        </is>
      </c>
      <c r="B91" s="16" t="inlineStr">
        <is>
          <t>'18.12.</t>
        </is>
      </c>
      <c r="C91" s="165" t="n">
        <v>9510</v>
      </c>
      <c r="D91" s="162" t="n">
        <v>61.4</v>
      </c>
      <c r="E91" s="164" t="n">
        <v>19</v>
      </c>
      <c r="F91" s="162" t="n">
        <v>39.1</v>
      </c>
      <c r="G91" s="27" t="n">
        <v>12</v>
      </c>
      <c r="H91" s="165" t="n">
        <v>268</v>
      </c>
      <c r="I91" s="166" t="n">
        <v>94000</v>
      </c>
      <c r="J91" s="166" t="inlineStr">
        <is>
          <t>중</t>
        </is>
      </c>
      <c r="K91" s="166" t="n">
        <v>47000</v>
      </c>
      <c r="L91" s="166" t="inlineStr">
        <is>
          <t>고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2</v>
      </c>
      <c r="R91" s="113" t="n">
        <v>1</v>
      </c>
      <c r="S91" s="113" t="inlineStr">
        <is>
          <t>계</t>
        </is>
      </c>
      <c r="T91" s="8" t="inlineStr">
        <is>
          <t>61A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헬리오시티</t>
        </is>
      </c>
      <c r="B92" s="16" t="inlineStr">
        <is>
          <t>'18.12.</t>
        </is>
      </c>
      <c r="C92" s="165" t="n">
        <v>9510</v>
      </c>
      <c r="D92" s="162" t="n">
        <v>61.5</v>
      </c>
      <c r="E92" s="164" t="n">
        <v>19</v>
      </c>
      <c r="F92" s="162" t="n">
        <v>39.1</v>
      </c>
      <c r="G92" s="27" t="n">
        <v>12</v>
      </c>
      <c r="H92" s="165" t="n">
        <v>115</v>
      </c>
      <c r="I92" s="166" t="n">
        <v>93000</v>
      </c>
      <c r="J92" s="166" t="inlineStr">
        <is>
          <t>중</t>
        </is>
      </c>
      <c r="K92" s="166" t="n">
        <v>48000</v>
      </c>
      <c r="L92" s="166" t="inlineStr">
        <is>
          <t>중</t>
        </is>
      </c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2</v>
      </c>
      <c r="R92" s="113" t="n">
        <v>1</v>
      </c>
      <c r="S92" s="113" t="inlineStr">
        <is>
          <t>계</t>
        </is>
      </c>
      <c r="T92" s="8" t="inlineStr">
        <is>
          <t>61B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헬리오시티</t>
        </is>
      </c>
      <c r="B93" s="16" t="inlineStr">
        <is>
          <t>'18.12.</t>
        </is>
      </c>
      <c r="C93" s="165" t="n">
        <v>9510</v>
      </c>
      <c r="D93" s="162" t="n">
        <v>61.4</v>
      </c>
      <c r="E93" s="164" t="n">
        <v>19</v>
      </c>
      <c r="F93" s="162" t="n">
        <v>39.2</v>
      </c>
      <c r="G93" s="27" t="n">
        <v>12</v>
      </c>
      <c r="H93" s="165" t="n">
        <v>25</v>
      </c>
      <c r="I93" s="166" t="n">
        <v>93000</v>
      </c>
      <c r="J93" s="166" t="inlineStr">
        <is>
          <t>중</t>
        </is>
      </c>
      <c r="K93" s="166" t="n">
        <v>49000</v>
      </c>
      <c r="L93" s="166" t="inlineStr">
        <is>
          <t>중</t>
        </is>
      </c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2</v>
      </c>
      <c r="R93" s="113" t="n">
        <v>1</v>
      </c>
      <c r="S93" s="113" t="inlineStr">
        <is>
          <t>계</t>
        </is>
      </c>
      <c r="T93" s="8" t="inlineStr">
        <is>
          <t>61D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헬리오시티</t>
        </is>
      </c>
      <c r="B94" s="16" t="inlineStr">
        <is>
          <t>'18.12.</t>
        </is>
      </c>
      <c r="C94" s="165" t="n">
        <v>9510</v>
      </c>
      <c r="D94" s="162" t="n">
        <v>62.5</v>
      </c>
      <c r="E94" s="164" t="n">
        <v>19</v>
      </c>
      <c r="F94" s="162" t="n">
        <v>39.9</v>
      </c>
      <c r="G94" s="27" t="n">
        <v>12</v>
      </c>
      <c r="H94" s="165" t="n">
        <v>79</v>
      </c>
      <c r="I94" s="166" t="n">
        <v>103000</v>
      </c>
      <c r="J94" s="166" t="inlineStr">
        <is>
          <t>중</t>
        </is>
      </c>
      <c r="K94" s="166" t="n">
        <v>50000</v>
      </c>
      <c r="L94" s="166" t="inlineStr">
        <is>
          <t>중</t>
        </is>
      </c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2</v>
      </c>
      <c r="R94" s="113" t="n">
        <v>1</v>
      </c>
      <c r="S94" s="113" t="inlineStr">
        <is>
          <t>계</t>
        </is>
      </c>
      <c r="T94" s="8" t="inlineStr">
        <is>
          <t>62C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헬리오시티</t>
        </is>
      </c>
      <c r="B95" s="16" t="inlineStr">
        <is>
          <t>'18.12.</t>
        </is>
      </c>
      <c r="C95" s="165" t="n">
        <v>9510</v>
      </c>
      <c r="D95" s="162" t="n">
        <v>72.90000000000001</v>
      </c>
      <c r="E95" s="164" t="n">
        <v>22</v>
      </c>
      <c r="F95" s="162" t="n">
        <v>49.3</v>
      </c>
      <c r="G95" s="27" t="n">
        <v>15</v>
      </c>
      <c r="H95" s="165" t="n">
        <v>124</v>
      </c>
      <c r="I95" s="166" t="n">
        <v>140000</v>
      </c>
      <c r="J95" s="166" t="inlineStr">
        <is>
          <t>중</t>
        </is>
      </c>
      <c r="K95" s="166" t="n">
        <v>63000</v>
      </c>
      <c r="L95" s="166" t="inlineStr">
        <is>
          <t>중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2</v>
      </c>
      <c r="R95" s="113" t="n">
        <v>1</v>
      </c>
      <c r="S95" s="113" t="inlineStr">
        <is>
          <t>계</t>
        </is>
      </c>
      <c r="T95" s="8" t="inlineStr">
        <is>
          <t>72C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헬리오시티</t>
        </is>
      </c>
      <c r="B96" s="16" t="inlineStr">
        <is>
          <t>'18.12.</t>
        </is>
      </c>
      <c r="C96" s="165" t="n">
        <v>9510</v>
      </c>
      <c r="D96" s="162" t="n">
        <v>72.5</v>
      </c>
      <c r="E96" s="164" t="n">
        <v>22</v>
      </c>
      <c r="F96" s="162" t="n">
        <v>49.2</v>
      </c>
      <c r="G96" s="27" t="n">
        <v>15</v>
      </c>
      <c r="H96" s="165" t="n">
        <v>68</v>
      </c>
      <c r="I96" s="166" t="n">
        <v>135000</v>
      </c>
      <c r="J96" s="166" t="inlineStr">
        <is>
          <t>고</t>
        </is>
      </c>
      <c r="K96" s="166" t="n">
        <v>63000</v>
      </c>
      <c r="L96" s="166" t="inlineStr">
        <is>
          <t>고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2</v>
      </c>
      <c r="R96" s="113" t="n">
        <v>1</v>
      </c>
      <c r="S96" s="113" t="inlineStr">
        <is>
          <t>계</t>
        </is>
      </c>
      <c r="T96" s="8" t="inlineStr">
        <is>
          <t>72D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헬리오시티</t>
        </is>
      </c>
      <c r="B97" s="16" t="inlineStr">
        <is>
          <t>'18.12.</t>
        </is>
      </c>
      <c r="C97" s="165" t="n">
        <v>9510</v>
      </c>
      <c r="D97" s="162" t="n">
        <v>72.59999999999999</v>
      </c>
      <c r="E97" s="164" t="n">
        <v>22</v>
      </c>
      <c r="F97" s="162" t="n">
        <v>49.3</v>
      </c>
      <c r="G97" s="27" t="n">
        <v>15</v>
      </c>
      <c r="H97" s="165" t="n">
        <v>18</v>
      </c>
      <c r="I97" s="166" t="n">
        <v>140000</v>
      </c>
      <c r="J97" s="166" t="inlineStr">
        <is>
          <t>고</t>
        </is>
      </c>
      <c r="K97" s="166" t="n">
        <v>68000</v>
      </c>
      <c r="L97" s="166" t="inlineStr">
        <is>
          <t>고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2</v>
      </c>
      <c r="R97" s="113" t="n">
        <v>1</v>
      </c>
      <c r="S97" s="113" t="inlineStr">
        <is>
          <t>계</t>
        </is>
      </c>
      <c r="T97" s="8" t="inlineStr">
        <is>
          <t>72B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헬리오시티</t>
        </is>
      </c>
      <c r="B98" s="16" t="inlineStr">
        <is>
          <t>'18.12.</t>
        </is>
      </c>
      <c r="C98" s="165" t="n">
        <v>9510</v>
      </c>
      <c r="D98" s="162" t="n">
        <v>72.5</v>
      </c>
      <c r="E98" s="164" t="n">
        <v>22</v>
      </c>
      <c r="F98" s="162" t="n">
        <v>49.2</v>
      </c>
      <c r="G98" s="27" t="n">
        <v>15</v>
      </c>
      <c r="H98" s="165" t="n">
        <v>10</v>
      </c>
      <c r="I98" s="166" t="n">
        <v>135000</v>
      </c>
      <c r="J98" s="166" t="inlineStr">
        <is>
          <t>고</t>
        </is>
      </c>
      <c r="K98" s="166" t="n">
        <v>63000</v>
      </c>
      <c r="L98" s="166" t="inlineStr">
        <is>
          <t>고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2</v>
      </c>
      <c r="R98" s="113" t="n">
        <v>1</v>
      </c>
      <c r="S98" s="113" t="inlineStr">
        <is>
          <t>계</t>
        </is>
      </c>
      <c r="T98" s="8" t="inlineStr">
        <is>
          <t>72A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헬리오시티</t>
        </is>
      </c>
      <c r="B99" s="16" t="inlineStr">
        <is>
          <t>'18.12.</t>
        </is>
      </c>
      <c r="C99" s="165" t="n">
        <v>9510</v>
      </c>
      <c r="D99" s="162" t="n">
        <v>84.09999999999999</v>
      </c>
      <c r="E99" s="164" t="n">
        <v>25</v>
      </c>
      <c r="F99" s="162" t="n">
        <v>60</v>
      </c>
      <c r="G99" s="27" t="n">
        <v>18</v>
      </c>
      <c r="H99" s="165" t="n">
        <v>746</v>
      </c>
      <c r="I99" s="166" t="n">
        <v>140000</v>
      </c>
      <c r="J99" s="166" t="inlineStr">
        <is>
          <t>중</t>
        </is>
      </c>
      <c r="K99" s="166" t="n">
        <v>70000</v>
      </c>
      <c r="L99" s="166" t="inlineStr">
        <is>
          <t>9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84A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헬리오시티</t>
        </is>
      </c>
      <c r="B100" s="16" t="inlineStr">
        <is>
          <t>'18.12.</t>
        </is>
      </c>
      <c r="C100" s="165" t="n">
        <v>9510</v>
      </c>
      <c r="D100" s="162" t="n">
        <v>108</v>
      </c>
      <c r="E100" s="164" t="n">
        <v>33</v>
      </c>
      <c r="F100" s="162" t="n">
        <v>85</v>
      </c>
      <c r="G100" s="27" t="n">
        <v>26</v>
      </c>
      <c r="H100" s="165" t="n">
        <v>731</v>
      </c>
      <c r="I100" s="166" t="n">
        <v>168000</v>
      </c>
      <c r="J100" s="166" t="inlineStr">
        <is>
          <t>고</t>
        </is>
      </c>
      <c r="K100" s="166" t="n">
        <v>83000</v>
      </c>
      <c r="L100" s="166" t="inlineStr">
        <is>
          <t>중</t>
        </is>
      </c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107A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헬리오시티</t>
        </is>
      </c>
      <c r="B101" s="16" t="inlineStr">
        <is>
          <t>'18.12.</t>
        </is>
      </c>
      <c r="C101" s="165" t="n">
        <v>9510</v>
      </c>
      <c r="D101" s="162" t="n">
        <v>107.7</v>
      </c>
      <c r="E101" s="164" t="n">
        <v>33</v>
      </c>
      <c r="F101" s="162" t="n">
        <v>85</v>
      </c>
      <c r="G101" s="27" t="n">
        <v>26</v>
      </c>
      <c r="H101" s="165" t="n">
        <v>164</v>
      </c>
      <c r="I101" s="166" t="n">
        <v>164000</v>
      </c>
      <c r="J101" s="166" t="inlineStr">
        <is>
          <t>중</t>
        </is>
      </c>
      <c r="K101" s="166" t="n">
        <v>87000</v>
      </c>
      <c r="L101" s="166" t="inlineStr">
        <is>
          <t>중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107J1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헬리오시티</t>
        </is>
      </c>
      <c r="B102" s="16" t="inlineStr">
        <is>
          <t>'18.12.</t>
        </is>
      </c>
      <c r="C102" s="165" t="n">
        <v>9510</v>
      </c>
      <c r="D102" s="162" t="n">
        <v>107.7</v>
      </c>
      <c r="E102" s="164" t="n">
        <v>33</v>
      </c>
      <c r="F102" s="162" t="n">
        <v>85</v>
      </c>
      <c r="G102" s="27" t="n">
        <v>26</v>
      </c>
      <c r="H102" s="165" t="n">
        <v>164</v>
      </c>
      <c r="I102" s="166" t="n">
        <v>164000</v>
      </c>
      <c r="J102" s="166" t="inlineStr">
        <is>
          <t>중</t>
        </is>
      </c>
      <c r="K102" s="166" t="n">
        <v>87000</v>
      </c>
      <c r="L102" s="166" t="inlineStr">
        <is>
          <t>중</t>
        </is>
      </c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107J2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헬리오시티</t>
        </is>
      </c>
      <c r="B103" s="16" t="inlineStr">
        <is>
          <t>'18.12.</t>
        </is>
      </c>
      <c r="C103" s="165" t="n">
        <v>9510</v>
      </c>
      <c r="D103" s="162" t="n">
        <v>107.7</v>
      </c>
      <c r="E103" s="164" t="n">
        <v>33</v>
      </c>
      <c r="F103" s="162" t="n">
        <v>84.90000000000001</v>
      </c>
      <c r="G103" s="27" t="n">
        <v>26</v>
      </c>
      <c r="H103" s="165" t="n">
        <v>26</v>
      </c>
      <c r="I103" s="166" t="n"/>
      <c r="J103" s="166" t="n"/>
      <c r="K103" s="166" t="n">
        <v>85000</v>
      </c>
      <c r="L103" s="166" t="inlineStr">
        <is>
          <t>고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107I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헬리오시티</t>
        </is>
      </c>
      <c r="B104" s="16" t="inlineStr">
        <is>
          <t>'18.12.</t>
        </is>
      </c>
      <c r="C104" s="165" t="n">
        <v>9510</v>
      </c>
      <c r="D104" s="162" t="n">
        <v>108.4</v>
      </c>
      <c r="E104" s="164" t="n">
        <v>33</v>
      </c>
      <c r="F104" s="162" t="n">
        <v>85</v>
      </c>
      <c r="G104" s="27" t="n">
        <v>26</v>
      </c>
      <c r="H104" s="165" t="n">
        <v>317</v>
      </c>
      <c r="I104" s="166" t="n">
        <v>170000</v>
      </c>
      <c r="J104" s="166" t="inlineStr">
        <is>
          <t>중</t>
        </is>
      </c>
      <c r="K104" s="166" t="n">
        <v>79000</v>
      </c>
      <c r="L104" s="166" t="inlineStr">
        <is>
          <t>고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108G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헬리오시티</t>
        </is>
      </c>
      <c r="B105" s="16" t="inlineStr">
        <is>
          <t>'18.12.</t>
        </is>
      </c>
      <c r="C105" s="165" t="n">
        <v>9510</v>
      </c>
      <c r="D105" s="162" t="n">
        <v>108</v>
      </c>
      <c r="E105" s="164" t="n">
        <v>33</v>
      </c>
      <c r="F105" s="162" t="n">
        <v>85</v>
      </c>
      <c r="G105" s="27" t="n">
        <v>26</v>
      </c>
      <c r="H105" s="165" t="n">
        <v>293</v>
      </c>
      <c r="I105" s="166" t="n">
        <v>168000</v>
      </c>
      <c r="J105" s="166" t="inlineStr">
        <is>
          <t>고</t>
        </is>
      </c>
      <c r="K105" s="166" t="n">
        <v>83000</v>
      </c>
      <c r="L105" s="166" t="inlineStr">
        <is>
          <t>중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108K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헬리오시티</t>
        </is>
      </c>
      <c r="B106" s="16" t="inlineStr">
        <is>
          <t>'18.12.</t>
        </is>
      </c>
      <c r="C106" s="165" t="n">
        <v>9510</v>
      </c>
      <c r="D106" s="162" t="n">
        <v>108.7</v>
      </c>
      <c r="E106" s="164" t="n">
        <v>33</v>
      </c>
      <c r="F106" s="162" t="n">
        <v>85</v>
      </c>
      <c r="G106" s="27" t="n">
        <v>26</v>
      </c>
      <c r="H106" s="165" t="n">
        <v>158</v>
      </c>
      <c r="I106" s="166" t="n">
        <v>195000</v>
      </c>
      <c r="J106" s="166" t="inlineStr">
        <is>
          <t>고</t>
        </is>
      </c>
      <c r="K106" s="166" t="n">
        <v>84000</v>
      </c>
      <c r="L106" s="166" t="inlineStr">
        <is>
          <t>중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108L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헬리오시티</t>
        </is>
      </c>
      <c r="B107" s="16" t="inlineStr">
        <is>
          <t>'18.12.</t>
        </is>
      </c>
      <c r="C107" s="165" t="n">
        <v>9510</v>
      </c>
      <c r="D107" s="162" t="n">
        <v>108.7</v>
      </c>
      <c r="E107" s="164" t="n">
        <v>33</v>
      </c>
      <c r="F107" s="162" t="n">
        <v>85</v>
      </c>
      <c r="G107" s="27" t="n">
        <v>26</v>
      </c>
      <c r="H107" s="165" t="n">
        <v>27</v>
      </c>
      <c r="I107" s="166" t="n">
        <v>195000</v>
      </c>
      <c r="J107" s="166" t="inlineStr">
        <is>
          <t>고</t>
        </is>
      </c>
      <c r="K107" s="166" t="n">
        <v>84000</v>
      </c>
      <c r="L107" s="166" t="inlineStr">
        <is>
          <t>중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108H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헬리오시티</t>
        </is>
      </c>
      <c r="B108" s="16" t="inlineStr">
        <is>
          <t>'18.12.</t>
        </is>
      </c>
      <c r="C108" s="165" t="n">
        <v>9510</v>
      </c>
      <c r="D108" s="162" t="n">
        <v>109.7</v>
      </c>
      <c r="E108" s="164" t="n">
        <v>33</v>
      </c>
      <c r="F108" s="162" t="n">
        <v>85</v>
      </c>
      <c r="G108" s="27" t="n">
        <v>26</v>
      </c>
      <c r="H108" s="165" t="n">
        <v>687</v>
      </c>
      <c r="I108" s="166" t="n">
        <v>165000</v>
      </c>
      <c r="J108" s="166" t="inlineStr">
        <is>
          <t>중</t>
        </is>
      </c>
      <c r="K108" s="166" t="n">
        <v>80000</v>
      </c>
      <c r="L108" s="166" t="inlineStr">
        <is>
          <t>고</t>
        </is>
      </c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109E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헬리오시티</t>
        </is>
      </c>
      <c r="B109" s="16" t="inlineStr">
        <is>
          <t>'18.12.</t>
        </is>
      </c>
      <c r="C109" s="165" t="n">
        <v>9510</v>
      </c>
      <c r="D109" s="162" t="n">
        <v>109.9</v>
      </c>
      <c r="E109" s="164" t="n">
        <v>33</v>
      </c>
      <c r="F109" s="162" t="n">
        <v>85</v>
      </c>
      <c r="G109" s="27" t="n">
        <v>26</v>
      </c>
      <c r="H109" s="165" t="n">
        <v>317</v>
      </c>
      <c r="I109" s="166" t="n">
        <v>170000</v>
      </c>
      <c r="J109" s="166" t="inlineStr">
        <is>
          <t>중</t>
        </is>
      </c>
      <c r="K109" s="166" t="n">
        <v>80000</v>
      </c>
      <c r="L109" s="166" t="inlineStr">
        <is>
          <t>고</t>
        </is>
      </c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109C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헬리오시티</t>
        </is>
      </c>
      <c r="B110" s="16" t="inlineStr">
        <is>
          <t>'18.12.</t>
        </is>
      </c>
      <c r="C110" s="165" t="n">
        <v>9510</v>
      </c>
      <c r="D110" s="162" t="n">
        <v>109.8</v>
      </c>
      <c r="E110" s="164" t="n">
        <v>33</v>
      </c>
      <c r="F110" s="162" t="n">
        <v>85</v>
      </c>
      <c r="G110" s="27" t="n">
        <v>26</v>
      </c>
      <c r="H110" s="165" t="n">
        <v>28</v>
      </c>
      <c r="I110" s="166" t="n"/>
      <c r="J110" s="166" t="n"/>
      <c r="K110" s="166" t="n">
        <v>85000</v>
      </c>
      <c r="L110" s="166" t="inlineStr">
        <is>
          <t>중</t>
        </is>
      </c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109B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헬리오시티</t>
        </is>
      </c>
      <c r="B111" s="16" t="inlineStr">
        <is>
          <t>'18.12.</t>
        </is>
      </c>
      <c r="C111" s="165" t="n">
        <v>9510</v>
      </c>
      <c r="D111" s="162" t="n">
        <v>110.1</v>
      </c>
      <c r="E111" s="164" t="n">
        <v>33</v>
      </c>
      <c r="F111" s="162" t="n">
        <v>85</v>
      </c>
      <c r="G111" s="27" t="n">
        <v>26</v>
      </c>
      <c r="H111" s="165" t="n">
        <v>1480</v>
      </c>
      <c r="I111" s="166" t="n">
        <v>165000</v>
      </c>
      <c r="J111" s="166" t="inlineStr">
        <is>
          <t>고</t>
        </is>
      </c>
      <c r="K111" s="166" t="n">
        <v>80000</v>
      </c>
      <c r="L111" s="166" t="inlineStr">
        <is>
          <t>중</t>
        </is>
      </c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110D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헬리오시티</t>
        </is>
      </c>
      <c r="B112" s="16" t="inlineStr">
        <is>
          <t>'18.12.</t>
        </is>
      </c>
      <c r="C112" s="165" t="n">
        <v>9510</v>
      </c>
      <c r="D112" s="162" t="n">
        <v>110.2</v>
      </c>
      <c r="E112" s="164" t="n">
        <v>33</v>
      </c>
      <c r="F112" s="162" t="n">
        <v>85</v>
      </c>
      <c r="G112" s="27" t="n">
        <v>26</v>
      </c>
      <c r="H112" s="165" t="n">
        <v>740</v>
      </c>
      <c r="I112" s="166" t="n">
        <v>175000</v>
      </c>
      <c r="J112" s="166" t="inlineStr">
        <is>
          <t>고</t>
        </is>
      </c>
      <c r="K112" s="166" t="n">
        <v>83000</v>
      </c>
      <c r="L112" s="166" t="inlineStr">
        <is>
          <t>고</t>
        </is>
      </c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110F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헬리오시티</t>
        </is>
      </c>
      <c r="B113" s="16" t="inlineStr">
        <is>
          <t>'18.12.</t>
        </is>
      </c>
      <c r="C113" s="165" t="n">
        <v>9510</v>
      </c>
      <c r="D113" s="162" t="n">
        <v>126.4</v>
      </c>
      <c r="E113" s="164" t="n">
        <v>38</v>
      </c>
      <c r="F113" s="162" t="n">
        <v>99.59999999999999</v>
      </c>
      <c r="G113" s="27" t="n">
        <v>30</v>
      </c>
      <c r="H113" s="165" t="n">
        <v>596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126A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헬리오시티</t>
        </is>
      </c>
      <c r="B114" s="16" t="inlineStr">
        <is>
          <t>'18.12.</t>
        </is>
      </c>
      <c r="C114" s="165" t="n">
        <v>9510</v>
      </c>
      <c r="D114" s="162" t="n">
        <v>140.3</v>
      </c>
      <c r="E114" s="164" t="n">
        <v>42</v>
      </c>
      <c r="F114" s="162" t="n">
        <v>110.7</v>
      </c>
      <c r="G114" s="27" t="n">
        <v>33</v>
      </c>
      <c r="H114" s="165" t="n">
        <v>474</v>
      </c>
      <c r="I114" s="166" t="n">
        <v>260000</v>
      </c>
      <c r="J114" s="166" t="inlineStr">
        <is>
          <t>27</t>
        </is>
      </c>
      <c r="K114" s="166" t="n">
        <v>120000</v>
      </c>
      <c r="L114" s="166" t="inlineStr">
        <is>
          <t>고</t>
        </is>
      </c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4</v>
      </c>
      <c r="R114" s="113" t="n">
        <v>2</v>
      </c>
      <c r="S114" s="113" t="inlineStr">
        <is>
          <t>계</t>
        </is>
      </c>
      <c r="T114" s="8" t="inlineStr">
        <is>
          <t>140A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헬리오시티</t>
        </is>
      </c>
      <c r="B115" s="16" t="inlineStr">
        <is>
          <t>'18.12.</t>
        </is>
      </c>
      <c r="C115" s="165" t="n">
        <v>9510</v>
      </c>
      <c r="D115" s="162" t="n">
        <v>141.1</v>
      </c>
      <c r="E115" s="164" t="n">
        <v>43</v>
      </c>
      <c r="F115" s="162" t="n">
        <v>110.4</v>
      </c>
      <c r="G115" s="27" t="n">
        <v>33</v>
      </c>
      <c r="H115" s="165" t="n">
        <v>294</v>
      </c>
      <c r="I115" s="166" t="n">
        <v>245000</v>
      </c>
      <c r="J115" s="166" t="inlineStr">
        <is>
          <t>중</t>
        </is>
      </c>
      <c r="K115" s="166" t="n">
        <v>120000</v>
      </c>
      <c r="L115" s="166" t="inlineStr">
        <is>
          <t>12</t>
        </is>
      </c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4</v>
      </c>
      <c r="R115" s="113" t="n">
        <v>2</v>
      </c>
      <c r="S115" s="113" t="inlineStr">
        <is>
          <t>계</t>
        </is>
      </c>
      <c r="T115" s="8" t="inlineStr">
        <is>
          <t>141B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헬리오시티</t>
        </is>
      </c>
      <c r="B116" s="16" t="inlineStr">
        <is>
          <t>'18.12.</t>
        </is>
      </c>
      <c r="C116" s="165" t="n">
        <v>9510</v>
      </c>
      <c r="D116" s="162" t="n">
        <v>163.9</v>
      </c>
      <c r="E116" s="164" t="n">
        <v>50</v>
      </c>
      <c r="F116" s="162" t="n">
        <v>130.1</v>
      </c>
      <c r="G116" s="27" t="n">
        <v>39</v>
      </c>
      <c r="H116" s="165" t="n">
        <v>136</v>
      </c>
      <c r="I116" s="166" t="n">
        <v>288000</v>
      </c>
      <c r="J116" s="166" t="inlineStr">
        <is>
          <t>중</t>
        </is>
      </c>
      <c r="K116" s="166" t="n">
        <v>164000</v>
      </c>
      <c r="L116" s="166" t="inlineStr">
        <is>
          <t>중</t>
        </is>
      </c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163A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헬리오시티</t>
        </is>
      </c>
      <c r="B117" s="16" t="inlineStr">
        <is>
          <t>'18.12.</t>
        </is>
      </c>
      <c r="C117" s="165" t="n">
        <v>9510</v>
      </c>
      <c r="D117" s="162" t="n">
        <v>194</v>
      </c>
      <c r="E117" s="164" t="n">
        <v>59</v>
      </c>
      <c r="F117" s="162" t="n">
        <v>150.1</v>
      </c>
      <c r="G117" s="27" t="n">
        <v>45</v>
      </c>
      <c r="H117" s="165" t="n">
        <v>10</v>
      </c>
      <c r="I117" s="166" t="n">
        <v>500000</v>
      </c>
      <c r="J117" s="166" t="inlineStr">
        <is>
          <t>29</t>
        </is>
      </c>
      <c r="K117" s="166" t="n">
        <v>231000</v>
      </c>
      <c r="L117" s="166" t="inlineStr">
        <is>
          <t>29</t>
        </is>
      </c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193C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헬리오시티</t>
        </is>
      </c>
      <c r="B118" s="16" t="inlineStr">
        <is>
          <t>'18.12.</t>
        </is>
      </c>
      <c r="C118" s="165" t="n">
        <v>9510</v>
      </c>
      <c r="D118" s="162" t="n">
        <v>193</v>
      </c>
      <c r="E118" s="164" t="n">
        <v>58</v>
      </c>
      <c r="F118" s="162" t="n">
        <v>150.1</v>
      </c>
      <c r="G118" s="27" t="n">
        <v>45</v>
      </c>
      <c r="H118" s="165" t="n">
        <v>3</v>
      </c>
      <c r="I118" s="166" t="n">
        <v>500000</v>
      </c>
      <c r="J118" s="166" t="inlineStr">
        <is>
          <t>고</t>
        </is>
      </c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inlineStr">
        <is>
          <t>193B</t>
        </is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헬리오시티</t>
        </is>
      </c>
      <c r="B119" s="16" t="inlineStr">
        <is>
          <t>'18.12.</t>
        </is>
      </c>
      <c r="C119" s="165" t="n">
        <v>9510</v>
      </c>
      <c r="D119" s="162" t="n">
        <v>193.1</v>
      </c>
      <c r="E119" s="164" t="n">
        <v>58</v>
      </c>
      <c r="F119" s="162" t="n">
        <v>150.2</v>
      </c>
      <c r="G119" s="27" t="n">
        <v>45</v>
      </c>
      <c r="H119" s="165" t="n">
        <v>2</v>
      </c>
      <c r="I119" s="166" t="n"/>
      <c r="J119" s="166" t="n"/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193A</t>
        </is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헬리오시티</t>
        </is>
      </c>
      <c r="B120" s="16" t="inlineStr">
        <is>
          <t>'18.12.</t>
        </is>
      </c>
      <c r="C120" s="165" t="n">
        <v>9510</v>
      </c>
      <c r="D120" s="162" t="n">
        <v>194.2</v>
      </c>
      <c r="E120" s="164" t="n">
        <v>59</v>
      </c>
      <c r="F120" s="162" t="n">
        <v>150.1</v>
      </c>
      <c r="G120" s="27" t="n">
        <v>45</v>
      </c>
      <c r="H120" s="165" t="n">
        <v>9</v>
      </c>
      <c r="I120" s="166" t="n"/>
      <c r="J120" s="166" t="n"/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194D</t>
        </is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2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3" t="n"/>
      <c r="P121" s="163" t="n"/>
      <c r="Q121" s="164" t="n"/>
      <c r="R121" s="164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1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래미안파크팰리스</t>
        </is>
      </c>
      <c r="B122" s="16" t="inlineStr">
        <is>
          <t>'07.11.</t>
        </is>
      </c>
      <c r="C122" s="165" t="n">
        <v>919</v>
      </c>
      <c r="D122" s="162" t="n">
        <v>86.40000000000001</v>
      </c>
      <c r="E122" s="164" t="n">
        <v>26</v>
      </c>
      <c r="F122" s="162" t="n">
        <v>60</v>
      </c>
      <c r="G122" s="27" t="n">
        <v>18</v>
      </c>
      <c r="H122" s="165" t="n">
        <v>194</v>
      </c>
      <c r="I122" s="166" t="n">
        <v>135000</v>
      </c>
      <c r="J122" s="166" t="inlineStr">
        <is>
          <t>13</t>
        </is>
      </c>
      <c r="K122" s="166" t="n">
        <v>60000</v>
      </c>
      <c r="L122" s="166" t="inlineStr">
        <is>
          <t>11</t>
        </is>
      </c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n">
        <v>86</v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래미안파크팰리스</t>
        </is>
      </c>
      <c r="B123" s="16" t="inlineStr">
        <is>
          <t>'07.11.</t>
        </is>
      </c>
      <c r="C123" s="165" t="n">
        <v>919</v>
      </c>
      <c r="D123" s="162" t="n">
        <v>106.6</v>
      </c>
      <c r="E123" s="164" t="n">
        <v>32</v>
      </c>
      <c r="F123" s="162" t="n">
        <v>84.90000000000001</v>
      </c>
      <c r="G123" s="27" t="n">
        <v>26</v>
      </c>
      <c r="H123" s="165" t="n">
        <v>250</v>
      </c>
      <c r="I123" s="166" t="n">
        <v>148000</v>
      </c>
      <c r="J123" s="166" t="inlineStr">
        <is>
          <t>8</t>
        </is>
      </c>
      <c r="K123" s="166" t="n">
        <v>74000</v>
      </c>
      <c r="L123" s="166" t="inlineStr">
        <is>
          <t>19</t>
        </is>
      </c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n">
        <v>106</v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래미안파크팰리스</t>
        </is>
      </c>
      <c r="B124" s="16" t="inlineStr">
        <is>
          <t>'07.11.</t>
        </is>
      </c>
      <c r="C124" s="165" t="n">
        <v>919</v>
      </c>
      <c r="D124" s="162" t="n">
        <v>106.5</v>
      </c>
      <c r="E124" s="164" t="n">
        <v>32</v>
      </c>
      <c r="F124" s="162" t="n">
        <v>84.90000000000001</v>
      </c>
      <c r="G124" s="27" t="n">
        <v>26</v>
      </c>
      <c r="H124" s="165" t="n">
        <v>153</v>
      </c>
      <c r="I124" s="166" t="n">
        <v>165000</v>
      </c>
      <c r="J124" s="166" t="inlineStr">
        <is>
          <t>24</t>
        </is>
      </c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3</v>
      </c>
      <c r="R124" s="113" t="n">
        <v>2</v>
      </c>
      <c r="S124" s="113" t="inlineStr">
        <is>
          <t>복</t>
        </is>
      </c>
      <c r="T124" s="8" t="inlineStr">
        <is>
          <t>106A</t>
        </is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래미안파크팰리스</t>
        </is>
      </c>
      <c r="B125" s="16" t="inlineStr">
        <is>
          <t>'07.11.</t>
        </is>
      </c>
      <c r="C125" s="165" t="n">
        <v>919</v>
      </c>
      <c r="D125" s="162" t="n">
        <v>106.1</v>
      </c>
      <c r="E125" s="164" t="n">
        <v>32</v>
      </c>
      <c r="F125" s="162" t="n">
        <v>84.90000000000001</v>
      </c>
      <c r="G125" s="27" t="n">
        <v>26</v>
      </c>
      <c r="H125" s="165" t="n">
        <v>146</v>
      </c>
      <c r="I125" s="166" t="n"/>
      <c r="J125" s="166" t="n"/>
      <c r="K125" s="166" t="n"/>
      <c r="L125" s="166" t="n"/>
      <c r="M125" s="167">
        <f>I125-K125</f>
        <v/>
      </c>
      <c r="N125" s="7">
        <f>IF(ISERROR(K125/I125),"",K125/I125)</f>
        <v/>
      </c>
      <c r="O125" s="163">
        <f>I125/E125</f>
        <v/>
      </c>
      <c r="P125" s="163">
        <f>K125/E125</f>
        <v/>
      </c>
      <c r="Q125" s="113" t="n">
        <v>3</v>
      </c>
      <c r="R125" s="113" t="n">
        <v>2</v>
      </c>
      <c r="S125" s="113" t="inlineStr">
        <is>
          <t>복</t>
        </is>
      </c>
      <c r="T125" s="8" t="inlineStr">
        <is>
          <t>106B</t>
        </is>
      </c>
      <c r="U125" s="13" t="n"/>
      <c r="W125" s="162">
        <f>D125</f>
        <v/>
      </c>
      <c r="X125" s="164">
        <f>E125</f>
        <v/>
      </c>
      <c r="Y125" s="160">
        <f>H125</f>
        <v/>
      </c>
      <c r="Z125" s="167">
        <f>I125</f>
        <v/>
      </c>
      <c r="AA125" s="167">
        <f>K125</f>
        <v/>
      </c>
      <c r="AB125" s="167">
        <f>M125</f>
        <v/>
      </c>
      <c r="AC125" s="7">
        <f>N125</f>
        <v/>
      </c>
      <c r="AD125" s="163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4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래미안파크팰리스</t>
        </is>
      </c>
      <c r="B126" s="16" t="inlineStr">
        <is>
          <t>'07.11.</t>
        </is>
      </c>
      <c r="C126" s="165" t="n">
        <v>919</v>
      </c>
      <c r="D126" s="162" t="n">
        <v>142.7</v>
      </c>
      <c r="E126" s="164" t="n">
        <v>43</v>
      </c>
      <c r="F126" s="162" t="n">
        <v>114.8</v>
      </c>
      <c r="G126" s="27" t="n">
        <v>35</v>
      </c>
      <c r="H126" s="165" t="n">
        <v>176</v>
      </c>
      <c r="I126" s="166" t="n">
        <v>180000</v>
      </c>
      <c r="J126" s="166" t="inlineStr">
        <is>
          <t>중</t>
        </is>
      </c>
      <c r="K126" s="166" t="n">
        <v>90000</v>
      </c>
      <c r="L126" s="166" t="inlineStr">
        <is>
          <t>18</t>
        </is>
      </c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n">
        <v>142</v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n"/>
      <c r="B127" s="113" t="n"/>
      <c r="C127" s="10" t="n"/>
      <c r="D127" s="13" t="n"/>
      <c r="E127" s="20" t="n"/>
      <c r="F127" s="162" t="n"/>
      <c r="G127" s="13" t="n"/>
      <c r="H127" s="13" t="n"/>
      <c r="I127" s="13" t="n"/>
      <c r="J127" s="13" t="n"/>
      <c r="K127" s="13" t="n"/>
      <c r="L127" s="13" t="n"/>
      <c r="M127" s="13" t="n"/>
      <c r="N127" s="13" t="n"/>
      <c r="O127" s="163" t="n"/>
      <c r="P127" s="163" t="n"/>
      <c r="Q127" s="164" t="n"/>
      <c r="R127" s="164" t="n"/>
      <c r="S127" s="13" t="n"/>
      <c r="T127" s="70" t="n"/>
      <c r="U127" s="13" t="n"/>
      <c r="W127" s="107">
        <f>$A$4&amp;" "&amp;A128&amp;"("&amp;B128&amp;","&amp;C128&amp;"^)"</f>
        <v/>
      </c>
      <c r="X127" s="108" t="n"/>
      <c r="Y127" s="108" t="n"/>
      <c r="Z127" s="108" t="n"/>
      <c r="AA127" s="108" t="n"/>
      <c r="AB127" s="108" t="n"/>
      <c r="AC127" s="108" t="n"/>
      <c r="AD127" s="108" t="n"/>
      <c r="AE127" s="108" t="n"/>
      <c r="AF127" s="109" t="n"/>
      <c r="AH127" s="36">
        <f>IF(A127="","",A127)</f>
        <v/>
      </c>
      <c r="AI127" s="161">
        <f>IF(E127="","",E127)</f>
        <v/>
      </c>
      <c r="AJ127" s="113" t="n"/>
      <c r="AK127" s="113" t="n"/>
      <c r="AL127" s="113" t="n"/>
      <c r="AM127" s="113" t="n"/>
      <c r="AN127" s="113" t="n"/>
      <c r="AO127" s="113" t="n"/>
      <c r="AP127" s="113" t="n"/>
      <c r="AQ127" s="113" t="n"/>
      <c r="AR127" s="113" t="n"/>
      <c r="AS127" s="113" t="n"/>
      <c r="AT127" s="113" t="n"/>
      <c r="AU127" s="113" t="n"/>
      <c r="AV127" s="113" t="n"/>
    </row>
    <row r="128">
      <c r="A128" s="13" t="inlineStr">
        <is>
          <t>가락동부센트레빌</t>
        </is>
      </c>
      <c r="B128" s="16" t="inlineStr">
        <is>
          <t>'01.11.</t>
        </is>
      </c>
      <c r="C128" s="165" t="n">
        <v>264</v>
      </c>
      <c r="D128" s="162" t="n">
        <v>141.9</v>
      </c>
      <c r="E128" s="164" t="n">
        <v>43</v>
      </c>
      <c r="F128" s="162" t="n">
        <v>115.9</v>
      </c>
      <c r="G128" s="27" t="n">
        <v>35</v>
      </c>
      <c r="H128" s="165" t="n">
        <v>135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복</t>
        </is>
      </c>
      <c r="T128" s="8" t="n">
        <v>141</v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가락동부센트레빌</t>
        </is>
      </c>
      <c r="B129" s="16" t="inlineStr">
        <is>
          <t>'01.11.</t>
        </is>
      </c>
      <c r="C129" s="165" t="n">
        <v>264</v>
      </c>
      <c r="D129" s="162" t="n">
        <v>170.8</v>
      </c>
      <c r="E129" s="164" t="n">
        <v>52</v>
      </c>
      <c r="F129" s="162" t="n">
        <v>143</v>
      </c>
      <c r="G129" s="27" t="n">
        <v>43</v>
      </c>
      <c r="H129" s="165" t="n">
        <v>129</v>
      </c>
      <c r="I129" s="166" t="n"/>
      <c r="J129" s="166" t="n"/>
      <c r="K129" s="166" t="n"/>
      <c r="L129" s="166" t="n"/>
      <c r="M129" s="167">
        <f>I129-K129</f>
        <v/>
      </c>
      <c r="N129" s="7">
        <f>IF(ISERROR(K129/I129),"",K129/I129)</f>
        <v/>
      </c>
      <c r="O129" s="163">
        <f>I129/E129</f>
        <v/>
      </c>
      <c r="P129" s="163">
        <f>K129/E129</f>
        <v/>
      </c>
      <c r="Q129" s="113" t="n">
        <v>4</v>
      </c>
      <c r="R129" s="113" t="n">
        <v>2</v>
      </c>
      <c r="S129" s="113" t="inlineStr">
        <is>
          <t>복</t>
        </is>
      </c>
      <c r="T129" s="8" t="n">
        <v>170</v>
      </c>
      <c r="U129" s="13" t="n"/>
      <c r="W129" s="162">
        <f>D129</f>
        <v/>
      </c>
      <c r="X129" s="164">
        <f>E129</f>
        <v/>
      </c>
      <c r="Y129" s="160">
        <f>H129</f>
        <v/>
      </c>
      <c r="Z129" s="167">
        <f>I129</f>
        <v/>
      </c>
      <c r="AA129" s="167">
        <f>K129</f>
        <v/>
      </c>
      <c r="AB129" s="167">
        <f>M129</f>
        <v/>
      </c>
      <c r="AC129" s="7">
        <f>N129</f>
        <v/>
      </c>
      <c r="AD129" s="163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4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n"/>
      <c r="B130" s="113" t="n"/>
      <c r="C130" s="10" t="n"/>
      <c r="D130" s="13" t="n"/>
      <c r="E130" s="20" t="n"/>
      <c r="F130" s="162" t="n"/>
      <c r="G130" s="13" t="n"/>
      <c r="H130" s="13" t="n"/>
      <c r="I130" s="13" t="n"/>
      <c r="J130" s="13" t="n"/>
      <c r="K130" s="13" t="n"/>
      <c r="L130" s="13" t="n"/>
      <c r="M130" s="13" t="n"/>
      <c r="N130" s="13" t="n"/>
      <c r="O130" s="163" t="n"/>
      <c r="P130" s="163" t="n"/>
      <c r="Q130" s="164" t="n"/>
      <c r="R130" s="164" t="n"/>
      <c r="S130" s="13" t="n"/>
      <c r="T130" s="70" t="n"/>
      <c r="U130" s="13" t="n"/>
      <c r="W130" s="107">
        <f>$A$4&amp;" "&amp;A131&amp;"("&amp;B131&amp;","&amp;C131&amp;"^)"</f>
        <v/>
      </c>
      <c r="X130" s="108" t="n"/>
      <c r="Y130" s="108" t="n"/>
      <c r="Z130" s="108" t="n"/>
      <c r="AA130" s="108" t="n"/>
      <c r="AB130" s="108" t="n"/>
      <c r="AC130" s="108" t="n"/>
      <c r="AD130" s="108" t="n"/>
      <c r="AE130" s="108" t="n"/>
      <c r="AF130" s="109" t="n"/>
      <c r="AH130" s="36">
        <f>IF(A130="","",A130)</f>
        <v/>
      </c>
      <c r="AI130" s="161">
        <f>IF(E130="","",E130)</f>
        <v/>
      </c>
      <c r="AJ130" s="113" t="n"/>
      <c r="AK130" s="113" t="n"/>
      <c r="AL130" s="113" t="n"/>
      <c r="AM130" s="113" t="n"/>
      <c r="AN130" s="113" t="n"/>
      <c r="AO130" s="113" t="n"/>
      <c r="AP130" s="113" t="n"/>
      <c r="AQ130" s="113" t="n"/>
      <c r="AR130" s="113" t="n"/>
      <c r="AS130" s="113" t="n"/>
      <c r="AT130" s="113" t="n"/>
      <c r="AU130" s="113" t="n"/>
      <c r="AV130" s="113" t="n"/>
    </row>
    <row r="131">
      <c r="A131" s="13" t="inlineStr">
        <is>
          <t>미륭</t>
        </is>
      </c>
      <c r="B131" s="16" t="inlineStr">
        <is>
          <t>'86.11.</t>
        </is>
      </c>
      <c r="C131" s="165" t="n">
        <v>435</v>
      </c>
      <c r="D131" s="162" t="n">
        <v>67.90000000000001</v>
      </c>
      <c r="E131" s="164" t="n">
        <v>21</v>
      </c>
      <c r="F131" s="162" t="n">
        <v>50</v>
      </c>
      <c r="G131" s="27" t="n">
        <v>15</v>
      </c>
      <c r="H131" s="165" t="n">
        <v>75</v>
      </c>
      <c r="I131" s="166" t="n"/>
      <c r="J131" s="166" t="n"/>
      <c r="K131" s="166" t="n"/>
      <c r="L131" s="166" t="n"/>
      <c r="M131" s="167">
        <f>I131-K131</f>
        <v/>
      </c>
      <c r="N131" s="7">
        <f>IF(ISERROR(K131/I131),"",K131/I131)</f>
        <v/>
      </c>
      <c r="O131" s="163">
        <f>I131/E131</f>
        <v/>
      </c>
      <c r="P131" s="163">
        <f>K131/E131</f>
        <v/>
      </c>
      <c r="Q131" s="113" t="n">
        <v>2</v>
      </c>
      <c r="R131" s="113" t="n">
        <v>1</v>
      </c>
      <c r="S131" s="113" t="inlineStr">
        <is>
          <t>복</t>
        </is>
      </c>
      <c r="T131" s="8" t="n">
        <v>67</v>
      </c>
      <c r="U131" s="13" t="n"/>
      <c r="W131" s="162">
        <f>D131</f>
        <v/>
      </c>
      <c r="X131" s="164">
        <f>E131</f>
        <v/>
      </c>
      <c r="Y131" s="160">
        <f>H131</f>
        <v/>
      </c>
      <c r="Z131" s="167">
        <f>I131</f>
        <v/>
      </c>
      <c r="AA131" s="167">
        <f>K131</f>
        <v/>
      </c>
      <c r="AB131" s="167">
        <f>M131</f>
        <v/>
      </c>
      <c r="AC131" s="7">
        <f>N131</f>
        <v/>
      </c>
      <c r="AD131" s="163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4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미륭</t>
        </is>
      </c>
      <c r="B132" s="16" t="inlineStr">
        <is>
          <t>'86.11.</t>
        </is>
      </c>
      <c r="C132" s="165" t="n">
        <v>435</v>
      </c>
      <c r="D132" s="162" t="n">
        <v>80.8</v>
      </c>
      <c r="E132" s="164" t="n">
        <v>24</v>
      </c>
      <c r="F132" s="162" t="n">
        <v>60.7</v>
      </c>
      <c r="G132" s="27" t="n">
        <v>18</v>
      </c>
      <c r="H132" s="165" t="n">
        <v>105</v>
      </c>
      <c r="I132" s="166" t="n"/>
      <c r="J132" s="166" t="n"/>
      <c r="K132" s="166" t="n"/>
      <c r="L132" s="166" t="n"/>
      <c r="M132" s="167">
        <f>I132-K132</f>
        <v/>
      </c>
      <c r="N132" s="7">
        <f>IF(ISERROR(K132/I132),"",K132/I132)</f>
        <v/>
      </c>
      <c r="O132" s="163">
        <f>I132/E132</f>
        <v/>
      </c>
      <c r="P132" s="163">
        <f>K132/E132</f>
        <v/>
      </c>
      <c r="Q132" s="113" t="n">
        <v>2</v>
      </c>
      <c r="R132" s="113" t="n">
        <v>1</v>
      </c>
      <c r="S132" s="113" t="inlineStr">
        <is>
          <t>복</t>
        </is>
      </c>
      <c r="T132" s="8" t="n">
        <v>80</v>
      </c>
      <c r="U132" s="13" t="n"/>
      <c r="W132" s="162">
        <f>D132</f>
        <v/>
      </c>
      <c r="X132" s="164">
        <f>E132</f>
        <v/>
      </c>
      <c r="Y132" s="160">
        <f>H132</f>
        <v/>
      </c>
      <c r="Z132" s="167">
        <f>I132</f>
        <v/>
      </c>
      <c r="AA132" s="167">
        <f>K132</f>
        <v/>
      </c>
      <c r="AB132" s="167">
        <f>M132</f>
        <v/>
      </c>
      <c r="AC132" s="7">
        <f>N132</f>
        <v/>
      </c>
      <c r="AD132" s="163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4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미륭</t>
        </is>
      </c>
      <c r="B133" s="16" t="inlineStr">
        <is>
          <t>'86.11.</t>
        </is>
      </c>
      <c r="C133" s="165" t="n">
        <v>435</v>
      </c>
      <c r="D133" s="162" t="n">
        <v>87.3</v>
      </c>
      <c r="E133" s="164" t="n">
        <v>26</v>
      </c>
      <c r="F133" s="162" t="n">
        <v>64.3</v>
      </c>
      <c r="G133" s="27" t="n">
        <v>19</v>
      </c>
      <c r="H133" s="165" t="n">
        <v>75</v>
      </c>
      <c r="I133" s="166" t="n"/>
      <c r="J133" s="166" t="n"/>
      <c r="K133" s="166" t="n"/>
      <c r="L133" s="166" t="n"/>
      <c r="M133" s="167">
        <f>I133-K133</f>
        <v/>
      </c>
      <c r="N133" s="7">
        <f>IF(ISERROR(K133/I133),"",K133/I133)</f>
        <v/>
      </c>
      <c r="O133" s="163">
        <f>I133/E133</f>
        <v/>
      </c>
      <c r="P133" s="163">
        <f>K133/E133</f>
        <v/>
      </c>
      <c r="Q133" s="113" t="n">
        <v>3</v>
      </c>
      <c r="R133" s="113" t="n">
        <v>1</v>
      </c>
      <c r="S133" s="113" t="inlineStr">
        <is>
          <t>복</t>
        </is>
      </c>
      <c r="T133" s="8" t="n">
        <v>87</v>
      </c>
      <c r="U133" s="13" t="n"/>
      <c r="W133" s="162">
        <f>D133</f>
        <v/>
      </c>
      <c r="X133" s="164">
        <f>E133</f>
        <v/>
      </c>
      <c r="Y133" s="160">
        <f>H133</f>
        <v/>
      </c>
      <c r="Z133" s="167">
        <f>I133</f>
        <v/>
      </c>
      <c r="AA133" s="167">
        <f>K133</f>
        <v/>
      </c>
      <c r="AB133" s="167">
        <f>M133</f>
        <v/>
      </c>
      <c r="AC133" s="7">
        <f>N133</f>
        <v/>
      </c>
      <c r="AD133" s="163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4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미륭</t>
        </is>
      </c>
      <c r="B134" s="16" t="inlineStr">
        <is>
          <t>'86.11.</t>
        </is>
      </c>
      <c r="C134" s="165" t="n">
        <v>435</v>
      </c>
      <c r="D134" s="162" t="n">
        <v>100</v>
      </c>
      <c r="E134" s="164" t="n">
        <v>30</v>
      </c>
      <c r="F134" s="162" t="n">
        <v>83.59999999999999</v>
      </c>
      <c r="G134" s="27" t="n">
        <v>25</v>
      </c>
      <c r="H134" s="165" t="n">
        <v>180</v>
      </c>
      <c r="I134" s="166" t="n"/>
      <c r="J134" s="166" t="n"/>
      <c r="K134" s="166" t="n"/>
      <c r="L134" s="166" t="n"/>
      <c r="M134" s="167">
        <f>I134-K134</f>
        <v/>
      </c>
      <c r="N134" s="7">
        <f>IF(ISERROR(K134/I134),"",K134/I134)</f>
        <v/>
      </c>
      <c r="O134" s="163">
        <f>I134/E134</f>
        <v/>
      </c>
      <c r="P134" s="163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100</v>
      </c>
      <c r="U134" s="13" t="n"/>
      <c r="W134" s="162">
        <f>D134</f>
        <v/>
      </c>
      <c r="X134" s="164">
        <f>E134</f>
        <v/>
      </c>
      <c r="Y134" s="160">
        <f>H134</f>
        <v/>
      </c>
      <c r="Z134" s="167">
        <f>I134</f>
        <v/>
      </c>
      <c r="AA134" s="167">
        <f>K134</f>
        <v/>
      </c>
      <c r="AB134" s="167">
        <f>M134</f>
        <v/>
      </c>
      <c r="AC134" s="7">
        <f>N134</f>
        <v/>
      </c>
      <c r="AD134" s="163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4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2228" dxfId="17">
      <formula>AV4="X"</formula>
    </cfRule>
    <cfRule type="expression" priority="2229" dxfId="16">
      <formula>AV4="후보"</formula>
    </cfRule>
  </conditionalFormatting>
  <conditionalFormatting sqref="AC1:AC2 AC4:AC6 N4:N5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1:N2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6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17">
      <formula>AV7="X"</formula>
    </cfRule>
    <cfRule type="expression" priority="2208" dxfId="16">
      <formula>AV7="후보"</formula>
    </cfRule>
  </conditionalFormatting>
  <conditionalFormatting sqref="AC7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7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17">
      <formula>AV8="X"</formula>
    </cfRule>
    <cfRule type="expression" priority="2189" dxfId="16">
      <formula>AV8="후보"</formula>
    </cfRule>
  </conditionalFormatting>
  <conditionalFormatting sqref="AC8 N8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AV9">
    <cfRule type="expression" priority="2183" dxfId="17">
      <formula>AV9="X"</formula>
    </cfRule>
    <cfRule type="expression" priority="2184" dxfId="16">
      <formula>AV9="후보"</formula>
    </cfRule>
  </conditionalFormatting>
  <conditionalFormatting sqref="AC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9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17">
      <formula>AV10="X"</formula>
    </cfRule>
    <cfRule type="expression" priority="2165" dxfId="16">
      <formula>AV10="후보"</formula>
    </cfRule>
  </conditionalFormatting>
  <conditionalFormatting sqref="AC1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10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17">
      <formula>AV11="X"</formula>
    </cfRule>
    <cfRule type="expression" priority="2146" dxfId="16">
      <formula>AV11="후보"</formula>
    </cfRule>
  </conditionalFormatting>
  <conditionalFormatting sqref="AC1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11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17">
      <formula>AV12="X"</formula>
    </cfRule>
    <cfRule type="expression" priority="2127" dxfId="16">
      <formula>AV12="후보"</formula>
    </cfRule>
  </conditionalFormatting>
  <conditionalFormatting sqref="AC1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1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17">
      <formula>AV13="X"</formula>
    </cfRule>
    <cfRule type="expression" priority="2108" dxfId="16">
      <formula>AV13="후보"</formula>
    </cfRule>
  </conditionalFormatting>
  <conditionalFormatting sqref="AC13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13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17">
      <formula>AV14="X"</formula>
    </cfRule>
    <cfRule type="expression" priority="2089" dxfId="16">
      <formula>AV14="후보"</formula>
    </cfRule>
  </conditionalFormatting>
  <conditionalFormatting sqref="AC1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1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17">
      <formula>AV15="X"</formula>
    </cfRule>
    <cfRule type="expression" priority="2070" dxfId="16">
      <formula>AV15="후보"</formula>
    </cfRule>
  </conditionalFormatting>
  <conditionalFormatting sqref="AC15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15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17">
      <formula>AV16="X"</formula>
    </cfRule>
    <cfRule type="expression" priority="2051" dxfId="16">
      <formula>AV16="후보"</formula>
    </cfRule>
  </conditionalFormatting>
  <conditionalFormatting sqref="AC1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6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17">
      <formula>AV17="X"</formula>
    </cfRule>
    <cfRule type="expression" priority="2032" dxfId="16">
      <formula>AV17="후보"</formula>
    </cfRule>
  </conditionalFormatting>
  <conditionalFormatting sqref="AC17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17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17">
      <formula>AV18="X"</formula>
    </cfRule>
    <cfRule type="expression" priority="2013" dxfId="16">
      <formula>AV18="후보"</formula>
    </cfRule>
  </conditionalFormatting>
  <conditionalFormatting sqref="AC18 N18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AV19">
    <cfRule type="expression" priority="2007" dxfId="17">
      <formula>AV19="X"</formula>
    </cfRule>
    <cfRule type="expression" priority="2008" dxfId="16">
      <formula>AV19="후보"</formula>
    </cfRule>
  </conditionalFormatting>
  <conditionalFormatting sqref="AC19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N19">
    <cfRule type="cellIs" priority="2002" operator="greaterThan" dxfId="13">
      <formula>0.9</formula>
    </cfRule>
    <cfRule type="cellIs" priority="2003" operator="greaterThan" dxfId="12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17">
      <formula>AV20="X"</formula>
    </cfRule>
    <cfRule type="expression" priority="1989" dxfId="16">
      <formula>AV20="후보"</formula>
    </cfRule>
  </conditionalFormatting>
  <conditionalFormatting sqref="AC20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N20">
    <cfRule type="cellIs" priority="1983" operator="greaterThan" dxfId="13">
      <formula>0.9</formula>
    </cfRule>
    <cfRule type="cellIs" priority="1984" operator="greaterThan" dxfId="12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17">
      <formula>AV21="X"</formula>
    </cfRule>
    <cfRule type="expression" priority="1970" dxfId="16">
      <formula>AV21="후보"</formula>
    </cfRule>
  </conditionalFormatting>
  <conditionalFormatting sqref="AC21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21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17">
      <formula>AV22="X"</formula>
    </cfRule>
    <cfRule type="expression" priority="1951" dxfId="16">
      <formula>AV22="후보"</formula>
    </cfRule>
  </conditionalFormatting>
  <conditionalFormatting sqref="AC22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22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17">
      <formula>AV23="X"</formula>
    </cfRule>
    <cfRule type="expression" priority="1932" dxfId="16">
      <formula>AV23="후보"</formula>
    </cfRule>
  </conditionalFormatting>
  <conditionalFormatting sqref="AC23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23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17">
      <formula>AV24="X"</formula>
    </cfRule>
    <cfRule type="expression" priority="1913" dxfId="16">
      <formula>AV24="후보"</formula>
    </cfRule>
  </conditionalFormatting>
  <conditionalFormatting sqref="AC24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N24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17">
      <formula>AV25="X"</formula>
    </cfRule>
    <cfRule type="expression" priority="1894" dxfId="16">
      <formula>AV25="후보"</formula>
    </cfRule>
  </conditionalFormatting>
  <conditionalFormatting sqref="AC25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N25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17">
      <formula>AV26="X"</formula>
    </cfRule>
    <cfRule type="expression" priority="1875" dxfId="16">
      <formula>AV26="후보"</formula>
    </cfRule>
  </conditionalFormatting>
  <conditionalFormatting sqref="AC26 N26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AV27">
    <cfRule type="expression" priority="1869" dxfId="17">
      <formula>AV27="X"</formula>
    </cfRule>
    <cfRule type="expression" priority="1870" dxfId="16">
      <formula>AV27="후보"</formula>
    </cfRule>
  </conditionalFormatting>
  <conditionalFormatting sqref="AC2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27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17">
      <formula>AV28="X"</formula>
    </cfRule>
    <cfRule type="expression" priority="1851" dxfId="16">
      <formula>AV28="후보"</formula>
    </cfRule>
  </conditionalFormatting>
  <conditionalFormatting sqref="AC2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N28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17">
      <formula>AV29="X"</formula>
    </cfRule>
    <cfRule type="expression" priority="1832" dxfId="16">
      <formula>AV29="후보"</formula>
    </cfRule>
  </conditionalFormatting>
  <conditionalFormatting sqref="AC29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N29">
    <cfRule type="cellIs" priority="1826" operator="greaterThan" dxfId="13">
      <formula>0.9</formula>
    </cfRule>
    <cfRule type="cellIs" priority="1827" operator="greaterThan" dxfId="12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17">
      <formula>AV30="X"</formula>
    </cfRule>
    <cfRule type="expression" priority="1813" dxfId="16">
      <formula>AV30="후보"</formula>
    </cfRule>
  </conditionalFormatting>
  <conditionalFormatting sqref="AC30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30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17">
      <formula>AV31="X"</formula>
    </cfRule>
    <cfRule type="expression" priority="1794" dxfId="16">
      <formula>AV31="후보"</formula>
    </cfRule>
  </conditionalFormatting>
  <conditionalFormatting sqref="AC31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31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17">
      <formula>AV32="X"</formula>
    </cfRule>
    <cfRule type="expression" priority="1775" dxfId="16">
      <formula>AV32="후보"</formula>
    </cfRule>
  </conditionalFormatting>
  <conditionalFormatting sqref="AC32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N32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17">
      <formula>AV33="X"</formula>
    </cfRule>
    <cfRule type="expression" priority="1756" dxfId="16">
      <formula>AV33="후보"</formula>
    </cfRule>
  </conditionalFormatting>
  <conditionalFormatting sqref="AC33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N33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17">
      <formula>AV34="X"</formula>
    </cfRule>
    <cfRule type="expression" priority="1737" dxfId="16">
      <formula>AV34="후보"</formula>
    </cfRule>
  </conditionalFormatting>
  <conditionalFormatting sqref="AC34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34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17">
      <formula>AV35="X"</formula>
    </cfRule>
    <cfRule type="expression" priority="1718" dxfId="16">
      <formula>AV35="후보"</formula>
    </cfRule>
  </conditionalFormatting>
  <conditionalFormatting sqref="AC35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35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17">
      <formula>AV36="X"</formula>
    </cfRule>
    <cfRule type="expression" priority="1699" dxfId="16">
      <formula>AV36="후보"</formula>
    </cfRule>
  </conditionalFormatting>
  <conditionalFormatting sqref="AC36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36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17">
      <formula>AV37="X"</formula>
    </cfRule>
    <cfRule type="expression" priority="1680" dxfId="16">
      <formula>AV37="후보"</formula>
    </cfRule>
  </conditionalFormatting>
  <conditionalFormatting sqref="AC37 N37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AV38">
    <cfRule type="expression" priority="1674" dxfId="17">
      <formula>AV38="X"</formula>
    </cfRule>
    <cfRule type="expression" priority="1675" dxfId="16">
      <formula>AV38="후보"</formula>
    </cfRule>
  </conditionalFormatting>
  <conditionalFormatting sqref="AC3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3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17">
      <formula>AV39="X"</formula>
    </cfRule>
    <cfRule type="expression" priority="1656" dxfId="16">
      <formula>AV39="후보"</formula>
    </cfRule>
  </conditionalFormatting>
  <conditionalFormatting sqref="AC39">
    <cfRule type="cellIs" priority="1652" operator="greaterThan" dxfId="13">
      <formula>0.9</formula>
    </cfRule>
    <cfRule type="cellIs" priority="1653" operator="greaterThan" dxfId="12">
      <formula>0.85</formula>
    </cfRule>
  </conditionalFormatting>
  <conditionalFormatting sqref="N39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17">
      <formula>AV40="X"</formula>
    </cfRule>
    <cfRule type="expression" priority="1637" dxfId="16">
      <formula>AV40="후보"</formula>
    </cfRule>
  </conditionalFormatting>
  <conditionalFormatting sqref="AC4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40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17">
      <formula>AV41="X"</formula>
    </cfRule>
    <cfRule type="expression" priority="1618" dxfId="16">
      <formula>AV41="후보"</formula>
    </cfRule>
  </conditionalFormatting>
  <conditionalFormatting sqref="AC41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41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17">
      <formula>AV42="X"</formula>
    </cfRule>
    <cfRule type="expression" priority="1599" dxfId="16">
      <formula>AV42="후보"</formula>
    </cfRule>
  </conditionalFormatting>
  <conditionalFormatting sqref="AC42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42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17">
      <formula>AV43="X"</formula>
    </cfRule>
    <cfRule type="expression" priority="1580" dxfId="16">
      <formula>AV43="후보"</formula>
    </cfRule>
  </conditionalFormatting>
  <conditionalFormatting sqref="AC43 N43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AV44">
    <cfRule type="expression" priority="1574" dxfId="17">
      <formula>AV44="X"</formula>
    </cfRule>
    <cfRule type="expression" priority="1575" dxfId="16">
      <formula>AV44="후보"</formula>
    </cfRule>
  </conditionalFormatting>
  <conditionalFormatting sqref="AC44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N44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17">
      <formula>AV45="X"</formula>
    </cfRule>
    <cfRule type="expression" priority="1556" dxfId="16">
      <formula>AV45="후보"</formula>
    </cfRule>
  </conditionalFormatting>
  <conditionalFormatting sqref="AC4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45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17">
      <formula>AV46="X"</formula>
    </cfRule>
    <cfRule type="expression" priority="1537" dxfId="16">
      <formula>AV46="후보"</formula>
    </cfRule>
  </conditionalFormatting>
  <conditionalFormatting sqref="AC46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46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17">
      <formula>AV47="X"</formula>
    </cfRule>
    <cfRule type="expression" priority="1518" dxfId="16">
      <formula>AV47="후보"</formula>
    </cfRule>
  </conditionalFormatting>
  <conditionalFormatting sqref="AC47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47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17">
      <formula>AV48="X"</formula>
    </cfRule>
    <cfRule type="expression" priority="1499" dxfId="16">
      <formula>AV48="후보"</formula>
    </cfRule>
  </conditionalFormatting>
  <conditionalFormatting sqref="AC48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48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17">
      <formula>AV49="X"</formula>
    </cfRule>
    <cfRule type="expression" priority="1480" dxfId="16">
      <formula>AV49="후보"</formula>
    </cfRule>
  </conditionalFormatting>
  <conditionalFormatting sqref="AC49 N49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AV50">
    <cfRule type="expression" priority="1474" dxfId="17">
      <formula>AV50="X"</formula>
    </cfRule>
    <cfRule type="expression" priority="1475" dxfId="16">
      <formula>AV50="후보"</formula>
    </cfRule>
  </conditionalFormatting>
  <conditionalFormatting sqref="AC50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0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17">
      <formula>AV51="X"</formula>
    </cfRule>
    <cfRule type="expression" priority="1456" dxfId="16">
      <formula>AV51="후보"</formula>
    </cfRule>
  </conditionalFormatting>
  <conditionalFormatting sqref="AC51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51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17">
      <formula>AV52="X"</formula>
    </cfRule>
    <cfRule type="expression" priority="1437" dxfId="16">
      <formula>AV52="후보"</formula>
    </cfRule>
  </conditionalFormatting>
  <conditionalFormatting sqref="AC52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52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17">
      <formula>AV53="X"</formula>
    </cfRule>
    <cfRule type="expression" priority="1418" dxfId="16">
      <formula>AV53="후보"</formula>
    </cfRule>
  </conditionalFormatting>
  <conditionalFormatting sqref="AC53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53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17">
      <formula>AV54="X"</formula>
    </cfRule>
    <cfRule type="expression" priority="1399" dxfId="16">
      <formula>AV54="후보"</formula>
    </cfRule>
  </conditionalFormatting>
  <conditionalFormatting sqref="AC54 N54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55">
    <cfRule type="expression" priority="1393" dxfId="17">
      <formula>AV55="X"</formula>
    </cfRule>
    <cfRule type="expression" priority="1394" dxfId="16">
      <formula>AV55="후보"</formula>
    </cfRule>
  </conditionalFormatting>
  <conditionalFormatting sqref="AC55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55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17">
      <formula>AV56="X"</formula>
    </cfRule>
    <cfRule type="expression" priority="1375" dxfId="16">
      <formula>AV56="후보"</formula>
    </cfRule>
  </conditionalFormatting>
  <conditionalFormatting sqref="AC56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56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17">
      <formula>AV57="X"</formula>
    </cfRule>
    <cfRule type="expression" priority="1356" dxfId="16">
      <formula>AV57="후보"</formula>
    </cfRule>
  </conditionalFormatting>
  <conditionalFormatting sqref="AC57 N57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AV58">
    <cfRule type="expression" priority="1350" dxfId="17">
      <formula>AV58="X"</formula>
    </cfRule>
    <cfRule type="expression" priority="1351" dxfId="16">
      <formula>AV58="후보"</formula>
    </cfRule>
  </conditionalFormatting>
  <conditionalFormatting sqref="AC58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17">
      <formula>AV59="X"</formula>
    </cfRule>
    <cfRule type="expression" priority="1332" dxfId="16">
      <formula>AV59="후보"</formula>
    </cfRule>
  </conditionalFormatting>
  <conditionalFormatting sqref="AC59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59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17">
      <formula>AV60="X"</formula>
    </cfRule>
    <cfRule type="expression" priority="1313" dxfId="16">
      <formula>AV60="후보"</formula>
    </cfRule>
  </conditionalFormatting>
  <conditionalFormatting sqref="AC60 N6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AV61">
    <cfRule type="expression" priority="1307" dxfId="17">
      <formula>AV61="X"</formula>
    </cfRule>
    <cfRule type="expression" priority="1308" dxfId="16">
      <formula>AV61="후보"</formula>
    </cfRule>
  </conditionalFormatting>
  <conditionalFormatting sqref="AC6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6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17">
      <formula>AV62="X"</formula>
    </cfRule>
    <cfRule type="expression" priority="1289" dxfId="16">
      <formula>AV62="후보"</formula>
    </cfRule>
  </conditionalFormatting>
  <conditionalFormatting sqref="AC6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6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17">
      <formula>AV63="X"</formula>
    </cfRule>
    <cfRule type="expression" priority="1270" dxfId="16">
      <formula>AV63="후보"</formula>
    </cfRule>
  </conditionalFormatting>
  <conditionalFormatting sqref="AC6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6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17">
      <formula>AV64="X"</formula>
    </cfRule>
    <cfRule type="expression" priority="1251" dxfId="16">
      <formula>AV64="후보"</formula>
    </cfRule>
  </conditionalFormatting>
  <conditionalFormatting sqref="AC6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6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17">
      <formula>AV65="X"</formula>
    </cfRule>
    <cfRule type="expression" priority="1232" dxfId="16">
      <formula>AV65="후보"</formula>
    </cfRule>
  </conditionalFormatting>
  <conditionalFormatting sqref="AC65 N6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AV66">
    <cfRule type="expression" priority="1226" dxfId="17">
      <formula>AV66="X"</formula>
    </cfRule>
    <cfRule type="expression" priority="1227" dxfId="16">
      <formula>AV66="후보"</formula>
    </cfRule>
  </conditionalFormatting>
  <conditionalFormatting sqref="AC6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N66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17">
      <formula>AV67="X"</formula>
    </cfRule>
    <cfRule type="expression" priority="1208" dxfId="16">
      <formula>AV67="후보"</formula>
    </cfRule>
  </conditionalFormatting>
  <conditionalFormatting sqref="AC67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N67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17">
      <formula>AV68="X"</formula>
    </cfRule>
    <cfRule type="expression" priority="1189" dxfId="16">
      <formula>AV68="후보"</formula>
    </cfRule>
  </conditionalFormatting>
  <conditionalFormatting sqref="AC68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17">
      <formula>AV69="X"</formula>
    </cfRule>
    <cfRule type="expression" priority="1170" dxfId="16">
      <formula>AV69="후보"</formula>
    </cfRule>
  </conditionalFormatting>
  <conditionalFormatting sqref="AC69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69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17">
      <formula>AV70="X"</formula>
    </cfRule>
    <cfRule type="expression" priority="1151" dxfId="16">
      <formula>AV70="후보"</formula>
    </cfRule>
  </conditionalFormatting>
  <conditionalFormatting sqref="AC7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70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17">
      <formula>AV71="X"</formula>
    </cfRule>
    <cfRule type="expression" priority="1132" dxfId="16">
      <formula>AV71="후보"</formula>
    </cfRule>
  </conditionalFormatting>
  <conditionalFormatting sqref="AC71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71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17">
      <formula>AV72="X"</formula>
    </cfRule>
    <cfRule type="expression" priority="1113" dxfId="16">
      <formula>AV72="후보"</formula>
    </cfRule>
  </conditionalFormatting>
  <conditionalFormatting sqref="AC72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72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17">
      <formula>AV73="X"</formula>
    </cfRule>
    <cfRule type="expression" priority="1094" dxfId="16">
      <formula>AV73="후보"</formula>
    </cfRule>
  </conditionalFormatting>
  <conditionalFormatting sqref="AC7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7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17">
      <formula>AV74="X"</formula>
    </cfRule>
    <cfRule type="expression" priority="1075" dxfId="16">
      <formula>AV74="후보"</formula>
    </cfRule>
  </conditionalFormatting>
  <conditionalFormatting sqref="AC7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7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17">
      <formula>AV75="X"</formula>
    </cfRule>
    <cfRule type="expression" priority="1056" dxfId="16">
      <formula>AV75="후보"</formula>
    </cfRule>
  </conditionalFormatting>
  <conditionalFormatting sqref="AC7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7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17">
      <formula>AV76="X"</formula>
    </cfRule>
    <cfRule type="expression" priority="1037" dxfId="16">
      <formula>AV76="후보"</formula>
    </cfRule>
  </conditionalFormatting>
  <conditionalFormatting sqref="AC7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76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17">
      <formula>AV77="X"</formula>
    </cfRule>
    <cfRule type="expression" priority="1018" dxfId="16">
      <formula>AV77="후보"</formula>
    </cfRule>
  </conditionalFormatting>
  <conditionalFormatting sqref="AC77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77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17">
      <formula>AV78="X"</formula>
    </cfRule>
    <cfRule type="expression" priority="999" dxfId="16">
      <formula>AV78="후보"</formula>
    </cfRule>
  </conditionalFormatting>
  <conditionalFormatting sqref="AC78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78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17">
      <formula>AV79="X"</formula>
    </cfRule>
    <cfRule type="expression" priority="980" dxfId="16">
      <formula>AV79="후보"</formula>
    </cfRule>
  </conditionalFormatting>
  <conditionalFormatting sqref="AC79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79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17">
      <formula>AV80="X"</formula>
    </cfRule>
    <cfRule type="expression" priority="961" dxfId="16">
      <formula>AV80="후보"</formula>
    </cfRule>
  </conditionalFormatting>
  <conditionalFormatting sqref="AC8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8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17">
      <formula>AV81="X"</formula>
    </cfRule>
    <cfRule type="expression" priority="942" dxfId="16">
      <formula>AV81="후보"</formula>
    </cfRule>
  </conditionalFormatting>
  <conditionalFormatting sqref="AC81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81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17">
      <formula>AV82="X"</formula>
    </cfRule>
    <cfRule type="expression" priority="923" dxfId="16">
      <formula>AV82="후보"</formula>
    </cfRule>
  </conditionalFormatting>
  <conditionalFormatting sqref="AC82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82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17">
      <formula>AV83="X"</formula>
    </cfRule>
    <cfRule type="expression" priority="904" dxfId="16">
      <formula>AV83="후보"</formula>
    </cfRule>
  </conditionalFormatting>
  <conditionalFormatting sqref="AC83 N83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AV84">
    <cfRule type="expression" priority="898" dxfId="17">
      <formula>AV84="X"</formula>
    </cfRule>
    <cfRule type="expression" priority="899" dxfId="16">
      <formula>AV84="후보"</formula>
    </cfRule>
  </conditionalFormatting>
  <conditionalFormatting sqref="AC8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84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17">
      <formula>AV85="X"</formula>
    </cfRule>
    <cfRule type="expression" priority="880" dxfId="16">
      <formula>AV85="후보"</formula>
    </cfRule>
  </conditionalFormatting>
  <conditionalFormatting sqref="AC85 N85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AV86">
    <cfRule type="expression" priority="874" dxfId="17">
      <formula>AV86="X"</formula>
    </cfRule>
    <cfRule type="expression" priority="875" dxfId="16">
      <formula>AV86="후보"</formula>
    </cfRule>
  </conditionalFormatting>
  <conditionalFormatting sqref="AC8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8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17">
      <formula>AV87="X"</formula>
    </cfRule>
    <cfRule type="expression" priority="856" dxfId="16">
      <formula>AV87="후보"</formula>
    </cfRule>
  </conditionalFormatting>
  <conditionalFormatting sqref="AC8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8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17">
      <formula>AV88="X"</formula>
    </cfRule>
    <cfRule type="expression" priority="837" dxfId="16">
      <formula>AV88="후보"</formula>
    </cfRule>
  </conditionalFormatting>
  <conditionalFormatting sqref="AC8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8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17">
      <formula>AV89="X"</formula>
    </cfRule>
    <cfRule type="expression" priority="818" dxfId="16">
      <formula>AV89="후보"</formula>
    </cfRule>
  </conditionalFormatting>
  <conditionalFormatting sqref="AC8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8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17">
      <formula>AV90="X"</formula>
    </cfRule>
    <cfRule type="expression" priority="799" dxfId="16">
      <formula>AV90="후보"</formula>
    </cfRule>
  </conditionalFormatting>
  <conditionalFormatting sqref="AC90 N9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AV91">
    <cfRule type="expression" priority="793" dxfId="17">
      <formula>AV91="X"</formula>
    </cfRule>
    <cfRule type="expression" priority="794" dxfId="16">
      <formula>AV91="후보"</formula>
    </cfRule>
  </conditionalFormatting>
  <conditionalFormatting sqref="AC91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91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17">
      <formula>AV92="X"</formula>
    </cfRule>
    <cfRule type="expression" priority="775" dxfId="16">
      <formula>AV92="후보"</formula>
    </cfRule>
  </conditionalFormatting>
  <conditionalFormatting sqref="AC92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92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17">
      <formula>AV93="X"</formula>
    </cfRule>
    <cfRule type="expression" priority="756" dxfId="16">
      <formula>AV93="후보"</formula>
    </cfRule>
  </conditionalFormatting>
  <conditionalFormatting sqref="AC93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93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17">
      <formula>AV94="X"</formula>
    </cfRule>
    <cfRule type="expression" priority="737" dxfId="16">
      <formula>AV94="후보"</formula>
    </cfRule>
  </conditionalFormatting>
  <conditionalFormatting sqref="AC94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94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17">
      <formula>AV95="X"</formula>
    </cfRule>
    <cfRule type="expression" priority="718" dxfId="16">
      <formula>AV95="후보"</formula>
    </cfRule>
  </conditionalFormatting>
  <conditionalFormatting sqref="AC95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95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17">
      <formula>AV96="X"</formula>
    </cfRule>
    <cfRule type="expression" priority="699" dxfId="16">
      <formula>AV96="후보"</formula>
    </cfRule>
  </conditionalFormatting>
  <conditionalFormatting sqref="AC96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96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17">
      <formula>AV97="X"</formula>
    </cfRule>
    <cfRule type="expression" priority="680" dxfId="16">
      <formula>AV97="후보"</formula>
    </cfRule>
  </conditionalFormatting>
  <conditionalFormatting sqref="AC97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97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17">
      <formula>AV98="X"</formula>
    </cfRule>
    <cfRule type="expression" priority="661" dxfId="16">
      <formula>AV98="후보"</formula>
    </cfRule>
  </conditionalFormatting>
  <conditionalFormatting sqref="AC98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98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17">
      <formula>AV99="X"</formula>
    </cfRule>
    <cfRule type="expression" priority="642" dxfId="16">
      <formula>AV99="후보"</formula>
    </cfRule>
  </conditionalFormatting>
  <conditionalFormatting sqref="AC9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9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17">
      <formula>AV100="X"</formula>
    </cfRule>
    <cfRule type="expression" priority="623" dxfId="16">
      <formula>AV100="후보"</formula>
    </cfRule>
  </conditionalFormatting>
  <conditionalFormatting sqref="AC10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10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17">
      <formula>AV101="X"</formula>
    </cfRule>
    <cfRule type="expression" priority="604" dxfId="16">
      <formula>AV101="후보"</formula>
    </cfRule>
  </conditionalFormatting>
  <conditionalFormatting sqref="AC10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10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17">
      <formula>AV102="X"</formula>
    </cfRule>
    <cfRule type="expression" priority="585" dxfId="16">
      <formula>AV102="후보"</formula>
    </cfRule>
  </conditionalFormatting>
  <conditionalFormatting sqref="AC10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10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17">
      <formula>AV103="X"</formula>
    </cfRule>
    <cfRule type="expression" priority="566" dxfId="16">
      <formula>AV103="후보"</formula>
    </cfRule>
  </conditionalFormatting>
  <conditionalFormatting sqref="AC10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10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17">
      <formula>AV104="X"</formula>
    </cfRule>
    <cfRule type="expression" priority="547" dxfId="16">
      <formula>AV104="후보"</formula>
    </cfRule>
  </conditionalFormatting>
  <conditionalFormatting sqref="AC10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0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17">
      <formula>AV105="X"</formula>
    </cfRule>
    <cfRule type="expression" priority="528" dxfId="16">
      <formula>AV105="후보"</formula>
    </cfRule>
  </conditionalFormatting>
  <conditionalFormatting sqref="AC10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0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17">
      <formula>AV106="X"</formula>
    </cfRule>
    <cfRule type="expression" priority="509" dxfId="16">
      <formula>AV106="후보"</formula>
    </cfRule>
  </conditionalFormatting>
  <conditionalFormatting sqref="AC10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0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17">
      <formula>AV107="X"</formula>
    </cfRule>
    <cfRule type="expression" priority="490" dxfId="16">
      <formula>AV107="후보"</formula>
    </cfRule>
  </conditionalFormatting>
  <conditionalFormatting sqref="AC10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0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17">
      <formula>AV108="X"</formula>
    </cfRule>
    <cfRule type="expression" priority="471" dxfId="16">
      <formula>AV108="후보"</formula>
    </cfRule>
  </conditionalFormatting>
  <conditionalFormatting sqref="AC10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17">
      <formula>AV109="X"</formula>
    </cfRule>
    <cfRule type="expression" priority="452" dxfId="16">
      <formula>AV109="후보"</formula>
    </cfRule>
  </conditionalFormatting>
  <conditionalFormatting sqref="AC10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17">
      <formula>AV110="X"</formula>
    </cfRule>
    <cfRule type="expression" priority="433" dxfId="16">
      <formula>AV110="후보"</formula>
    </cfRule>
  </conditionalFormatting>
  <conditionalFormatting sqref="AC1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17">
      <formula>AV111="X"</formula>
    </cfRule>
    <cfRule type="expression" priority="414" dxfId="16">
      <formula>AV111="후보"</formula>
    </cfRule>
  </conditionalFormatting>
  <conditionalFormatting sqref="AC1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17">
      <formula>AV112="X"</formula>
    </cfRule>
    <cfRule type="expression" priority="395" dxfId="16">
      <formula>AV112="후보"</formula>
    </cfRule>
  </conditionalFormatting>
  <conditionalFormatting sqref="AC1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17">
      <formula>AV113="X"</formula>
    </cfRule>
    <cfRule type="expression" priority="376" dxfId="16">
      <formula>AV113="후보"</formula>
    </cfRule>
  </conditionalFormatting>
  <conditionalFormatting sqref="AC1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17">
      <formula>AV114="X"</formula>
    </cfRule>
    <cfRule type="expression" priority="357" dxfId="16">
      <formula>AV114="후보"</formula>
    </cfRule>
  </conditionalFormatting>
  <conditionalFormatting sqref="AC1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17">
      <formula>AV115="X"</formula>
    </cfRule>
    <cfRule type="expression" priority="338" dxfId="16">
      <formula>AV115="후보"</formula>
    </cfRule>
  </conditionalFormatting>
  <conditionalFormatting sqref="AC1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17">
      <formula>AV116="X"</formula>
    </cfRule>
    <cfRule type="expression" priority="319" dxfId="16">
      <formula>AV116="후보"</formula>
    </cfRule>
  </conditionalFormatting>
  <conditionalFormatting sqref="AC11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17">
      <formula>AV117="X"</formula>
    </cfRule>
    <cfRule type="expression" priority="300" dxfId="16">
      <formula>AV117="후보"</formula>
    </cfRule>
  </conditionalFormatting>
  <conditionalFormatting sqref="AC11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17">
      <formula>AV118="X"</formula>
    </cfRule>
    <cfRule type="expression" priority="281" dxfId="16">
      <formula>AV118="후보"</formula>
    </cfRule>
  </conditionalFormatting>
  <conditionalFormatting sqref="AC11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1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17">
      <formula>AV119="X"</formula>
    </cfRule>
    <cfRule type="expression" priority="262" dxfId="16">
      <formula>AV119="후보"</formula>
    </cfRule>
  </conditionalFormatting>
  <conditionalFormatting sqref="AC11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1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17">
      <formula>AV120="X"</formula>
    </cfRule>
    <cfRule type="expression" priority="243" dxfId="16">
      <formula>AV120="후보"</formula>
    </cfRule>
  </conditionalFormatting>
  <conditionalFormatting sqref="AC1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17">
      <formula>AV121="X"</formula>
    </cfRule>
    <cfRule type="expression" priority="224" dxfId="16">
      <formula>AV121="후보"</formula>
    </cfRule>
  </conditionalFormatting>
  <conditionalFormatting sqref="AC121 N1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22">
    <cfRule type="expression" priority="218" dxfId="17">
      <formula>AV122="X"</formula>
    </cfRule>
    <cfRule type="expression" priority="219" dxfId="16">
      <formula>AV122="후보"</formula>
    </cfRule>
  </conditionalFormatting>
  <conditionalFormatting sqref="AC12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2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17">
      <formula>AV123="X"</formula>
    </cfRule>
    <cfRule type="expression" priority="200" dxfId="16">
      <formula>AV123="후보"</formula>
    </cfRule>
  </conditionalFormatting>
  <conditionalFormatting sqref="AC12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17">
      <formula>AV124="X"</formula>
    </cfRule>
    <cfRule type="expression" priority="181" dxfId="16">
      <formula>AV124="후보"</formula>
    </cfRule>
  </conditionalFormatting>
  <conditionalFormatting sqref="AC1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17">
      <formula>AV125="X"</formula>
    </cfRule>
    <cfRule type="expression" priority="162" dxfId="16">
      <formula>AV125="후보"</formula>
    </cfRule>
  </conditionalFormatting>
  <conditionalFormatting sqref="AC1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17">
      <formula>AV126="X"</formula>
    </cfRule>
    <cfRule type="expression" priority="143" dxfId="16">
      <formula>AV126="후보"</formula>
    </cfRule>
  </conditionalFormatting>
  <conditionalFormatting sqref="AC1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17">
      <formula>AV127="X"</formula>
    </cfRule>
    <cfRule type="expression" priority="124" dxfId="16">
      <formula>AV127="후보"</formula>
    </cfRule>
  </conditionalFormatting>
  <conditionalFormatting sqref="AC127 N1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8">
    <cfRule type="expression" priority="118" dxfId="17">
      <formula>AV128="X"</formula>
    </cfRule>
    <cfRule type="expression" priority="119" dxfId="16">
      <formula>AV128="후보"</formula>
    </cfRule>
  </conditionalFormatting>
  <conditionalFormatting sqref="AC1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17">
      <formula>AV129="X"</formula>
    </cfRule>
    <cfRule type="expression" priority="100" dxfId="16">
      <formula>AV129="후보"</formula>
    </cfRule>
  </conditionalFormatting>
  <conditionalFormatting sqref="AC1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17">
      <formula>AV130="X"</formula>
    </cfRule>
    <cfRule type="expression" priority="81" dxfId="16">
      <formula>AV130="후보"</formula>
    </cfRule>
  </conditionalFormatting>
  <conditionalFormatting sqref="AC130 N1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31">
    <cfRule type="expression" priority="75" dxfId="17">
      <formula>AV131="X"</formula>
    </cfRule>
    <cfRule type="expression" priority="76" dxfId="16">
      <formula>AV131="후보"</formula>
    </cfRule>
  </conditionalFormatting>
  <conditionalFormatting sqref="AC1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17">
      <formula>AV132="X"</formula>
    </cfRule>
    <cfRule type="expression" priority="57" dxfId="16">
      <formula>AV132="후보"</formula>
    </cfRule>
  </conditionalFormatting>
  <conditionalFormatting sqref="AC1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17">
      <formula>AV133="X"</formula>
    </cfRule>
    <cfRule type="expression" priority="38" dxfId="16">
      <formula>AV133="후보"</formula>
    </cfRule>
  </conditionalFormatting>
  <conditionalFormatting sqref="AC1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17">
      <formula>AV134="X"</formula>
    </cfRule>
    <cfRule type="expression" priority="19" dxfId="16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거여동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현대1차</t>
        </is>
      </c>
      <c r="B6" s="16" t="inlineStr">
        <is>
          <t>'92.03.</t>
        </is>
      </c>
      <c r="C6" s="165" t="n">
        <v>497</v>
      </c>
      <c r="D6" s="162" t="n">
        <v>86.09999999999999</v>
      </c>
      <c r="E6" s="164" t="n">
        <v>26</v>
      </c>
      <c r="F6" s="162" t="n">
        <v>70.40000000000001</v>
      </c>
      <c r="G6" s="27" t="n">
        <v>21</v>
      </c>
      <c r="H6" s="165" t="n">
        <v>26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현대1차</t>
        </is>
      </c>
      <c r="B7" s="16" t="inlineStr">
        <is>
          <t>'92.03.</t>
        </is>
      </c>
      <c r="C7" s="165" t="n">
        <v>497</v>
      </c>
      <c r="D7" s="162" t="n">
        <v>93.2</v>
      </c>
      <c r="E7" s="164" t="n">
        <v>28</v>
      </c>
      <c r="F7" s="162" t="n">
        <v>74.8</v>
      </c>
      <c r="G7" s="27" t="n">
        <v>23</v>
      </c>
      <c r="H7" s="165" t="n">
        <v>68</v>
      </c>
      <c r="I7" s="166" t="n">
        <v>112000</v>
      </c>
      <c r="J7" s="166" t="inlineStr">
        <is>
          <t>5</t>
        </is>
      </c>
      <c r="K7" s="166" t="n">
        <v>51000</v>
      </c>
      <c r="L7" s="166" t="inlineStr">
        <is>
          <t>11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현대1차</t>
        </is>
      </c>
      <c r="B8" s="16" t="inlineStr">
        <is>
          <t>'92.03.</t>
        </is>
      </c>
      <c r="C8" s="165" t="n">
        <v>497</v>
      </c>
      <c r="D8" s="162" t="n">
        <v>102.6</v>
      </c>
      <c r="E8" s="164" t="n">
        <v>31</v>
      </c>
      <c r="F8" s="162" t="n">
        <v>84.59999999999999</v>
      </c>
      <c r="G8" s="27" t="n">
        <v>26</v>
      </c>
      <c r="H8" s="165" t="n">
        <v>85</v>
      </c>
      <c r="I8" s="166" t="n">
        <v>133000</v>
      </c>
      <c r="J8" s="166" t="inlineStr">
        <is>
          <t>9</t>
        </is>
      </c>
      <c r="K8" s="166" t="n">
        <v>63000</v>
      </c>
      <c r="L8" s="166" t="inlineStr">
        <is>
          <t>15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현대1차</t>
        </is>
      </c>
      <c r="B9" s="16" t="inlineStr">
        <is>
          <t>'92.03.</t>
        </is>
      </c>
      <c r="C9" s="165" t="n">
        <v>497</v>
      </c>
      <c r="D9" s="162" t="n">
        <v>102.9</v>
      </c>
      <c r="E9" s="164" t="n">
        <v>31</v>
      </c>
      <c r="F9" s="162" t="n">
        <v>84.90000000000001</v>
      </c>
      <c r="G9" s="27" t="n">
        <v>26</v>
      </c>
      <c r="H9" s="165" t="n">
        <v>30</v>
      </c>
      <c r="I9" s="166" t="n">
        <v>135000</v>
      </c>
      <c r="J9" s="166" t="inlineStr">
        <is>
          <t>8</t>
        </is>
      </c>
      <c r="K9" s="166" t="n">
        <v>60000</v>
      </c>
      <c r="L9" s="166" t="inlineStr">
        <is>
          <t>6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현대1차</t>
        </is>
      </c>
      <c r="B10" s="16" t="inlineStr">
        <is>
          <t>'92.03.</t>
        </is>
      </c>
      <c r="C10" s="165" t="n">
        <v>497</v>
      </c>
      <c r="D10" s="162" t="n">
        <v>102.9</v>
      </c>
      <c r="E10" s="164" t="n">
        <v>31</v>
      </c>
      <c r="F10" s="162" t="n">
        <v>84.90000000000001</v>
      </c>
      <c r="G10" s="27" t="n">
        <v>26</v>
      </c>
      <c r="H10" s="165" t="n">
        <v>30</v>
      </c>
      <c r="I10" s="166" t="n">
        <v>135000</v>
      </c>
      <c r="J10" s="166" t="inlineStr">
        <is>
          <t>8</t>
        </is>
      </c>
      <c r="K10" s="166" t="n">
        <v>60000</v>
      </c>
      <c r="L10" s="166" t="inlineStr">
        <is>
          <t>6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현대1차</t>
        </is>
      </c>
      <c r="B11" s="16" t="inlineStr">
        <is>
          <t>'92.03.</t>
        </is>
      </c>
      <c r="C11" s="165" t="n">
        <v>497</v>
      </c>
      <c r="D11" s="162" t="n">
        <v>103.2</v>
      </c>
      <c r="E11" s="164" t="n">
        <v>31</v>
      </c>
      <c r="F11" s="162" t="n">
        <v>84.90000000000001</v>
      </c>
      <c r="G11" s="27" t="n">
        <v>26</v>
      </c>
      <c r="H11" s="165" t="n">
        <v>243</v>
      </c>
      <c r="I11" s="166" t="n">
        <v>123000</v>
      </c>
      <c r="J11" s="166" t="inlineStr">
        <is>
          <t>8</t>
        </is>
      </c>
      <c r="K11" s="166" t="n">
        <v>60000</v>
      </c>
      <c r="L11" s="166" t="inlineStr">
        <is>
          <t>10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103E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현대1차</t>
        </is>
      </c>
      <c r="B12" s="16" t="inlineStr">
        <is>
          <t>'92.03.</t>
        </is>
      </c>
      <c r="C12" s="165" t="n">
        <v>497</v>
      </c>
      <c r="D12" s="162" t="n">
        <v>103.7</v>
      </c>
      <c r="E12" s="164" t="n">
        <v>31</v>
      </c>
      <c r="F12" s="162" t="n">
        <v>84.90000000000001</v>
      </c>
      <c r="G12" s="27" t="n">
        <v>26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e편한세상송파파크센트럴</t>
        </is>
      </c>
      <c r="B14" s="16" t="inlineStr">
        <is>
          <t>'20.06.</t>
        </is>
      </c>
      <c r="C14" s="165" t="n">
        <v>1199</v>
      </c>
      <c r="D14" s="162" t="n">
        <v>81.8</v>
      </c>
      <c r="E14" s="164" t="n">
        <v>25</v>
      </c>
      <c r="F14" s="162" t="n">
        <v>59.9</v>
      </c>
      <c r="G14" s="27" t="n">
        <v>18</v>
      </c>
      <c r="H14" s="165" t="n">
        <v>33</v>
      </c>
      <c r="I14" s="166" t="n">
        <v>135000</v>
      </c>
      <c r="J14" s="166" t="inlineStr">
        <is>
          <t>8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81C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e편한세상송파파크센트럴</t>
        </is>
      </c>
      <c r="B15" s="16" t="inlineStr">
        <is>
          <t>'20.06.</t>
        </is>
      </c>
      <c r="C15" s="165" t="n">
        <v>1199</v>
      </c>
      <c r="D15" s="162" t="n">
        <v>81.40000000000001</v>
      </c>
      <c r="E15" s="164" t="n">
        <v>25</v>
      </c>
      <c r="F15" s="162" t="n">
        <v>59.9</v>
      </c>
      <c r="G15" s="27" t="n">
        <v>18</v>
      </c>
      <c r="H15" s="165" t="n">
        <v>32</v>
      </c>
      <c r="I15" s="166" t="n">
        <v>129500</v>
      </c>
      <c r="J15" s="166" t="inlineStr">
        <is>
          <t>5</t>
        </is>
      </c>
      <c r="K15" s="166" t="n">
        <v>60000</v>
      </c>
      <c r="L15" s="166" t="inlineStr">
        <is>
          <t>고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81D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e편한세상송파파크센트럴</t>
        </is>
      </c>
      <c r="B16" s="16" t="inlineStr">
        <is>
          <t>'20.06.</t>
        </is>
      </c>
      <c r="C16" s="165" t="n">
        <v>1199</v>
      </c>
      <c r="D16" s="162" t="n">
        <v>82.7</v>
      </c>
      <c r="E16" s="164" t="n">
        <v>25</v>
      </c>
      <c r="F16" s="162" t="n">
        <v>60</v>
      </c>
      <c r="G16" s="27" t="n">
        <v>18</v>
      </c>
      <c r="H16" s="165" t="n">
        <v>184</v>
      </c>
      <c r="I16" s="166" t="n">
        <v>105000</v>
      </c>
      <c r="J16" s="166" t="inlineStr">
        <is>
          <t>고</t>
        </is>
      </c>
      <c r="K16" s="166" t="n">
        <v>53000</v>
      </c>
      <c r="L16" s="166" t="inlineStr">
        <is>
          <t>22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82A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e편한세상송파파크센트럴</t>
        </is>
      </c>
      <c r="B17" s="16" t="inlineStr">
        <is>
          <t>'20.06.</t>
        </is>
      </c>
      <c r="C17" s="165" t="n">
        <v>1199</v>
      </c>
      <c r="D17" s="162" t="n">
        <v>82.7</v>
      </c>
      <c r="E17" s="164" t="n">
        <v>25</v>
      </c>
      <c r="F17" s="162" t="n">
        <v>59.9</v>
      </c>
      <c r="G17" s="27" t="n">
        <v>18</v>
      </c>
      <c r="H17" s="165" t="n">
        <v>56</v>
      </c>
      <c r="I17" s="166" t="n">
        <v>134500</v>
      </c>
      <c r="J17" s="166" t="inlineStr">
        <is>
          <t>중</t>
        </is>
      </c>
      <c r="K17" s="166" t="n">
        <v>75000</v>
      </c>
      <c r="L17" s="166" t="inlineStr">
        <is>
          <t>중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e편한세상송파파크센트럴</t>
        </is>
      </c>
      <c r="B18" s="16" t="inlineStr">
        <is>
          <t>'20.06.</t>
        </is>
      </c>
      <c r="C18" s="165" t="n">
        <v>1199</v>
      </c>
      <c r="D18" s="162" t="n">
        <v>111.2</v>
      </c>
      <c r="E18" s="164" t="n">
        <v>34</v>
      </c>
      <c r="F18" s="162" t="n">
        <v>85</v>
      </c>
      <c r="G18" s="27" t="n">
        <v>26</v>
      </c>
      <c r="H18" s="165" t="n">
        <v>233</v>
      </c>
      <c r="I18" s="166" t="n">
        <v>130000</v>
      </c>
      <c r="J18" s="166" t="inlineStr">
        <is>
          <t>중</t>
        </is>
      </c>
      <c r="K18" s="166" t="n">
        <v>70000</v>
      </c>
      <c r="L18" s="166" t="inlineStr">
        <is>
          <t>27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e편한세상송파파크센트럴</t>
        </is>
      </c>
      <c r="B19" s="16" t="inlineStr">
        <is>
          <t>'20.06.</t>
        </is>
      </c>
      <c r="C19" s="165" t="n">
        <v>1199</v>
      </c>
      <c r="D19" s="162" t="n">
        <v>111.8</v>
      </c>
      <c r="E19" s="164" t="n">
        <v>34</v>
      </c>
      <c r="F19" s="162" t="n">
        <v>85</v>
      </c>
      <c r="G19" s="27" t="n">
        <v>26</v>
      </c>
      <c r="H19" s="165" t="n">
        <v>94</v>
      </c>
      <c r="I19" s="166" t="n">
        <v>135000</v>
      </c>
      <c r="J19" s="166" t="inlineStr">
        <is>
          <t>고</t>
        </is>
      </c>
      <c r="K19" s="166" t="n">
        <v>70000</v>
      </c>
      <c r="L19" s="166" t="inlineStr">
        <is>
          <t>16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e편한세상송파파크센트럴</t>
        </is>
      </c>
      <c r="B20" s="16" t="inlineStr">
        <is>
          <t>'20.06.</t>
        </is>
      </c>
      <c r="C20" s="165" t="n">
        <v>1199</v>
      </c>
      <c r="D20" s="162" t="n">
        <v>111.5</v>
      </c>
      <c r="E20" s="164" t="n">
        <v>34</v>
      </c>
      <c r="F20" s="162" t="n">
        <v>85</v>
      </c>
      <c r="G20" s="27" t="n">
        <v>26</v>
      </c>
      <c r="H20" s="165" t="n">
        <v>50</v>
      </c>
      <c r="I20" s="166" t="n">
        <v>155000</v>
      </c>
      <c r="J20" s="166" t="inlineStr">
        <is>
          <t>고</t>
        </is>
      </c>
      <c r="K20" s="166" t="n">
        <v>80000</v>
      </c>
      <c r="L20" s="166" t="inlineStr">
        <is>
          <t>고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111F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e편한세상송파파크센트럴</t>
        </is>
      </c>
      <c r="B21" s="16" t="inlineStr">
        <is>
          <t>'20.06.</t>
        </is>
      </c>
      <c r="C21" s="165" t="n">
        <v>1199</v>
      </c>
      <c r="D21" s="162" t="n">
        <v>111</v>
      </c>
      <c r="E21" s="164" t="n">
        <v>34</v>
      </c>
      <c r="F21" s="162" t="n">
        <v>84.90000000000001</v>
      </c>
      <c r="G21" s="27" t="n">
        <v>26</v>
      </c>
      <c r="H21" s="165" t="n">
        <v>47</v>
      </c>
      <c r="I21" s="166" t="n">
        <v>135000</v>
      </c>
      <c r="J21" s="166" t="inlineStr">
        <is>
          <t>10</t>
        </is>
      </c>
      <c r="K21" s="166" t="n">
        <v>72000</v>
      </c>
      <c r="L21" s="166" t="inlineStr">
        <is>
          <t>10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111E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e편한세상송파파크센트럴</t>
        </is>
      </c>
      <c r="B22" s="16" t="inlineStr">
        <is>
          <t>'20.06.</t>
        </is>
      </c>
      <c r="C22" s="165" t="n">
        <v>1199</v>
      </c>
      <c r="D22" s="162" t="n">
        <v>111.5</v>
      </c>
      <c r="E22" s="164" t="n">
        <v>34</v>
      </c>
      <c r="F22" s="162" t="n">
        <v>85</v>
      </c>
      <c r="G22" s="27" t="n">
        <v>26</v>
      </c>
      <c r="H22" s="165" t="n">
        <v>31</v>
      </c>
      <c r="I22" s="166" t="n">
        <v>155000</v>
      </c>
      <c r="J22" s="166" t="inlineStr">
        <is>
          <t>고</t>
        </is>
      </c>
      <c r="K22" s="166" t="n">
        <v>80000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111G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e편한세상송파파크센트럴</t>
        </is>
      </c>
      <c r="B23" s="16" t="inlineStr">
        <is>
          <t>'20.06.</t>
        </is>
      </c>
      <c r="C23" s="165" t="n">
        <v>1199</v>
      </c>
      <c r="D23" s="162" t="n">
        <v>111.4</v>
      </c>
      <c r="E23" s="164" t="n">
        <v>34</v>
      </c>
      <c r="F23" s="162" t="n">
        <v>85</v>
      </c>
      <c r="G23" s="27" t="n">
        <v>26</v>
      </c>
      <c r="H23" s="165" t="n">
        <v>31</v>
      </c>
      <c r="I23" s="166" t="n"/>
      <c r="J23" s="166" t="n"/>
      <c r="K23" s="166" t="n">
        <v>69000</v>
      </c>
      <c r="L23" s="166" t="inlineStr">
        <is>
          <t>8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111H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e편한세상송파파크센트럴</t>
        </is>
      </c>
      <c r="B24" s="16" t="inlineStr">
        <is>
          <t>'20.06.</t>
        </is>
      </c>
      <c r="C24" s="165" t="n">
        <v>1199</v>
      </c>
      <c r="D24" s="162" t="n">
        <v>111.1</v>
      </c>
      <c r="E24" s="164" t="n">
        <v>34</v>
      </c>
      <c r="F24" s="162" t="n">
        <v>85</v>
      </c>
      <c r="G24" s="27" t="n">
        <v>26</v>
      </c>
      <c r="H24" s="165" t="n">
        <v>28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111B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e편한세상송파파크센트럴</t>
        </is>
      </c>
      <c r="B25" s="16" t="inlineStr">
        <is>
          <t>'20.06.</t>
        </is>
      </c>
      <c r="C25" s="165" t="n">
        <v>1199</v>
      </c>
      <c r="D25" s="162" t="n">
        <v>112.9</v>
      </c>
      <c r="E25" s="164" t="n">
        <v>34</v>
      </c>
      <c r="F25" s="162" t="n">
        <v>85</v>
      </c>
      <c r="G25" s="27" t="n">
        <v>26</v>
      </c>
      <c r="H25" s="165" t="n">
        <v>28</v>
      </c>
      <c r="I25" s="166" t="n">
        <v>140000</v>
      </c>
      <c r="J25" s="166" t="inlineStr">
        <is>
          <t>16</t>
        </is>
      </c>
      <c r="K25" s="166" t="n">
        <v>70000</v>
      </c>
      <c r="L25" s="166" t="inlineStr">
        <is>
          <t>10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112D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e편한세상송파파크센트럴</t>
        </is>
      </c>
      <c r="B26" s="16" t="inlineStr">
        <is>
          <t>'20.06.</t>
        </is>
      </c>
      <c r="C26" s="165" t="n">
        <v>1199</v>
      </c>
      <c r="D26" s="162" t="n">
        <v>114.9</v>
      </c>
      <c r="E26" s="164" t="n">
        <v>35</v>
      </c>
      <c r="F26" s="162" t="n">
        <v>84.8</v>
      </c>
      <c r="G26" s="27" t="n">
        <v>26</v>
      </c>
      <c r="H26" s="165" t="n">
        <v>2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114I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e편한세상송파파크센트럴</t>
        </is>
      </c>
      <c r="B27" s="16" t="inlineStr">
        <is>
          <t>'20.06.</t>
        </is>
      </c>
      <c r="C27" s="165" t="n">
        <v>1199</v>
      </c>
      <c r="D27" s="162" t="n">
        <v>137.7</v>
      </c>
      <c r="E27" s="164" t="n">
        <v>42</v>
      </c>
      <c r="F27" s="162" t="n">
        <v>113.2</v>
      </c>
      <c r="G27" s="27" t="n">
        <v>34</v>
      </c>
      <c r="H27" s="165" t="n">
        <v>59</v>
      </c>
      <c r="I27" s="166" t="n"/>
      <c r="J27" s="166" t="n"/>
      <c r="K27" s="166" t="n">
        <v>75000</v>
      </c>
      <c r="L27" s="166" t="inlineStr">
        <is>
          <t>25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137B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e편한세상송파파크센트럴</t>
        </is>
      </c>
      <c r="B28" s="16" t="inlineStr">
        <is>
          <t>'20.06.</t>
        </is>
      </c>
      <c r="C28" s="165" t="n">
        <v>1199</v>
      </c>
      <c r="D28" s="162" t="n">
        <v>139.2</v>
      </c>
      <c r="E28" s="164" t="n">
        <v>42</v>
      </c>
      <c r="F28" s="162" t="n">
        <v>113.6</v>
      </c>
      <c r="G28" s="27" t="n">
        <v>34</v>
      </c>
      <c r="H28" s="165" t="n">
        <v>60</v>
      </c>
      <c r="I28" s="166" t="n">
        <v>185000</v>
      </c>
      <c r="J28" s="166" t="inlineStr">
        <is>
          <t>중</t>
        </is>
      </c>
      <c r="K28" s="166" t="n">
        <v>75000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139A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e편한세상송파파크센트럴</t>
        </is>
      </c>
      <c r="B29" s="16" t="inlineStr">
        <is>
          <t>'20.06.</t>
        </is>
      </c>
      <c r="C29" s="165" t="n">
        <v>1199</v>
      </c>
      <c r="D29" s="162" t="n">
        <v>182.9</v>
      </c>
      <c r="E29" s="164" t="n">
        <v>55</v>
      </c>
      <c r="F29" s="162" t="n">
        <v>140.2</v>
      </c>
      <c r="G29" s="27" t="n">
        <v>42</v>
      </c>
      <c r="H29" s="165" t="n">
        <v>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182B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e편한세상송파파크센트럴</t>
        </is>
      </c>
      <c r="B30" s="16" t="inlineStr">
        <is>
          <t>'20.06.</t>
        </is>
      </c>
      <c r="C30" s="165" t="n">
        <v>1199</v>
      </c>
      <c r="D30" s="162" t="n">
        <v>183.6</v>
      </c>
      <c r="E30" s="164" t="n">
        <v>56</v>
      </c>
      <c r="F30" s="162" t="n">
        <v>140.3</v>
      </c>
      <c r="G30" s="27" t="n">
        <v>42</v>
      </c>
      <c r="H30" s="165" t="n">
        <v>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183A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e편한세상송파파크센트럴</t>
        </is>
      </c>
      <c r="B31" s="16" t="inlineStr">
        <is>
          <t>'20.06.</t>
        </is>
      </c>
      <c r="C31" s="165" t="n">
        <v>1199</v>
      </c>
      <c r="D31" s="162" t="n">
        <v>198.3</v>
      </c>
      <c r="E31" s="164" t="n">
        <v>60</v>
      </c>
      <c r="F31" s="162" t="n">
        <v>151.3</v>
      </c>
      <c r="G31" s="27" t="n">
        <v>46</v>
      </c>
      <c r="H31" s="165" t="n">
        <v>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198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송파시그니처롯데캐슬</t>
        </is>
      </c>
      <c r="B33" s="16" t="inlineStr">
        <is>
          <t>'22.01.</t>
        </is>
      </c>
      <c r="C33" s="165" t="n">
        <v>1945</v>
      </c>
      <c r="D33" s="162" t="n">
        <v>85</v>
      </c>
      <c r="E33" s="164" t="n">
        <v>26</v>
      </c>
      <c r="F33" s="162" t="n">
        <v>60</v>
      </c>
      <c r="G33" s="27" t="n">
        <v>18</v>
      </c>
      <c r="H33" s="165" t="n">
        <v>245</v>
      </c>
      <c r="I33" s="166" t="n">
        <v>125000</v>
      </c>
      <c r="J33" s="166" t="inlineStr">
        <is>
          <t>8</t>
        </is>
      </c>
      <c r="K33" s="166" t="n">
        <v>50000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84A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송파시그니처롯데캐슬</t>
        </is>
      </c>
      <c r="B34" s="16" t="inlineStr">
        <is>
          <t>'22.01.</t>
        </is>
      </c>
      <c r="C34" s="165" t="n">
        <v>1945</v>
      </c>
      <c r="D34" s="162" t="n">
        <v>85.7</v>
      </c>
      <c r="E34" s="164" t="n">
        <v>26</v>
      </c>
      <c r="F34" s="162" t="n">
        <v>60</v>
      </c>
      <c r="G34" s="27" t="n">
        <v>18</v>
      </c>
      <c r="H34" s="165" t="n">
        <v>254</v>
      </c>
      <c r="I34" s="166" t="n">
        <v>135000</v>
      </c>
      <c r="J34" s="166" t="inlineStr">
        <is>
          <t>고</t>
        </is>
      </c>
      <c r="K34" s="166" t="n">
        <v>60000</v>
      </c>
      <c r="L34" s="166" t="inlineStr">
        <is>
          <t>24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85B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송파시그니처롯데캐슬</t>
        </is>
      </c>
      <c r="B35" s="16" t="inlineStr">
        <is>
          <t>'22.01.</t>
        </is>
      </c>
      <c r="C35" s="165" t="n">
        <v>1945</v>
      </c>
      <c r="D35" s="162" t="n">
        <v>85.5</v>
      </c>
      <c r="E35" s="164" t="n">
        <v>26</v>
      </c>
      <c r="F35" s="162" t="n">
        <v>60</v>
      </c>
      <c r="G35" s="27" t="n">
        <v>18</v>
      </c>
      <c r="H35" s="165" t="n">
        <v>53</v>
      </c>
      <c r="I35" s="166" t="n"/>
      <c r="J35" s="166" t="n"/>
      <c r="K35" s="166" t="n">
        <v>50000</v>
      </c>
      <c r="L35" s="166" t="inlineStr">
        <is>
          <t>26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송파시그니처롯데캐슬</t>
        </is>
      </c>
      <c r="B36" s="16" t="inlineStr">
        <is>
          <t>'22.01.</t>
        </is>
      </c>
      <c r="C36" s="165" t="n">
        <v>1945</v>
      </c>
      <c r="D36" s="162" t="n">
        <v>110.8</v>
      </c>
      <c r="E36" s="164" t="n">
        <v>34</v>
      </c>
      <c r="F36" s="162" t="n">
        <v>85</v>
      </c>
      <c r="G36" s="27" t="n">
        <v>26</v>
      </c>
      <c r="H36" s="165" t="n">
        <v>322</v>
      </c>
      <c r="I36" s="166" t="n">
        <v>160000</v>
      </c>
      <c r="J36" s="166" t="inlineStr">
        <is>
          <t>고</t>
        </is>
      </c>
      <c r="K36" s="166" t="n">
        <v>68000</v>
      </c>
      <c r="L36" s="166" t="inlineStr">
        <is>
          <t>27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송파시그니처롯데캐슬</t>
        </is>
      </c>
      <c r="B37" s="16" t="inlineStr">
        <is>
          <t>'22.01.</t>
        </is>
      </c>
      <c r="C37" s="165" t="n">
        <v>1945</v>
      </c>
      <c r="D37" s="162" t="n">
        <v>111</v>
      </c>
      <c r="E37" s="164" t="n">
        <v>34</v>
      </c>
      <c r="F37" s="162" t="n">
        <v>85</v>
      </c>
      <c r="G37" s="27" t="n">
        <v>26</v>
      </c>
      <c r="H37" s="165" t="n">
        <v>210</v>
      </c>
      <c r="I37" s="166" t="n"/>
      <c r="J37" s="166" t="n"/>
      <c r="K37" s="166" t="n">
        <v>74000</v>
      </c>
      <c r="L37" s="166" t="inlineStr">
        <is>
          <t>6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송파시그니처롯데캐슬</t>
        </is>
      </c>
      <c r="B38" s="16" t="inlineStr">
        <is>
          <t>'22.01.</t>
        </is>
      </c>
      <c r="C38" s="165" t="n">
        <v>1945</v>
      </c>
      <c r="D38" s="162" t="n">
        <v>111.9</v>
      </c>
      <c r="E38" s="164" t="n">
        <v>34</v>
      </c>
      <c r="F38" s="162" t="n">
        <v>85</v>
      </c>
      <c r="G38" s="27" t="n">
        <v>26</v>
      </c>
      <c r="H38" s="165" t="n">
        <v>331</v>
      </c>
      <c r="I38" s="166" t="n"/>
      <c r="J38" s="166" t="n"/>
      <c r="K38" s="166" t="n">
        <v>63000</v>
      </c>
      <c r="L38" s="166" t="inlineStr">
        <is>
          <t>24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111C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송파시그니처롯데캐슬</t>
        </is>
      </c>
      <c r="B39" s="16" t="inlineStr">
        <is>
          <t>'22.01.</t>
        </is>
      </c>
      <c r="C39" s="165" t="n">
        <v>1945</v>
      </c>
      <c r="D39" s="162" t="n">
        <v>111.6</v>
      </c>
      <c r="E39" s="164" t="n">
        <v>34</v>
      </c>
      <c r="F39" s="162" t="n">
        <v>85</v>
      </c>
      <c r="G39" s="27" t="n">
        <v>26</v>
      </c>
      <c r="H39" s="165" t="n">
        <v>86</v>
      </c>
      <c r="I39" s="166" t="n">
        <v>160000</v>
      </c>
      <c r="J39" s="166" t="inlineStr">
        <is>
          <t>고</t>
        </is>
      </c>
      <c r="K39" s="166" t="n">
        <v>58000</v>
      </c>
      <c r="L39" s="166" t="inlineStr">
        <is>
          <t>16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111C-1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송파시그니처롯데캐슬</t>
        </is>
      </c>
      <c r="B40" s="16" t="inlineStr">
        <is>
          <t>'22.01.</t>
        </is>
      </c>
      <c r="C40" s="165" t="n">
        <v>1945</v>
      </c>
      <c r="D40" s="162" t="n">
        <v>112.3</v>
      </c>
      <c r="E40" s="164" t="n">
        <v>34</v>
      </c>
      <c r="F40" s="162" t="n">
        <v>85</v>
      </c>
      <c r="G40" s="27" t="n">
        <v>26</v>
      </c>
      <c r="H40" s="165" t="n">
        <v>38</v>
      </c>
      <c r="I40" s="166" t="n"/>
      <c r="J40" s="166" t="n"/>
      <c r="K40" s="166" t="n">
        <v>75000</v>
      </c>
      <c r="L40" s="166" t="inlineStr">
        <is>
          <t>15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112D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송파시그니처롯데캐슬</t>
        </is>
      </c>
      <c r="B41" s="16" t="inlineStr">
        <is>
          <t>'22.01.</t>
        </is>
      </c>
      <c r="C41" s="165" t="n">
        <v>1945</v>
      </c>
      <c r="D41" s="162" t="n">
        <v>136.4</v>
      </c>
      <c r="E41" s="164" t="n">
        <v>41</v>
      </c>
      <c r="F41" s="162" t="n">
        <v>109</v>
      </c>
      <c r="G41" s="27" t="n">
        <v>33</v>
      </c>
      <c r="H41" s="165" t="n">
        <v>38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136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거여2단지효성,동아</t>
        </is>
      </c>
      <c r="B43" s="16" t="inlineStr">
        <is>
          <t>'97.12.</t>
        </is>
      </c>
      <c r="C43" s="165" t="n">
        <v>478</v>
      </c>
      <c r="D43" s="162" t="n">
        <v>122.9</v>
      </c>
      <c r="E43" s="164" t="n">
        <v>37</v>
      </c>
      <c r="F43" s="162" t="n">
        <v>102</v>
      </c>
      <c r="G43" s="27" t="n">
        <v>31</v>
      </c>
      <c r="H43" s="165" t="n">
        <v>180</v>
      </c>
      <c r="I43" s="166" t="n">
        <v>130000</v>
      </c>
      <c r="J43" s="166" t="inlineStr">
        <is>
          <t>고</t>
        </is>
      </c>
      <c r="K43" s="166" t="n">
        <v>68000</v>
      </c>
      <c r="L43" s="166" t="inlineStr">
        <is>
          <t>7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122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거여2단지효성,동아</t>
        </is>
      </c>
      <c r="B44" s="16" t="inlineStr">
        <is>
          <t>'97.12.</t>
        </is>
      </c>
      <c r="C44" s="165" t="n">
        <v>478</v>
      </c>
      <c r="D44" s="162" t="n">
        <v>158.4</v>
      </c>
      <c r="E44" s="164" t="n">
        <v>48</v>
      </c>
      <c r="F44" s="162" t="n">
        <v>134.9</v>
      </c>
      <c r="G44" s="27" t="n">
        <v>41</v>
      </c>
      <c r="H44" s="165" t="n">
        <v>298</v>
      </c>
      <c r="I44" s="166" t="n">
        <v>160000</v>
      </c>
      <c r="J44" s="166" t="inlineStr">
        <is>
          <t>11</t>
        </is>
      </c>
      <c r="K44" s="166" t="n">
        <v>60000</v>
      </c>
      <c r="L44" s="166" t="inlineStr">
        <is>
          <t>11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우방1차</t>
        </is>
      </c>
      <c r="B46" s="16" t="inlineStr">
        <is>
          <t>'99.09.</t>
        </is>
      </c>
      <c r="C46" s="165" t="n">
        <v>257</v>
      </c>
      <c r="D46" s="162" t="n">
        <v>85.40000000000001</v>
      </c>
      <c r="E46" s="164" t="n">
        <v>26</v>
      </c>
      <c r="F46" s="162" t="n">
        <v>59.9</v>
      </c>
      <c r="G46" s="27" t="n">
        <v>18</v>
      </c>
      <c r="H46" s="165" t="n">
        <v>129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85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우방1차</t>
        </is>
      </c>
      <c r="B47" s="16" t="inlineStr">
        <is>
          <t>'99.09.</t>
        </is>
      </c>
      <c r="C47" s="165" t="n">
        <v>257</v>
      </c>
      <c r="D47" s="162" t="n">
        <v>114</v>
      </c>
      <c r="E47" s="164" t="n">
        <v>34</v>
      </c>
      <c r="F47" s="162" t="n">
        <v>84.90000000000001</v>
      </c>
      <c r="G47" s="27" t="n">
        <v>26</v>
      </c>
      <c r="H47" s="165" t="n">
        <v>92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114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우방1차</t>
        </is>
      </c>
      <c r="B48" s="16" t="inlineStr">
        <is>
          <t>'99.09.</t>
        </is>
      </c>
      <c r="C48" s="165" t="n">
        <v>257</v>
      </c>
      <c r="D48" s="162" t="n">
        <v>142.5</v>
      </c>
      <c r="E48" s="164" t="n">
        <v>43</v>
      </c>
      <c r="F48" s="162" t="n">
        <v>114.7</v>
      </c>
      <c r="G48" s="27" t="n">
        <v>35</v>
      </c>
      <c r="H48" s="165" t="n">
        <v>36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142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호반써밋송파2차</t>
        </is>
      </c>
      <c r="B50" s="16" t="inlineStr">
        <is>
          <t>'22.02.</t>
        </is>
      </c>
      <c r="C50" s="165" t="n">
        <v>700</v>
      </c>
      <c r="D50" s="162" t="n">
        <v>136</v>
      </c>
      <c r="E50" s="164" t="n">
        <v>41</v>
      </c>
      <c r="F50" s="162" t="n">
        <v>108.8</v>
      </c>
      <c r="G50" s="27" t="n">
        <v>33</v>
      </c>
      <c r="H50" s="165" t="n">
        <v>474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136A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호반써밋송파2차</t>
        </is>
      </c>
      <c r="B51" s="16" t="inlineStr">
        <is>
          <t>'22.02.</t>
        </is>
      </c>
      <c r="C51" s="165" t="n">
        <v>700</v>
      </c>
      <c r="D51" s="162" t="n">
        <v>136</v>
      </c>
      <c r="E51" s="164" t="n">
        <v>41</v>
      </c>
      <c r="F51" s="162" t="n">
        <v>108.8</v>
      </c>
      <c r="G51" s="27" t="n">
        <v>33</v>
      </c>
      <c r="H51" s="165" t="n">
        <v>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136T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호반써밋송파2차</t>
        </is>
      </c>
      <c r="B52" s="16" t="inlineStr">
        <is>
          <t>'22.02.</t>
        </is>
      </c>
      <c r="C52" s="165" t="n">
        <v>700</v>
      </c>
      <c r="D52" s="162" t="n">
        <v>137.9</v>
      </c>
      <c r="E52" s="164" t="n">
        <v>42</v>
      </c>
      <c r="F52" s="162" t="n">
        <v>108.8</v>
      </c>
      <c r="G52" s="27" t="n">
        <v>33</v>
      </c>
      <c r="H52" s="165" t="n">
        <v>109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137C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호반써밋송파2차</t>
        </is>
      </c>
      <c r="B53" s="16" t="inlineStr">
        <is>
          <t>'22.02.</t>
        </is>
      </c>
      <c r="C53" s="165" t="n">
        <v>700</v>
      </c>
      <c r="D53" s="162" t="n">
        <v>138.5</v>
      </c>
      <c r="E53" s="164" t="n">
        <v>42</v>
      </c>
      <c r="F53" s="162" t="n">
        <v>110.9</v>
      </c>
      <c r="G53" s="27" t="n">
        <v>34</v>
      </c>
      <c r="H53" s="165" t="n">
        <v>76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138A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호반써밋송파2차</t>
        </is>
      </c>
      <c r="B54" s="16" t="inlineStr">
        <is>
          <t>'22.02.</t>
        </is>
      </c>
      <c r="C54" s="165" t="n">
        <v>700</v>
      </c>
      <c r="D54" s="162" t="n">
        <v>138.6</v>
      </c>
      <c r="E54" s="164" t="n">
        <v>42</v>
      </c>
      <c r="F54" s="162" t="n">
        <v>108</v>
      </c>
      <c r="G54" s="27" t="n">
        <v>33</v>
      </c>
      <c r="H54" s="165" t="n">
        <v>24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138B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호반써밋송파2차</t>
        </is>
      </c>
      <c r="B55" s="16" t="inlineStr">
        <is>
          <t>'22.02.</t>
        </is>
      </c>
      <c r="C55" s="165" t="n">
        <v>700</v>
      </c>
      <c r="D55" s="162" t="n">
        <v>138.5</v>
      </c>
      <c r="E55" s="164" t="n">
        <v>42</v>
      </c>
      <c r="F55" s="162" t="n">
        <v>110.9</v>
      </c>
      <c r="G55" s="27" t="n">
        <v>34</v>
      </c>
      <c r="H55" s="165" t="n">
        <v>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138T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호반써밋송파2차</t>
        </is>
      </c>
      <c r="B56" s="16" t="inlineStr">
        <is>
          <t>'22.02.</t>
        </is>
      </c>
      <c r="C56" s="165" t="n">
        <v>700</v>
      </c>
      <c r="D56" s="162" t="n">
        <v>171.6</v>
      </c>
      <c r="E56" s="164" t="n">
        <v>52</v>
      </c>
      <c r="F56" s="162" t="n">
        <v>138.8</v>
      </c>
      <c r="G56" s="27" t="n">
        <v>42</v>
      </c>
      <c r="H56" s="165" t="n">
        <v>4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171T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호반써밋송파2차</t>
        </is>
      </c>
      <c r="B57" s="16" t="inlineStr">
        <is>
          <t>'22.02.</t>
        </is>
      </c>
      <c r="C57" s="165" t="n">
        <v>700</v>
      </c>
      <c r="D57" s="162" t="n">
        <v>174</v>
      </c>
      <c r="E57" s="164" t="n">
        <v>53</v>
      </c>
      <c r="F57" s="162" t="n">
        <v>140.9</v>
      </c>
      <c r="G57" s="27" t="n">
        <v>43</v>
      </c>
      <c r="H57" s="165" t="n">
        <v>3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174T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거여4단지</t>
        </is>
      </c>
      <c r="B59" s="16" t="inlineStr">
        <is>
          <t>'97.07.</t>
        </is>
      </c>
      <c r="C59" s="165" t="n">
        <v>546</v>
      </c>
      <c r="D59" s="162" t="n">
        <v>56.6</v>
      </c>
      <c r="E59" s="164" t="n">
        <v>17</v>
      </c>
      <c r="F59" s="162" t="n">
        <v>38.9</v>
      </c>
      <c r="G59" s="27" t="n">
        <v>12</v>
      </c>
      <c r="H59" s="165" t="n">
        <v>8</v>
      </c>
      <c r="I59" s="166" t="n">
        <v>73000</v>
      </c>
      <c r="J59" s="166" t="inlineStr">
        <is>
          <t>고</t>
        </is>
      </c>
      <c r="K59" s="166" t="n">
        <v>28000</v>
      </c>
      <c r="L59" s="166" t="inlineStr">
        <is>
          <t>12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2</v>
      </c>
      <c r="R59" s="113" t="n">
        <v>1</v>
      </c>
      <c r="S59" s="113" t="inlineStr">
        <is>
          <t>복</t>
        </is>
      </c>
      <c r="T59" s="8" t="inlineStr">
        <is>
          <t>56B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거여4단지</t>
        </is>
      </c>
      <c r="B60" s="16" t="inlineStr">
        <is>
          <t>'97.07.</t>
        </is>
      </c>
      <c r="C60" s="165" t="n">
        <v>546</v>
      </c>
      <c r="D60" s="162" t="n">
        <v>57.6</v>
      </c>
      <c r="E60" s="164" t="n">
        <v>17</v>
      </c>
      <c r="F60" s="162" t="n">
        <v>39.6</v>
      </c>
      <c r="G60" s="27" t="n">
        <v>12</v>
      </c>
      <c r="H60" s="165" t="n">
        <v>166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2</v>
      </c>
      <c r="R60" s="113" t="n">
        <v>1</v>
      </c>
      <c r="S60" s="113" t="inlineStr">
        <is>
          <t>복</t>
        </is>
      </c>
      <c r="T60" s="8" t="inlineStr">
        <is>
          <t>57A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거여4단지</t>
        </is>
      </c>
      <c r="B61" s="16" t="inlineStr">
        <is>
          <t>'97.07.</t>
        </is>
      </c>
      <c r="C61" s="165" t="n">
        <v>546</v>
      </c>
      <c r="D61" s="162" t="n">
        <v>72.40000000000001</v>
      </c>
      <c r="E61" s="164" t="n">
        <v>22</v>
      </c>
      <c r="F61" s="162" t="n">
        <v>49.8</v>
      </c>
      <c r="G61" s="27" t="n">
        <v>15</v>
      </c>
      <c r="H61" s="165" t="n">
        <v>177</v>
      </c>
      <c r="I61" s="166" t="n">
        <v>75000</v>
      </c>
      <c r="J61" s="166" t="inlineStr">
        <is>
          <t>7</t>
        </is>
      </c>
      <c r="K61" s="166" t="n">
        <v>35000</v>
      </c>
      <c r="L61" s="166" t="inlineStr">
        <is>
          <t>12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복</t>
        </is>
      </c>
      <c r="T61" s="8" t="n">
        <v>72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거여4단지</t>
        </is>
      </c>
      <c r="B62" s="16" t="inlineStr">
        <is>
          <t>'97.07.</t>
        </is>
      </c>
      <c r="C62" s="165" t="n">
        <v>546</v>
      </c>
      <c r="D62" s="162" t="n">
        <v>86.8</v>
      </c>
      <c r="E62" s="164" t="n">
        <v>26</v>
      </c>
      <c r="F62" s="162" t="n">
        <v>59.7</v>
      </c>
      <c r="G62" s="27" t="n">
        <v>18</v>
      </c>
      <c r="H62" s="165" t="n">
        <v>195</v>
      </c>
      <c r="I62" s="166" t="n">
        <v>105000</v>
      </c>
      <c r="J62" s="166" t="inlineStr">
        <is>
          <t>5</t>
        </is>
      </c>
      <c r="K62" s="166" t="n">
        <v>45000</v>
      </c>
      <c r="L62" s="166" t="inlineStr">
        <is>
          <t>12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1</v>
      </c>
      <c r="S62" s="113" t="inlineStr">
        <is>
          <t>복</t>
        </is>
      </c>
      <c r="T62" s="8" t="n">
        <v>86</v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송파위례리슈빌퍼스트클래스</t>
        </is>
      </c>
      <c r="B64" s="16" t="inlineStr">
        <is>
          <t>'21.10.</t>
        </is>
      </c>
      <c r="C64" s="165" t="n">
        <v>494</v>
      </c>
      <c r="D64" s="162" t="n">
        <v>132.1</v>
      </c>
      <c r="E64" s="164" t="n">
        <v>40</v>
      </c>
      <c r="F64" s="162" t="n">
        <v>105.5</v>
      </c>
      <c r="G64" s="27" t="n">
        <v>32</v>
      </c>
      <c r="H64" s="165" t="n">
        <v>188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132</v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송파위례리슈빌퍼스트클래스</t>
        </is>
      </c>
      <c r="B65" s="16" t="inlineStr">
        <is>
          <t>'21.10.</t>
        </is>
      </c>
      <c r="C65" s="165" t="n">
        <v>494</v>
      </c>
      <c r="D65" s="162" t="n">
        <v>132.1</v>
      </c>
      <c r="E65" s="164" t="n">
        <v>40</v>
      </c>
      <c r="F65" s="162" t="n">
        <v>105.5</v>
      </c>
      <c r="G65" s="27" t="n">
        <v>32</v>
      </c>
      <c r="H65" s="165" t="n">
        <v>4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132T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송파위례리슈빌퍼스트클래스</t>
        </is>
      </c>
      <c r="B66" s="16" t="inlineStr">
        <is>
          <t>'21.10.</t>
        </is>
      </c>
      <c r="C66" s="165" t="n">
        <v>494</v>
      </c>
      <c r="D66" s="162" t="n">
        <v>138.5</v>
      </c>
      <c r="E66" s="164" t="n">
        <v>42</v>
      </c>
      <c r="F66" s="162" t="n">
        <v>111.5</v>
      </c>
      <c r="G66" s="27" t="n">
        <v>34</v>
      </c>
      <c r="H66" s="165" t="n">
        <v>169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138</v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송파위례리슈빌퍼스트클래스</t>
        </is>
      </c>
      <c r="B67" s="16" t="inlineStr">
        <is>
          <t>'21.10.</t>
        </is>
      </c>
      <c r="C67" s="165" t="n">
        <v>494</v>
      </c>
      <c r="D67" s="162" t="n">
        <v>138.5</v>
      </c>
      <c r="E67" s="164" t="n">
        <v>42</v>
      </c>
      <c r="F67" s="162" t="n">
        <v>111.5</v>
      </c>
      <c r="G67" s="27" t="n">
        <v>34</v>
      </c>
      <c r="H67" s="165" t="n">
        <v>8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4</v>
      </c>
      <c r="R67" s="113" t="n">
        <v>2</v>
      </c>
      <c r="S67" s="113" t="inlineStr">
        <is>
          <t>계</t>
        </is>
      </c>
      <c r="T67" s="8" t="inlineStr">
        <is>
          <t>138T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송파위례리슈빌퍼스트클래스</t>
        </is>
      </c>
      <c r="B68" s="16" t="inlineStr">
        <is>
          <t>'21.10.</t>
        </is>
      </c>
      <c r="C68" s="165" t="n">
        <v>494</v>
      </c>
      <c r="D68" s="162" t="n">
        <v>142.4</v>
      </c>
      <c r="E68" s="164" t="n">
        <v>43</v>
      </c>
      <c r="F68" s="162" t="n">
        <v>114.9</v>
      </c>
      <c r="G68" s="27" t="n">
        <v>35</v>
      </c>
      <c r="H68" s="165" t="n">
        <v>42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142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송파위례리슈빌퍼스트클래스</t>
        </is>
      </c>
      <c r="B69" s="16" t="inlineStr">
        <is>
          <t>'21.10.</t>
        </is>
      </c>
      <c r="C69" s="165" t="n">
        <v>494</v>
      </c>
      <c r="D69" s="162" t="n">
        <v>144.4</v>
      </c>
      <c r="E69" s="164" t="n">
        <v>44</v>
      </c>
      <c r="F69" s="162" t="n">
        <v>116.6</v>
      </c>
      <c r="G69" s="27" t="n">
        <v>35</v>
      </c>
      <c r="H69" s="165" t="n">
        <v>60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144A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송파위례리슈빌퍼스트클래스</t>
        </is>
      </c>
      <c r="B70" s="16" t="inlineStr">
        <is>
          <t>'21.10.</t>
        </is>
      </c>
      <c r="C70" s="165" t="n">
        <v>494</v>
      </c>
      <c r="D70" s="162" t="n">
        <v>144.2</v>
      </c>
      <c r="E70" s="164" t="n">
        <v>44</v>
      </c>
      <c r="F70" s="162" t="n">
        <v>116.5</v>
      </c>
      <c r="G70" s="27" t="n">
        <v>35</v>
      </c>
      <c r="H70" s="165" t="n">
        <v>11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144B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송파위례리슈빌퍼스트클래스</t>
        </is>
      </c>
      <c r="B71" s="16" t="inlineStr">
        <is>
          <t>'21.10.</t>
        </is>
      </c>
      <c r="C71" s="165" t="n">
        <v>494</v>
      </c>
      <c r="D71" s="162" t="n">
        <v>147.1</v>
      </c>
      <c r="E71" s="164" t="n">
        <v>44</v>
      </c>
      <c r="F71" s="162" t="n">
        <v>118</v>
      </c>
      <c r="G71" s="27" t="n">
        <v>36</v>
      </c>
      <c r="H71" s="165" t="n">
        <v>4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147T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송파위례리슈빌퍼스트클래스</t>
        </is>
      </c>
      <c r="B72" s="16" t="inlineStr">
        <is>
          <t>'21.10.</t>
        </is>
      </c>
      <c r="C72" s="165" t="n">
        <v>494</v>
      </c>
      <c r="D72" s="162" t="n">
        <v>160.9</v>
      </c>
      <c r="E72" s="164" t="n">
        <v>49</v>
      </c>
      <c r="F72" s="162" t="n">
        <v>130.6</v>
      </c>
      <c r="G72" s="27" t="n">
        <v>40</v>
      </c>
      <c r="H72" s="165" t="n">
        <v>8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160T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위례포레샤인15단지</t>
        </is>
      </c>
      <c r="B74" s="16" t="inlineStr">
        <is>
          <t>'21.08.</t>
        </is>
      </c>
      <c r="C74" s="165" t="n">
        <v>394</v>
      </c>
      <c r="D74" s="162" t="n">
        <v>84.2</v>
      </c>
      <c r="E74" s="164" t="n">
        <v>25</v>
      </c>
      <c r="F74" s="162" t="n">
        <v>64.90000000000001</v>
      </c>
      <c r="G74" s="27" t="n">
        <v>20</v>
      </c>
      <c r="H74" s="165" t="n">
        <v>84</v>
      </c>
      <c r="I74" s="166" t="n"/>
      <c r="J74" s="166" t="n"/>
      <c r="K74" s="166" t="n">
        <v>60000</v>
      </c>
      <c r="L74" s="166" t="inlineStr">
        <is>
          <t>중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위례포레샤인15단지</t>
        </is>
      </c>
      <c r="B75" s="16" t="inlineStr">
        <is>
          <t>'21.08.</t>
        </is>
      </c>
      <c r="C75" s="165" t="n">
        <v>394</v>
      </c>
      <c r="D75" s="162" t="n">
        <v>96.59999999999999</v>
      </c>
      <c r="E75" s="164" t="n">
        <v>29</v>
      </c>
      <c r="F75" s="162" t="n">
        <v>75</v>
      </c>
      <c r="G75" s="27" t="n">
        <v>23</v>
      </c>
      <c r="H75" s="165" t="n">
        <v>47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96A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위례포레샤인15단지</t>
        </is>
      </c>
      <c r="B76" s="16" t="inlineStr">
        <is>
          <t>'21.08.</t>
        </is>
      </c>
      <c r="C76" s="165" t="n">
        <v>394</v>
      </c>
      <c r="D76" s="162" t="n">
        <v>96.59999999999999</v>
      </c>
      <c r="E76" s="164" t="n">
        <v>29</v>
      </c>
      <c r="F76" s="162" t="n">
        <v>74.90000000000001</v>
      </c>
      <c r="G76" s="27" t="n">
        <v>23</v>
      </c>
      <c r="H76" s="165" t="n">
        <v>33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96E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위례포레샤인15단지</t>
        </is>
      </c>
      <c r="B77" s="16" t="inlineStr">
        <is>
          <t>'21.08.</t>
        </is>
      </c>
      <c r="C77" s="165" t="n">
        <v>394</v>
      </c>
      <c r="D77" s="162" t="n">
        <v>96.5</v>
      </c>
      <c r="E77" s="164" t="n">
        <v>29</v>
      </c>
      <c r="F77" s="162" t="n">
        <v>74.90000000000001</v>
      </c>
      <c r="G77" s="27" t="n">
        <v>23</v>
      </c>
      <c r="H77" s="165" t="n">
        <v>30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96C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위례포레샤인15단지</t>
        </is>
      </c>
      <c r="B78" s="16" t="inlineStr">
        <is>
          <t>'21.08.</t>
        </is>
      </c>
      <c r="C78" s="165" t="n">
        <v>394</v>
      </c>
      <c r="D78" s="162" t="n">
        <v>96.5</v>
      </c>
      <c r="E78" s="164" t="n">
        <v>29</v>
      </c>
      <c r="F78" s="162" t="n">
        <v>75</v>
      </c>
      <c r="G78" s="27" t="n">
        <v>23</v>
      </c>
      <c r="H78" s="165" t="n">
        <v>24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96B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위례포레샤인15단지</t>
        </is>
      </c>
      <c r="B79" s="16" t="inlineStr">
        <is>
          <t>'21.08.</t>
        </is>
      </c>
      <c r="C79" s="165" t="n">
        <v>394</v>
      </c>
      <c r="D79" s="162" t="n">
        <v>96.40000000000001</v>
      </c>
      <c r="E79" s="164" t="n">
        <v>29</v>
      </c>
      <c r="F79" s="162" t="n">
        <v>74.90000000000001</v>
      </c>
      <c r="G79" s="27" t="n">
        <v>23</v>
      </c>
      <c r="H79" s="165" t="n">
        <v>20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96D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위례포레샤인15단지</t>
        </is>
      </c>
      <c r="B80" s="16" t="inlineStr">
        <is>
          <t>'21.08.</t>
        </is>
      </c>
      <c r="C80" s="165" t="n">
        <v>394</v>
      </c>
      <c r="D80" s="162" t="n">
        <v>109</v>
      </c>
      <c r="E80" s="164" t="n">
        <v>33</v>
      </c>
      <c r="F80" s="162" t="n">
        <v>84.8</v>
      </c>
      <c r="G80" s="27" t="n">
        <v>26</v>
      </c>
      <c r="H80" s="165" t="n">
        <v>134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108A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위례포레샤인15단지</t>
        </is>
      </c>
      <c r="B81" s="16" t="inlineStr">
        <is>
          <t>'21.08.</t>
        </is>
      </c>
      <c r="C81" s="165" t="n">
        <v>394</v>
      </c>
      <c r="D81" s="162" t="n">
        <v>109.8</v>
      </c>
      <c r="E81" s="164" t="n">
        <v>33</v>
      </c>
      <c r="F81" s="162" t="n">
        <v>84.90000000000001</v>
      </c>
      <c r="G81" s="27" t="n">
        <v>26</v>
      </c>
      <c r="H81" s="165" t="n">
        <v>19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109C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위례포레샤인15단지</t>
        </is>
      </c>
      <c r="B82" s="16" t="inlineStr">
        <is>
          <t>'21.08.</t>
        </is>
      </c>
      <c r="C82" s="165" t="n">
        <v>394</v>
      </c>
      <c r="D82" s="162" t="n">
        <v>109</v>
      </c>
      <c r="E82" s="164" t="n">
        <v>33</v>
      </c>
      <c r="F82" s="162" t="n">
        <v>84.7</v>
      </c>
      <c r="G82" s="27" t="n">
        <v>26</v>
      </c>
      <c r="H82" s="165" t="n">
        <v>3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2</v>
      </c>
      <c r="R82" s="113" t="n">
        <v>2</v>
      </c>
      <c r="S82" s="113" t="inlineStr">
        <is>
          <t>계</t>
        </is>
      </c>
      <c r="T82" s="8" t="inlineStr">
        <is>
          <t>109B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2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3" t="n"/>
      <c r="P83" s="163" t="n"/>
      <c r="Q83" s="164" t="n"/>
      <c r="R83" s="164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1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현대2차</t>
        </is>
      </c>
      <c r="B84" s="16" t="inlineStr">
        <is>
          <t>'92.04.</t>
        </is>
      </c>
      <c r="C84" s="165" t="n">
        <v>280</v>
      </c>
      <c r="D84" s="162" t="n">
        <v>100.8</v>
      </c>
      <c r="E84" s="164" t="n">
        <v>30</v>
      </c>
      <c r="F84" s="162" t="n">
        <v>83</v>
      </c>
      <c r="G84" s="27" t="n">
        <v>25</v>
      </c>
      <c r="H84" s="165" t="n">
        <v>280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100</v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2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3" t="n"/>
      <c r="P85" s="163" t="n"/>
      <c r="Q85" s="164" t="n"/>
      <c r="R85" s="164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1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거여5단지</t>
        </is>
      </c>
      <c r="B86" s="16" t="inlineStr">
        <is>
          <t>'97.07.</t>
        </is>
      </c>
      <c r="C86" s="165" t="n">
        <v>605</v>
      </c>
      <c r="D86" s="162" t="n">
        <v>80.7</v>
      </c>
      <c r="E86" s="164" t="n">
        <v>24</v>
      </c>
      <c r="F86" s="162" t="n">
        <v>59.4</v>
      </c>
      <c r="G86" s="27" t="n">
        <v>18</v>
      </c>
      <c r="H86" s="165" t="n">
        <v>29</v>
      </c>
      <c r="I86" s="166" t="n">
        <v>82000</v>
      </c>
      <c r="J86" s="166" t="inlineStr">
        <is>
          <t>고</t>
        </is>
      </c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n">
        <v>80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거여5단지</t>
        </is>
      </c>
      <c r="B87" s="16" t="inlineStr">
        <is>
          <t>'97.07.</t>
        </is>
      </c>
      <c r="C87" s="165" t="n">
        <v>605</v>
      </c>
      <c r="D87" s="162" t="n">
        <v>81.09999999999999</v>
      </c>
      <c r="E87" s="164" t="n">
        <v>25</v>
      </c>
      <c r="F87" s="162" t="n">
        <v>59.7</v>
      </c>
      <c r="G87" s="27" t="n">
        <v>18</v>
      </c>
      <c r="H87" s="165" t="n">
        <v>487</v>
      </c>
      <c r="I87" s="166" t="n">
        <v>81000</v>
      </c>
      <c r="J87" s="166" t="inlineStr">
        <is>
          <t>고</t>
        </is>
      </c>
      <c r="K87" s="166" t="n">
        <v>31500</v>
      </c>
      <c r="L87" s="166" t="inlineStr">
        <is>
          <t>9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n">
        <v>81</v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거여5단지</t>
        </is>
      </c>
      <c r="B88" s="16" t="inlineStr">
        <is>
          <t>'97.07.</t>
        </is>
      </c>
      <c r="C88" s="165" t="n">
        <v>605</v>
      </c>
      <c r="D88" s="162" t="n">
        <v>114.3</v>
      </c>
      <c r="E88" s="164" t="n">
        <v>35</v>
      </c>
      <c r="F88" s="162" t="n">
        <v>84.2</v>
      </c>
      <c r="G88" s="27" t="n">
        <v>25</v>
      </c>
      <c r="H88" s="165" t="n">
        <v>89</v>
      </c>
      <c r="I88" s="166" t="n">
        <v>145000</v>
      </c>
      <c r="J88" s="166" t="inlineStr">
        <is>
          <t>12</t>
        </is>
      </c>
      <c r="K88" s="166" t="n">
        <v>55000</v>
      </c>
      <c r="L88" s="166" t="inlineStr">
        <is>
          <t>7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114</v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2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3" t="n"/>
      <c r="P89" s="163" t="n"/>
      <c r="Q89" s="164" t="n"/>
      <c r="R89" s="164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1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위례포레샤인17단지</t>
        </is>
      </c>
      <c r="B90" s="16" t="inlineStr">
        <is>
          <t>'21.08.</t>
        </is>
      </c>
      <c r="C90" s="165" t="n">
        <v>1282</v>
      </c>
      <c r="D90" s="162" t="n">
        <v>86.3</v>
      </c>
      <c r="E90" s="164" t="n">
        <v>26</v>
      </c>
      <c r="F90" s="162" t="n">
        <v>66.8</v>
      </c>
      <c r="G90" s="27" t="n">
        <v>20</v>
      </c>
      <c r="H90" s="165" t="n">
        <v>183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86A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위례포레샤인17단지</t>
        </is>
      </c>
      <c r="B91" s="16" t="inlineStr">
        <is>
          <t>'21.08.</t>
        </is>
      </c>
      <c r="C91" s="165" t="n">
        <v>1282</v>
      </c>
      <c r="D91" s="162" t="n">
        <v>91.09999999999999</v>
      </c>
      <c r="E91" s="164" t="n">
        <v>28</v>
      </c>
      <c r="F91" s="162" t="n">
        <v>70.7</v>
      </c>
      <c r="G91" s="27" t="n">
        <v>21</v>
      </c>
      <c r="H91" s="165" t="n">
        <v>60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91A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위례포레샤인17단지</t>
        </is>
      </c>
      <c r="B92" s="16" t="inlineStr">
        <is>
          <t>'21.08.</t>
        </is>
      </c>
      <c r="C92" s="165" t="n">
        <v>1282</v>
      </c>
      <c r="D92" s="162" t="n">
        <v>91.40000000000001</v>
      </c>
      <c r="E92" s="164" t="n">
        <v>28</v>
      </c>
      <c r="F92" s="162" t="n">
        <v>71</v>
      </c>
      <c r="G92" s="27" t="n">
        <v>21</v>
      </c>
      <c r="H92" s="165" t="n">
        <v>60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91B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위례포레샤인17단지</t>
        </is>
      </c>
      <c r="B93" s="16" t="inlineStr">
        <is>
          <t>'21.08.</t>
        </is>
      </c>
      <c r="C93" s="165" t="n">
        <v>1282</v>
      </c>
      <c r="D93" s="162" t="n">
        <v>91.5</v>
      </c>
      <c r="E93" s="164" t="n">
        <v>28</v>
      </c>
      <c r="F93" s="162" t="n">
        <v>71</v>
      </c>
      <c r="G93" s="27" t="n">
        <v>21</v>
      </c>
      <c r="H93" s="165" t="n">
        <v>15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91D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위례포레샤인17단지</t>
        </is>
      </c>
      <c r="B94" s="16" t="inlineStr">
        <is>
          <t>'21.08.</t>
        </is>
      </c>
      <c r="C94" s="165" t="n">
        <v>1282</v>
      </c>
      <c r="D94" s="162" t="n">
        <v>91.09999999999999</v>
      </c>
      <c r="E94" s="164" t="n">
        <v>28</v>
      </c>
      <c r="F94" s="162" t="n">
        <v>70.7</v>
      </c>
      <c r="G94" s="27" t="n">
        <v>21</v>
      </c>
      <c r="H94" s="165" t="n">
        <v>13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91C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위례포레샤인17단지</t>
        </is>
      </c>
      <c r="B95" s="16" t="inlineStr">
        <is>
          <t>'21.08.</t>
        </is>
      </c>
      <c r="C95" s="165" t="n">
        <v>1282</v>
      </c>
      <c r="D95" s="162" t="n">
        <v>97.90000000000001</v>
      </c>
      <c r="E95" s="164" t="n">
        <v>30</v>
      </c>
      <c r="F95" s="162" t="n">
        <v>75.90000000000001</v>
      </c>
      <c r="G95" s="27" t="n">
        <v>23</v>
      </c>
      <c r="H95" s="165" t="n">
        <v>167</v>
      </c>
      <c r="I95" s="166" t="n"/>
      <c r="J95" s="166" t="n"/>
      <c r="K95" s="166" t="n">
        <v>70000</v>
      </c>
      <c r="L95" s="166" t="inlineStr">
        <is>
          <t>15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97A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위례포레샤인17단지</t>
        </is>
      </c>
      <c r="B96" s="16" t="inlineStr">
        <is>
          <t>'21.08.</t>
        </is>
      </c>
      <c r="C96" s="165" t="n">
        <v>1282</v>
      </c>
      <c r="D96" s="162" t="n">
        <v>98.5</v>
      </c>
      <c r="E96" s="164" t="n">
        <v>30</v>
      </c>
      <c r="F96" s="162" t="n">
        <v>75.59999999999999</v>
      </c>
      <c r="G96" s="27" t="n">
        <v>23</v>
      </c>
      <c r="H96" s="165" t="n">
        <v>56</v>
      </c>
      <c r="I96" s="166" t="n"/>
      <c r="J96" s="166" t="n"/>
      <c r="K96" s="166" t="n">
        <v>66000</v>
      </c>
      <c r="L96" s="166" t="inlineStr">
        <is>
          <t>15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98B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위례포레샤인17단지</t>
        </is>
      </c>
      <c r="B97" s="16" t="inlineStr">
        <is>
          <t>'21.08.</t>
        </is>
      </c>
      <c r="C97" s="165" t="n">
        <v>1282</v>
      </c>
      <c r="D97" s="162" t="n">
        <v>103.9</v>
      </c>
      <c r="E97" s="164" t="n">
        <v>31</v>
      </c>
      <c r="F97" s="162" t="n">
        <v>80.7</v>
      </c>
      <c r="G97" s="27" t="n">
        <v>24</v>
      </c>
      <c r="H97" s="165" t="n">
        <v>86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103D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위례포레샤인17단지</t>
        </is>
      </c>
      <c r="B98" s="16" t="inlineStr">
        <is>
          <t>'21.08.</t>
        </is>
      </c>
      <c r="C98" s="165" t="n">
        <v>1282</v>
      </c>
      <c r="D98" s="162" t="n">
        <v>103.5</v>
      </c>
      <c r="E98" s="164" t="n">
        <v>31</v>
      </c>
      <c r="F98" s="162" t="n">
        <v>80.40000000000001</v>
      </c>
      <c r="G98" s="27" t="n">
        <v>24</v>
      </c>
      <c r="H98" s="165" t="n">
        <v>66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103C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위례포레샤인17단지</t>
        </is>
      </c>
      <c r="B99" s="16" t="inlineStr">
        <is>
          <t>'21.08.</t>
        </is>
      </c>
      <c r="C99" s="165" t="n">
        <v>1282</v>
      </c>
      <c r="D99" s="162" t="n">
        <v>103.5</v>
      </c>
      <c r="E99" s="164" t="n">
        <v>31</v>
      </c>
      <c r="F99" s="162" t="n">
        <v>80.40000000000001</v>
      </c>
      <c r="G99" s="27" t="n">
        <v>24</v>
      </c>
      <c r="H99" s="165" t="n">
        <v>48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103A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위례포레샤인17단지</t>
        </is>
      </c>
      <c r="B100" s="16" t="inlineStr">
        <is>
          <t>'21.08.</t>
        </is>
      </c>
      <c r="C100" s="165" t="n">
        <v>1282</v>
      </c>
      <c r="D100" s="162" t="n">
        <v>104</v>
      </c>
      <c r="E100" s="164" t="n">
        <v>31</v>
      </c>
      <c r="F100" s="162" t="n">
        <v>80.8</v>
      </c>
      <c r="G100" s="27" t="n">
        <v>24</v>
      </c>
      <c r="H100" s="165" t="n">
        <v>48</v>
      </c>
      <c r="I100" s="166" t="n"/>
      <c r="J100" s="166" t="n"/>
      <c r="K100" s="166" t="n">
        <v>75000</v>
      </c>
      <c r="L100" s="166" t="inlineStr">
        <is>
          <t>고</t>
        </is>
      </c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103B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위례포레샤인17단지</t>
        </is>
      </c>
      <c r="B101" s="16" t="inlineStr">
        <is>
          <t>'21.08.</t>
        </is>
      </c>
      <c r="C101" s="165" t="n">
        <v>1282</v>
      </c>
      <c r="D101" s="162" t="n">
        <v>104.9</v>
      </c>
      <c r="E101" s="164" t="n">
        <v>32</v>
      </c>
      <c r="F101" s="162" t="n">
        <v>80.7</v>
      </c>
      <c r="G101" s="27" t="n">
        <v>24</v>
      </c>
      <c r="H101" s="165" t="n">
        <v>43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104F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위례포레샤인17단지</t>
        </is>
      </c>
      <c r="B102" s="16" t="inlineStr">
        <is>
          <t>'21.08.</t>
        </is>
      </c>
      <c r="C102" s="165" t="n">
        <v>1282</v>
      </c>
      <c r="D102" s="162" t="n">
        <v>104.7</v>
      </c>
      <c r="E102" s="164" t="n">
        <v>32</v>
      </c>
      <c r="F102" s="162" t="n">
        <v>80.59999999999999</v>
      </c>
      <c r="G102" s="27" t="n">
        <v>24</v>
      </c>
      <c r="H102" s="165" t="n">
        <v>41</v>
      </c>
      <c r="I102" s="166" t="n"/>
      <c r="J102" s="166" t="n"/>
      <c r="K102" s="166" t="n">
        <v>75000</v>
      </c>
      <c r="L102" s="166" t="inlineStr">
        <is>
          <t>13</t>
        </is>
      </c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104E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위례포레샤인17단지</t>
        </is>
      </c>
      <c r="B103" s="16" t="inlineStr">
        <is>
          <t>'21.08.</t>
        </is>
      </c>
      <c r="C103" s="165" t="n">
        <v>1282</v>
      </c>
      <c r="D103" s="162" t="n">
        <v>109.1</v>
      </c>
      <c r="E103" s="164" t="n">
        <v>33</v>
      </c>
      <c r="F103" s="162" t="n">
        <v>84.8</v>
      </c>
      <c r="G103" s="27" t="n">
        <v>26</v>
      </c>
      <c r="H103" s="165" t="n">
        <v>297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위례포레샤인17단지</t>
        </is>
      </c>
      <c r="B104" s="16" t="inlineStr">
        <is>
          <t>'21.08.</t>
        </is>
      </c>
      <c r="C104" s="165" t="n">
        <v>1282</v>
      </c>
      <c r="D104" s="162" t="n">
        <v>109.8</v>
      </c>
      <c r="E104" s="164" t="n">
        <v>33</v>
      </c>
      <c r="F104" s="162" t="n">
        <v>84.59999999999999</v>
      </c>
      <c r="G104" s="27" t="n">
        <v>26</v>
      </c>
      <c r="H104" s="165" t="n">
        <v>99</v>
      </c>
      <c r="I104" s="166" t="n"/>
      <c r="J104" s="166" t="n"/>
      <c r="K104" s="166" t="n">
        <v>63000</v>
      </c>
      <c r="L104" s="166" t="inlineStr">
        <is>
          <t>6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109B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2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3" t="n"/>
      <c r="P105" s="163" t="n"/>
      <c r="Q105" s="164" t="n"/>
      <c r="R105" s="164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1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거여1단지</t>
        </is>
      </c>
      <c r="B106" s="16" t="inlineStr">
        <is>
          <t>'97.11.</t>
        </is>
      </c>
      <c r="C106" s="165" t="n">
        <v>1004</v>
      </c>
      <c r="D106" s="162" t="n">
        <v>54.9</v>
      </c>
      <c r="E106" s="164" t="n">
        <v>17</v>
      </c>
      <c r="F106" s="162" t="n">
        <v>38.9</v>
      </c>
      <c r="G106" s="27" t="n">
        <v>12</v>
      </c>
      <c r="H106" s="165" t="n">
        <v>8</v>
      </c>
      <c r="I106" s="166" t="n">
        <v>59000</v>
      </c>
      <c r="J106" s="166" t="inlineStr">
        <is>
          <t>5</t>
        </is>
      </c>
      <c r="K106" s="166" t="n">
        <v>30000</v>
      </c>
      <c r="L106" s="166" t="inlineStr">
        <is>
          <t>8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2</v>
      </c>
      <c r="R106" s="113" t="n">
        <v>1</v>
      </c>
      <c r="S106" s="113" t="inlineStr">
        <is>
          <t>복</t>
        </is>
      </c>
      <c r="T106" s="8" t="inlineStr">
        <is>
          <t>54B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거여1단지</t>
        </is>
      </c>
      <c r="B107" s="16" t="inlineStr">
        <is>
          <t>'97.11.</t>
        </is>
      </c>
      <c r="C107" s="165" t="n">
        <v>1004</v>
      </c>
      <c r="D107" s="162" t="n">
        <v>55.8</v>
      </c>
      <c r="E107" s="164" t="n">
        <v>17</v>
      </c>
      <c r="F107" s="162" t="n">
        <v>39.6</v>
      </c>
      <c r="G107" s="27" t="n">
        <v>12</v>
      </c>
      <c r="H107" s="165" t="n">
        <v>322</v>
      </c>
      <c r="I107" s="166" t="n">
        <v>59500</v>
      </c>
      <c r="J107" s="166" t="inlineStr">
        <is>
          <t>6</t>
        </is>
      </c>
      <c r="K107" s="166" t="n">
        <v>27000</v>
      </c>
      <c r="L107" s="166" t="inlineStr">
        <is>
          <t>8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2</v>
      </c>
      <c r="R107" s="113" t="n">
        <v>1</v>
      </c>
      <c r="S107" s="113" t="inlineStr">
        <is>
          <t>복</t>
        </is>
      </c>
      <c r="T107" s="8" t="inlineStr">
        <is>
          <t>55A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거여1단지</t>
        </is>
      </c>
      <c r="B108" s="16" t="inlineStr">
        <is>
          <t>'97.11.</t>
        </is>
      </c>
      <c r="C108" s="165" t="n">
        <v>1004</v>
      </c>
      <c r="D108" s="162" t="n">
        <v>70.2</v>
      </c>
      <c r="E108" s="164" t="n">
        <v>21</v>
      </c>
      <c r="F108" s="162" t="n">
        <v>49.8</v>
      </c>
      <c r="G108" s="27" t="n">
        <v>15</v>
      </c>
      <c r="H108" s="165" t="n">
        <v>494</v>
      </c>
      <c r="I108" s="166" t="n">
        <v>72000</v>
      </c>
      <c r="J108" s="166" t="inlineStr">
        <is>
          <t>고</t>
        </is>
      </c>
      <c r="K108" s="166" t="n">
        <v>34000</v>
      </c>
      <c r="L108" s="166" t="inlineStr">
        <is>
          <t>12</t>
        </is>
      </c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2</v>
      </c>
      <c r="R108" s="113" t="n">
        <v>1</v>
      </c>
      <c r="S108" s="113" t="inlineStr">
        <is>
          <t>복</t>
        </is>
      </c>
      <c r="T108" s="8" t="n">
        <v>70</v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거여1단지</t>
        </is>
      </c>
      <c r="B109" s="16" t="inlineStr">
        <is>
          <t>'97.11.</t>
        </is>
      </c>
      <c r="C109" s="165" t="n">
        <v>1004</v>
      </c>
      <c r="D109" s="162" t="n">
        <v>83.2</v>
      </c>
      <c r="E109" s="164" t="n">
        <v>25</v>
      </c>
      <c r="F109" s="162" t="n">
        <v>59</v>
      </c>
      <c r="G109" s="27" t="n">
        <v>18</v>
      </c>
      <c r="H109" s="165" t="n">
        <v>8</v>
      </c>
      <c r="I109" s="166" t="n">
        <v>105000</v>
      </c>
      <c r="J109" s="166" t="inlineStr">
        <is>
          <t>12</t>
        </is>
      </c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1</v>
      </c>
      <c r="S109" s="113" t="inlineStr">
        <is>
          <t>복</t>
        </is>
      </c>
      <c r="T109" s="8" t="inlineStr">
        <is>
          <t>83B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거여1단지</t>
        </is>
      </c>
      <c r="B110" s="16" t="inlineStr">
        <is>
          <t>'97.11.</t>
        </is>
      </c>
      <c r="C110" s="165" t="n">
        <v>1004</v>
      </c>
      <c r="D110" s="162" t="n">
        <v>84.2</v>
      </c>
      <c r="E110" s="164" t="n">
        <v>25</v>
      </c>
      <c r="F110" s="162" t="n">
        <v>59.7</v>
      </c>
      <c r="G110" s="27" t="n">
        <v>18</v>
      </c>
      <c r="H110" s="165" t="n">
        <v>172</v>
      </c>
      <c r="I110" s="166" t="n">
        <v>95000</v>
      </c>
      <c r="J110" s="166" t="inlineStr">
        <is>
          <t>5</t>
        </is>
      </c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1</v>
      </c>
      <c r="S110" s="113" t="inlineStr">
        <is>
          <t>복</t>
        </is>
      </c>
      <c r="T110" s="8" t="inlineStr">
        <is>
          <t>84A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2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3" t="n"/>
      <c r="P111" s="163" t="n"/>
      <c r="Q111" s="164" t="n"/>
      <c r="R111" s="164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1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현대3차</t>
        </is>
      </c>
      <c r="B112" s="16" t="inlineStr">
        <is>
          <t>'93.07.</t>
        </is>
      </c>
      <c r="C112" s="165" t="n">
        <v>303</v>
      </c>
      <c r="D112" s="162" t="n">
        <v>101.9</v>
      </c>
      <c r="E112" s="164" t="n">
        <v>31</v>
      </c>
      <c r="F112" s="162" t="n">
        <v>84.8</v>
      </c>
      <c r="G112" s="27" t="n">
        <v>26</v>
      </c>
      <c r="H112" s="165" t="n">
        <v>56</v>
      </c>
      <c r="I112" s="166" t="n">
        <v>105000</v>
      </c>
      <c r="J112" s="166" t="inlineStr">
        <is>
          <t>중</t>
        </is>
      </c>
      <c r="K112" s="166" t="n">
        <v>50000</v>
      </c>
      <c r="L112" s="166" t="inlineStr">
        <is>
          <t>중</t>
        </is>
      </c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101B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현대3차</t>
        </is>
      </c>
      <c r="B113" s="16" t="inlineStr">
        <is>
          <t>'93.07.</t>
        </is>
      </c>
      <c r="C113" s="165" t="n">
        <v>303</v>
      </c>
      <c r="D113" s="162" t="n">
        <v>104.2</v>
      </c>
      <c r="E113" s="164" t="n">
        <v>32</v>
      </c>
      <c r="F113" s="162" t="n">
        <v>84.90000000000001</v>
      </c>
      <c r="G113" s="27" t="n">
        <v>26</v>
      </c>
      <c r="H113" s="165" t="n">
        <v>247</v>
      </c>
      <c r="I113" s="166" t="n">
        <v>98000</v>
      </c>
      <c r="J113" s="166" t="inlineStr">
        <is>
          <t>15</t>
        </is>
      </c>
      <c r="K113" s="166" t="n">
        <v>50000</v>
      </c>
      <c r="L113" s="166" t="inlineStr">
        <is>
          <t>14</t>
        </is>
      </c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104A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2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3" t="n"/>
      <c r="P114" s="163" t="n"/>
      <c r="Q114" s="164" t="n"/>
      <c r="R114" s="164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1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호반써밋송파1차</t>
        </is>
      </c>
      <c r="B115" s="16" t="inlineStr">
        <is>
          <t>'22.02.</t>
        </is>
      </c>
      <c r="C115" s="165" t="n">
        <v>689</v>
      </c>
      <c r="D115" s="162" t="n">
        <v>135.9</v>
      </c>
      <c r="E115" s="164" t="n">
        <v>41</v>
      </c>
      <c r="F115" s="162" t="n">
        <v>108.8</v>
      </c>
      <c r="G115" s="27" t="n">
        <v>33</v>
      </c>
      <c r="H115" s="165" t="n">
        <v>507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4</v>
      </c>
      <c r="R115" s="113" t="n">
        <v>2</v>
      </c>
      <c r="S115" s="113" t="inlineStr">
        <is>
          <t>계</t>
        </is>
      </c>
      <c r="T115" s="8" t="inlineStr">
        <is>
          <t>135A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호반써밋송파1차</t>
        </is>
      </c>
      <c r="B116" s="16" t="inlineStr">
        <is>
          <t>'22.02.</t>
        </is>
      </c>
      <c r="C116" s="165" t="n">
        <v>689</v>
      </c>
      <c r="D116" s="162" t="n">
        <v>137.7</v>
      </c>
      <c r="E116" s="164" t="n">
        <v>42</v>
      </c>
      <c r="F116" s="162" t="n">
        <v>108.8</v>
      </c>
      <c r="G116" s="27" t="n">
        <v>33</v>
      </c>
      <c r="H116" s="165" t="n">
        <v>110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137C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호반써밋송파1차</t>
        </is>
      </c>
      <c r="B117" s="16" t="inlineStr">
        <is>
          <t>'22.02.</t>
        </is>
      </c>
      <c r="C117" s="165" t="n">
        <v>689</v>
      </c>
      <c r="D117" s="162" t="n">
        <v>138.5</v>
      </c>
      <c r="E117" s="164" t="n">
        <v>42</v>
      </c>
      <c r="F117" s="162" t="n">
        <v>108</v>
      </c>
      <c r="G117" s="27" t="n">
        <v>33</v>
      </c>
      <c r="H117" s="165" t="n">
        <v>72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138B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33" dxfId="17">
      <formula>AV4="X"</formula>
    </cfRule>
    <cfRule type="expression" priority="1934" dxfId="16">
      <formula>AV4="후보"</formula>
    </cfRule>
  </conditionalFormatting>
  <conditionalFormatting sqref="AC1:AC2 AC4:AC6 N4:N5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1:N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6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17">
      <formula>AV7="X"</formula>
    </cfRule>
    <cfRule type="expression" priority="1913" dxfId="16">
      <formula>AV7="후보"</formula>
    </cfRule>
  </conditionalFormatting>
  <conditionalFormatting sqref="AC7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N7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17">
      <formula>AV8="X"</formula>
    </cfRule>
    <cfRule type="expression" priority="1894" dxfId="16">
      <formula>AV8="후보"</formula>
    </cfRule>
  </conditionalFormatting>
  <conditionalFormatting sqref="AC8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N8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17">
      <formula>AV9="X"</formula>
    </cfRule>
    <cfRule type="expression" priority="1875" dxfId="16">
      <formula>AV9="후보"</formula>
    </cfRule>
  </conditionalFormatting>
  <conditionalFormatting sqref="AC9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N9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17">
      <formula>AV10="X"</formula>
    </cfRule>
    <cfRule type="expression" priority="1856" dxfId="16">
      <formula>AV10="후보"</formula>
    </cfRule>
  </conditionalFormatting>
  <conditionalFormatting sqref="AC10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N10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17">
      <formula>AV11="X"</formula>
    </cfRule>
    <cfRule type="expression" priority="1837" dxfId="16">
      <formula>AV11="후보"</formula>
    </cfRule>
  </conditionalFormatting>
  <conditionalFormatting sqref="AC11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11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17">
      <formula>AV12="X"</formula>
    </cfRule>
    <cfRule type="expression" priority="1818" dxfId="16">
      <formula>AV12="후보"</formula>
    </cfRule>
  </conditionalFormatting>
  <conditionalFormatting sqref="AC12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N12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17">
      <formula>AV13="X"</formula>
    </cfRule>
    <cfRule type="expression" priority="1799" dxfId="16">
      <formula>AV13="후보"</formula>
    </cfRule>
  </conditionalFormatting>
  <conditionalFormatting sqref="AC13 N13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AV14">
    <cfRule type="expression" priority="1793" dxfId="17">
      <formula>AV14="X"</formula>
    </cfRule>
    <cfRule type="expression" priority="1794" dxfId="16">
      <formula>AV14="후보"</formula>
    </cfRule>
  </conditionalFormatting>
  <conditionalFormatting sqref="AC14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4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17">
      <formula>AV15="X"</formula>
    </cfRule>
    <cfRule type="expression" priority="1775" dxfId="16">
      <formula>AV15="후보"</formula>
    </cfRule>
  </conditionalFormatting>
  <conditionalFormatting sqref="AC15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N15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17">
      <formula>AV16="X"</formula>
    </cfRule>
    <cfRule type="expression" priority="1756" dxfId="16">
      <formula>AV16="후보"</formula>
    </cfRule>
  </conditionalFormatting>
  <conditionalFormatting sqref="AC16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N16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17">
      <formula>AV17="X"</formula>
    </cfRule>
    <cfRule type="expression" priority="1737" dxfId="16">
      <formula>AV17="후보"</formula>
    </cfRule>
  </conditionalFormatting>
  <conditionalFormatting sqref="AC17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17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17">
      <formula>AV18="X"</formula>
    </cfRule>
    <cfRule type="expression" priority="1718" dxfId="16">
      <formula>AV18="후보"</formula>
    </cfRule>
  </conditionalFormatting>
  <conditionalFormatting sqref="AC18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18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17">
      <formula>AV19="X"</formula>
    </cfRule>
    <cfRule type="expression" priority="1699" dxfId="16">
      <formula>AV19="후보"</formula>
    </cfRule>
  </conditionalFormatting>
  <conditionalFormatting sqref="AC19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19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17">
      <formula>AV20="X"</formula>
    </cfRule>
    <cfRule type="expression" priority="1680" dxfId="16">
      <formula>AV20="후보"</formula>
    </cfRule>
  </conditionalFormatting>
  <conditionalFormatting sqref="AC20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20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17">
      <formula>AV21="X"</formula>
    </cfRule>
    <cfRule type="expression" priority="1661" dxfId="16">
      <formula>AV21="후보"</formula>
    </cfRule>
  </conditionalFormatting>
  <conditionalFormatting sqref="AC21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21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17">
      <formula>AV22="X"</formula>
    </cfRule>
    <cfRule type="expression" priority="1642" dxfId="16">
      <formula>AV22="후보"</formula>
    </cfRule>
  </conditionalFormatting>
  <conditionalFormatting sqref="AC22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N22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17">
      <formula>AV23="X"</formula>
    </cfRule>
    <cfRule type="expression" priority="1623" dxfId="16">
      <formula>AV23="후보"</formula>
    </cfRule>
  </conditionalFormatting>
  <conditionalFormatting sqref="AC23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N2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17">
      <formula>AV24="X"</formula>
    </cfRule>
    <cfRule type="expression" priority="1604" dxfId="16">
      <formula>AV24="후보"</formula>
    </cfRule>
  </conditionalFormatting>
  <conditionalFormatting sqref="AC24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N24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17">
      <formula>AV25="X"</formula>
    </cfRule>
    <cfRule type="expression" priority="1585" dxfId="16">
      <formula>AV25="후보"</formula>
    </cfRule>
  </conditionalFormatting>
  <conditionalFormatting sqref="AC25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17">
      <formula>AV26="X"</formula>
    </cfRule>
    <cfRule type="expression" priority="1566" dxfId="16">
      <formula>AV26="후보"</formula>
    </cfRule>
  </conditionalFormatting>
  <conditionalFormatting sqref="AC26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N26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17">
      <formula>AV27="X"</formula>
    </cfRule>
    <cfRule type="expression" priority="1547" dxfId="16">
      <formula>AV27="후보"</formula>
    </cfRule>
  </conditionalFormatting>
  <conditionalFormatting sqref="AC27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7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17">
      <formula>AV28="X"</formula>
    </cfRule>
    <cfRule type="expression" priority="1528" dxfId="16">
      <formula>AV28="후보"</formula>
    </cfRule>
  </conditionalFormatting>
  <conditionalFormatting sqref="AC28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8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17">
      <formula>AV29="X"</formula>
    </cfRule>
    <cfRule type="expression" priority="1509" dxfId="16">
      <formula>AV29="후보"</formula>
    </cfRule>
  </conditionalFormatting>
  <conditionalFormatting sqref="AC29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9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17">
      <formula>AV30="X"</formula>
    </cfRule>
    <cfRule type="expression" priority="1490" dxfId="16">
      <formula>AV30="후보"</formula>
    </cfRule>
  </conditionalFormatting>
  <conditionalFormatting sqref="AC30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30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17">
      <formula>AV31="X"</formula>
    </cfRule>
    <cfRule type="expression" priority="1471" dxfId="16">
      <formula>AV31="후보"</formula>
    </cfRule>
  </conditionalFormatting>
  <conditionalFormatting sqref="AC3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31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17">
      <formula>AV32="X"</formula>
    </cfRule>
    <cfRule type="expression" priority="1452" dxfId="16">
      <formula>AV32="후보"</formula>
    </cfRule>
  </conditionalFormatting>
  <conditionalFormatting sqref="AC32 N3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AV33">
    <cfRule type="expression" priority="1446" dxfId="17">
      <formula>AV33="X"</formula>
    </cfRule>
    <cfRule type="expression" priority="1447" dxfId="16">
      <formula>AV33="후보"</formula>
    </cfRule>
  </conditionalFormatting>
  <conditionalFormatting sqref="AC33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3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17">
      <formula>AV34="X"</formula>
    </cfRule>
    <cfRule type="expression" priority="1428" dxfId="16">
      <formula>AV34="후보"</formula>
    </cfRule>
  </conditionalFormatting>
  <conditionalFormatting sqref="AC34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4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17">
      <formula>AV35="X"</formula>
    </cfRule>
    <cfRule type="expression" priority="1409" dxfId="16">
      <formula>AV35="후보"</formula>
    </cfRule>
  </conditionalFormatting>
  <conditionalFormatting sqref="AC3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5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17">
      <formula>AV36="X"</formula>
    </cfRule>
    <cfRule type="expression" priority="1390" dxfId="16">
      <formula>AV36="후보"</formula>
    </cfRule>
  </conditionalFormatting>
  <conditionalFormatting sqref="AC3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6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17">
      <formula>AV37="X"</formula>
    </cfRule>
    <cfRule type="expression" priority="1371" dxfId="16">
      <formula>AV37="후보"</formula>
    </cfRule>
  </conditionalFormatting>
  <conditionalFormatting sqref="AC3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7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17">
      <formula>AV38="X"</formula>
    </cfRule>
    <cfRule type="expression" priority="1352" dxfId="16">
      <formula>AV38="후보"</formula>
    </cfRule>
  </conditionalFormatting>
  <conditionalFormatting sqref="AC38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8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17">
      <formula>AV39="X"</formula>
    </cfRule>
    <cfRule type="expression" priority="1333" dxfId="16">
      <formula>AV39="후보"</formula>
    </cfRule>
  </conditionalFormatting>
  <conditionalFormatting sqref="AC39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17">
      <formula>AV40="X"</formula>
    </cfRule>
    <cfRule type="expression" priority="1314" dxfId="16">
      <formula>AV40="후보"</formula>
    </cfRule>
  </conditionalFormatting>
  <conditionalFormatting sqref="AC40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0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17">
      <formula>AV41="X"</formula>
    </cfRule>
    <cfRule type="expression" priority="1295" dxfId="16">
      <formula>AV41="후보"</formula>
    </cfRule>
  </conditionalFormatting>
  <conditionalFormatting sqref="AC4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1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17">
      <formula>AV42="X"</formula>
    </cfRule>
    <cfRule type="expression" priority="1276" dxfId="16">
      <formula>AV42="후보"</formula>
    </cfRule>
  </conditionalFormatting>
  <conditionalFormatting sqref="AC42 N42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AV43">
    <cfRule type="expression" priority="1270" dxfId="17">
      <formula>AV43="X"</formula>
    </cfRule>
    <cfRule type="expression" priority="1271" dxfId="16">
      <formula>AV43="후보"</formula>
    </cfRule>
  </conditionalFormatting>
  <conditionalFormatting sqref="AC4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43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17">
      <formula>AV44="X"</formula>
    </cfRule>
    <cfRule type="expression" priority="1252" dxfId="16">
      <formula>AV44="후보"</formula>
    </cfRule>
  </conditionalFormatting>
  <conditionalFormatting sqref="AC4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44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17">
      <formula>AV45="X"</formula>
    </cfRule>
    <cfRule type="expression" priority="1233" dxfId="16">
      <formula>AV45="후보"</formula>
    </cfRule>
  </conditionalFormatting>
  <conditionalFormatting sqref="AC45 N4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AV46">
    <cfRule type="expression" priority="1227" dxfId="17">
      <formula>AV46="X"</formula>
    </cfRule>
    <cfRule type="expression" priority="1228" dxfId="16">
      <formula>AV46="후보"</formula>
    </cfRule>
  </conditionalFormatting>
  <conditionalFormatting sqref="AC46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46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17">
      <formula>AV47="X"</formula>
    </cfRule>
    <cfRule type="expression" priority="1209" dxfId="16">
      <formula>AV47="후보"</formula>
    </cfRule>
  </conditionalFormatting>
  <conditionalFormatting sqref="AC47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4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17">
      <formula>AV48="X"</formula>
    </cfRule>
    <cfRule type="expression" priority="1190" dxfId="16">
      <formula>AV48="후보"</formula>
    </cfRule>
  </conditionalFormatting>
  <conditionalFormatting sqref="AC48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48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17">
      <formula>AV49="X"</formula>
    </cfRule>
    <cfRule type="expression" priority="1171" dxfId="16">
      <formula>AV49="후보"</formula>
    </cfRule>
  </conditionalFormatting>
  <conditionalFormatting sqref="AC49 N49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AV50">
    <cfRule type="expression" priority="1165" dxfId="17">
      <formula>AV50="X"</formula>
    </cfRule>
    <cfRule type="expression" priority="1166" dxfId="16">
      <formula>AV50="후보"</formula>
    </cfRule>
  </conditionalFormatting>
  <conditionalFormatting sqref="AC50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50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17">
      <formula>AV51="X"</formula>
    </cfRule>
    <cfRule type="expression" priority="1147" dxfId="16">
      <formula>AV51="후보"</formula>
    </cfRule>
  </conditionalFormatting>
  <conditionalFormatting sqref="AC51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51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17">
      <formula>AV52="X"</formula>
    </cfRule>
    <cfRule type="expression" priority="1128" dxfId="16">
      <formula>AV52="후보"</formula>
    </cfRule>
  </conditionalFormatting>
  <conditionalFormatting sqref="AC52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52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17">
      <formula>AV53="X"</formula>
    </cfRule>
    <cfRule type="expression" priority="1109" dxfId="16">
      <formula>AV53="후보"</formula>
    </cfRule>
  </conditionalFormatting>
  <conditionalFormatting sqref="AC53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53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17">
      <formula>AV54="X"</formula>
    </cfRule>
    <cfRule type="expression" priority="1090" dxfId="16">
      <formula>AV54="후보"</formula>
    </cfRule>
  </conditionalFormatting>
  <conditionalFormatting sqref="AC54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54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17">
      <formula>AV55="X"</formula>
    </cfRule>
    <cfRule type="expression" priority="1071" dxfId="16">
      <formula>AV55="후보"</formula>
    </cfRule>
  </conditionalFormatting>
  <conditionalFormatting sqref="AC55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55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17">
      <formula>AV56="X"</formula>
    </cfRule>
    <cfRule type="expression" priority="1052" dxfId="16">
      <formula>AV56="후보"</formula>
    </cfRule>
  </conditionalFormatting>
  <conditionalFormatting sqref="AC5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56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17">
      <formula>AV57="X"</formula>
    </cfRule>
    <cfRule type="expression" priority="1033" dxfId="16">
      <formula>AV57="후보"</formula>
    </cfRule>
  </conditionalFormatting>
  <conditionalFormatting sqref="AC5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57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17">
      <formula>AV58="X"</formula>
    </cfRule>
    <cfRule type="expression" priority="1014" dxfId="16">
      <formula>AV58="후보"</formula>
    </cfRule>
  </conditionalFormatting>
  <conditionalFormatting sqref="AC58 N58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AV59">
    <cfRule type="expression" priority="1008" dxfId="17">
      <formula>AV59="X"</formula>
    </cfRule>
    <cfRule type="expression" priority="1009" dxfId="16">
      <formula>AV59="후보"</formula>
    </cfRule>
  </conditionalFormatting>
  <conditionalFormatting sqref="AC5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17">
      <formula>AV60="X"</formula>
    </cfRule>
    <cfRule type="expression" priority="990" dxfId="16">
      <formula>AV60="후보"</formula>
    </cfRule>
  </conditionalFormatting>
  <conditionalFormatting sqref="AC6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60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17">
      <formula>AV61="X"</formula>
    </cfRule>
    <cfRule type="expression" priority="971" dxfId="16">
      <formula>AV61="후보"</formula>
    </cfRule>
  </conditionalFormatting>
  <conditionalFormatting sqref="AC61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61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17">
      <formula>AV62="X"</formula>
    </cfRule>
    <cfRule type="expression" priority="952" dxfId="16">
      <formula>AV62="후보"</formula>
    </cfRule>
  </conditionalFormatting>
  <conditionalFormatting sqref="AC62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62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17">
      <formula>AV63="X"</formula>
    </cfRule>
    <cfRule type="expression" priority="933" dxfId="16">
      <formula>AV63="후보"</formula>
    </cfRule>
  </conditionalFormatting>
  <conditionalFormatting sqref="AC63 N63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64">
    <cfRule type="expression" priority="927" dxfId="17">
      <formula>AV64="X"</formula>
    </cfRule>
    <cfRule type="expression" priority="928" dxfId="16">
      <formula>AV64="후보"</formula>
    </cfRule>
  </conditionalFormatting>
  <conditionalFormatting sqref="AC6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64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17">
      <formula>AV65="X"</formula>
    </cfRule>
    <cfRule type="expression" priority="909" dxfId="16">
      <formula>AV65="후보"</formula>
    </cfRule>
  </conditionalFormatting>
  <conditionalFormatting sqref="AC6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65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17">
      <formula>AV66="X"</formula>
    </cfRule>
    <cfRule type="expression" priority="890" dxfId="16">
      <formula>AV66="후보"</formula>
    </cfRule>
  </conditionalFormatting>
  <conditionalFormatting sqref="AC6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66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17">
      <formula>AV67="X"</formula>
    </cfRule>
    <cfRule type="expression" priority="871" dxfId="16">
      <formula>AV67="후보"</formula>
    </cfRule>
  </conditionalFormatting>
  <conditionalFormatting sqref="AC67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6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17">
      <formula>AV68="X"</formula>
    </cfRule>
    <cfRule type="expression" priority="852" dxfId="16">
      <formula>AV68="후보"</formula>
    </cfRule>
  </conditionalFormatting>
  <conditionalFormatting sqref="AC68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6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17">
      <formula>AV69="X"</formula>
    </cfRule>
    <cfRule type="expression" priority="833" dxfId="16">
      <formula>AV69="후보"</formula>
    </cfRule>
  </conditionalFormatting>
  <conditionalFormatting sqref="AC69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9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17">
      <formula>AV70="X"</formula>
    </cfRule>
    <cfRule type="expression" priority="814" dxfId="16">
      <formula>AV70="후보"</formula>
    </cfRule>
  </conditionalFormatting>
  <conditionalFormatting sqref="AC70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0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17">
      <formula>AV71="X"</formula>
    </cfRule>
    <cfRule type="expression" priority="795" dxfId="16">
      <formula>AV71="후보"</formula>
    </cfRule>
  </conditionalFormatting>
  <conditionalFormatting sqref="AC71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71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17">
      <formula>AV72="X"</formula>
    </cfRule>
    <cfRule type="expression" priority="776" dxfId="16">
      <formula>AV72="후보"</formula>
    </cfRule>
  </conditionalFormatting>
  <conditionalFormatting sqref="AC72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72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17">
      <formula>AV73="X"</formula>
    </cfRule>
    <cfRule type="expression" priority="757" dxfId="16">
      <formula>AV73="후보"</formula>
    </cfRule>
  </conditionalFormatting>
  <conditionalFormatting sqref="AC73 N73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74">
    <cfRule type="expression" priority="751" dxfId="17">
      <formula>AV74="X"</formula>
    </cfRule>
    <cfRule type="expression" priority="752" dxfId="16">
      <formula>AV74="후보"</formula>
    </cfRule>
  </conditionalFormatting>
  <conditionalFormatting sqref="AC74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74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17">
      <formula>AV75="X"</formula>
    </cfRule>
    <cfRule type="expression" priority="733" dxfId="16">
      <formula>AV75="후보"</formula>
    </cfRule>
  </conditionalFormatting>
  <conditionalFormatting sqref="AC75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75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17">
      <formula>AV76="X"</formula>
    </cfRule>
    <cfRule type="expression" priority="714" dxfId="16">
      <formula>AV76="후보"</formula>
    </cfRule>
  </conditionalFormatting>
  <conditionalFormatting sqref="AC76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76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17">
      <formula>AV77="X"</formula>
    </cfRule>
    <cfRule type="expression" priority="695" dxfId="16">
      <formula>AV77="후보"</formula>
    </cfRule>
  </conditionalFormatting>
  <conditionalFormatting sqref="AC77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77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17">
      <formula>AV78="X"</formula>
    </cfRule>
    <cfRule type="expression" priority="676" dxfId="16">
      <formula>AV78="후보"</formula>
    </cfRule>
  </conditionalFormatting>
  <conditionalFormatting sqref="AC7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7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17">
      <formula>AV79="X"</formula>
    </cfRule>
    <cfRule type="expression" priority="657" dxfId="16">
      <formula>AV79="후보"</formula>
    </cfRule>
  </conditionalFormatting>
  <conditionalFormatting sqref="AC7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7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17">
      <formula>AV80="X"</formula>
    </cfRule>
    <cfRule type="expression" priority="638" dxfId="16">
      <formula>AV80="후보"</formula>
    </cfRule>
  </conditionalFormatting>
  <conditionalFormatting sqref="AC8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8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17">
      <formula>AV81="X"</formula>
    </cfRule>
    <cfRule type="expression" priority="619" dxfId="16">
      <formula>AV81="후보"</formula>
    </cfRule>
  </conditionalFormatting>
  <conditionalFormatting sqref="AC8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17">
      <formula>AV82="X"</formula>
    </cfRule>
    <cfRule type="expression" priority="600" dxfId="16">
      <formula>AV82="후보"</formula>
    </cfRule>
  </conditionalFormatting>
  <conditionalFormatting sqref="AC8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17">
      <formula>AV83="X"</formula>
    </cfRule>
    <cfRule type="expression" priority="581" dxfId="16">
      <formula>AV83="후보"</formula>
    </cfRule>
  </conditionalFormatting>
  <conditionalFormatting sqref="AC83 N8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84">
    <cfRule type="expression" priority="575" dxfId="17">
      <formula>AV84="X"</formula>
    </cfRule>
    <cfRule type="expression" priority="576" dxfId="16">
      <formula>AV84="후보"</formula>
    </cfRule>
  </conditionalFormatting>
  <conditionalFormatting sqref="AC8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8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17">
      <formula>AV85="X"</formula>
    </cfRule>
    <cfRule type="expression" priority="557" dxfId="16">
      <formula>AV85="후보"</formula>
    </cfRule>
  </conditionalFormatting>
  <conditionalFormatting sqref="AC85 N8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86">
    <cfRule type="expression" priority="551" dxfId="17">
      <formula>AV86="X"</formula>
    </cfRule>
    <cfRule type="expression" priority="552" dxfId="16">
      <formula>AV86="후보"</formula>
    </cfRule>
  </conditionalFormatting>
  <conditionalFormatting sqref="AC8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8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17">
      <formula>AV87="X"</formula>
    </cfRule>
    <cfRule type="expression" priority="533" dxfId="16">
      <formula>AV87="후보"</formula>
    </cfRule>
  </conditionalFormatting>
  <conditionalFormatting sqref="AC8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8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17">
      <formula>AV88="X"</formula>
    </cfRule>
    <cfRule type="expression" priority="514" dxfId="16">
      <formula>AV88="후보"</formula>
    </cfRule>
  </conditionalFormatting>
  <conditionalFormatting sqref="AC8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17">
      <formula>AV89="X"</formula>
    </cfRule>
    <cfRule type="expression" priority="495" dxfId="16">
      <formula>AV89="후보"</formula>
    </cfRule>
  </conditionalFormatting>
  <conditionalFormatting sqref="AC89 N8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90">
    <cfRule type="expression" priority="489" dxfId="17">
      <formula>AV90="X"</formula>
    </cfRule>
    <cfRule type="expression" priority="490" dxfId="16">
      <formula>AV90="후보"</formula>
    </cfRule>
  </conditionalFormatting>
  <conditionalFormatting sqref="AC9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9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17">
      <formula>AV91="X"</formula>
    </cfRule>
    <cfRule type="expression" priority="471" dxfId="16">
      <formula>AV91="후보"</formula>
    </cfRule>
  </conditionalFormatting>
  <conditionalFormatting sqref="AC9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9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17">
      <formula>AV92="X"</formula>
    </cfRule>
    <cfRule type="expression" priority="452" dxfId="16">
      <formula>AV92="후보"</formula>
    </cfRule>
  </conditionalFormatting>
  <conditionalFormatting sqref="AC9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17">
      <formula>AV93="X"</formula>
    </cfRule>
    <cfRule type="expression" priority="433" dxfId="16">
      <formula>AV93="후보"</formula>
    </cfRule>
  </conditionalFormatting>
  <conditionalFormatting sqref="AC9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9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17">
      <formula>AV94="X"</formula>
    </cfRule>
    <cfRule type="expression" priority="414" dxfId="16">
      <formula>AV94="후보"</formula>
    </cfRule>
  </conditionalFormatting>
  <conditionalFormatting sqref="AC9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17">
      <formula>AV95="X"</formula>
    </cfRule>
    <cfRule type="expression" priority="395" dxfId="16">
      <formula>AV95="후보"</formula>
    </cfRule>
  </conditionalFormatting>
  <conditionalFormatting sqref="AC9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9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17">
      <formula>AV96="X"</formula>
    </cfRule>
    <cfRule type="expression" priority="376" dxfId="16">
      <formula>AV96="후보"</formula>
    </cfRule>
  </conditionalFormatting>
  <conditionalFormatting sqref="AC9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9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17">
      <formula>AV97="X"</formula>
    </cfRule>
    <cfRule type="expression" priority="357" dxfId="16">
      <formula>AV97="후보"</formula>
    </cfRule>
  </conditionalFormatting>
  <conditionalFormatting sqref="AC9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9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17">
      <formula>AV98="X"</formula>
    </cfRule>
    <cfRule type="expression" priority="338" dxfId="16">
      <formula>AV98="후보"</formula>
    </cfRule>
  </conditionalFormatting>
  <conditionalFormatting sqref="AC9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17">
      <formula>AV99="X"</formula>
    </cfRule>
    <cfRule type="expression" priority="319" dxfId="16">
      <formula>AV99="후보"</formula>
    </cfRule>
  </conditionalFormatting>
  <conditionalFormatting sqref="AC9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9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17">
      <formula>AV100="X"</formula>
    </cfRule>
    <cfRule type="expression" priority="300" dxfId="16">
      <formula>AV100="후보"</formula>
    </cfRule>
  </conditionalFormatting>
  <conditionalFormatting sqref="AC10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0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17">
      <formula>AV101="X"</formula>
    </cfRule>
    <cfRule type="expression" priority="281" dxfId="16">
      <formula>AV101="후보"</formula>
    </cfRule>
  </conditionalFormatting>
  <conditionalFormatting sqref="AC10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0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17">
      <formula>AV102="X"</formula>
    </cfRule>
    <cfRule type="expression" priority="262" dxfId="16">
      <formula>AV102="후보"</formula>
    </cfRule>
  </conditionalFormatting>
  <conditionalFormatting sqref="AC10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 N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6">
    <cfRule type="expression" priority="199" dxfId="17">
      <formula>AV106="X"</formula>
    </cfRule>
    <cfRule type="expression" priority="200" dxfId="16">
      <formula>AV106="후보"</formula>
    </cfRule>
  </conditionalFormatting>
  <conditionalFormatting sqref="AC10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17">
      <formula>AV111="X"</formula>
    </cfRule>
    <cfRule type="expression" priority="105" dxfId="16">
      <formula>AV111="후보"</formula>
    </cfRule>
  </conditionalFormatting>
  <conditionalFormatting sqref="AC111 N1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17">
      <formula>AV114="X"</formula>
    </cfRule>
    <cfRule type="expression" priority="62" dxfId="16">
      <formula>AV114="후보"</formula>
    </cfRule>
  </conditionalFormatting>
  <conditionalFormatting sqref="AC114 N1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송파파크데일2단지</t>
        </is>
      </c>
      <c r="B6" s="16" t="inlineStr">
        <is>
          <t>'11.01.</t>
        </is>
      </c>
      <c r="C6" s="165" t="n">
        <v>889</v>
      </c>
      <c r="D6" s="162" t="n">
        <v>79.40000000000001</v>
      </c>
      <c r="E6" s="164" t="n">
        <v>24</v>
      </c>
      <c r="F6" s="162" t="n">
        <v>59.9</v>
      </c>
      <c r="G6" s="27" t="n">
        <v>18</v>
      </c>
      <c r="H6" s="165" t="n">
        <v>30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송파파크데일2단지</t>
        </is>
      </c>
      <c r="B7" s="16" t="inlineStr">
        <is>
          <t>'11.01.</t>
        </is>
      </c>
      <c r="C7" s="165" t="n">
        <v>889</v>
      </c>
      <c r="D7" s="162" t="n">
        <v>109.8</v>
      </c>
      <c r="E7" s="164" t="n">
        <v>33</v>
      </c>
      <c r="F7" s="162" t="n">
        <v>84.09999999999999</v>
      </c>
      <c r="G7" s="27" t="n">
        <v>25</v>
      </c>
      <c r="H7" s="165" t="n">
        <v>26</v>
      </c>
      <c r="I7" s="166" t="n">
        <v>125000</v>
      </c>
      <c r="J7" s="166" t="inlineStr">
        <is>
          <t>13</t>
        </is>
      </c>
      <c r="K7" s="166" t="n">
        <v>60000</v>
      </c>
      <c r="L7" s="166" t="inlineStr">
        <is>
          <t>고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송파파크데일2단지</t>
        </is>
      </c>
      <c r="B8" s="16" t="inlineStr">
        <is>
          <t>'11.01.</t>
        </is>
      </c>
      <c r="C8" s="165" t="n">
        <v>889</v>
      </c>
      <c r="D8" s="162" t="n">
        <v>111.4</v>
      </c>
      <c r="E8" s="164" t="n">
        <v>34</v>
      </c>
      <c r="F8" s="162" t="n">
        <v>84.90000000000001</v>
      </c>
      <c r="G8" s="27" t="n">
        <v>26</v>
      </c>
      <c r="H8" s="165" t="n">
        <v>60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송파파크데일2단지</t>
        </is>
      </c>
      <c r="B9" s="16" t="inlineStr">
        <is>
          <t>'11.01.</t>
        </is>
      </c>
      <c r="C9" s="165" t="n">
        <v>889</v>
      </c>
      <c r="D9" s="162" t="n">
        <v>111.2</v>
      </c>
      <c r="E9" s="164" t="n">
        <v>34</v>
      </c>
      <c r="F9" s="162" t="n">
        <v>85</v>
      </c>
      <c r="G9" s="27" t="n">
        <v>26</v>
      </c>
      <c r="H9" s="165" t="n">
        <v>56</v>
      </c>
      <c r="I9" s="166" t="n">
        <v>120000</v>
      </c>
      <c r="J9" s="166" t="inlineStr">
        <is>
          <t>중</t>
        </is>
      </c>
      <c r="K9" s="166" t="n">
        <v>57000</v>
      </c>
      <c r="L9" s="166" t="inlineStr">
        <is>
          <t>9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송파파크데일2단지</t>
        </is>
      </c>
      <c r="B10" s="16" t="inlineStr">
        <is>
          <t>'11.01.</t>
        </is>
      </c>
      <c r="C10" s="165" t="n">
        <v>889</v>
      </c>
      <c r="D10" s="162" t="n">
        <v>148.8</v>
      </c>
      <c r="E10" s="164" t="n">
        <v>45</v>
      </c>
      <c r="F10" s="162" t="n">
        <v>114.8</v>
      </c>
      <c r="G10" s="27" t="n">
        <v>35</v>
      </c>
      <c r="H10" s="165" t="n">
        <v>26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148A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송파파크데일2단지</t>
        </is>
      </c>
      <c r="B11" s="16" t="inlineStr">
        <is>
          <t>'11.01.</t>
        </is>
      </c>
      <c r="C11" s="165" t="n">
        <v>889</v>
      </c>
      <c r="D11" s="162" t="n">
        <v>150.3</v>
      </c>
      <c r="E11" s="164" t="n">
        <v>45</v>
      </c>
      <c r="F11" s="162" t="n">
        <v>114.9</v>
      </c>
      <c r="G11" s="27" t="n">
        <v>35</v>
      </c>
      <c r="H11" s="165" t="n">
        <v>56</v>
      </c>
      <c r="I11" s="166" t="n">
        <v>129000</v>
      </c>
      <c r="J11" s="166" t="inlineStr">
        <is>
          <t>11</t>
        </is>
      </c>
      <c r="K11" s="166" t="n">
        <v>80000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150B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마천금호어울림1차</t>
        </is>
      </c>
      <c r="B13" s="16" t="inlineStr">
        <is>
          <t>'02.03.</t>
        </is>
      </c>
      <c r="C13" s="165" t="n">
        <v>215</v>
      </c>
      <c r="D13" s="162" t="n">
        <v>110.7</v>
      </c>
      <c r="E13" s="164" t="n">
        <v>33</v>
      </c>
      <c r="F13" s="162" t="n">
        <v>81.2</v>
      </c>
      <c r="G13" s="27" t="n">
        <v>25</v>
      </c>
      <c r="H13" s="165" t="n">
        <v>73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마천금호어울림1차</t>
        </is>
      </c>
      <c r="B14" s="16" t="inlineStr">
        <is>
          <t>'02.03.</t>
        </is>
      </c>
      <c r="C14" s="165" t="n">
        <v>215</v>
      </c>
      <c r="D14" s="162" t="n">
        <v>110.1</v>
      </c>
      <c r="E14" s="164" t="n">
        <v>33</v>
      </c>
      <c r="F14" s="162" t="n">
        <v>80.90000000000001</v>
      </c>
      <c r="G14" s="27" t="n">
        <v>24</v>
      </c>
      <c r="H14" s="165" t="n">
        <v>11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110A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마천금호어울림1차</t>
        </is>
      </c>
      <c r="B15" s="16" t="inlineStr">
        <is>
          <t>'02.03.</t>
        </is>
      </c>
      <c r="C15" s="165" t="n">
        <v>215</v>
      </c>
      <c r="D15" s="162" t="n">
        <v>115.5</v>
      </c>
      <c r="E15" s="164" t="n">
        <v>35</v>
      </c>
      <c r="F15" s="162" t="n">
        <v>85</v>
      </c>
      <c r="G15" s="27" t="n">
        <v>26</v>
      </c>
      <c r="H15" s="165" t="n">
        <v>16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마천금호어울림1차</t>
        </is>
      </c>
      <c r="B16" s="16" t="inlineStr">
        <is>
          <t>'02.03.</t>
        </is>
      </c>
      <c r="C16" s="165" t="n">
        <v>215</v>
      </c>
      <c r="D16" s="162" t="n">
        <v>116.2</v>
      </c>
      <c r="E16" s="164" t="n">
        <v>35</v>
      </c>
      <c r="F16" s="162" t="n">
        <v>84.8</v>
      </c>
      <c r="G16" s="27" t="n">
        <v>26</v>
      </c>
      <c r="H16" s="165" t="n">
        <v>14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116A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마천금호어울림1차</t>
        </is>
      </c>
      <c r="B17" s="16" t="inlineStr">
        <is>
          <t>'02.03.</t>
        </is>
      </c>
      <c r="C17" s="165" t="n">
        <v>215</v>
      </c>
      <c r="D17" s="162" t="n">
        <v>133.3</v>
      </c>
      <c r="E17" s="164" t="n">
        <v>40</v>
      </c>
      <c r="F17" s="162" t="n">
        <v>101.9</v>
      </c>
      <c r="G17" s="27" t="n">
        <v>31</v>
      </c>
      <c r="H17" s="165" t="n">
        <v>38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133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마천금호어울림1차</t>
        </is>
      </c>
      <c r="B18" s="16" t="inlineStr">
        <is>
          <t>'02.03.</t>
        </is>
      </c>
      <c r="C18" s="165" t="n">
        <v>215</v>
      </c>
      <c r="D18" s="162" t="n">
        <v>147.2</v>
      </c>
      <c r="E18" s="164" t="n">
        <v>45</v>
      </c>
      <c r="F18" s="162" t="n">
        <v>114.8</v>
      </c>
      <c r="G18" s="27" t="n">
        <v>35</v>
      </c>
      <c r="H18" s="165" t="n">
        <v>63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우방</t>
        </is>
      </c>
      <c r="B20" s="16" t="inlineStr">
        <is>
          <t>'02.11.</t>
        </is>
      </c>
      <c r="C20" s="165" t="n">
        <v>247</v>
      </c>
      <c r="D20" s="162" t="n">
        <v>74.2</v>
      </c>
      <c r="E20" s="164" t="n">
        <v>22</v>
      </c>
      <c r="F20" s="162" t="n">
        <v>55.3</v>
      </c>
      <c r="G20" s="27" t="n">
        <v>17</v>
      </c>
      <c r="H20" s="165" t="n">
        <v>105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복</t>
        </is>
      </c>
      <c r="T20" s="8" t="n">
        <v>74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우방</t>
        </is>
      </c>
      <c r="B21" s="16" t="inlineStr">
        <is>
          <t>'02.11.</t>
        </is>
      </c>
      <c r="C21" s="165" t="n">
        <v>247</v>
      </c>
      <c r="D21" s="162" t="n">
        <v>105.2</v>
      </c>
      <c r="E21" s="164" t="n">
        <v>32</v>
      </c>
      <c r="F21" s="162" t="n">
        <v>79.09999999999999</v>
      </c>
      <c r="G21" s="27" t="n">
        <v>24</v>
      </c>
      <c r="H21" s="165" t="n">
        <v>106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우방</t>
        </is>
      </c>
      <c r="B22" s="16" t="inlineStr">
        <is>
          <t>'02.11.</t>
        </is>
      </c>
      <c r="C22" s="165" t="n">
        <v>247</v>
      </c>
      <c r="D22" s="162" t="n">
        <v>105.5</v>
      </c>
      <c r="E22" s="164" t="n">
        <v>32</v>
      </c>
      <c r="F22" s="162" t="n">
        <v>79.3</v>
      </c>
      <c r="G22" s="27" t="n">
        <v>24</v>
      </c>
      <c r="H22" s="165" t="n">
        <v>19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복</t>
        </is>
      </c>
      <c r="T22" s="8" t="inlineStr">
        <is>
          <t>105B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우방</t>
        </is>
      </c>
      <c r="B23" s="16" t="inlineStr">
        <is>
          <t>'02.11.</t>
        </is>
      </c>
      <c r="C23" s="165" t="n">
        <v>247</v>
      </c>
      <c r="D23" s="162" t="n">
        <v>141.8</v>
      </c>
      <c r="E23" s="164" t="n">
        <v>43</v>
      </c>
      <c r="F23" s="162" t="n">
        <v>106.8</v>
      </c>
      <c r="G23" s="27" t="n">
        <v>32</v>
      </c>
      <c r="H23" s="165" t="n">
        <v>17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141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송파파크데일1단지</t>
        </is>
      </c>
      <c r="B25" s="16" t="inlineStr">
        <is>
          <t>'11.01.</t>
        </is>
      </c>
      <c r="C25" s="165" t="n">
        <v>812</v>
      </c>
      <c r="D25" s="162" t="n">
        <v>78.59999999999999</v>
      </c>
      <c r="E25" s="164" t="n">
        <v>24</v>
      </c>
      <c r="F25" s="162" t="n">
        <v>59.9</v>
      </c>
      <c r="G25" s="27" t="n">
        <v>18</v>
      </c>
      <c r="H25" s="165" t="n">
        <v>44</v>
      </c>
      <c r="I25" s="166" t="n">
        <v>78000</v>
      </c>
      <c r="J25" s="166" t="inlineStr">
        <is>
          <t>중</t>
        </is>
      </c>
      <c r="K25" s="166" t="n">
        <v>50000</v>
      </c>
      <c r="L25" s="166" t="inlineStr">
        <is>
          <t>중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78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송파파크데일1단지</t>
        </is>
      </c>
      <c r="B26" s="16" t="inlineStr">
        <is>
          <t>'11.01.</t>
        </is>
      </c>
      <c r="C26" s="165" t="n">
        <v>812</v>
      </c>
      <c r="D26" s="162" t="n">
        <v>108.8</v>
      </c>
      <c r="E26" s="164" t="n">
        <v>33</v>
      </c>
      <c r="F26" s="162" t="n">
        <v>84.09999999999999</v>
      </c>
      <c r="G26" s="27" t="n">
        <v>25</v>
      </c>
      <c r="H26" s="165" t="n">
        <v>63</v>
      </c>
      <c r="I26" s="166" t="n">
        <v>120000</v>
      </c>
      <c r="J26" s="166" t="inlineStr">
        <is>
          <t>고</t>
        </is>
      </c>
      <c r="K26" s="166" t="n">
        <v>60000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송파파크데일1단지</t>
        </is>
      </c>
      <c r="B27" s="16" t="inlineStr">
        <is>
          <t>'11.01.</t>
        </is>
      </c>
      <c r="C27" s="165" t="n">
        <v>812</v>
      </c>
      <c r="D27" s="162" t="n">
        <v>109.7</v>
      </c>
      <c r="E27" s="164" t="n">
        <v>33</v>
      </c>
      <c r="F27" s="162" t="n">
        <v>84.90000000000001</v>
      </c>
      <c r="G27" s="27" t="n">
        <v>26</v>
      </c>
      <c r="H27" s="165" t="n">
        <v>15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109D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송파파크데일1단지</t>
        </is>
      </c>
      <c r="B28" s="16" t="inlineStr">
        <is>
          <t>'11.01.</t>
        </is>
      </c>
      <c r="C28" s="165" t="n">
        <v>812</v>
      </c>
      <c r="D28" s="162" t="n">
        <v>110.3</v>
      </c>
      <c r="E28" s="164" t="n">
        <v>33</v>
      </c>
      <c r="F28" s="162" t="n">
        <v>84.90000000000001</v>
      </c>
      <c r="G28" s="27" t="n">
        <v>26</v>
      </c>
      <c r="H28" s="165" t="n">
        <v>60</v>
      </c>
      <c r="I28" s="166" t="n">
        <v>120000</v>
      </c>
      <c r="J28" s="166" t="inlineStr">
        <is>
          <t>11</t>
        </is>
      </c>
      <c r="K28" s="166" t="n">
        <v>57000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송파파크데일1단지</t>
        </is>
      </c>
      <c r="B29" s="16" t="inlineStr">
        <is>
          <t>'11.01.</t>
        </is>
      </c>
      <c r="C29" s="165" t="n">
        <v>812</v>
      </c>
      <c r="D29" s="162" t="n">
        <v>110.1</v>
      </c>
      <c r="E29" s="164" t="n">
        <v>33</v>
      </c>
      <c r="F29" s="162" t="n">
        <v>85</v>
      </c>
      <c r="G29" s="27" t="n">
        <v>26</v>
      </c>
      <c r="H29" s="165" t="n">
        <v>56</v>
      </c>
      <c r="I29" s="166" t="n">
        <v>102000</v>
      </c>
      <c r="J29" s="166" t="inlineStr">
        <is>
          <t>고</t>
        </is>
      </c>
      <c r="K29" s="166" t="n">
        <v>50000</v>
      </c>
      <c r="L29" s="166" t="inlineStr">
        <is>
          <t>고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송파파크데일1단지</t>
        </is>
      </c>
      <c r="B30" s="16" t="inlineStr">
        <is>
          <t>'11.01.</t>
        </is>
      </c>
      <c r="C30" s="165" t="n">
        <v>812</v>
      </c>
      <c r="D30" s="162" t="n">
        <v>147.4</v>
      </c>
      <c r="E30" s="164" t="n">
        <v>45</v>
      </c>
      <c r="F30" s="162" t="n">
        <v>114.8</v>
      </c>
      <c r="G30" s="27" t="n">
        <v>35</v>
      </c>
      <c r="H30" s="165" t="n">
        <v>28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147A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송파파크데일1단지</t>
        </is>
      </c>
      <c r="B31" s="16" t="inlineStr">
        <is>
          <t>'11.01.</t>
        </is>
      </c>
      <c r="C31" s="165" t="n">
        <v>812</v>
      </c>
      <c r="D31" s="162" t="n">
        <v>148.4</v>
      </c>
      <c r="E31" s="164" t="n">
        <v>45</v>
      </c>
      <c r="F31" s="162" t="n">
        <v>114.8</v>
      </c>
      <c r="G31" s="27" t="n">
        <v>35</v>
      </c>
      <c r="H31" s="165" t="n">
        <v>19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148C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53" dxfId="17">
      <formula>AV4="X"</formula>
    </cfRule>
    <cfRule type="expression" priority="454" dxfId="16">
      <formula>AV4="후보"</formula>
    </cfRule>
  </conditionalFormatting>
  <conditionalFormatting sqref="AC1:AC2 AC4:AC6 N4:N5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N1:N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17">
      <formula>AV7="X"</formula>
    </cfRule>
    <cfRule type="expression" priority="433" dxfId="16">
      <formula>AV7="후보"</formula>
    </cfRule>
  </conditionalFormatting>
  <conditionalFormatting sqref="AC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17">
      <formula>AV8="X"</formula>
    </cfRule>
    <cfRule type="expression" priority="414" dxfId="16">
      <formula>AV8="후보"</formula>
    </cfRule>
  </conditionalFormatting>
  <conditionalFormatting sqref="AC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17">
      <formula>AV9="X"</formula>
    </cfRule>
    <cfRule type="expression" priority="395" dxfId="16">
      <formula>AV9="후보"</formula>
    </cfRule>
  </conditionalFormatting>
  <conditionalFormatting sqref="AC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17">
      <formula>AV10="X"</formula>
    </cfRule>
    <cfRule type="expression" priority="376" dxfId="16">
      <formula>AV10="후보"</formula>
    </cfRule>
  </conditionalFormatting>
  <conditionalFormatting sqref="AC1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17">
      <formula>AV11="X"</formula>
    </cfRule>
    <cfRule type="expression" priority="357" dxfId="16">
      <formula>AV11="후보"</formula>
    </cfRule>
  </conditionalFormatting>
  <conditionalFormatting sqref="AC1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17">
      <formula>AV12="X"</formula>
    </cfRule>
    <cfRule type="expression" priority="338" dxfId="16">
      <formula>AV12="후보"</formula>
    </cfRule>
  </conditionalFormatting>
  <conditionalFormatting sqref="AC12 N1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3">
    <cfRule type="expression" priority="332" dxfId="17">
      <formula>AV13="X"</formula>
    </cfRule>
    <cfRule type="expression" priority="333" dxfId="16">
      <formula>AV13="후보"</formula>
    </cfRule>
  </conditionalFormatting>
  <conditionalFormatting sqref="AC1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17">
      <formula>AV14="X"</formula>
    </cfRule>
    <cfRule type="expression" priority="314" dxfId="16">
      <formula>AV14="후보"</formula>
    </cfRule>
  </conditionalFormatting>
  <conditionalFormatting sqref="AC1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17">
      <formula>AV15="X"</formula>
    </cfRule>
    <cfRule type="expression" priority="295" dxfId="16">
      <formula>AV15="후보"</formula>
    </cfRule>
  </conditionalFormatting>
  <conditionalFormatting sqref="AC1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17">
      <formula>AV16="X"</formula>
    </cfRule>
    <cfRule type="expression" priority="276" dxfId="16">
      <formula>AV16="후보"</formula>
    </cfRule>
  </conditionalFormatting>
  <conditionalFormatting sqref="AC1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17">
      <formula>AV17="X"</formula>
    </cfRule>
    <cfRule type="expression" priority="257" dxfId="16">
      <formula>AV17="후보"</formula>
    </cfRule>
  </conditionalFormatting>
  <conditionalFormatting sqref="AC1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17">
      <formula>AV18="X"</formula>
    </cfRule>
    <cfRule type="expression" priority="238" dxfId="16">
      <formula>AV18="후보"</formula>
    </cfRule>
  </conditionalFormatting>
  <conditionalFormatting sqref="AC1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17">
      <formula>AV19="X"</formula>
    </cfRule>
    <cfRule type="expression" priority="219" dxfId="16">
      <formula>AV19="후보"</formula>
    </cfRule>
  </conditionalFormatting>
  <conditionalFormatting sqref="AC19 N1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20">
    <cfRule type="expression" priority="213" dxfId="17">
      <formula>AV20="X"</formula>
    </cfRule>
    <cfRule type="expression" priority="214" dxfId="16">
      <formula>AV20="후보"</formula>
    </cfRule>
  </conditionalFormatting>
  <conditionalFormatting sqref="AC2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17">
      <formula>AV21="X"</formula>
    </cfRule>
    <cfRule type="expression" priority="195" dxfId="16">
      <formula>AV21="후보"</formula>
    </cfRule>
  </conditionalFormatting>
  <conditionalFormatting sqref="AC2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17">
      <formula>AV22="X"</formula>
    </cfRule>
    <cfRule type="expression" priority="176" dxfId="16">
      <formula>AV22="후보"</formula>
    </cfRule>
  </conditionalFormatting>
  <conditionalFormatting sqref="AC2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17">
      <formula>AV23="X"</formula>
    </cfRule>
    <cfRule type="expression" priority="157" dxfId="16">
      <formula>AV23="후보"</formula>
    </cfRule>
  </conditionalFormatting>
  <conditionalFormatting sqref="AC2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17">
      <formula>AV24="X"</formula>
    </cfRule>
    <cfRule type="expression" priority="138" dxfId="16">
      <formula>AV24="후보"</formula>
    </cfRule>
  </conditionalFormatting>
  <conditionalFormatting sqref="AC24 N2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5">
    <cfRule type="expression" priority="132" dxfId="17">
      <formula>AV25="X"</formula>
    </cfRule>
    <cfRule type="expression" priority="133" dxfId="16">
      <formula>AV25="후보"</formula>
    </cfRule>
  </conditionalFormatting>
  <conditionalFormatting sqref="AC2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17">
      <formula>AV26="X"</formula>
    </cfRule>
    <cfRule type="expression" priority="114" dxfId="16">
      <formula>AV26="후보"</formula>
    </cfRule>
  </conditionalFormatting>
  <conditionalFormatting sqref="AC2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17">
      <formula>AV27="X"</formula>
    </cfRule>
    <cfRule type="expression" priority="95" dxfId="16">
      <formula>AV27="후보"</formula>
    </cfRule>
  </conditionalFormatting>
  <conditionalFormatting sqref="AC2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17">
      <formula>AV28="X"</formula>
    </cfRule>
    <cfRule type="expression" priority="76" dxfId="16">
      <formula>AV28="후보"</formula>
    </cfRule>
  </conditionalFormatting>
  <conditionalFormatting sqref="AC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17">
      <formula>AV29="X"</formula>
    </cfRule>
    <cfRule type="expression" priority="57" dxfId="16">
      <formula>AV29="후보"</formula>
    </cfRule>
  </conditionalFormatting>
  <conditionalFormatting sqref="AC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17">
      <formula>AV30="X"</formula>
    </cfRule>
    <cfRule type="expression" priority="38" dxfId="16">
      <formula>AV30="후보"</formula>
    </cfRule>
  </conditionalFormatting>
  <conditionalFormatting sqref="AC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17">
      <formula>AV31="X"</formula>
    </cfRule>
    <cfRule type="expression" priority="19" dxfId="16">
      <formula>AV31="후보"</formula>
    </cfRule>
  </conditionalFormatting>
  <conditionalFormatting sqref="AC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문정래미안</t>
        </is>
      </c>
      <c r="B6" s="16" t="inlineStr">
        <is>
          <t>'04.09.</t>
        </is>
      </c>
      <c r="C6" s="165" t="n">
        <v>1696</v>
      </c>
      <c r="D6" s="162" t="n">
        <v>111.5</v>
      </c>
      <c r="E6" s="164" t="n">
        <v>34</v>
      </c>
      <c r="F6" s="162" t="n">
        <v>85</v>
      </c>
      <c r="G6" s="27" t="n">
        <v>26</v>
      </c>
      <c r="H6" s="165" t="n">
        <v>342</v>
      </c>
      <c r="I6" s="166" t="n">
        <v>150000</v>
      </c>
      <c r="J6" s="166" t="inlineStr">
        <is>
          <t>20</t>
        </is>
      </c>
      <c r="K6" s="166" t="n">
        <v>75000</v>
      </c>
      <c r="L6" s="166" t="inlineStr">
        <is>
          <t>12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111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문정래미안</t>
        </is>
      </c>
      <c r="B7" s="16" t="inlineStr">
        <is>
          <t>'04.09.</t>
        </is>
      </c>
      <c r="C7" s="165" t="n">
        <v>1696</v>
      </c>
      <c r="D7" s="162" t="n">
        <v>146.4</v>
      </c>
      <c r="E7" s="164" t="n">
        <v>44</v>
      </c>
      <c r="F7" s="162" t="n">
        <v>121</v>
      </c>
      <c r="G7" s="27" t="n">
        <v>37</v>
      </c>
      <c r="H7" s="165" t="n">
        <v>614</v>
      </c>
      <c r="I7" s="166" t="n">
        <v>180000</v>
      </c>
      <c r="J7" s="166" t="inlineStr">
        <is>
          <t>10</t>
        </is>
      </c>
      <c r="K7" s="166" t="n">
        <v>79000</v>
      </c>
      <c r="L7" s="166" t="inlineStr">
        <is>
          <t>8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146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문정래미안</t>
        </is>
      </c>
      <c r="B8" s="16" t="inlineStr">
        <is>
          <t>'04.09.</t>
        </is>
      </c>
      <c r="C8" s="165" t="n">
        <v>1696</v>
      </c>
      <c r="D8" s="162" t="n">
        <v>159</v>
      </c>
      <c r="E8" s="164" t="n">
        <v>48</v>
      </c>
      <c r="F8" s="162" t="n">
        <v>133.3</v>
      </c>
      <c r="G8" s="27" t="n">
        <v>40</v>
      </c>
      <c r="H8" s="165" t="n">
        <v>340</v>
      </c>
      <c r="I8" s="166" t="n">
        <v>180000</v>
      </c>
      <c r="J8" s="166" t="inlineStr">
        <is>
          <t>중</t>
        </is>
      </c>
      <c r="K8" s="166" t="n">
        <v>95000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159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문정래미안</t>
        </is>
      </c>
      <c r="B9" s="16" t="inlineStr">
        <is>
          <t>'04.09.</t>
        </is>
      </c>
      <c r="C9" s="165" t="n">
        <v>1696</v>
      </c>
      <c r="D9" s="162" t="n">
        <v>161.7</v>
      </c>
      <c r="E9" s="164" t="n">
        <v>49</v>
      </c>
      <c r="F9" s="162" t="n">
        <v>131.4</v>
      </c>
      <c r="G9" s="27" t="n">
        <v>40</v>
      </c>
      <c r="H9" s="165" t="n">
        <v>12</v>
      </c>
      <c r="I9" s="166" t="n">
        <v>240000</v>
      </c>
      <c r="J9" s="166" t="inlineStr">
        <is>
          <t>18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문정래미안</t>
        </is>
      </c>
      <c r="B10" s="16" t="inlineStr">
        <is>
          <t>'04.09.</t>
        </is>
      </c>
      <c r="C10" s="165" t="n">
        <v>1696</v>
      </c>
      <c r="D10" s="162" t="n">
        <v>177.1</v>
      </c>
      <c r="E10" s="164" t="n">
        <v>54</v>
      </c>
      <c r="F10" s="162" t="n">
        <v>150.6</v>
      </c>
      <c r="G10" s="27" t="n">
        <v>46</v>
      </c>
      <c r="H10" s="165" t="n">
        <v>256</v>
      </c>
      <c r="I10" s="166" t="n">
        <v>180000</v>
      </c>
      <c r="J10" s="166" t="inlineStr">
        <is>
          <t>11</t>
        </is>
      </c>
      <c r="K10" s="166" t="n">
        <v>95000</v>
      </c>
      <c r="L10" s="166" t="inlineStr">
        <is>
          <t>14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177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문정래미안</t>
        </is>
      </c>
      <c r="B11" s="16" t="inlineStr">
        <is>
          <t>'04.09.</t>
        </is>
      </c>
      <c r="C11" s="165" t="n">
        <v>1696</v>
      </c>
      <c r="D11" s="162" t="n">
        <v>199.3</v>
      </c>
      <c r="E11" s="164" t="n">
        <v>60</v>
      </c>
      <c r="F11" s="162" t="n">
        <v>170.7</v>
      </c>
      <c r="G11" s="27" t="n">
        <v>52</v>
      </c>
      <c r="H11" s="165" t="n">
        <v>108</v>
      </c>
      <c r="I11" s="166" t="n">
        <v>240000</v>
      </c>
      <c r="J11" s="166" t="inlineStr">
        <is>
          <t>12</t>
        </is>
      </c>
      <c r="K11" s="166" t="n">
        <v>105000</v>
      </c>
      <c r="L11" s="166" t="inlineStr">
        <is>
          <t>중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5</v>
      </c>
      <c r="R11" s="113" t="n">
        <v>3</v>
      </c>
      <c r="S11" s="113" t="inlineStr">
        <is>
          <t>계</t>
        </is>
      </c>
      <c r="T11" s="8" t="inlineStr">
        <is>
          <t>199A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문정래미안</t>
        </is>
      </c>
      <c r="B12" s="16" t="inlineStr">
        <is>
          <t>'04.09.</t>
        </is>
      </c>
      <c r="C12" s="165" t="n">
        <v>1696</v>
      </c>
      <c r="D12" s="162" t="n">
        <v>199.5</v>
      </c>
      <c r="E12" s="164" t="n">
        <v>60</v>
      </c>
      <c r="F12" s="162" t="n">
        <v>169.5</v>
      </c>
      <c r="G12" s="27" t="n">
        <v>51</v>
      </c>
      <c r="H12" s="165" t="n">
        <v>24</v>
      </c>
      <c r="I12" s="166" t="n"/>
      <c r="J12" s="166" t="n"/>
      <c r="K12" s="166" t="n">
        <v>110000</v>
      </c>
      <c r="L12" s="166" t="inlineStr">
        <is>
          <t>18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3</v>
      </c>
      <c r="S12" s="113" t="inlineStr">
        <is>
          <t>계</t>
        </is>
      </c>
      <c r="T12" s="8" t="inlineStr">
        <is>
          <t>199B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건영</t>
        </is>
      </c>
      <c r="B14" s="16" t="inlineStr">
        <is>
          <t>'93.01.</t>
        </is>
      </c>
      <c r="C14" s="165" t="n">
        <v>545</v>
      </c>
      <c r="D14" s="162" t="n">
        <v>94</v>
      </c>
      <c r="E14" s="164" t="n">
        <v>28</v>
      </c>
      <c r="F14" s="162" t="n">
        <v>77.7</v>
      </c>
      <c r="G14" s="27" t="n">
        <v>23</v>
      </c>
      <c r="H14" s="165" t="n">
        <v>60</v>
      </c>
      <c r="I14" s="166" t="n">
        <v>110000</v>
      </c>
      <c r="J14" s="166" t="inlineStr">
        <is>
          <t>6</t>
        </is>
      </c>
      <c r="K14" s="166" t="n">
        <v>47000</v>
      </c>
      <c r="L14" s="166" t="inlineStr">
        <is>
          <t>13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94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건영</t>
        </is>
      </c>
      <c r="B15" s="16" t="inlineStr">
        <is>
          <t>'93.01.</t>
        </is>
      </c>
      <c r="C15" s="165" t="n">
        <v>545</v>
      </c>
      <c r="D15" s="162" t="n">
        <v>103.9</v>
      </c>
      <c r="E15" s="164" t="n">
        <v>31</v>
      </c>
      <c r="F15" s="162" t="n">
        <v>84.40000000000001</v>
      </c>
      <c r="G15" s="27" t="n">
        <v>26</v>
      </c>
      <c r="H15" s="165" t="n">
        <v>424</v>
      </c>
      <c r="I15" s="166" t="n">
        <v>120000</v>
      </c>
      <c r="J15" s="166" t="inlineStr">
        <is>
          <t>10</t>
        </is>
      </c>
      <c r="K15" s="166" t="n">
        <v>50000</v>
      </c>
      <c r="L15" s="166" t="inlineStr">
        <is>
          <t>14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건영</t>
        </is>
      </c>
      <c r="B16" s="16" t="inlineStr">
        <is>
          <t>'93.01.</t>
        </is>
      </c>
      <c r="C16" s="165" t="n">
        <v>545</v>
      </c>
      <c r="D16" s="162" t="n">
        <v>103.9</v>
      </c>
      <c r="E16" s="164" t="n">
        <v>31</v>
      </c>
      <c r="F16" s="162" t="n">
        <v>84.5</v>
      </c>
      <c r="G16" s="27" t="n">
        <v>26</v>
      </c>
      <c r="H16" s="165" t="n">
        <v>30</v>
      </c>
      <c r="I16" s="166" t="n">
        <v>150000</v>
      </c>
      <c r="J16" s="166" t="inlineStr">
        <is>
          <t>14</t>
        </is>
      </c>
      <c r="K16" s="166" t="n">
        <v>60000</v>
      </c>
      <c r="L16" s="166" t="inlineStr">
        <is>
          <t>13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103D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건영</t>
        </is>
      </c>
      <c r="B17" s="16" t="inlineStr">
        <is>
          <t>'93.01.</t>
        </is>
      </c>
      <c r="C17" s="165" t="n">
        <v>545</v>
      </c>
      <c r="D17" s="162" t="n">
        <v>103.9</v>
      </c>
      <c r="E17" s="164" t="n">
        <v>31</v>
      </c>
      <c r="F17" s="162" t="n">
        <v>84.40000000000001</v>
      </c>
      <c r="G17" s="27" t="n">
        <v>26</v>
      </c>
      <c r="H17" s="165" t="n">
        <v>14</v>
      </c>
      <c r="I17" s="166" t="n">
        <v>120000</v>
      </c>
      <c r="J17" s="166" t="inlineStr">
        <is>
          <t>10</t>
        </is>
      </c>
      <c r="K17" s="166" t="n">
        <v>50000</v>
      </c>
      <c r="L17" s="166" t="inlineStr">
        <is>
          <t>14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건영</t>
        </is>
      </c>
      <c r="B18" s="16" t="inlineStr">
        <is>
          <t>'93.01.</t>
        </is>
      </c>
      <c r="C18" s="165" t="n">
        <v>545</v>
      </c>
      <c r="D18" s="162" t="n">
        <v>103.6</v>
      </c>
      <c r="E18" s="164" t="n">
        <v>31</v>
      </c>
      <c r="F18" s="162" t="n">
        <v>84.2</v>
      </c>
      <c r="G18" s="27" t="n">
        <v>25</v>
      </c>
      <c r="H18" s="165" t="n">
        <v>1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복</t>
        </is>
      </c>
      <c r="T18" s="8" t="inlineStr">
        <is>
          <t>103A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건영</t>
        </is>
      </c>
      <c r="B19" s="16" t="inlineStr">
        <is>
          <t>'93.01.</t>
        </is>
      </c>
      <c r="C19" s="165" t="n">
        <v>545</v>
      </c>
      <c r="D19" s="162" t="n">
        <v>104.4</v>
      </c>
      <c r="E19" s="164" t="n">
        <v>32</v>
      </c>
      <c r="F19" s="162" t="n">
        <v>84.90000000000001</v>
      </c>
      <c r="G19" s="27" t="n">
        <v>26</v>
      </c>
      <c r="H19" s="165" t="n">
        <v>16</v>
      </c>
      <c r="I19" s="166" t="n"/>
      <c r="J19" s="166" t="n"/>
      <c r="K19" s="166" t="n">
        <v>65000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복</t>
        </is>
      </c>
      <c r="T19" s="8" t="n">
        <v>104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문정푸르지오1차</t>
        </is>
      </c>
      <c r="B21" s="16" t="inlineStr">
        <is>
          <t>'99.10.</t>
        </is>
      </c>
      <c r="C21" s="165" t="n">
        <v>233</v>
      </c>
      <c r="D21" s="162" t="n">
        <v>78.40000000000001</v>
      </c>
      <c r="E21" s="164" t="n">
        <v>24</v>
      </c>
      <c r="F21" s="162" t="n">
        <v>59.8</v>
      </c>
      <c r="G21" s="27" t="n">
        <v>18</v>
      </c>
      <c r="H21" s="165" t="n">
        <v>81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78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문정푸르지오1차</t>
        </is>
      </c>
      <c r="B22" s="16" t="inlineStr">
        <is>
          <t>'99.10.</t>
        </is>
      </c>
      <c r="C22" s="165" t="n">
        <v>233</v>
      </c>
      <c r="D22" s="162" t="n">
        <v>111.1</v>
      </c>
      <c r="E22" s="164" t="n">
        <v>34</v>
      </c>
      <c r="F22" s="162" t="n">
        <v>84.90000000000001</v>
      </c>
      <c r="G22" s="27" t="n">
        <v>26</v>
      </c>
      <c r="H22" s="165" t="n">
        <v>152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111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현대1차</t>
        </is>
      </c>
      <c r="B24" s="16" t="inlineStr">
        <is>
          <t>'84.11.</t>
        </is>
      </c>
      <c r="C24" s="165" t="n">
        <v>514</v>
      </c>
      <c r="D24" s="162" t="n">
        <v>102.7</v>
      </c>
      <c r="E24" s="164" t="n">
        <v>31</v>
      </c>
      <c r="F24" s="162" t="n">
        <v>85</v>
      </c>
      <c r="G24" s="27" t="n">
        <v>26</v>
      </c>
      <c r="H24" s="165" t="n">
        <v>228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102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현대1차</t>
        </is>
      </c>
      <c r="B25" s="16" t="inlineStr">
        <is>
          <t>'84.11.</t>
        </is>
      </c>
      <c r="C25" s="165" t="n">
        <v>514</v>
      </c>
      <c r="D25" s="162" t="n">
        <v>144.3</v>
      </c>
      <c r="E25" s="164" t="n">
        <v>44</v>
      </c>
      <c r="F25" s="162" t="n">
        <v>123.6</v>
      </c>
      <c r="G25" s="27" t="n">
        <v>37</v>
      </c>
      <c r="H25" s="165" t="n">
        <v>286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144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문정시영</t>
        </is>
      </c>
      <c r="B27" s="16" t="inlineStr">
        <is>
          <t>'89.03.</t>
        </is>
      </c>
      <c r="C27" s="165" t="n">
        <v>1316</v>
      </c>
      <c r="D27" s="162" t="n">
        <v>37.5</v>
      </c>
      <c r="E27" s="164" t="n">
        <v>11</v>
      </c>
      <c r="F27" s="162" t="n">
        <v>25.7</v>
      </c>
      <c r="G27" s="27" t="n">
        <v>8</v>
      </c>
      <c r="H27" s="165" t="n">
        <v>168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1</v>
      </c>
      <c r="R27" s="113" t="n">
        <v>1</v>
      </c>
      <c r="S27" s="113" t="inlineStr">
        <is>
          <t>복</t>
        </is>
      </c>
      <c r="T27" s="8" t="n">
        <v>37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문정시영</t>
        </is>
      </c>
      <c r="B28" s="16" t="inlineStr">
        <is>
          <t>'89.03.</t>
        </is>
      </c>
      <c r="C28" s="165" t="n">
        <v>1316</v>
      </c>
      <c r="D28" s="162" t="n">
        <v>52.8</v>
      </c>
      <c r="E28" s="164" t="n">
        <v>16</v>
      </c>
      <c r="F28" s="162" t="n">
        <v>35.5</v>
      </c>
      <c r="G28" s="27" t="n">
        <v>11</v>
      </c>
      <c r="H28" s="165" t="n">
        <v>224</v>
      </c>
      <c r="I28" s="166" t="n">
        <v>56000</v>
      </c>
      <c r="J28" s="166" t="inlineStr">
        <is>
          <t>11</t>
        </is>
      </c>
      <c r="K28" s="166" t="n">
        <v>18000</v>
      </c>
      <c r="L28" s="166" t="inlineStr">
        <is>
          <t>5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1</v>
      </c>
      <c r="R28" s="113" t="n">
        <v>1</v>
      </c>
      <c r="S28" s="113" t="inlineStr">
        <is>
          <t>복</t>
        </is>
      </c>
      <c r="T28" s="8" t="n">
        <v>52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문정시영</t>
        </is>
      </c>
      <c r="B29" s="16" t="inlineStr">
        <is>
          <t>'89.03.</t>
        </is>
      </c>
      <c r="C29" s="165" t="n">
        <v>1316</v>
      </c>
      <c r="D29" s="162" t="n">
        <v>61</v>
      </c>
      <c r="E29" s="164" t="n">
        <v>18</v>
      </c>
      <c r="F29" s="162" t="n">
        <v>39.7</v>
      </c>
      <c r="G29" s="27" t="n">
        <v>12</v>
      </c>
      <c r="H29" s="165" t="n">
        <v>672</v>
      </c>
      <c r="I29" s="166" t="n">
        <v>69000</v>
      </c>
      <c r="J29" s="166" t="inlineStr">
        <is>
          <t>8</t>
        </is>
      </c>
      <c r="K29" s="166" t="n">
        <v>20000</v>
      </c>
      <c r="L29" s="166" t="inlineStr">
        <is>
          <t>11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61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문정시영</t>
        </is>
      </c>
      <c r="B30" s="16" t="inlineStr">
        <is>
          <t>'89.03.</t>
        </is>
      </c>
      <c r="C30" s="165" t="n">
        <v>1316</v>
      </c>
      <c r="D30" s="162" t="n">
        <v>74.7</v>
      </c>
      <c r="E30" s="164" t="n">
        <v>23</v>
      </c>
      <c r="F30" s="162" t="n">
        <v>46.3</v>
      </c>
      <c r="G30" s="27" t="n">
        <v>14</v>
      </c>
      <c r="H30" s="165" t="n">
        <v>252</v>
      </c>
      <c r="I30" s="166" t="n">
        <v>75000</v>
      </c>
      <c r="J30" s="166" t="inlineStr">
        <is>
          <t>12</t>
        </is>
      </c>
      <c r="K30" s="166" t="n">
        <v>21000</v>
      </c>
      <c r="L30" s="166" t="inlineStr">
        <is>
          <t>중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74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2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3" t="n"/>
      <c r="P31" s="163" t="n"/>
      <c r="Q31" s="164" t="n"/>
      <c r="R31" s="164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1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올림픽훼밀리타운</t>
        </is>
      </c>
      <c r="B32" s="16" t="inlineStr">
        <is>
          <t>'88.12.</t>
        </is>
      </c>
      <c r="C32" s="165" t="n">
        <v>4494</v>
      </c>
      <c r="D32" s="162" t="n">
        <v>103.1</v>
      </c>
      <c r="E32" s="164" t="n">
        <v>31</v>
      </c>
      <c r="F32" s="162" t="n">
        <v>84.7</v>
      </c>
      <c r="G32" s="27" t="n">
        <v>26</v>
      </c>
      <c r="H32" s="165" t="n">
        <v>900</v>
      </c>
      <c r="I32" s="166" t="n">
        <v>143000</v>
      </c>
      <c r="J32" s="166" t="inlineStr">
        <is>
          <t>13</t>
        </is>
      </c>
      <c r="K32" s="166" t="n">
        <v>60000</v>
      </c>
      <c r="L32" s="166" t="inlineStr">
        <is>
          <t>10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inlineStr">
        <is>
          <t>103B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올림픽훼밀리타운</t>
        </is>
      </c>
      <c r="B33" s="16" t="inlineStr">
        <is>
          <t>'88.12.</t>
        </is>
      </c>
      <c r="C33" s="165" t="n">
        <v>4494</v>
      </c>
      <c r="D33" s="162" t="n">
        <v>104.4</v>
      </c>
      <c r="E33" s="164" t="n">
        <v>32</v>
      </c>
      <c r="F33" s="162" t="n">
        <v>84.8</v>
      </c>
      <c r="G33" s="27" t="n">
        <v>26</v>
      </c>
      <c r="H33" s="165" t="n">
        <v>600</v>
      </c>
      <c r="I33" s="166" t="n">
        <v>175000</v>
      </c>
      <c r="J33" s="166" t="inlineStr">
        <is>
          <t>10</t>
        </is>
      </c>
      <c r="K33" s="166" t="n">
        <v>70000</v>
      </c>
      <c r="L33" s="166" t="inlineStr">
        <is>
          <t>14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inlineStr">
        <is>
          <t>104A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올림픽훼밀리타운</t>
        </is>
      </c>
      <c r="B34" s="16" t="inlineStr">
        <is>
          <t>'88.12.</t>
        </is>
      </c>
      <c r="C34" s="165" t="n">
        <v>4494</v>
      </c>
      <c r="D34" s="162" t="n">
        <v>138.7</v>
      </c>
      <c r="E34" s="164" t="n">
        <v>42</v>
      </c>
      <c r="F34" s="162" t="n">
        <v>117.6</v>
      </c>
      <c r="G34" s="27" t="n">
        <v>36</v>
      </c>
      <c r="H34" s="165" t="n">
        <v>900</v>
      </c>
      <c r="I34" s="166" t="n">
        <v>180000</v>
      </c>
      <c r="J34" s="166" t="inlineStr">
        <is>
          <t>13</t>
        </is>
      </c>
      <c r="K34" s="166" t="n">
        <v>70000</v>
      </c>
      <c r="L34" s="166" t="inlineStr">
        <is>
          <t>8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138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올림픽훼밀리타운</t>
        </is>
      </c>
      <c r="B35" s="16" t="inlineStr">
        <is>
          <t>'88.12.</t>
        </is>
      </c>
      <c r="C35" s="165" t="n">
        <v>4494</v>
      </c>
      <c r="D35" s="162" t="n">
        <v>158.8</v>
      </c>
      <c r="E35" s="164" t="n">
        <v>48</v>
      </c>
      <c r="F35" s="162" t="n">
        <v>136.3</v>
      </c>
      <c r="G35" s="27" t="n">
        <v>41</v>
      </c>
      <c r="H35" s="165" t="n">
        <v>1416</v>
      </c>
      <c r="I35" s="166" t="n">
        <v>210000</v>
      </c>
      <c r="J35" s="166" t="inlineStr">
        <is>
          <t>10</t>
        </is>
      </c>
      <c r="K35" s="166" t="n">
        <v>80000</v>
      </c>
      <c r="L35" s="166" t="inlineStr">
        <is>
          <t>15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158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올림픽훼밀리타운</t>
        </is>
      </c>
      <c r="B36" s="16" t="inlineStr">
        <is>
          <t>'88.12.</t>
        </is>
      </c>
      <c r="C36" s="165" t="n">
        <v>4494</v>
      </c>
      <c r="D36" s="162" t="n">
        <v>182.8</v>
      </c>
      <c r="E36" s="164" t="n">
        <v>55</v>
      </c>
      <c r="F36" s="162" t="n">
        <v>158.7</v>
      </c>
      <c r="G36" s="27" t="n">
        <v>48</v>
      </c>
      <c r="H36" s="165" t="n">
        <v>558</v>
      </c>
      <c r="I36" s="166" t="n">
        <v>230000</v>
      </c>
      <c r="J36" s="166" t="inlineStr">
        <is>
          <t>11</t>
        </is>
      </c>
      <c r="K36" s="166" t="n">
        <v>100000</v>
      </c>
      <c r="L36" s="166" t="inlineStr">
        <is>
          <t>10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2</v>
      </c>
      <c r="S36" s="113" t="inlineStr">
        <is>
          <t>계</t>
        </is>
      </c>
      <c r="T36" s="8" t="n">
        <v>182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올림픽훼밀리타운</t>
        </is>
      </c>
      <c r="B37" s="16" t="inlineStr">
        <is>
          <t>'88.12.</t>
        </is>
      </c>
      <c r="C37" s="165" t="n">
        <v>4494</v>
      </c>
      <c r="D37" s="162" t="n">
        <v>219.7</v>
      </c>
      <c r="E37" s="164" t="n">
        <v>66</v>
      </c>
      <c r="F37" s="162" t="n">
        <v>192.2</v>
      </c>
      <c r="G37" s="27" t="n">
        <v>58</v>
      </c>
      <c r="H37" s="165" t="n">
        <v>120</v>
      </c>
      <c r="I37" s="166" t="n"/>
      <c r="J37" s="166" t="n"/>
      <c r="K37" s="166" t="n">
        <v>160000</v>
      </c>
      <c r="L37" s="166" t="inlineStr">
        <is>
          <t>9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6</v>
      </c>
      <c r="R37" s="113" t="n">
        <v>2</v>
      </c>
      <c r="S37" s="113" t="inlineStr">
        <is>
          <t>계</t>
        </is>
      </c>
      <c r="T37" s="8" t="n">
        <v>219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2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3" t="n"/>
      <c r="P38" s="163" t="n"/>
      <c r="Q38" s="164" t="n"/>
      <c r="R38" s="164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1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송파파크하비오푸르지오</t>
        </is>
      </c>
      <c r="B39" s="16" t="inlineStr">
        <is>
          <t>'16.09.</t>
        </is>
      </c>
      <c r="C39" s="165" t="n">
        <v>999</v>
      </c>
      <c r="D39" s="162" t="n">
        <v>115.7</v>
      </c>
      <c r="E39" s="164" t="n">
        <v>35</v>
      </c>
      <c r="F39" s="162" t="n">
        <v>85</v>
      </c>
      <c r="G39" s="27" t="n">
        <v>26</v>
      </c>
      <c r="H39" s="165" t="n">
        <v>281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송파파크하비오푸르지오</t>
        </is>
      </c>
      <c r="B40" s="16" t="inlineStr">
        <is>
          <t>'16.09.</t>
        </is>
      </c>
      <c r="C40" s="165" t="n">
        <v>999</v>
      </c>
      <c r="D40" s="162" t="n">
        <v>115.6</v>
      </c>
      <c r="E40" s="164" t="n">
        <v>35</v>
      </c>
      <c r="F40" s="162" t="n">
        <v>84.90000000000001</v>
      </c>
      <c r="G40" s="27" t="n">
        <v>26</v>
      </c>
      <c r="H40" s="165" t="n">
        <v>145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송파파크하비오푸르지오</t>
        </is>
      </c>
      <c r="B41" s="16" t="inlineStr">
        <is>
          <t>'16.09.</t>
        </is>
      </c>
      <c r="C41" s="165" t="n">
        <v>999</v>
      </c>
      <c r="D41" s="162" t="n">
        <v>115.5</v>
      </c>
      <c r="E41" s="164" t="n">
        <v>35</v>
      </c>
      <c r="F41" s="162" t="n">
        <v>84.90000000000001</v>
      </c>
      <c r="G41" s="27" t="n">
        <v>26</v>
      </c>
      <c r="H41" s="165" t="n">
        <v>141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송파파크하비오푸르지오</t>
        </is>
      </c>
      <c r="B42" s="16" t="inlineStr">
        <is>
          <t>'16.09.</t>
        </is>
      </c>
      <c r="C42" s="165" t="n">
        <v>999</v>
      </c>
      <c r="D42" s="162" t="n">
        <v>116.3</v>
      </c>
      <c r="E42" s="164" t="n">
        <v>35</v>
      </c>
      <c r="F42" s="162" t="n">
        <v>85</v>
      </c>
      <c r="G42" s="27" t="n">
        <v>26</v>
      </c>
      <c r="H42" s="165" t="n">
        <v>280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116B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송파파크하비오푸르지오</t>
        </is>
      </c>
      <c r="B43" s="16" t="inlineStr">
        <is>
          <t>'16.09.</t>
        </is>
      </c>
      <c r="C43" s="165" t="n">
        <v>999</v>
      </c>
      <c r="D43" s="162" t="n">
        <v>116.4</v>
      </c>
      <c r="E43" s="164" t="n">
        <v>35</v>
      </c>
      <c r="F43" s="162" t="n">
        <v>85</v>
      </c>
      <c r="G43" s="27" t="n">
        <v>26</v>
      </c>
      <c r="H43" s="165" t="n">
        <v>72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116E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송파파크하비오푸르지오</t>
        </is>
      </c>
      <c r="B44" s="16" t="inlineStr">
        <is>
          <t>'16.09.</t>
        </is>
      </c>
      <c r="C44" s="165" t="n">
        <v>999</v>
      </c>
      <c r="D44" s="162" t="n">
        <v>156.1</v>
      </c>
      <c r="E44" s="164" t="n">
        <v>47</v>
      </c>
      <c r="F44" s="162" t="n">
        <v>116.1</v>
      </c>
      <c r="G44" s="27" t="n">
        <v>35</v>
      </c>
      <c r="H44" s="165" t="n">
        <v>68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156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송파파크하비오푸르지오</t>
        </is>
      </c>
      <c r="B45" s="16" t="inlineStr">
        <is>
          <t>'16.09.</t>
        </is>
      </c>
      <c r="C45" s="165" t="n">
        <v>999</v>
      </c>
      <c r="D45" s="162" t="n">
        <v>173.6</v>
      </c>
      <c r="E45" s="164" t="n">
        <v>53</v>
      </c>
      <c r="F45" s="162" t="n">
        <v>127.2</v>
      </c>
      <c r="G45" s="27" t="n">
        <v>38</v>
      </c>
      <c r="H45" s="165" t="n">
        <v>6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173PH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송파파크하비오푸르지오</t>
        </is>
      </c>
      <c r="B46" s="16" t="inlineStr">
        <is>
          <t>'16.09.</t>
        </is>
      </c>
      <c r="C46" s="165" t="n">
        <v>999</v>
      </c>
      <c r="D46" s="162" t="n">
        <v>182</v>
      </c>
      <c r="E46" s="164" t="n">
        <v>55</v>
      </c>
      <c r="F46" s="162" t="n">
        <v>133.8</v>
      </c>
      <c r="G46" s="27" t="n">
        <v>40</v>
      </c>
      <c r="H46" s="165" t="n">
        <v>2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182PH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송파파크하비오푸르지오</t>
        </is>
      </c>
      <c r="B47" s="16" t="inlineStr">
        <is>
          <t>'16.09.</t>
        </is>
      </c>
      <c r="C47" s="165" t="n">
        <v>999</v>
      </c>
      <c r="D47" s="162" t="n">
        <v>204.4</v>
      </c>
      <c r="E47" s="164" t="n">
        <v>62</v>
      </c>
      <c r="F47" s="162" t="n">
        <v>151.6</v>
      </c>
      <c r="G47" s="27" t="n">
        <v>46</v>
      </c>
      <c r="H47" s="165" t="n">
        <v>4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5</v>
      </c>
      <c r="R47" s="113" t="n">
        <v>3</v>
      </c>
      <c r="S47" s="113" t="inlineStr">
        <is>
          <t>계</t>
        </is>
      </c>
      <c r="T47" s="8" t="inlineStr">
        <is>
          <t>204PH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15" dxfId="17">
      <formula>AV4="X"</formula>
    </cfRule>
    <cfRule type="expression" priority="716" dxfId="16">
      <formula>AV4="후보"</formula>
    </cfRule>
  </conditionalFormatting>
  <conditionalFormatting sqref="AC1:AC2 AC4:AC6 N4:N5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N1:N2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6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17">
      <formula>AV7="X"</formula>
    </cfRule>
    <cfRule type="expression" priority="695" dxfId="16">
      <formula>AV7="후보"</formula>
    </cfRule>
  </conditionalFormatting>
  <conditionalFormatting sqref="AC7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7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17">
      <formula>AV8="X"</formula>
    </cfRule>
    <cfRule type="expression" priority="676" dxfId="16">
      <formula>AV8="후보"</formula>
    </cfRule>
  </conditionalFormatting>
  <conditionalFormatting sqref="AC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17">
      <formula>AV9="X"</formula>
    </cfRule>
    <cfRule type="expression" priority="657" dxfId="16">
      <formula>AV9="후보"</formula>
    </cfRule>
  </conditionalFormatting>
  <conditionalFormatting sqref="AC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17">
      <formula>AV10="X"</formula>
    </cfRule>
    <cfRule type="expression" priority="638" dxfId="16">
      <formula>AV10="후보"</formula>
    </cfRule>
  </conditionalFormatting>
  <conditionalFormatting sqref="AC1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17">
      <formula>AV11="X"</formula>
    </cfRule>
    <cfRule type="expression" priority="619" dxfId="16">
      <formula>AV11="후보"</formula>
    </cfRule>
  </conditionalFormatting>
  <conditionalFormatting sqref="AC1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17">
      <formula>AV12="X"</formula>
    </cfRule>
    <cfRule type="expression" priority="600" dxfId="16">
      <formula>AV12="후보"</formula>
    </cfRule>
  </conditionalFormatting>
  <conditionalFormatting sqref="AC1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17">
      <formula>AV13="X"</formula>
    </cfRule>
    <cfRule type="expression" priority="581" dxfId="16">
      <formula>AV13="후보"</formula>
    </cfRule>
  </conditionalFormatting>
  <conditionalFormatting sqref="AC13 N1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4">
    <cfRule type="expression" priority="575" dxfId="17">
      <formula>AV14="X"</formula>
    </cfRule>
    <cfRule type="expression" priority="576" dxfId="16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7">
      <formula>AV15="X"</formula>
    </cfRule>
    <cfRule type="expression" priority="557" dxfId="16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7">
      <formula>AV16="X"</formula>
    </cfRule>
    <cfRule type="expression" priority="538" dxfId="16">
      <formula>AV16="후보"</formula>
    </cfRule>
  </conditionalFormatting>
  <conditionalFormatting sqref="AC16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17">
      <formula>AV17="X"</formula>
    </cfRule>
    <cfRule type="expression" priority="519" dxfId="16">
      <formula>AV17="후보"</formula>
    </cfRule>
  </conditionalFormatting>
  <conditionalFormatting sqref="AC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7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17">
      <formula>AV18="X"</formula>
    </cfRule>
    <cfRule type="expression" priority="500" dxfId="16">
      <formula>AV18="후보"</formula>
    </cfRule>
  </conditionalFormatting>
  <conditionalFormatting sqref="AC1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17">
      <formula>AV19="X"</formula>
    </cfRule>
    <cfRule type="expression" priority="481" dxfId="16">
      <formula>AV19="후보"</formula>
    </cfRule>
  </conditionalFormatting>
  <conditionalFormatting sqref="AC1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17">
      <formula>AV20="X"</formula>
    </cfRule>
    <cfRule type="expression" priority="462" dxfId="16">
      <formula>AV20="후보"</formula>
    </cfRule>
  </conditionalFormatting>
  <conditionalFormatting sqref="AC20 N2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21">
    <cfRule type="expression" priority="456" dxfId="17">
      <formula>AV21="X"</formula>
    </cfRule>
    <cfRule type="expression" priority="457" dxfId="16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7">
      <formula>AV22="X"</formula>
    </cfRule>
    <cfRule type="expression" priority="438" dxfId="16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7">
      <formula>AV23="X"</formula>
    </cfRule>
    <cfRule type="expression" priority="419" dxfId="16">
      <formula>AV23="후보"</formula>
    </cfRule>
  </conditionalFormatting>
  <conditionalFormatting sqref="AC23 N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24">
    <cfRule type="expression" priority="413" dxfId="17">
      <formula>AV24="X"</formula>
    </cfRule>
    <cfRule type="expression" priority="414" dxfId="16">
      <formula>AV24="후보"</formula>
    </cfRule>
  </conditionalFormatting>
  <conditionalFormatting sqref="AC2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17">
      <formula>AV25="X"</formula>
    </cfRule>
    <cfRule type="expression" priority="395" dxfId="16">
      <formula>AV25="후보"</formula>
    </cfRule>
  </conditionalFormatting>
  <conditionalFormatting sqref="AC2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17">
      <formula>AV26="X"</formula>
    </cfRule>
    <cfRule type="expression" priority="376" dxfId="16">
      <formula>AV26="후보"</formula>
    </cfRule>
  </conditionalFormatting>
  <conditionalFormatting sqref="AC26 N2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7">
      <formula>AV30="X"</formula>
    </cfRule>
    <cfRule type="expression" priority="314" dxfId="16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7">
      <formula>AV31="X"</formula>
    </cfRule>
    <cfRule type="expression" priority="295" dxfId="16">
      <formula>AV31="후보"</formula>
    </cfRule>
  </conditionalFormatting>
  <conditionalFormatting sqref="AC31 N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 N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39">
    <cfRule type="expression" priority="170" dxfId="17">
      <formula>AV39="X"</formula>
    </cfRule>
    <cfRule type="expression" priority="171" dxfId="16">
      <formula>AV39="후보"</formula>
    </cfRule>
  </conditionalFormatting>
  <conditionalFormatting sqref="AC3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17">
      <formula>AV40="X"</formula>
    </cfRule>
    <cfRule type="expression" priority="152" dxfId="16">
      <formula>AV40="후보"</formula>
    </cfRule>
  </conditionalFormatting>
  <conditionalFormatting sqref="AC4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방이동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잠실(방이)한양3차</t>
        </is>
      </c>
      <c r="B6" s="16" t="inlineStr">
        <is>
          <t>'85.02.</t>
        </is>
      </c>
      <c r="C6" s="165" t="n">
        <v>252</v>
      </c>
      <c r="D6" s="162" t="n">
        <v>103.3</v>
      </c>
      <c r="E6" s="164" t="n">
        <v>31</v>
      </c>
      <c r="F6" s="162" t="n">
        <v>84.90000000000001</v>
      </c>
      <c r="G6" s="27" t="n">
        <v>26</v>
      </c>
      <c r="H6" s="165" t="n">
        <v>84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103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잠실(방이)한양3차</t>
        </is>
      </c>
      <c r="B7" s="16" t="inlineStr">
        <is>
          <t>'85.02.</t>
        </is>
      </c>
      <c r="C7" s="165" t="n">
        <v>252</v>
      </c>
      <c r="D7" s="162" t="n">
        <v>148</v>
      </c>
      <c r="E7" s="164" t="n">
        <v>45</v>
      </c>
      <c r="F7" s="162" t="n">
        <v>126.9</v>
      </c>
      <c r="G7" s="27" t="n">
        <v>38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148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잠실(방이)한양3차</t>
        </is>
      </c>
      <c r="B8" s="16" t="inlineStr">
        <is>
          <t>'85.02.</t>
        </is>
      </c>
      <c r="C8" s="165" t="n">
        <v>252</v>
      </c>
      <c r="D8" s="162" t="n">
        <v>169.6</v>
      </c>
      <c r="E8" s="164" t="n">
        <v>51</v>
      </c>
      <c r="F8" s="162" t="n">
        <v>147</v>
      </c>
      <c r="G8" s="27" t="n">
        <v>44</v>
      </c>
      <c r="H8" s="165" t="n">
        <v>56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169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올림픽선수기자촌</t>
        </is>
      </c>
      <c r="B10" s="16" t="inlineStr">
        <is>
          <t>'88.06.</t>
        </is>
      </c>
      <c r="C10" s="165" t="n">
        <v>5540</v>
      </c>
      <c r="D10" s="162" t="n">
        <v>82.7</v>
      </c>
      <c r="E10" s="164" t="n">
        <v>25</v>
      </c>
      <c r="F10" s="162" t="n">
        <v>62.2</v>
      </c>
      <c r="G10" s="27" t="n">
        <v>19</v>
      </c>
      <c r="H10" s="165" t="n">
        <v>43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올림픽선수기자촌</t>
        </is>
      </c>
      <c r="B11" s="16" t="inlineStr">
        <is>
          <t>'88.06.</t>
        </is>
      </c>
      <c r="C11" s="165" t="n">
        <v>5540</v>
      </c>
      <c r="D11" s="162" t="n">
        <v>95.90000000000001</v>
      </c>
      <c r="E11" s="164" t="n">
        <v>29</v>
      </c>
      <c r="F11" s="162" t="n">
        <v>73.09999999999999</v>
      </c>
      <c r="G11" s="27" t="n">
        <v>22</v>
      </c>
      <c r="H11" s="165" t="n">
        <v>25</v>
      </c>
      <c r="I11" s="166" t="n"/>
      <c r="J11" s="166" t="n"/>
      <c r="K11" s="166" t="n">
        <v>70000</v>
      </c>
      <c r="L11" s="166" t="inlineStr">
        <is>
          <t>중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95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올림픽선수기자촌</t>
        </is>
      </c>
      <c r="B12" s="16" t="inlineStr">
        <is>
          <t>'88.06.</t>
        </is>
      </c>
      <c r="C12" s="165" t="n">
        <v>5540</v>
      </c>
      <c r="D12" s="162" t="n">
        <v>109.1</v>
      </c>
      <c r="E12" s="164" t="n">
        <v>33</v>
      </c>
      <c r="F12" s="162" t="n">
        <v>85</v>
      </c>
      <c r="G12" s="27" t="n">
        <v>26</v>
      </c>
      <c r="H12" s="165" t="n">
        <v>17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inlineStr">
        <is>
          <t>109B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올림픽선수기자촌</t>
        </is>
      </c>
      <c r="B13" s="16" t="inlineStr">
        <is>
          <t>'88.06.</t>
        </is>
      </c>
      <c r="C13" s="165" t="n">
        <v>5540</v>
      </c>
      <c r="D13" s="162" t="n">
        <v>109.1</v>
      </c>
      <c r="E13" s="164" t="n">
        <v>33</v>
      </c>
      <c r="F13" s="162" t="n">
        <v>84.59999999999999</v>
      </c>
      <c r="G13" s="27" t="n">
        <v>26</v>
      </c>
      <c r="H13" s="165" t="n">
        <v>16</v>
      </c>
      <c r="I13" s="166" t="n"/>
      <c r="J13" s="166" t="n"/>
      <c r="K13" s="166" t="n">
        <v>85000</v>
      </c>
      <c r="L13" s="166" t="inlineStr">
        <is>
          <t>중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inlineStr">
        <is>
          <t>109A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올림픽선수기자촌</t>
        </is>
      </c>
      <c r="B14" s="16" t="inlineStr">
        <is>
          <t>'88.06.</t>
        </is>
      </c>
      <c r="C14" s="165" t="n">
        <v>5540</v>
      </c>
      <c r="D14" s="162" t="n">
        <v>112.4</v>
      </c>
      <c r="E14" s="164" t="n">
        <v>34</v>
      </c>
      <c r="F14" s="162" t="n">
        <v>83.09999999999999</v>
      </c>
      <c r="G14" s="27" t="n">
        <v>25</v>
      </c>
      <c r="H14" s="165" t="n">
        <v>1933</v>
      </c>
      <c r="I14" s="166" t="n">
        <v>170000</v>
      </c>
      <c r="J14" s="166" t="inlineStr">
        <is>
          <t>고</t>
        </is>
      </c>
      <c r="K14" s="166" t="n">
        <v>58000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112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올림픽선수기자촌</t>
        </is>
      </c>
      <c r="B15" s="16" t="inlineStr">
        <is>
          <t>'88.06.</t>
        </is>
      </c>
      <c r="C15" s="165" t="n">
        <v>5540</v>
      </c>
      <c r="D15" s="162" t="n">
        <v>132.2</v>
      </c>
      <c r="E15" s="164" t="n">
        <v>40</v>
      </c>
      <c r="F15" s="162" t="n">
        <v>100.3</v>
      </c>
      <c r="G15" s="27" t="n">
        <v>30</v>
      </c>
      <c r="H15" s="165" t="n">
        <v>851</v>
      </c>
      <c r="I15" s="166" t="n">
        <v>190000</v>
      </c>
      <c r="J15" s="166" t="inlineStr">
        <is>
          <t>고</t>
        </is>
      </c>
      <c r="K15" s="166" t="n">
        <v>72000</v>
      </c>
      <c r="L15" s="166" t="inlineStr">
        <is>
          <t>중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132A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올림픽선수기자촌</t>
        </is>
      </c>
      <c r="B16" s="16" t="inlineStr">
        <is>
          <t>'88.06.</t>
        </is>
      </c>
      <c r="C16" s="165" t="n">
        <v>5540</v>
      </c>
      <c r="D16" s="162" t="n">
        <v>132.2</v>
      </c>
      <c r="E16" s="164" t="n">
        <v>40</v>
      </c>
      <c r="F16" s="162" t="n">
        <v>100.8</v>
      </c>
      <c r="G16" s="27" t="n">
        <v>30</v>
      </c>
      <c r="H16" s="165" t="n">
        <v>583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1</v>
      </c>
      <c r="S16" s="113" t="inlineStr">
        <is>
          <t>계</t>
        </is>
      </c>
      <c r="T16" s="8" t="inlineStr">
        <is>
          <t>132B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올림픽선수기자촌</t>
        </is>
      </c>
      <c r="B17" s="16" t="inlineStr">
        <is>
          <t>'88.06.</t>
        </is>
      </c>
      <c r="C17" s="165" t="n">
        <v>5540</v>
      </c>
      <c r="D17" s="162" t="n">
        <v>142.2</v>
      </c>
      <c r="E17" s="164" t="n">
        <v>43</v>
      </c>
      <c r="F17" s="162" t="n">
        <v>110.3</v>
      </c>
      <c r="G17" s="27" t="n">
        <v>33</v>
      </c>
      <c r="H17" s="165" t="n">
        <v>42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142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올림픽선수기자촌</t>
        </is>
      </c>
      <c r="B18" s="16" t="inlineStr">
        <is>
          <t>'88.06.</t>
        </is>
      </c>
      <c r="C18" s="165" t="n">
        <v>5540</v>
      </c>
      <c r="D18" s="162" t="n">
        <v>155.4</v>
      </c>
      <c r="E18" s="164" t="n">
        <v>47</v>
      </c>
      <c r="F18" s="162" t="n">
        <v>121.2</v>
      </c>
      <c r="G18" s="27" t="n">
        <v>37</v>
      </c>
      <c r="H18" s="165" t="n">
        <v>318</v>
      </c>
      <c r="I18" s="166" t="n">
        <v>290000</v>
      </c>
      <c r="J18" s="166" t="inlineStr">
        <is>
          <t>중</t>
        </is>
      </c>
      <c r="K18" s="166" t="n">
        <v>110000</v>
      </c>
      <c r="L18" s="166" t="inlineStr">
        <is>
          <t>7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155A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올림픽선수기자촌</t>
        </is>
      </c>
      <c r="B19" s="16" t="inlineStr">
        <is>
          <t>'88.06.</t>
        </is>
      </c>
      <c r="C19" s="165" t="n">
        <v>5540</v>
      </c>
      <c r="D19" s="162" t="n">
        <v>155.4</v>
      </c>
      <c r="E19" s="164" t="n">
        <v>47</v>
      </c>
      <c r="F19" s="162" t="n">
        <v>120.4</v>
      </c>
      <c r="G19" s="27" t="n">
        <v>36</v>
      </c>
      <c r="H19" s="165" t="n">
        <v>50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155B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올림픽선수기자촌</t>
        </is>
      </c>
      <c r="B20" s="16" t="inlineStr">
        <is>
          <t>'88.06.</t>
        </is>
      </c>
      <c r="C20" s="165" t="n">
        <v>5540</v>
      </c>
      <c r="D20" s="162" t="n">
        <v>162</v>
      </c>
      <c r="E20" s="164" t="n">
        <v>49</v>
      </c>
      <c r="F20" s="162" t="n">
        <v>126.2</v>
      </c>
      <c r="G20" s="27" t="n">
        <v>38</v>
      </c>
      <c r="H20" s="165" t="n">
        <v>516</v>
      </c>
      <c r="I20" s="166" t="n">
        <v>310000</v>
      </c>
      <c r="J20" s="166" t="inlineStr">
        <is>
          <t>7</t>
        </is>
      </c>
      <c r="K20" s="166" t="n">
        <v>90000</v>
      </c>
      <c r="L20" s="166" t="inlineStr">
        <is>
          <t>고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161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올림픽선수기자촌</t>
        </is>
      </c>
      <c r="B21" s="16" t="inlineStr">
        <is>
          <t>'88.06.</t>
        </is>
      </c>
      <c r="C21" s="165" t="n">
        <v>5540</v>
      </c>
      <c r="D21" s="162" t="n">
        <v>165.3</v>
      </c>
      <c r="E21" s="164" t="n">
        <v>50</v>
      </c>
      <c r="F21" s="162" t="n">
        <v>129</v>
      </c>
      <c r="G21" s="27" t="n">
        <v>39</v>
      </c>
      <c r="H21" s="165" t="n">
        <v>50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165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올림픽선수기자촌</t>
        </is>
      </c>
      <c r="B22" s="16" t="inlineStr">
        <is>
          <t>'88.06.</t>
        </is>
      </c>
      <c r="C22" s="165" t="n">
        <v>5540</v>
      </c>
      <c r="D22" s="162" t="n">
        <v>168.6</v>
      </c>
      <c r="E22" s="164" t="n">
        <v>51</v>
      </c>
      <c r="F22" s="162" t="n">
        <v>131.8</v>
      </c>
      <c r="G22" s="27" t="n">
        <v>40</v>
      </c>
      <c r="H22" s="165" t="n">
        <v>318</v>
      </c>
      <c r="I22" s="166" t="n">
        <v>290000</v>
      </c>
      <c r="J22" s="166" t="inlineStr">
        <is>
          <t>중</t>
        </is>
      </c>
      <c r="K22" s="166" t="n">
        <v>100000</v>
      </c>
      <c r="L22" s="166" t="inlineStr">
        <is>
          <t>7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168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올림픽선수기자촌</t>
        </is>
      </c>
      <c r="B23" s="16" t="inlineStr">
        <is>
          <t>'88.06.</t>
        </is>
      </c>
      <c r="C23" s="165" t="n">
        <v>5540</v>
      </c>
      <c r="D23" s="162" t="n">
        <v>171.9</v>
      </c>
      <c r="E23" s="164" t="n">
        <v>52</v>
      </c>
      <c r="F23" s="162" t="n">
        <v>136</v>
      </c>
      <c r="G23" s="27" t="n">
        <v>41</v>
      </c>
      <c r="H23" s="165" t="n">
        <v>348</v>
      </c>
      <c r="I23" s="166" t="n">
        <v>380000</v>
      </c>
      <c r="J23" s="166" t="inlineStr">
        <is>
          <t>중</t>
        </is>
      </c>
      <c r="K23" s="166" t="n">
        <v>120000</v>
      </c>
      <c r="L23" s="166" t="inlineStr">
        <is>
          <t>고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171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올림픽선수기자촌</t>
        </is>
      </c>
      <c r="B24" s="16" t="inlineStr">
        <is>
          <t>'88.06.</t>
        </is>
      </c>
      <c r="C24" s="165" t="n">
        <v>5540</v>
      </c>
      <c r="D24" s="162" t="n">
        <v>175.2</v>
      </c>
      <c r="E24" s="164" t="n">
        <v>53</v>
      </c>
      <c r="F24" s="162" t="n">
        <v>137</v>
      </c>
      <c r="G24" s="27" t="n">
        <v>41</v>
      </c>
      <c r="H24" s="165" t="n">
        <v>20</v>
      </c>
      <c r="I24" s="166" t="n">
        <v>320000</v>
      </c>
      <c r="J24" s="166" t="inlineStr">
        <is>
          <t>중</t>
        </is>
      </c>
      <c r="K24" s="166" t="n">
        <v>130000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올림픽선수기자촌</t>
        </is>
      </c>
      <c r="B25" s="16" t="inlineStr">
        <is>
          <t>'88.06.</t>
        </is>
      </c>
      <c r="C25" s="165" t="n">
        <v>5540</v>
      </c>
      <c r="D25" s="162" t="n">
        <v>188.4</v>
      </c>
      <c r="E25" s="164" t="n">
        <v>57</v>
      </c>
      <c r="F25" s="162" t="n">
        <v>148.8</v>
      </c>
      <c r="G25" s="27" t="n">
        <v>45</v>
      </c>
      <c r="H25" s="165" t="n">
        <v>172</v>
      </c>
      <c r="I25" s="166" t="n">
        <v>330000</v>
      </c>
      <c r="J25" s="166" t="inlineStr">
        <is>
          <t>중</t>
        </is>
      </c>
      <c r="K25" s="166" t="n">
        <v>140000</v>
      </c>
      <c r="L25" s="166" t="inlineStr">
        <is>
          <t>중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5</v>
      </c>
      <c r="R25" s="113" t="n">
        <v>2</v>
      </c>
      <c r="S25" s="113" t="inlineStr">
        <is>
          <t>계</t>
        </is>
      </c>
      <c r="T25" s="8" t="n">
        <v>188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올림픽선수기자촌</t>
        </is>
      </c>
      <c r="B26" s="16" t="inlineStr">
        <is>
          <t>'88.06.</t>
        </is>
      </c>
      <c r="C26" s="165" t="n">
        <v>5540</v>
      </c>
      <c r="D26" s="162" t="n">
        <v>211.6</v>
      </c>
      <c r="E26" s="164" t="n">
        <v>64</v>
      </c>
      <c r="F26" s="162" t="n">
        <v>163.4</v>
      </c>
      <c r="G26" s="27" t="n">
        <v>49</v>
      </c>
      <c r="H26" s="165" t="n">
        <v>238</v>
      </c>
      <c r="I26" s="166" t="n">
        <v>380000</v>
      </c>
      <c r="J26" s="166" t="inlineStr">
        <is>
          <t>고</t>
        </is>
      </c>
      <c r="K26" s="166" t="n">
        <v>100000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211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2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3" t="n"/>
      <c r="P27" s="163" t="n"/>
      <c r="Q27" s="164" t="n"/>
      <c r="R27" s="164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1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코오롱</t>
        </is>
      </c>
      <c r="B28" s="16" t="inlineStr">
        <is>
          <t>'91.10.</t>
        </is>
      </c>
      <c r="C28" s="165" t="n">
        <v>758</v>
      </c>
      <c r="D28" s="162" t="n">
        <v>80.8</v>
      </c>
      <c r="E28" s="164" t="n">
        <v>24</v>
      </c>
      <c r="F28" s="162" t="n">
        <v>62.4</v>
      </c>
      <c r="G28" s="27" t="n">
        <v>19</v>
      </c>
      <c r="H28" s="165" t="n">
        <v>1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n">
        <v>80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코오롱</t>
        </is>
      </c>
      <c r="B29" s="16" t="inlineStr">
        <is>
          <t>'91.10.</t>
        </is>
      </c>
      <c r="C29" s="165" t="n">
        <v>758</v>
      </c>
      <c r="D29" s="162" t="n">
        <v>108.3</v>
      </c>
      <c r="E29" s="164" t="n">
        <v>33</v>
      </c>
      <c r="F29" s="162" t="n">
        <v>85</v>
      </c>
      <c r="G29" s="27" t="n">
        <v>26</v>
      </c>
      <c r="H29" s="165" t="n">
        <v>757</v>
      </c>
      <c r="I29" s="166" t="n">
        <v>135000</v>
      </c>
      <c r="J29" s="166" t="inlineStr">
        <is>
          <t>11</t>
        </is>
      </c>
      <c r="K29" s="166" t="n">
        <v>60000</v>
      </c>
      <c r="L29" s="166" t="inlineStr">
        <is>
          <t>14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108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대림가락(방이대림)</t>
        </is>
      </c>
      <c r="B31" s="16" t="inlineStr">
        <is>
          <t>'85.02.</t>
        </is>
      </c>
      <c r="C31" s="165" t="n">
        <v>480</v>
      </c>
      <c r="D31" s="162" t="n">
        <v>101.9</v>
      </c>
      <c r="E31" s="164" t="n">
        <v>31</v>
      </c>
      <c r="F31" s="162" t="n">
        <v>84.90000000000001</v>
      </c>
      <c r="G31" s="27" t="n">
        <v>26</v>
      </c>
      <c r="H31" s="165" t="n">
        <v>150</v>
      </c>
      <c r="I31" s="166" t="n">
        <v>150000</v>
      </c>
      <c r="J31" s="166" t="inlineStr">
        <is>
          <t>14</t>
        </is>
      </c>
      <c r="K31" s="166" t="n">
        <v>70000</v>
      </c>
      <c r="L31" s="166" t="inlineStr">
        <is>
          <t>12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101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대림가락(방이대림)</t>
        </is>
      </c>
      <c r="B32" s="16" t="inlineStr">
        <is>
          <t>'85.02.</t>
        </is>
      </c>
      <c r="C32" s="165" t="n">
        <v>480</v>
      </c>
      <c r="D32" s="162" t="n">
        <v>145.3</v>
      </c>
      <c r="E32" s="164" t="n">
        <v>44</v>
      </c>
      <c r="F32" s="162" t="n">
        <v>125.1</v>
      </c>
      <c r="G32" s="27" t="n">
        <v>38</v>
      </c>
      <c r="H32" s="165" t="n">
        <v>240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145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대림가락(방이대림)</t>
        </is>
      </c>
      <c r="B33" s="16" t="inlineStr">
        <is>
          <t>'85.02.</t>
        </is>
      </c>
      <c r="C33" s="165" t="n">
        <v>480</v>
      </c>
      <c r="D33" s="162" t="n">
        <v>175.5</v>
      </c>
      <c r="E33" s="164" t="n">
        <v>53</v>
      </c>
      <c r="F33" s="162" t="n">
        <v>153.5</v>
      </c>
      <c r="G33" s="27" t="n">
        <v>46</v>
      </c>
      <c r="H33" s="165" t="n">
        <v>90</v>
      </c>
      <c r="I33" s="166" t="n">
        <v>210000</v>
      </c>
      <c r="J33" s="166" t="inlineStr">
        <is>
          <t>중</t>
        </is>
      </c>
      <c r="K33" s="166" t="n">
        <v>100000</v>
      </c>
      <c r="L33" s="166" t="inlineStr">
        <is>
          <t>6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175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91" dxfId="17">
      <formula>AV4="X"</formula>
    </cfRule>
    <cfRule type="expression" priority="492" dxfId="16">
      <formula>AV4="후보"</formula>
    </cfRule>
  </conditionalFormatting>
  <conditionalFormatting sqref="AC1:AC2 AC4:AC6 N4:N5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N1:N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17">
      <formula>AV7="X"</formula>
    </cfRule>
    <cfRule type="expression" priority="471" dxfId="16">
      <formula>AV7="후보"</formula>
    </cfRule>
  </conditionalFormatting>
  <conditionalFormatting sqref="AC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17">
      <formula>AV8="X"</formula>
    </cfRule>
    <cfRule type="expression" priority="452" dxfId="16">
      <formula>AV8="후보"</formula>
    </cfRule>
  </conditionalFormatting>
  <conditionalFormatting sqref="AC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17">
      <formula>AV9="X"</formula>
    </cfRule>
    <cfRule type="expression" priority="433" dxfId="16">
      <formula>AV9="후보"</formula>
    </cfRule>
  </conditionalFormatting>
  <conditionalFormatting sqref="AC9 N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0">
    <cfRule type="expression" priority="427" dxfId="17">
      <formula>AV10="X"</formula>
    </cfRule>
    <cfRule type="expression" priority="428" dxfId="16">
      <formula>AV10="후보"</formula>
    </cfRule>
  </conditionalFormatting>
  <conditionalFormatting sqref="AC10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0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17">
      <formula>AV11="X"</formula>
    </cfRule>
    <cfRule type="expression" priority="409" dxfId="16">
      <formula>AV11="후보"</formula>
    </cfRule>
  </conditionalFormatting>
  <conditionalFormatting sqref="AC11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1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17">
      <formula>AV12="X"</formula>
    </cfRule>
    <cfRule type="expression" priority="390" dxfId="16">
      <formula>AV12="후보"</formula>
    </cfRule>
  </conditionalFormatting>
  <conditionalFormatting sqref="AC1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17">
      <formula>AV13="X"</formula>
    </cfRule>
    <cfRule type="expression" priority="371" dxfId="16">
      <formula>AV13="후보"</formula>
    </cfRule>
  </conditionalFormatting>
  <conditionalFormatting sqref="AC1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17">
      <formula>AV14="X"</formula>
    </cfRule>
    <cfRule type="expression" priority="352" dxfId="16">
      <formula>AV14="후보"</formula>
    </cfRule>
  </conditionalFormatting>
  <conditionalFormatting sqref="AC1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17">
      <formula>AV15="X"</formula>
    </cfRule>
    <cfRule type="expression" priority="333" dxfId="16">
      <formula>AV15="후보"</formula>
    </cfRule>
  </conditionalFormatting>
  <conditionalFormatting sqref="AC1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17">
      <formula>AV16="X"</formula>
    </cfRule>
    <cfRule type="expression" priority="314" dxfId="16">
      <formula>AV16="후보"</formula>
    </cfRule>
  </conditionalFormatting>
  <conditionalFormatting sqref="AC1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17">
      <formula>AV17="X"</formula>
    </cfRule>
    <cfRule type="expression" priority="295" dxfId="16">
      <formula>AV17="후보"</formula>
    </cfRule>
  </conditionalFormatting>
  <conditionalFormatting sqref="AC1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17">
      <formula>AV18="X"</formula>
    </cfRule>
    <cfRule type="expression" priority="276" dxfId="16">
      <formula>AV18="후보"</formula>
    </cfRule>
  </conditionalFormatting>
  <conditionalFormatting sqref="AC1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17">
      <formula>AV19="X"</formula>
    </cfRule>
    <cfRule type="expression" priority="257" dxfId="16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7">
      <formula>AV20="X"</formula>
    </cfRule>
    <cfRule type="expression" priority="238" dxfId="16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7">
      <formula>AV21="X"</formula>
    </cfRule>
    <cfRule type="expression" priority="219" dxfId="16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17">
      <formula>AV27="X"</formula>
    </cfRule>
    <cfRule type="expression" priority="105" dxfId="16">
      <formula>AV27="후보"</formula>
    </cfRule>
  </conditionalFormatting>
  <conditionalFormatting sqref="AC27 N2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잠실한솔</t>
        </is>
      </c>
      <c r="B6" s="16" t="inlineStr">
        <is>
          <t>'00.10.</t>
        </is>
      </c>
      <c r="C6" s="165" t="n">
        <v>393</v>
      </c>
      <c r="D6" s="162" t="n">
        <v>77.3</v>
      </c>
      <c r="E6" s="164" t="n">
        <v>23</v>
      </c>
      <c r="F6" s="162" t="n">
        <v>59.9</v>
      </c>
      <c r="G6" s="27" t="n">
        <v>18</v>
      </c>
      <c r="H6" s="165" t="n">
        <v>70</v>
      </c>
      <c r="I6" s="166" t="n">
        <v>120000</v>
      </c>
      <c r="J6" s="166" t="inlineStr">
        <is>
          <t>6</t>
        </is>
      </c>
      <c r="K6" s="166" t="n">
        <v>56000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77A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잠실한솔</t>
        </is>
      </c>
      <c r="B7" s="16" t="inlineStr">
        <is>
          <t>'00.10.</t>
        </is>
      </c>
      <c r="C7" s="165" t="n">
        <v>393</v>
      </c>
      <c r="D7" s="162" t="n">
        <v>77.40000000000001</v>
      </c>
      <c r="E7" s="164" t="n">
        <v>23</v>
      </c>
      <c r="F7" s="162" t="n">
        <v>59.9</v>
      </c>
      <c r="G7" s="27" t="n">
        <v>18</v>
      </c>
      <c r="H7" s="165" t="n">
        <v>16</v>
      </c>
      <c r="I7" s="166" t="n">
        <v>110000</v>
      </c>
      <c r="J7" s="166" t="inlineStr">
        <is>
          <t>중</t>
        </is>
      </c>
      <c r="K7" s="166" t="n">
        <v>55000</v>
      </c>
      <c r="L7" s="166" t="inlineStr">
        <is>
          <t>8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77D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잠실한솔</t>
        </is>
      </c>
      <c r="B8" s="16" t="inlineStr">
        <is>
          <t>'00.10.</t>
        </is>
      </c>
      <c r="C8" s="165" t="n">
        <v>393</v>
      </c>
      <c r="D8" s="162" t="n">
        <v>109.7</v>
      </c>
      <c r="E8" s="164" t="n">
        <v>33</v>
      </c>
      <c r="F8" s="162" t="n">
        <v>84.90000000000001</v>
      </c>
      <c r="G8" s="27" t="n">
        <v>26</v>
      </c>
      <c r="H8" s="165" t="n">
        <v>219</v>
      </c>
      <c r="I8" s="166" t="n">
        <v>149000</v>
      </c>
      <c r="J8" s="166" t="inlineStr">
        <is>
          <t>7</t>
        </is>
      </c>
      <c r="K8" s="166" t="n">
        <v>70000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잠실한솔</t>
        </is>
      </c>
      <c r="B9" s="16" t="inlineStr">
        <is>
          <t>'00.10.</t>
        </is>
      </c>
      <c r="C9" s="165" t="n">
        <v>393</v>
      </c>
      <c r="D9" s="162" t="n">
        <v>109.7</v>
      </c>
      <c r="E9" s="164" t="n">
        <v>33</v>
      </c>
      <c r="F9" s="162" t="n">
        <v>84.90000000000001</v>
      </c>
      <c r="G9" s="27" t="n">
        <v>26</v>
      </c>
      <c r="H9" s="165" t="n">
        <v>70</v>
      </c>
      <c r="I9" s="166" t="n">
        <v>149000</v>
      </c>
      <c r="J9" s="166" t="inlineStr">
        <is>
          <t>7</t>
        </is>
      </c>
      <c r="K9" s="166" t="n">
        <v>70000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109N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잠실한솔</t>
        </is>
      </c>
      <c r="B10" s="16" t="inlineStr">
        <is>
          <t>'00.10.</t>
        </is>
      </c>
      <c r="C10" s="165" t="n">
        <v>393</v>
      </c>
      <c r="D10" s="162" t="n">
        <v>109.6</v>
      </c>
      <c r="E10" s="164" t="n">
        <v>33</v>
      </c>
      <c r="F10" s="162" t="n">
        <v>84.90000000000001</v>
      </c>
      <c r="G10" s="27" t="n">
        <v>26</v>
      </c>
      <c r="H10" s="165" t="n">
        <v>18</v>
      </c>
      <c r="I10" s="166" t="n">
        <v>145000</v>
      </c>
      <c r="J10" s="166" t="inlineStr">
        <is>
          <t>8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109E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송파동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호수임광</t>
        </is>
      </c>
      <c r="B6" s="16" t="inlineStr">
        <is>
          <t>'95.10.</t>
        </is>
      </c>
      <c r="C6" s="165" t="n">
        <v>227</v>
      </c>
      <c r="D6" s="162" t="n">
        <v>68.8</v>
      </c>
      <c r="E6" s="164" t="n">
        <v>21</v>
      </c>
      <c r="F6" s="162" t="n">
        <v>53.2</v>
      </c>
      <c r="G6" s="27" t="n">
        <v>16</v>
      </c>
      <c r="H6" s="165" t="n">
        <v>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68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호수임광</t>
        </is>
      </c>
      <c r="B7" s="16" t="inlineStr">
        <is>
          <t>'95.10.</t>
        </is>
      </c>
      <c r="C7" s="165" t="n">
        <v>227</v>
      </c>
      <c r="D7" s="162" t="n">
        <v>73.2</v>
      </c>
      <c r="E7" s="164" t="n">
        <v>22</v>
      </c>
      <c r="F7" s="162" t="n">
        <v>56.6</v>
      </c>
      <c r="G7" s="27" t="n">
        <v>17</v>
      </c>
      <c r="H7" s="165" t="n">
        <v>75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inlineStr">
        <is>
          <t>73A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호수임광</t>
        </is>
      </c>
      <c r="B8" s="16" t="inlineStr">
        <is>
          <t>'95.10.</t>
        </is>
      </c>
      <c r="C8" s="165" t="n">
        <v>227</v>
      </c>
      <c r="D8" s="162" t="n">
        <v>74.7</v>
      </c>
      <c r="E8" s="164" t="n">
        <v>23</v>
      </c>
      <c r="F8" s="162" t="n">
        <v>57.7</v>
      </c>
      <c r="G8" s="27" t="n">
        <v>17</v>
      </c>
      <c r="H8" s="165" t="n">
        <v>32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inlineStr">
        <is>
          <t>74A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호수임광</t>
        </is>
      </c>
      <c r="B9" s="16" t="inlineStr">
        <is>
          <t>'95.10.</t>
        </is>
      </c>
      <c r="C9" s="165" t="n">
        <v>227</v>
      </c>
      <c r="D9" s="162" t="n">
        <v>77.3</v>
      </c>
      <c r="E9" s="164" t="n">
        <v>23</v>
      </c>
      <c r="F9" s="162" t="n">
        <v>59.8</v>
      </c>
      <c r="G9" s="27" t="n">
        <v>18</v>
      </c>
      <c r="H9" s="165" t="n">
        <v>10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inlineStr">
        <is>
          <t>77B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호수임광</t>
        </is>
      </c>
      <c r="B10" s="16" t="inlineStr">
        <is>
          <t>'95.10.</t>
        </is>
      </c>
      <c r="C10" s="165" t="n">
        <v>227</v>
      </c>
      <c r="D10" s="162" t="n">
        <v>95.8</v>
      </c>
      <c r="E10" s="164" t="n">
        <v>29</v>
      </c>
      <c r="F10" s="162" t="n">
        <v>74</v>
      </c>
      <c r="G10" s="27" t="n">
        <v>22</v>
      </c>
      <c r="H10" s="165" t="n">
        <v>1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호수임광</t>
        </is>
      </c>
      <c r="B11" s="16" t="inlineStr">
        <is>
          <t>'95.10.</t>
        </is>
      </c>
      <c r="C11" s="165" t="n">
        <v>227</v>
      </c>
      <c r="D11" s="162" t="n">
        <v>109.8</v>
      </c>
      <c r="E11" s="164" t="n">
        <v>33</v>
      </c>
      <c r="F11" s="162" t="n">
        <v>84.90000000000001</v>
      </c>
      <c r="G11" s="27" t="n">
        <v>26</v>
      </c>
      <c r="H11" s="165" t="n">
        <v>98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호수임광</t>
        </is>
      </c>
      <c r="B12" s="16" t="inlineStr">
        <is>
          <t>'95.10.</t>
        </is>
      </c>
      <c r="C12" s="165" t="n">
        <v>227</v>
      </c>
      <c r="D12" s="162" t="n">
        <v>109.7</v>
      </c>
      <c r="E12" s="164" t="n">
        <v>33</v>
      </c>
      <c r="F12" s="162" t="n">
        <v>84.8</v>
      </c>
      <c r="G12" s="27" t="n">
        <v>26</v>
      </c>
      <c r="H12" s="165" t="n">
        <v>9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109A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현대</t>
        </is>
      </c>
      <c r="B14" s="16" t="inlineStr">
        <is>
          <t>'97.05.</t>
        </is>
      </c>
      <c r="C14" s="165" t="n">
        <v>243</v>
      </c>
      <c r="D14" s="162" t="n">
        <v>86.3</v>
      </c>
      <c r="E14" s="164" t="n">
        <v>26</v>
      </c>
      <c r="F14" s="162" t="n">
        <v>59.9</v>
      </c>
      <c r="G14" s="27" t="n">
        <v>18</v>
      </c>
      <c r="H14" s="165" t="n">
        <v>124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복</t>
        </is>
      </c>
      <c r="T14" s="8" t="n">
        <v>86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현대</t>
        </is>
      </c>
      <c r="B15" s="16" t="inlineStr">
        <is>
          <t>'97.05.</t>
        </is>
      </c>
      <c r="C15" s="165" t="n">
        <v>243</v>
      </c>
      <c r="D15" s="162" t="n">
        <v>109.4</v>
      </c>
      <c r="E15" s="164" t="n">
        <v>33</v>
      </c>
      <c r="F15" s="162" t="n">
        <v>85</v>
      </c>
      <c r="G15" s="27" t="n">
        <v>26</v>
      </c>
      <c r="H15" s="165" t="n">
        <v>119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109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래미안송파파인탑</t>
        </is>
      </c>
      <c r="B17" s="16" t="inlineStr">
        <is>
          <t>'12.01.</t>
        </is>
      </c>
      <c r="C17" s="165" t="n">
        <v>794</v>
      </c>
      <c r="D17" s="162" t="n">
        <v>75.3</v>
      </c>
      <c r="E17" s="164" t="n">
        <v>23</v>
      </c>
      <c r="F17" s="162" t="n">
        <v>53.4</v>
      </c>
      <c r="G17" s="27" t="n">
        <v>16</v>
      </c>
      <c r="H17" s="165" t="n">
        <v>137</v>
      </c>
      <c r="I17" s="166" t="n">
        <v>140000</v>
      </c>
      <c r="J17" s="166" t="inlineStr">
        <is>
          <t>14</t>
        </is>
      </c>
      <c r="K17" s="166" t="n">
        <v>60000</v>
      </c>
      <c r="L17" s="166" t="inlineStr">
        <is>
          <t>17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75A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래미안송파파인탑</t>
        </is>
      </c>
      <c r="B18" s="16" t="inlineStr">
        <is>
          <t>'12.01.</t>
        </is>
      </c>
      <c r="C18" s="165" t="n">
        <v>794</v>
      </c>
      <c r="D18" s="162" t="n">
        <v>75.59999999999999</v>
      </c>
      <c r="E18" s="164" t="n">
        <v>23</v>
      </c>
      <c r="F18" s="162" t="n">
        <v>53.6</v>
      </c>
      <c r="G18" s="27" t="n">
        <v>16</v>
      </c>
      <c r="H18" s="165" t="n">
        <v>27</v>
      </c>
      <c r="I18" s="166" t="n">
        <v>145000</v>
      </c>
      <c r="J18" s="166" t="inlineStr">
        <is>
          <t>27</t>
        </is>
      </c>
      <c r="K18" s="166" t="n">
        <v>65000</v>
      </c>
      <c r="L18" s="166" t="inlineStr">
        <is>
          <t>10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75B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래미안송파파인탑</t>
        </is>
      </c>
      <c r="B19" s="16" t="inlineStr">
        <is>
          <t>'12.01.</t>
        </is>
      </c>
      <c r="C19" s="165" t="n">
        <v>794</v>
      </c>
      <c r="D19" s="162" t="n">
        <v>88.40000000000001</v>
      </c>
      <c r="E19" s="164" t="n">
        <v>27</v>
      </c>
      <c r="F19" s="162" t="n">
        <v>64.7</v>
      </c>
      <c r="G19" s="27" t="n">
        <v>20</v>
      </c>
      <c r="H19" s="165" t="n">
        <v>198</v>
      </c>
      <c r="I19" s="166" t="n">
        <v>145000</v>
      </c>
      <c r="J19" s="166" t="inlineStr">
        <is>
          <t>22</t>
        </is>
      </c>
      <c r="K19" s="166" t="n">
        <v>60000</v>
      </c>
      <c r="L19" s="166" t="inlineStr">
        <is>
          <t>27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88B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래미안송파파인탑</t>
        </is>
      </c>
      <c r="B20" s="16" t="inlineStr">
        <is>
          <t>'12.01.</t>
        </is>
      </c>
      <c r="C20" s="165" t="n">
        <v>794</v>
      </c>
      <c r="D20" s="162" t="n">
        <v>88.09999999999999</v>
      </c>
      <c r="E20" s="164" t="n">
        <v>27</v>
      </c>
      <c r="F20" s="162" t="n">
        <v>65</v>
      </c>
      <c r="G20" s="27" t="n">
        <v>20</v>
      </c>
      <c r="H20" s="165" t="n">
        <v>54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88A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래미안송파파인탑</t>
        </is>
      </c>
      <c r="B21" s="16" t="inlineStr">
        <is>
          <t>'12.01.</t>
        </is>
      </c>
      <c r="C21" s="165" t="n">
        <v>794</v>
      </c>
      <c r="D21" s="162" t="n">
        <v>94.59999999999999</v>
      </c>
      <c r="E21" s="164" t="n">
        <v>29</v>
      </c>
      <c r="F21" s="162" t="n">
        <v>71.7</v>
      </c>
      <c r="G21" s="27" t="n">
        <v>22</v>
      </c>
      <c r="H21" s="165" t="n">
        <v>128</v>
      </c>
      <c r="I21" s="166" t="n">
        <v>150000</v>
      </c>
      <c r="J21" s="166" t="inlineStr">
        <is>
          <t>11</t>
        </is>
      </c>
      <c r="K21" s="166" t="n">
        <v>70000</v>
      </c>
      <c r="L21" s="166" t="inlineStr">
        <is>
          <t>10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94C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래미안송파파인탑</t>
        </is>
      </c>
      <c r="B22" s="16" t="inlineStr">
        <is>
          <t>'12.01.</t>
        </is>
      </c>
      <c r="C22" s="165" t="n">
        <v>794</v>
      </c>
      <c r="D22" s="162" t="n">
        <v>94.7</v>
      </c>
      <c r="E22" s="164" t="n">
        <v>29</v>
      </c>
      <c r="F22" s="162" t="n">
        <v>71.59999999999999</v>
      </c>
      <c r="G22" s="27" t="n">
        <v>22</v>
      </c>
      <c r="H22" s="165" t="n">
        <v>33</v>
      </c>
      <c r="I22" s="166" t="n">
        <v>165000</v>
      </c>
      <c r="J22" s="166" t="inlineStr">
        <is>
          <t>19</t>
        </is>
      </c>
      <c r="K22" s="166" t="n">
        <v>70000</v>
      </c>
      <c r="L22" s="166" t="inlineStr">
        <is>
          <t>11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래미안송파파인탑</t>
        </is>
      </c>
      <c r="B23" s="16" t="inlineStr">
        <is>
          <t>'12.01.</t>
        </is>
      </c>
      <c r="C23" s="165" t="n">
        <v>794</v>
      </c>
      <c r="D23" s="162" t="n">
        <v>94.8</v>
      </c>
      <c r="E23" s="164" t="n">
        <v>29</v>
      </c>
      <c r="F23" s="162" t="n">
        <v>71.8</v>
      </c>
      <c r="G23" s="27" t="n">
        <v>22</v>
      </c>
      <c r="H23" s="165" t="n">
        <v>13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94B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래미안송파파인탑</t>
        </is>
      </c>
      <c r="B24" s="16" t="inlineStr">
        <is>
          <t>'12.01.</t>
        </is>
      </c>
      <c r="C24" s="165" t="n">
        <v>794</v>
      </c>
      <c r="D24" s="162" t="n">
        <v>111.1</v>
      </c>
      <c r="E24" s="164" t="n">
        <v>34</v>
      </c>
      <c r="F24" s="162" t="n">
        <v>87.09999999999999</v>
      </c>
      <c r="G24" s="27" t="n">
        <v>26</v>
      </c>
      <c r="H24" s="165" t="n">
        <v>102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111A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래미안송파파인탑</t>
        </is>
      </c>
      <c r="B25" s="16" t="inlineStr">
        <is>
          <t>'12.01.</t>
        </is>
      </c>
      <c r="C25" s="165" t="n">
        <v>794</v>
      </c>
      <c r="D25" s="162" t="n">
        <v>111.2</v>
      </c>
      <c r="E25" s="164" t="n">
        <v>34</v>
      </c>
      <c r="F25" s="162" t="n">
        <v>87</v>
      </c>
      <c r="G25" s="27" t="n">
        <v>26</v>
      </c>
      <c r="H25" s="165" t="n">
        <v>52</v>
      </c>
      <c r="I25" s="166" t="n">
        <v>185000</v>
      </c>
      <c r="J25" s="166" t="inlineStr">
        <is>
          <t>14</t>
        </is>
      </c>
      <c r="K25" s="166" t="n">
        <v>85000</v>
      </c>
      <c r="L25" s="166" t="inlineStr">
        <is>
          <t>18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111B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래미안송파파인탑</t>
        </is>
      </c>
      <c r="B26" s="16" t="inlineStr">
        <is>
          <t>'12.01.</t>
        </is>
      </c>
      <c r="C26" s="165" t="n">
        <v>794</v>
      </c>
      <c r="D26" s="162" t="n">
        <v>111.6</v>
      </c>
      <c r="E26" s="164" t="n">
        <v>34</v>
      </c>
      <c r="F26" s="162" t="n">
        <v>87</v>
      </c>
      <c r="G26" s="27" t="n">
        <v>26</v>
      </c>
      <c r="H26" s="165" t="n">
        <v>25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111C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2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3" t="n"/>
      <c r="P27" s="163" t="n"/>
      <c r="Q27" s="164" t="n"/>
      <c r="R27" s="164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1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가락삼익맨숀</t>
        </is>
      </c>
      <c r="B28" s="16" t="inlineStr">
        <is>
          <t>'84.12.</t>
        </is>
      </c>
      <c r="C28" s="165" t="n">
        <v>936</v>
      </c>
      <c r="D28" s="162" t="n">
        <v>102.8</v>
      </c>
      <c r="E28" s="164" t="n">
        <v>31</v>
      </c>
      <c r="F28" s="162" t="n">
        <v>84.8</v>
      </c>
      <c r="G28" s="27" t="n">
        <v>26</v>
      </c>
      <c r="H28" s="165" t="n">
        <v>408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n">
        <v>102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가락삼익맨숀</t>
        </is>
      </c>
      <c r="B29" s="16" t="inlineStr">
        <is>
          <t>'84.12.</t>
        </is>
      </c>
      <c r="C29" s="165" t="n">
        <v>936</v>
      </c>
      <c r="D29" s="162" t="n">
        <v>127.9</v>
      </c>
      <c r="E29" s="164" t="n">
        <v>39</v>
      </c>
      <c r="F29" s="162" t="n">
        <v>108.3</v>
      </c>
      <c r="G29" s="27" t="n">
        <v>33</v>
      </c>
      <c r="H29" s="165" t="n">
        <v>288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127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가락삼익맨숀</t>
        </is>
      </c>
      <c r="B30" s="16" t="inlineStr">
        <is>
          <t>'84.12.</t>
        </is>
      </c>
      <c r="C30" s="165" t="n">
        <v>936</v>
      </c>
      <c r="D30" s="162" t="n">
        <v>149</v>
      </c>
      <c r="E30" s="164" t="n">
        <v>45</v>
      </c>
      <c r="F30" s="162" t="n">
        <v>127.8</v>
      </c>
      <c r="G30" s="27" t="n">
        <v>39</v>
      </c>
      <c r="H30" s="165" t="n">
        <v>144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148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가락삼익맨숀</t>
        </is>
      </c>
      <c r="B31" s="16" t="inlineStr">
        <is>
          <t>'84.12.</t>
        </is>
      </c>
      <c r="C31" s="165" t="n">
        <v>936</v>
      </c>
      <c r="D31" s="162" t="n">
        <v>174.7</v>
      </c>
      <c r="E31" s="164" t="n">
        <v>53</v>
      </c>
      <c r="F31" s="162" t="n">
        <v>151.5</v>
      </c>
      <c r="G31" s="27" t="n">
        <v>46</v>
      </c>
      <c r="H31" s="165" t="n">
        <v>96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174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한양1차</t>
        </is>
      </c>
      <c r="B33" s="16" t="inlineStr">
        <is>
          <t>'83.12.</t>
        </is>
      </c>
      <c r="C33" s="165" t="n">
        <v>576</v>
      </c>
      <c r="D33" s="162" t="n">
        <v>88.7</v>
      </c>
      <c r="E33" s="164" t="n">
        <v>27</v>
      </c>
      <c r="F33" s="162" t="n">
        <v>64.3</v>
      </c>
      <c r="G33" s="27" t="n">
        <v>19</v>
      </c>
      <c r="H33" s="165" t="n">
        <v>144</v>
      </c>
      <c r="I33" s="166" t="n">
        <v>150000</v>
      </c>
      <c r="J33" s="166" t="inlineStr">
        <is>
          <t>5</t>
        </is>
      </c>
      <c r="K33" s="166" t="n">
        <v>39000</v>
      </c>
      <c r="L33" s="166" t="inlineStr">
        <is>
          <t>8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88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한양1차</t>
        </is>
      </c>
      <c r="B34" s="16" t="inlineStr">
        <is>
          <t>'83.12.</t>
        </is>
      </c>
      <c r="C34" s="165" t="n">
        <v>576</v>
      </c>
      <c r="D34" s="162" t="n">
        <v>113.1</v>
      </c>
      <c r="E34" s="164" t="n">
        <v>34</v>
      </c>
      <c r="F34" s="162" t="n">
        <v>105.5</v>
      </c>
      <c r="G34" s="27" t="n">
        <v>32</v>
      </c>
      <c r="H34" s="165" t="n">
        <v>96</v>
      </c>
      <c r="I34" s="166" t="n">
        <v>160000</v>
      </c>
      <c r="J34" s="166" t="inlineStr">
        <is>
          <t>10</t>
        </is>
      </c>
      <c r="K34" s="166" t="n">
        <v>45000</v>
      </c>
      <c r="L34" s="166" t="inlineStr">
        <is>
          <t>6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113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한양1차</t>
        </is>
      </c>
      <c r="B35" s="16" t="inlineStr">
        <is>
          <t>'83.12.</t>
        </is>
      </c>
      <c r="C35" s="165" t="n">
        <v>576</v>
      </c>
      <c r="D35" s="162" t="n">
        <v>129.4</v>
      </c>
      <c r="E35" s="164" t="n">
        <v>39</v>
      </c>
      <c r="F35" s="162" t="n">
        <v>119.7</v>
      </c>
      <c r="G35" s="27" t="n">
        <v>36</v>
      </c>
      <c r="H35" s="165" t="n">
        <v>48</v>
      </c>
      <c r="I35" s="166" t="n"/>
      <c r="J35" s="166" t="n"/>
      <c r="K35" s="166" t="n">
        <v>65000</v>
      </c>
      <c r="L35" s="166" t="inlineStr">
        <is>
          <t>7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129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한양1차</t>
        </is>
      </c>
      <c r="B36" s="16" t="inlineStr">
        <is>
          <t>'83.12.</t>
        </is>
      </c>
      <c r="C36" s="165" t="n">
        <v>576</v>
      </c>
      <c r="D36" s="162" t="n">
        <v>148.6</v>
      </c>
      <c r="E36" s="164" t="n">
        <v>45</v>
      </c>
      <c r="F36" s="162" t="n">
        <v>137.3</v>
      </c>
      <c r="G36" s="27" t="n">
        <v>42</v>
      </c>
      <c r="H36" s="165" t="n">
        <v>96</v>
      </c>
      <c r="I36" s="166" t="n">
        <v>170000</v>
      </c>
      <c r="J36" s="166" t="inlineStr">
        <is>
          <t>6</t>
        </is>
      </c>
      <c r="K36" s="166" t="n">
        <v>61000</v>
      </c>
      <c r="L36" s="166" t="inlineStr">
        <is>
          <t>고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148B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한양1차</t>
        </is>
      </c>
      <c r="B37" s="16" t="inlineStr">
        <is>
          <t>'83.12.</t>
        </is>
      </c>
      <c r="C37" s="165" t="n">
        <v>576</v>
      </c>
      <c r="D37" s="162" t="n">
        <v>148.4</v>
      </c>
      <c r="E37" s="164" t="n">
        <v>45</v>
      </c>
      <c r="F37" s="162" t="n">
        <v>137.1</v>
      </c>
      <c r="G37" s="27" t="n">
        <v>41</v>
      </c>
      <c r="H37" s="165" t="n">
        <v>72</v>
      </c>
      <c r="I37" s="166" t="n">
        <v>175000</v>
      </c>
      <c r="J37" s="166" t="inlineStr">
        <is>
          <t>7</t>
        </is>
      </c>
      <c r="K37" s="166" t="n">
        <v>62000</v>
      </c>
      <c r="L37" s="166" t="inlineStr">
        <is>
          <t>6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148A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한양1차</t>
        </is>
      </c>
      <c r="B38" s="16" t="inlineStr">
        <is>
          <t>'83.12.</t>
        </is>
      </c>
      <c r="C38" s="165" t="n">
        <v>576</v>
      </c>
      <c r="D38" s="162" t="n">
        <v>171.7</v>
      </c>
      <c r="E38" s="164" t="n">
        <v>52</v>
      </c>
      <c r="F38" s="162" t="n">
        <v>158.6</v>
      </c>
      <c r="G38" s="27" t="n">
        <v>48</v>
      </c>
      <c r="H38" s="165" t="n">
        <v>120</v>
      </c>
      <c r="I38" s="166" t="n">
        <v>195000</v>
      </c>
      <c r="J38" s="166" t="inlineStr">
        <is>
          <t>5</t>
        </is>
      </c>
      <c r="K38" s="166" t="n">
        <v>80000</v>
      </c>
      <c r="L38" s="166" t="inlineStr">
        <is>
          <t>10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5</v>
      </c>
      <c r="R38" s="113" t="n">
        <v>2</v>
      </c>
      <c r="S38" s="113" t="inlineStr">
        <is>
          <t>계</t>
        </is>
      </c>
      <c r="T38" s="8" t="n">
        <v>171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미성맨션</t>
        </is>
      </c>
      <c r="B40" s="16" t="inlineStr">
        <is>
          <t>'85.01.</t>
        </is>
      </c>
      <c r="C40" s="165" t="n">
        <v>378</v>
      </c>
      <c r="D40" s="162" t="n">
        <v>89.2</v>
      </c>
      <c r="E40" s="164" t="n">
        <v>27</v>
      </c>
      <c r="F40" s="162" t="n">
        <v>59</v>
      </c>
      <c r="G40" s="27" t="n">
        <v>18</v>
      </c>
      <c r="H40" s="165" t="n">
        <v>42</v>
      </c>
      <c r="I40" s="166" t="n">
        <v>165000</v>
      </c>
      <c r="J40" s="166" t="inlineStr">
        <is>
          <t>13</t>
        </is>
      </c>
      <c r="K40" s="166" t="n">
        <v>48000</v>
      </c>
      <c r="L40" s="166" t="inlineStr">
        <is>
          <t>5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미성맨션</t>
        </is>
      </c>
      <c r="B41" s="16" t="inlineStr">
        <is>
          <t>'85.01.</t>
        </is>
      </c>
      <c r="C41" s="165" t="n">
        <v>378</v>
      </c>
      <c r="D41" s="162" t="n">
        <v>103.2</v>
      </c>
      <c r="E41" s="164" t="n">
        <v>31</v>
      </c>
      <c r="F41" s="162" t="n">
        <v>85</v>
      </c>
      <c r="G41" s="27" t="n">
        <v>26</v>
      </c>
      <c r="H41" s="165" t="n">
        <v>56</v>
      </c>
      <c r="I41" s="166" t="n">
        <v>162000</v>
      </c>
      <c r="J41" s="166" t="inlineStr">
        <is>
          <t>13</t>
        </is>
      </c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103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미성맨션</t>
        </is>
      </c>
      <c r="B42" s="16" t="inlineStr">
        <is>
          <t>'85.01.</t>
        </is>
      </c>
      <c r="C42" s="165" t="n">
        <v>378</v>
      </c>
      <c r="D42" s="162" t="n">
        <v>137.4</v>
      </c>
      <c r="E42" s="164" t="n">
        <v>42</v>
      </c>
      <c r="F42" s="162" t="n">
        <v>116.9</v>
      </c>
      <c r="G42" s="27" t="n">
        <v>35</v>
      </c>
      <c r="H42" s="165" t="n">
        <v>168</v>
      </c>
      <c r="I42" s="166" t="n">
        <v>180000</v>
      </c>
      <c r="J42" s="166" t="inlineStr">
        <is>
          <t>7</t>
        </is>
      </c>
      <c r="K42" s="166" t="n">
        <v>80000</v>
      </c>
      <c r="L42" s="166" t="inlineStr">
        <is>
          <t>13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미성맨션</t>
        </is>
      </c>
      <c r="B43" s="16" t="inlineStr">
        <is>
          <t>'85.01.</t>
        </is>
      </c>
      <c r="C43" s="165" t="n">
        <v>378</v>
      </c>
      <c r="D43" s="162" t="n">
        <v>192.9</v>
      </c>
      <c r="E43" s="164" t="n">
        <v>58</v>
      </c>
      <c r="F43" s="162" t="n">
        <v>169.4</v>
      </c>
      <c r="G43" s="27" t="n">
        <v>51</v>
      </c>
      <c r="H43" s="165" t="n">
        <v>112</v>
      </c>
      <c r="I43" s="166" t="n">
        <v>210000</v>
      </c>
      <c r="J43" s="166" t="inlineStr">
        <is>
          <t>14</t>
        </is>
      </c>
      <c r="K43" s="166" t="n">
        <v>65000</v>
      </c>
      <c r="L43" s="166" t="inlineStr">
        <is>
          <t>10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5</v>
      </c>
      <c r="R43" s="113" t="n">
        <v>2</v>
      </c>
      <c r="S43" s="113" t="inlineStr">
        <is>
          <t>계</t>
        </is>
      </c>
      <c r="T43" s="8" t="n">
        <v>192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2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3" t="n"/>
      <c r="P44" s="163" t="n"/>
      <c r="Q44" s="164" t="n"/>
      <c r="R44" s="164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1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'84.10.</t>
        </is>
      </c>
      <c r="C45" s="165" t="n">
        <v>744</v>
      </c>
      <c r="D45" s="162" t="n">
        <v>87.90000000000001</v>
      </c>
      <c r="E45" s="164" t="n">
        <v>27</v>
      </c>
      <c r="F45" s="162" t="n">
        <v>64.3</v>
      </c>
      <c r="G45" s="27" t="n">
        <v>19</v>
      </c>
      <c r="H45" s="165" t="n">
        <v>96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87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'84.10.</t>
        </is>
      </c>
      <c r="C46" s="165" t="n">
        <v>744</v>
      </c>
      <c r="D46" s="162" t="n">
        <v>105.3</v>
      </c>
      <c r="E46" s="164" t="n">
        <v>32</v>
      </c>
      <c r="F46" s="162" t="n">
        <v>84.90000000000001</v>
      </c>
      <c r="G46" s="27" t="n">
        <v>26</v>
      </c>
      <c r="H46" s="165" t="n">
        <v>192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105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'84.10.</t>
        </is>
      </c>
      <c r="C47" s="165" t="n">
        <v>744</v>
      </c>
      <c r="D47" s="162" t="n">
        <v>131.1</v>
      </c>
      <c r="E47" s="164" t="n">
        <v>40</v>
      </c>
      <c r="F47" s="162" t="n">
        <v>108.7</v>
      </c>
      <c r="G47" s="27" t="n">
        <v>33</v>
      </c>
      <c r="H47" s="165" t="n">
        <v>144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131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'84.10.</t>
        </is>
      </c>
      <c r="C48" s="165" t="n">
        <v>744</v>
      </c>
      <c r="D48" s="162" t="n">
        <v>150.2</v>
      </c>
      <c r="E48" s="164" t="n">
        <v>45</v>
      </c>
      <c r="F48" s="162" t="n">
        <v>126.9</v>
      </c>
      <c r="G48" s="27" t="n">
        <v>38</v>
      </c>
      <c r="H48" s="165" t="n">
        <v>168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150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한양2차</t>
        </is>
      </c>
      <c r="B49" s="16" t="inlineStr">
        <is>
          <t>'84.10.</t>
        </is>
      </c>
      <c r="C49" s="165" t="n">
        <v>744</v>
      </c>
      <c r="D49" s="162" t="n">
        <v>172.1</v>
      </c>
      <c r="E49" s="164" t="n">
        <v>52</v>
      </c>
      <c r="F49" s="162" t="n">
        <v>147</v>
      </c>
      <c r="G49" s="27" t="n">
        <v>44</v>
      </c>
      <c r="H49" s="165" t="n">
        <v>144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172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송파삼성래미안</t>
        </is>
      </c>
      <c r="B51" s="16" t="inlineStr">
        <is>
          <t>'01.12.</t>
        </is>
      </c>
      <c r="C51" s="165" t="n">
        <v>845</v>
      </c>
      <c r="D51" s="162" t="n">
        <v>109.9</v>
      </c>
      <c r="E51" s="164" t="n">
        <v>33</v>
      </c>
      <c r="F51" s="162" t="n">
        <v>79.7</v>
      </c>
      <c r="G51" s="27" t="n">
        <v>24</v>
      </c>
      <c r="H51" s="165" t="n">
        <v>325</v>
      </c>
      <c r="I51" s="166" t="n">
        <v>145000</v>
      </c>
      <c r="J51" s="166" t="inlineStr">
        <is>
          <t>16</t>
        </is>
      </c>
      <c r="K51" s="166" t="n">
        <v>68000</v>
      </c>
      <c r="L51" s="166" t="inlineStr">
        <is>
          <t>21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109B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송파삼성래미안</t>
        </is>
      </c>
      <c r="B52" s="16" t="inlineStr">
        <is>
          <t>'01.12.</t>
        </is>
      </c>
      <c r="C52" s="165" t="n">
        <v>845</v>
      </c>
      <c r="D52" s="162" t="n">
        <v>109.8</v>
      </c>
      <c r="E52" s="164" t="n">
        <v>33</v>
      </c>
      <c r="F52" s="162" t="n">
        <v>79.59999999999999</v>
      </c>
      <c r="G52" s="27" t="n">
        <v>24</v>
      </c>
      <c r="H52" s="165" t="n">
        <v>2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109A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송파삼성래미안</t>
        </is>
      </c>
      <c r="B53" s="16" t="inlineStr">
        <is>
          <t>'01.12.</t>
        </is>
      </c>
      <c r="C53" s="165" t="n">
        <v>845</v>
      </c>
      <c r="D53" s="162" t="n">
        <v>119.5</v>
      </c>
      <c r="E53" s="164" t="n">
        <v>36</v>
      </c>
      <c r="F53" s="162" t="n">
        <v>88</v>
      </c>
      <c r="G53" s="27" t="n">
        <v>27</v>
      </c>
      <c r="H53" s="165" t="n">
        <v>86</v>
      </c>
      <c r="I53" s="166" t="n">
        <v>160000</v>
      </c>
      <c r="J53" s="166" t="inlineStr">
        <is>
          <t>14</t>
        </is>
      </c>
      <c r="K53" s="166" t="n">
        <v>85000</v>
      </c>
      <c r="L53" s="166" t="inlineStr">
        <is>
          <t>13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119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송파삼성래미안</t>
        </is>
      </c>
      <c r="B54" s="16" t="inlineStr">
        <is>
          <t>'01.12.</t>
        </is>
      </c>
      <c r="C54" s="165" t="n">
        <v>845</v>
      </c>
      <c r="D54" s="162" t="n">
        <v>142.7</v>
      </c>
      <c r="E54" s="164" t="n">
        <v>43</v>
      </c>
      <c r="F54" s="162" t="n">
        <v>106</v>
      </c>
      <c r="G54" s="27" t="n">
        <v>32</v>
      </c>
      <c r="H54" s="165" t="n">
        <v>222</v>
      </c>
      <c r="I54" s="166" t="n">
        <v>170000</v>
      </c>
      <c r="J54" s="166" t="inlineStr">
        <is>
          <t>5</t>
        </is>
      </c>
      <c r="K54" s="166" t="n">
        <v>75000</v>
      </c>
      <c r="L54" s="166" t="inlineStr">
        <is>
          <t>11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142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송파삼성래미안</t>
        </is>
      </c>
      <c r="B55" s="16" t="inlineStr">
        <is>
          <t>'01.12.</t>
        </is>
      </c>
      <c r="C55" s="165" t="n">
        <v>845</v>
      </c>
      <c r="D55" s="162" t="n">
        <v>163.8</v>
      </c>
      <c r="E55" s="164" t="n">
        <v>50</v>
      </c>
      <c r="F55" s="162" t="n">
        <v>126.4</v>
      </c>
      <c r="G55" s="27" t="n">
        <v>38</v>
      </c>
      <c r="H55" s="165" t="n">
        <v>168</v>
      </c>
      <c r="I55" s="166" t="n">
        <v>175000</v>
      </c>
      <c r="J55" s="166" t="inlineStr">
        <is>
          <t>7</t>
        </is>
      </c>
      <c r="K55" s="166" t="n">
        <v>94000</v>
      </c>
      <c r="L55" s="166" t="inlineStr">
        <is>
          <t>21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163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송파삼성래미안</t>
        </is>
      </c>
      <c r="B56" s="16" t="inlineStr">
        <is>
          <t>'01.12.</t>
        </is>
      </c>
      <c r="C56" s="165" t="n">
        <v>845</v>
      </c>
      <c r="D56" s="162" t="n">
        <v>191.5</v>
      </c>
      <c r="E56" s="164" t="n">
        <v>58</v>
      </c>
      <c r="F56" s="162" t="n">
        <v>148.2</v>
      </c>
      <c r="G56" s="27" t="n">
        <v>45</v>
      </c>
      <c r="H56" s="165" t="n">
        <v>41</v>
      </c>
      <c r="I56" s="166" t="n">
        <v>230000</v>
      </c>
      <c r="J56" s="166" t="inlineStr">
        <is>
          <t>19</t>
        </is>
      </c>
      <c r="K56" s="166" t="n">
        <v>100000</v>
      </c>
      <c r="L56" s="166" t="inlineStr">
        <is>
          <t>22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191B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송파삼성래미안</t>
        </is>
      </c>
      <c r="B57" s="16" t="inlineStr">
        <is>
          <t>'01.12.</t>
        </is>
      </c>
      <c r="C57" s="165" t="n">
        <v>845</v>
      </c>
      <c r="D57" s="162" t="n">
        <v>191.4</v>
      </c>
      <c r="E57" s="164" t="n">
        <v>58</v>
      </c>
      <c r="F57" s="162" t="n">
        <v>148.1</v>
      </c>
      <c r="G57" s="27" t="n">
        <v>45</v>
      </c>
      <c r="H57" s="165" t="n">
        <v>1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191A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성지</t>
        </is>
      </c>
      <c r="B59" s="16" t="inlineStr">
        <is>
          <t>'92.12.</t>
        </is>
      </c>
      <c r="C59" s="165" t="n">
        <v>298</v>
      </c>
      <c r="D59" s="162" t="n">
        <v>81.7</v>
      </c>
      <c r="E59" s="164" t="n">
        <v>25</v>
      </c>
      <c r="F59" s="162" t="n">
        <v>66.2</v>
      </c>
      <c r="G59" s="27" t="n">
        <v>20</v>
      </c>
      <c r="H59" s="165" t="n">
        <v>30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2</v>
      </c>
      <c r="R59" s="113" t="n">
        <v>1</v>
      </c>
      <c r="S59" s="113" t="inlineStr">
        <is>
          <t>계</t>
        </is>
      </c>
      <c r="T59" s="8" t="n">
        <v>81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성지</t>
        </is>
      </c>
      <c r="B60" s="16" t="inlineStr">
        <is>
          <t>'92.12.</t>
        </is>
      </c>
      <c r="C60" s="165" t="n">
        <v>298</v>
      </c>
      <c r="D60" s="162" t="n">
        <v>100.3</v>
      </c>
      <c r="E60" s="164" t="n">
        <v>30</v>
      </c>
      <c r="F60" s="162" t="n">
        <v>84.90000000000001</v>
      </c>
      <c r="G60" s="27" t="n">
        <v>26</v>
      </c>
      <c r="H60" s="165" t="n">
        <v>268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100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34" dxfId="17">
      <formula>AV4="X"</formula>
    </cfRule>
    <cfRule type="expression" priority="935" dxfId="16">
      <formula>AV4="후보"</formula>
    </cfRule>
  </conditionalFormatting>
  <conditionalFormatting sqref="AC1:AC2 AC4:AC6 N4:N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:N2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6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17">
      <formula>AV7="X"</formula>
    </cfRule>
    <cfRule type="expression" priority="914" dxfId="16">
      <formula>AV7="후보"</formula>
    </cfRule>
  </conditionalFormatting>
  <conditionalFormatting sqref="AC7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7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17">
      <formula>AV8="X"</formula>
    </cfRule>
    <cfRule type="expression" priority="895" dxfId="16">
      <formula>AV8="후보"</formula>
    </cfRule>
  </conditionalFormatting>
  <conditionalFormatting sqref="AC8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8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17">
      <formula>AV9="X"</formula>
    </cfRule>
    <cfRule type="expression" priority="876" dxfId="16">
      <formula>AV9="후보"</formula>
    </cfRule>
  </conditionalFormatting>
  <conditionalFormatting sqref="AC9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9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17">
      <formula>AV10="X"</formula>
    </cfRule>
    <cfRule type="expression" priority="857" dxfId="16">
      <formula>AV10="후보"</formula>
    </cfRule>
  </conditionalFormatting>
  <conditionalFormatting sqref="AC1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17">
      <formula>AV11="X"</formula>
    </cfRule>
    <cfRule type="expression" priority="838" dxfId="16">
      <formula>AV11="후보"</formula>
    </cfRule>
  </conditionalFormatting>
  <conditionalFormatting sqref="AC1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17">
      <formula>AV12="X"</formula>
    </cfRule>
    <cfRule type="expression" priority="819" dxfId="16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7">
      <formula>AV13="X"</formula>
    </cfRule>
    <cfRule type="expression" priority="800" dxfId="16">
      <formula>AV13="후보"</formula>
    </cfRule>
  </conditionalFormatting>
  <conditionalFormatting sqref="AC13 N1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AV14">
    <cfRule type="expression" priority="794" dxfId="17">
      <formula>AV14="X"</formula>
    </cfRule>
    <cfRule type="expression" priority="795" dxfId="16">
      <formula>AV14="후보"</formula>
    </cfRule>
  </conditionalFormatting>
  <conditionalFormatting sqref="AC14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4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17">
      <formula>AV15="X"</formula>
    </cfRule>
    <cfRule type="expression" priority="776" dxfId="16">
      <formula>AV15="후보"</formula>
    </cfRule>
  </conditionalFormatting>
  <conditionalFormatting sqref="AC1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17">
      <formula>AV16="X"</formula>
    </cfRule>
    <cfRule type="expression" priority="757" dxfId="16">
      <formula>AV16="후보"</formula>
    </cfRule>
  </conditionalFormatting>
  <conditionalFormatting sqref="AC16 N1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17">
    <cfRule type="expression" priority="751" dxfId="17">
      <formula>AV17="X"</formula>
    </cfRule>
    <cfRule type="expression" priority="752" dxfId="16">
      <formula>AV17="후보"</formula>
    </cfRule>
  </conditionalFormatting>
  <conditionalFormatting sqref="AC17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7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17">
      <formula>AV18="X"</formula>
    </cfRule>
    <cfRule type="expression" priority="733" dxfId="16">
      <formula>AV18="후보"</formula>
    </cfRule>
  </conditionalFormatting>
  <conditionalFormatting sqref="AC18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8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17">
      <formula>AV19="X"</formula>
    </cfRule>
    <cfRule type="expression" priority="714" dxfId="16">
      <formula>AV19="후보"</formula>
    </cfRule>
  </conditionalFormatting>
  <conditionalFormatting sqref="AC19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9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17">
      <formula>AV20="X"</formula>
    </cfRule>
    <cfRule type="expression" priority="695" dxfId="16">
      <formula>AV20="후보"</formula>
    </cfRule>
  </conditionalFormatting>
  <conditionalFormatting sqref="AC20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20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17">
      <formula>AV21="X"</formula>
    </cfRule>
    <cfRule type="expression" priority="676" dxfId="16">
      <formula>AV21="후보"</formula>
    </cfRule>
  </conditionalFormatting>
  <conditionalFormatting sqref="AC21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1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17">
      <formula>AV22="X"</formula>
    </cfRule>
    <cfRule type="expression" priority="657" dxfId="16">
      <formula>AV22="후보"</formula>
    </cfRule>
  </conditionalFormatting>
  <conditionalFormatting sqref="AC2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17">
      <formula>AV23="X"</formula>
    </cfRule>
    <cfRule type="expression" priority="638" dxfId="16">
      <formula>AV23="후보"</formula>
    </cfRule>
  </conditionalFormatting>
  <conditionalFormatting sqref="AC2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17">
      <formula>AV24="X"</formula>
    </cfRule>
    <cfRule type="expression" priority="619" dxfId="16">
      <formula>AV24="후보"</formula>
    </cfRule>
  </conditionalFormatting>
  <conditionalFormatting sqref="AC2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17">
      <formula>AV25="X"</formula>
    </cfRule>
    <cfRule type="expression" priority="600" dxfId="16">
      <formula>AV25="후보"</formula>
    </cfRule>
  </conditionalFormatting>
  <conditionalFormatting sqref="AC2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17">
      <formula>AV26="X"</formula>
    </cfRule>
    <cfRule type="expression" priority="581" dxfId="16">
      <formula>AV26="후보"</formula>
    </cfRule>
  </conditionalFormatting>
  <conditionalFormatting sqref="AC2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17">
      <formula>AV27="X"</formula>
    </cfRule>
    <cfRule type="expression" priority="562" dxfId="16">
      <formula>AV27="후보"</formula>
    </cfRule>
  </conditionalFormatting>
  <conditionalFormatting sqref="AC27 N2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28">
    <cfRule type="expression" priority="556" dxfId="17">
      <formula>AV28="X"</formula>
    </cfRule>
    <cfRule type="expression" priority="557" dxfId="16">
      <formula>AV28="후보"</formula>
    </cfRule>
  </conditionalFormatting>
  <conditionalFormatting sqref="AC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17">
      <formula>AV29="X"</formula>
    </cfRule>
    <cfRule type="expression" priority="538" dxfId="16">
      <formula>AV29="후보"</formula>
    </cfRule>
  </conditionalFormatting>
  <conditionalFormatting sqref="AC2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17">
      <formula>AV30="X"</formula>
    </cfRule>
    <cfRule type="expression" priority="519" dxfId="16">
      <formula>AV30="후보"</formula>
    </cfRule>
  </conditionalFormatting>
  <conditionalFormatting sqref="AC3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17">
      <formula>AV31="X"</formula>
    </cfRule>
    <cfRule type="expression" priority="500" dxfId="16">
      <formula>AV31="후보"</formula>
    </cfRule>
  </conditionalFormatting>
  <conditionalFormatting sqref="AC3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17">
      <formula>AV32="X"</formula>
    </cfRule>
    <cfRule type="expression" priority="481" dxfId="16">
      <formula>AV32="후보"</formula>
    </cfRule>
  </conditionalFormatting>
  <conditionalFormatting sqref="AC32 N3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3">
    <cfRule type="expression" priority="475" dxfId="17">
      <formula>AV33="X"</formula>
    </cfRule>
    <cfRule type="expression" priority="476" dxfId="16">
      <formula>AV33="후보"</formula>
    </cfRule>
  </conditionalFormatting>
  <conditionalFormatting sqref="AC33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3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17">
      <formula>AV34="X"</formula>
    </cfRule>
    <cfRule type="expression" priority="457" dxfId="16">
      <formula>AV34="후보"</formula>
    </cfRule>
  </conditionalFormatting>
  <conditionalFormatting sqref="AC3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17">
      <formula>AV35="X"</formula>
    </cfRule>
    <cfRule type="expression" priority="438" dxfId="16">
      <formula>AV35="후보"</formula>
    </cfRule>
  </conditionalFormatting>
  <conditionalFormatting sqref="AC3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17">
      <formula>AV36="X"</formula>
    </cfRule>
    <cfRule type="expression" priority="419" dxfId="16">
      <formula>AV36="후보"</formula>
    </cfRule>
  </conditionalFormatting>
  <conditionalFormatting sqref="AC3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17">
      <formula>AV37="X"</formula>
    </cfRule>
    <cfRule type="expression" priority="400" dxfId="16">
      <formula>AV37="후보"</formula>
    </cfRule>
  </conditionalFormatting>
  <conditionalFormatting sqref="AC3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17">
      <formula>AV38="X"</formula>
    </cfRule>
    <cfRule type="expression" priority="381" dxfId="16">
      <formula>AV38="후보"</formula>
    </cfRule>
  </conditionalFormatting>
  <conditionalFormatting sqref="AC3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17">
      <formula>AV39="X"</formula>
    </cfRule>
    <cfRule type="expression" priority="362" dxfId="16">
      <formula>AV39="후보"</formula>
    </cfRule>
  </conditionalFormatting>
  <conditionalFormatting sqref="AC39 N39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40">
    <cfRule type="expression" priority="356" dxfId="17">
      <formula>AV40="X"</formula>
    </cfRule>
    <cfRule type="expression" priority="357" dxfId="16">
      <formula>AV40="후보"</formula>
    </cfRule>
  </conditionalFormatting>
  <conditionalFormatting sqref="AC4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4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17">
      <formula>AV41="X"</formula>
    </cfRule>
    <cfRule type="expression" priority="338" dxfId="16">
      <formula>AV41="후보"</formula>
    </cfRule>
  </conditionalFormatting>
  <conditionalFormatting sqref="AC4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4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17">
      <formula>AV42="X"</formula>
    </cfRule>
    <cfRule type="expression" priority="319" dxfId="16">
      <formula>AV42="후보"</formula>
    </cfRule>
  </conditionalFormatting>
  <conditionalFormatting sqref="AC4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4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17">
      <formula>AV43="X"</formula>
    </cfRule>
    <cfRule type="expression" priority="300" dxfId="16">
      <formula>AV43="후보"</formula>
    </cfRule>
  </conditionalFormatting>
  <conditionalFormatting sqref="AC4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17">
      <formula>AV44="X"</formula>
    </cfRule>
    <cfRule type="expression" priority="281" dxfId="16">
      <formula>AV44="후보"</formula>
    </cfRule>
  </conditionalFormatting>
  <conditionalFormatting sqref="AC44 N4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5">
    <cfRule type="expression" priority="275" dxfId="17">
      <formula>AV45="X"</formula>
    </cfRule>
    <cfRule type="expression" priority="276" dxfId="16">
      <formula>AV45="후보"</formula>
    </cfRule>
  </conditionalFormatting>
  <conditionalFormatting sqref="AC4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17">
      <formula>AV46="X"</formula>
    </cfRule>
    <cfRule type="expression" priority="257" dxfId="16">
      <formula>AV46="후보"</formula>
    </cfRule>
  </conditionalFormatting>
  <conditionalFormatting sqref="AC4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17">
      <formula>AV47="X"</formula>
    </cfRule>
    <cfRule type="expression" priority="238" dxfId="16">
      <formula>AV47="후보"</formula>
    </cfRule>
  </conditionalFormatting>
  <conditionalFormatting sqref="AC4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17">
      <formula>AV48="X"</formula>
    </cfRule>
    <cfRule type="expression" priority="219" dxfId="16">
      <formula>AV48="후보"</formula>
    </cfRule>
  </conditionalFormatting>
  <conditionalFormatting sqref="AC4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17">
      <formula>AV49="X"</formula>
    </cfRule>
    <cfRule type="expression" priority="200" dxfId="16">
      <formula>AV49="후보"</formula>
    </cfRule>
  </conditionalFormatting>
  <conditionalFormatting sqref="AC4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17">
      <formula>AV50="X"</formula>
    </cfRule>
    <cfRule type="expression" priority="181" dxfId="16">
      <formula>AV50="후보"</formula>
    </cfRule>
  </conditionalFormatting>
  <conditionalFormatting sqref="AC50 N5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51">
    <cfRule type="expression" priority="175" dxfId="17">
      <formula>AV51="X"</formula>
    </cfRule>
    <cfRule type="expression" priority="176" dxfId="16">
      <formula>AV51="후보"</formula>
    </cfRule>
  </conditionalFormatting>
  <conditionalFormatting sqref="AC5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17">
      <formula>AV52="X"</formula>
    </cfRule>
    <cfRule type="expression" priority="157" dxfId="16">
      <formula>AV52="후보"</formula>
    </cfRule>
  </conditionalFormatting>
  <conditionalFormatting sqref="AC5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17">
      <formula>AV53="X"</formula>
    </cfRule>
    <cfRule type="expression" priority="138" dxfId="16">
      <formula>AV53="후보"</formula>
    </cfRule>
  </conditionalFormatting>
  <conditionalFormatting sqref="AC5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17">
      <formula>AV54="X"</formula>
    </cfRule>
    <cfRule type="expression" priority="119" dxfId="16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7">
      <formula>AV55="X"</formula>
    </cfRule>
    <cfRule type="expression" priority="100" dxfId="16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7">
      <formula>AV56="X"</formula>
    </cfRule>
    <cfRule type="expression" priority="81" dxfId="16">
      <formula>AV56="후보"</formula>
    </cfRule>
  </conditionalFormatting>
  <conditionalFormatting sqref="AC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17">
      <formula>AV57="X"</formula>
    </cfRule>
    <cfRule type="expression" priority="62" dxfId="16">
      <formula>AV57="후보"</formula>
    </cfRule>
  </conditionalFormatting>
  <conditionalFormatting sqref="AC5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17">
      <formula>AV58="X"</formula>
    </cfRule>
    <cfRule type="expression" priority="43" dxfId="16">
      <formula>AV58="후보"</formula>
    </cfRule>
  </conditionalFormatting>
  <conditionalFormatting sqref="AC58 N5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59">
    <cfRule type="expression" priority="37" dxfId="17">
      <formula>AV59="X"</formula>
    </cfRule>
    <cfRule type="expression" priority="38" dxfId="16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7">
      <formula>AV60="X"</formula>
    </cfRule>
    <cfRule type="expression" priority="19" dxfId="16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장미1차</t>
        </is>
      </c>
      <c r="B6" s="16" t="inlineStr">
        <is>
          <t>'79.01.</t>
        </is>
      </c>
      <c r="C6" s="165" t="n">
        <v>2100</v>
      </c>
      <c r="D6" s="162" t="n">
        <v>92.59999999999999</v>
      </c>
      <c r="E6" s="164" t="n">
        <v>28</v>
      </c>
      <c r="F6" s="162" t="n">
        <v>71.2</v>
      </c>
      <c r="G6" s="27" t="n">
        <v>22</v>
      </c>
      <c r="H6" s="165" t="n">
        <v>532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92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장미1차</t>
        </is>
      </c>
      <c r="B7" s="16" t="inlineStr">
        <is>
          <t>'79.01.</t>
        </is>
      </c>
      <c r="C7" s="165" t="n">
        <v>2100</v>
      </c>
      <c r="D7" s="162" t="n">
        <v>108.4</v>
      </c>
      <c r="E7" s="164" t="n">
        <v>33</v>
      </c>
      <c r="F7" s="162" t="n">
        <v>82.5</v>
      </c>
      <c r="G7" s="27" t="n">
        <v>25</v>
      </c>
      <c r="H7" s="165" t="n">
        <v>672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복</t>
        </is>
      </c>
      <c r="T7" s="8" t="n">
        <v>108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장미1차</t>
        </is>
      </c>
      <c r="B8" s="16" t="inlineStr">
        <is>
          <t>'79.01.</t>
        </is>
      </c>
      <c r="C8" s="165" t="n">
        <v>2100</v>
      </c>
      <c r="D8" s="162" t="n">
        <v>126.8</v>
      </c>
      <c r="E8" s="164" t="n">
        <v>38</v>
      </c>
      <c r="F8" s="162" t="n">
        <v>99</v>
      </c>
      <c r="G8" s="27" t="n">
        <v>30</v>
      </c>
      <c r="H8" s="165" t="n">
        <v>336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복</t>
        </is>
      </c>
      <c r="T8" s="8" t="n">
        <v>126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장미1차</t>
        </is>
      </c>
      <c r="B9" s="16" t="inlineStr">
        <is>
          <t>'79.01.</t>
        </is>
      </c>
      <c r="C9" s="165" t="n">
        <v>2100</v>
      </c>
      <c r="D9" s="162" t="n">
        <v>150.1</v>
      </c>
      <c r="E9" s="164" t="n">
        <v>45</v>
      </c>
      <c r="F9" s="162" t="n">
        <v>120</v>
      </c>
      <c r="G9" s="27" t="n">
        <v>36</v>
      </c>
      <c r="H9" s="165" t="n">
        <v>308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5</v>
      </c>
      <c r="R9" s="113" t="n">
        <v>2</v>
      </c>
      <c r="S9" s="113" t="inlineStr">
        <is>
          <t>복</t>
        </is>
      </c>
      <c r="T9" s="8" t="n">
        <v>150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장미1차</t>
        </is>
      </c>
      <c r="B10" s="16" t="inlineStr">
        <is>
          <t>'79.01.</t>
        </is>
      </c>
      <c r="C10" s="165" t="n">
        <v>2100</v>
      </c>
      <c r="D10" s="162" t="n">
        <v>186.8</v>
      </c>
      <c r="E10" s="164" t="n">
        <v>57</v>
      </c>
      <c r="F10" s="162" t="n">
        <v>174.6</v>
      </c>
      <c r="G10" s="27" t="n">
        <v>53</v>
      </c>
      <c r="H10" s="165" t="n">
        <v>168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186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장미1차</t>
        </is>
      </c>
      <c r="B11" s="16" t="inlineStr">
        <is>
          <t>'79.01.</t>
        </is>
      </c>
      <c r="C11" s="165" t="n">
        <v>2100</v>
      </c>
      <c r="D11" s="162" t="n">
        <v>212.6</v>
      </c>
      <c r="E11" s="164" t="n">
        <v>64</v>
      </c>
      <c r="F11" s="162" t="n">
        <v>196.8</v>
      </c>
      <c r="G11" s="27" t="n">
        <v>60</v>
      </c>
      <c r="H11" s="165" t="n">
        <v>84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5</v>
      </c>
      <c r="R11" s="113" t="n">
        <v>2</v>
      </c>
      <c r="S11" s="113" t="inlineStr">
        <is>
          <t>계</t>
        </is>
      </c>
      <c r="T11" s="8" t="n">
        <v>212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롯데캐슬골드</t>
        </is>
      </c>
      <c r="B13" s="16" t="inlineStr">
        <is>
          <t>'05.11.</t>
        </is>
      </c>
      <c r="C13" s="165" t="n">
        <v>400</v>
      </c>
      <c r="D13" s="162" t="n">
        <v>158.1</v>
      </c>
      <c r="E13" s="164" t="n">
        <v>48</v>
      </c>
      <c r="F13" s="162" t="n">
        <v>122.9</v>
      </c>
      <c r="G13" s="27" t="n">
        <v>37</v>
      </c>
      <c r="H13" s="165" t="n">
        <v>4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롯데캐슬골드</t>
        </is>
      </c>
      <c r="B14" s="16" t="inlineStr">
        <is>
          <t>'05.11.</t>
        </is>
      </c>
      <c r="C14" s="165" t="n">
        <v>400</v>
      </c>
      <c r="D14" s="162" t="n">
        <v>172.1</v>
      </c>
      <c r="E14" s="164" t="n">
        <v>52</v>
      </c>
      <c r="F14" s="162" t="n">
        <v>133.8</v>
      </c>
      <c r="G14" s="27" t="n">
        <v>40</v>
      </c>
      <c r="H14" s="165" t="n">
        <v>4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롯데캐슬골드</t>
        </is>
      </c>
      <c r="B15" s="16" t="inlineStr">
        <is>
          <t>'05.11.</t>
        </is>
      </c>
      <c r="C15" s="165" t="n">
        <v>400</v>
      </c>
      <c r="D15" s="162" t="n">
        <v>190.5</v>
      </c>
      <c r="E15" s="164" t="n">
        <v>58</v>
      </c>
      <c r="F15" s="162" t="n">
        <v>148.2</v>
      </c>
      <c r="G15" s="27" t="n">
        <v>45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롯데캐슬골드</t>
        </is>
      </c>
      <c r="B16" s="16" t="inlineStr">
        <is>
          <t>'05.11.</t>
        </is>
      </c>
      <c r="C16" s="165" t="n">
        <v>400</v>
      </c>
      <c r="D16" s="162" t="n">
        <v>214.3</v>
      </c>
      <c r="E16" s="164" t="n">
        <v>65</v>
      </c>
      <c r="F16" s="162" t="n">
        <v>166.7</v>
      </c>
      <c r="G16" s="27" t="n">
        <v>50</v>
      </c>
      <c r="H16" s="165" t="n">
        <v>152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214A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롯데캐슬골드</t>
        </is>
      </c>
      <c r="B17" s="16" t="inlineStr">
        <is>
          <t>'05.11.</t>
        </is>
      </c>
      <c r="C17" s="165" t="n">
        <v>400</v>
      </c>
      <c r="D17" s="162" t="n">
        <v>214.6</v>
      </c>
      <c r="E17" s="164" t="n">
        <v>65</v>
      </c>
      <c r="F17" s="162" t="n">
        <v>166.9</v>
      </c>
      <c r="G17" s="27" t="n">
        <v>50</v>
      </c>
      <c r="H17" s="165" t="n">
        <v>16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214B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롯데캐슬골드</t>
        </is>
      </c>
      <c r="B18" s="16" t="inlineStr">
        <is>
          <t>'05.11.</t>
        </is>
      </c>
      <c r="C18" s="165" t="n">
        <v>400</v>
      </c>
      <c r="D18" s="162" t="n">
        <v>215.5</v>
      </c>
      <c r="E18" s="164" t="n">
        <v>65</v>
      </c>
      <c r="F18" s="162" t="n">
        <v>167.6</v>
      </c>
      <c r="G18" s="27" t="n">
        <v>51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215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롯데캐슬골드</t>
        </is>
      </c>
      <c r="B19" s="16" t="inlineStr">
        <is>
          <t>'05.11.</t>
        </is>
      </c>
      <c r="C19" s="165" t="n">
        <v>400</v>
      </c>
      <c r="D19" s="162" t="n">
        <v>218.9</v>
      </c>
      <c r="E19" s="164" t="n">
        <v>66</v>
      </c>
      <c r="F19" s="162" t="n">
        <v>170.2</v>
      </c>
      <c r="G19" s="27" t="n">
        <v>51</v>
      </c>
      <c r="H19" s="165" t="n">
        <v>4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218B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롯데캐슬골드</t>
        </is>
      </c>
      <c r="B20" s="16" t="inlineStr">
        <is>
          <t>'05.11.</t>
        </is>
      </c>
      <c r="C20" s="165" t="n">
        <v>400</v>
      </c>
      <c r="D20" s="162" t="n">
        <v>219.5</v>
      </c>
      <c r="E20" s="164" t="n">
        <v>66</v>
      </c>
      <c r="F20" s="162" t="n">
        <v>170.7</v>
      </c>
      <c r="G20" s="27" t="n">
        <v>52</v>
      </c>
      <c r="H20" s="165" t="n">
        <v>4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219A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롯데캐슬골드</t>
        </is>
      </c>
      <c r="B21" s="16" t="inlineStr">
        <is>
          <t>'05.11.</t>
        </is>
      </c>
      <c r="C21" s="165" t="n">
        <v>400</v>
      </c>
      <c r="D21" s="162" t="n">
        <v>241.3</v>
      </c>
      <c r="E21" s="164" t="n">
        <v>73</v>
      </c>
      <c r="F21" s="162" t="n">
        <v>187.7</v>
      </c>
      <c r="G21" s="27" t="n">
        <v>57</v>
      </c>
      <c r="H21" s="165" t="n">
        <v>80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3</v>
      </c>
      <c r="S21" s="113" t="inlineStr">
        <is>
          <t>계</t>
        </is>
      </c>
      <c r="T21" s="8" t="inlineStr">
        <is>
          <t>241A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롯데캐슬골드</t>
        </is>
      </c>
      <c r="B22" s="16" t="inlineStr">
        <is>
          <t>'05.11.</t>
        </is>
      </c>
      <c r="C22" s="165" t="n">
        <v>400</v>
      </c>
      <c r="D22" s="162" t="n">
        <v>242.9</v>
      </c>
      <c r="E22" s="164" t="n">
        <v>73</v>
      </c>
      <c r="F22" s="162" t="n">
        <v>188.9</v>
      </c>
      <c r="G22" s="27" t="n">
        <v>57</v>
      </c>
      <c r="H22" s="165" t="n">
        <v>12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3</v>
      </c>
      <c r="S22" s="113" t="inlineStr">
        <is>
          <t>계</t>
        </is>
      </c>
      <c r="T22" s="8" t="inlineStr">
        <is>
          <t>242B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롯데캐슬골드</t>
        </is>
      </c>
      <c r="B23" s="16" t="inlineStr">
        <is>
          <t>'05.11.</t>
        </is>
      </c>
      <c r="C23" s="165" t="n">
        <v>400</v>
      </c>
      <c r="D23" s="162" t="n">
        <v>245.1</v>
      </c>
      <c r="E23" s="164" t="n">
        <v>74</v>
      </c>
      <c r="F23" s="162" t="n">
        <v>190.6</v>
      </c>
      <c r="G23" s="27" t="n">
        <v>58</v>
      </c>
      <c r="H23" s="165" t="n">
        <v>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245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롯데캐슬골드</t>
        </is>
      </c>
      <c r="B24" s="16" t="inlineStr">
        <is>
          <t>'05.11.</t>
        </is>
      </c>
      <c r="C24" s="165" t="n">
        <v>400</v>
      </c>
      <c r="D24" s="162" t="n">
        <v>249.2</v>
      </c>
      <c r="E24" s="164" t="n">
        <v>75</v>
      </c>
      <c r="F24" s="162" t="n">
        <v>193.8</v>
      </c>
      <c r="G24" s="27" t="n">
        <v>59</v>
      </c>
      <c r="H24" s="165" t="n">
        <v>8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3</v>
      </c>
      <c r="S24" s="113" t="inlineStr">
        <is>
          <t>계</t>
        </is>
      </c>
      <c r="T24" s="8" t="n">
        <v>249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롯데캐슬골드</t>
        </is>
      </c>
      <c r="B25" s="16" t="inlineStr">
        <is>
          <t>'05.11.</t>
        </is>
      </c>
      <c r="C25" s="165" t="n">
        <v>400</v>
      </c>
      <c r="D25" s="162" t="n">
        <v>261.4</v>
      </c>
      <c r="E25" s="164" t="n">
        <v>79</v>
      </c>
      <c r="F25" s="162" t="n">
        <v>203.3</v>
      </c>
      <c r="G25" s="27" t="n">
        <v>61</v>
      </c>
      <c r="H25" s="165" t="n">
        <v>4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3</v>
      </c>
      <c r="S25" s="113" t="inlineStr">
        <is>
          <t>계</t>
        </is>
      </c>
      <c r="T25" s="8" t="n">
        <v>261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롯데캐슬골드</t>
        </is>
      </c>
      <c r="B26" s="16" t="inlineStr">
        <is>
          <t>'05.11.</t>
        </is>
      </c>
      <c r="C26" s="165" t="n">
        <v>400</v>
      </c>
      <c r="D26" s="162" t="n">
        <v>269.3</v>
      </c>
      <c r="E26" s="164" t="n">
        <v>81</v>
      </c>
      <c r="F26" s="162" t="n">
        <v>209.4</v>
      </c>
      <c r="G26" s="27" t="n">
        <v>63</v>
      </c>
      <c r="H26" s="165" t="n">
        <v>4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3</v>
      </c>
      <c r="S26" s="113" t="inlineStr">
        <is>
          <t>계</t>
        </is>
      </c>
      <c r="T26" s="8" t="inlineStr">
        <is>
          <t>269A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롯데캐슬골드</t>
        </is>
      </c>
      <c r="B27" s="16" t="inlineStr">
        <is>
          <t>'05.11.</t>
        </is>
      </c>
      <c r="C27" s="165" t="n">
        <v>400</v>
      </c>
      <c r="D27" s="162" t="n">
        <v>269.4</v>
      </c>
      <c r="E27" s="164" t="n">
        <v>81</v>
      </c>
      <c r="F27" s="162" t="n">
        <v>209.5</v>
      </c>
      <c r="G27" s="27" t="n">
        <v>63</v>
      </c>
      <c r="H27" s="165" t="n">
        <v>4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3</v>
      </c>
      <c r="S27" s="113" t="inlineStr">
        <is>
          <t>계</t>
        </is>
      </c>
      <c r="T27" s="8" t="inlineStr">
        <is>
          <t>269B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롯데캐슬골드</t>
        </is>
      </c>
      <c r="B28" s="16" t="inlineStr">
        <is>
          <t>'05.11.</t>
        </is>
      </c>
      <c r="C28" s="165" t="n">
        <v>400</v>
      </c>
      <c r="D28" s="162" t="n">
        <v>273</v>
      </c>
      <c r="E28" s="164" t="n">
        <v>83</v>
      </c>
      <c r="F28" s="162" t="n">
        <v>212.4</v>
      </c>
      <c r="G28" s="27" t="n">
        <v>64</v>
      </c>
      <c r="H28" s="165" t="n">
        <v>4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3</v>
      </c>
      <c r="S28" s="113" t="inlineStr">
        <is>
          <t>계</t>
        </is>
      </c>
      <c r="T28" s="8" t="n">
        <v>273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롯데캐슬골드</t>
        </is>
      </c>
      <c r="B29" s="16" t="inlineStr">
        <is>
          <t>'05.11.</t>
        </is>
      </c>
      <c r="C29" s="165" t="n">
        <v>400</v>
      </c>
      <c r="D29" s="162" t="n">
        <v>313</v>
      </c>
      <c r="E29" s="164" t="n">
        <v>95</v>
      </c>
      <c r="F29" s="162" t="n">
        <v>243.4</v>
      </c>
      <c r="G29" s="27" t="n">
        <v>74</v>
      </c>
      <c r="H29" s="165" t="n">
        <v>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3</v>
      </c>
      <c r="S29" s="113" t="inlineStr">
        <is>
          <t>계</t>
        </is>
      </c>
      <c r="T29" s="8" t="inlineStr">
        <is>
          <t>312A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롯데캐슬골드</t>
        </is>
      </c>
      <c r="B30" s="16" t="inlineStr">
        <is>
          <t>'05.11.</t>
        </is>
      </c>
      <c r="C30" s="165" t="n">
        <v>400</v>
      </c>
      <c r="D30" s="162" t="n">
        <v>314.7</v>
      </c>
      <c r="E30" s="164" t="n">
        <v>95</v>
      </c>
      <c r="F30" s="162" t="n">
        <v>244.8</v>
      </c>
      <c r="G30" s="27" t="n">
        <v>74</v>
      </c>
      <c r="H30" s="165" t="n">
        <v>8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3</v>
      </c>
      <c r="S30" s="113" t="inlineStr">
        <is>
          <t>계</t>
        </is>
      </c>
      <c r="T30" s="8" t="inlineStr">
        <is>
          <t>314C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롯데캐슬골드</t>
        </is>
      </c>
      <c r="B31" s="16" t="inlineStr">
        <is>
          <t>'05.11.</t>
        </is>
      </c>
      <c r="C31" s="165" t="n">
        <v>400</v>
      </c>
      <c r="D31" s="162" t="n">
        <v>314.9</v>
      </c>
      <c r="E31" s="164" t="n">
        <v>95</v>
      </c>
      <c r="F31" s="162" t="n">
        <v>244.9</v>
      </c>
      <c r="G31" s="27" t="n">
        <v>74</v>
      </c>
      <c r="H31" s="165" t="n">
        <v>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314B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잠실더샵스타파크</t>
        </is>
      </c>
      <c r="B33" s="16" t="inlineStr">
        <is>
          <t>'08.09.</t>
        </is>
      </c>
      <c r="C33" s="165" t="n">
        <v>213</v>
      </c>
      <c r="D33" s="162" t="n">
        <v>167.4</v>
      </c>
      <c r="E33" s="164" t="n">
        <v>51</v>
      </c>
      <c r="F33" s="162" t="n">
        <v>137.4</v>
      </c>
      <c r="G33" s="27" t="n">
        <v>42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167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잠실더샵스타파크</t>
        </is>
      </c>
      <c r="B34" s="16" t="inlineStr">
        <is>
          <t>'08.09.</t>
        </is>
      </c>
      <c r="C34" s="165" t="n">
        <v>213</v>
      </c>
      <c r="D34" s="162" t="n">
        <v>191.4</v>
      </c>
      <c r="E34" s="164" t="n">
        <v>58</v>
      </c>
      <c r="F34" s="162" t="n">
        <v>157.1</v>
      </c>
      <c r="G34" s="27" t="n">
        <v>48</v>
      </c>
      <c r="H34" s="165" t="n">
        <v>16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191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잠실더샵스타파크</t>
        </is>
      </c>
      <c r="B35" s="16" t="inlineStr">
        <is>
          <t>'08.09.</t>
        </is>
      </c>
      <c r="C35" s="165" t="n">
        <v>213</v>
      </c>
      <c r="D35" s="162" t="n">
        <v>211</v>
      </c>
      <c r="E35" s="164" t="n">
        <v>64</v>
      </c>
      <c r="F35" s="162" t="n">
        <v>173.2</v>
      </c>
      <c r="G35" s="27" t="n">
        <v>52</v>
      </c>
      <c r="H35" s="165" t="n">
        <v>88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211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잠실더샵스타파크</t>
        </is>
      </c>
      <c r="B36" s="16" t="inlineStr">
        <is>
          <t>'08.09.</t>
        </is>
      </c>
      <c r="C36" s="165" t="n">
        <v>213</v>
      </c>
      <c r="D36" s="162" t="n">
        <v>230.9</v>
      </c>
      <c r="E36" s="164" t="n">
        <v>70</v>
      </c>
      <c r="F36" s="162" t="n">
        <v>186.5</v>
      </c>
      <c r="G36" s="27" t="n">
        <v>56</v>
      </c>
      <c r="H36" s="165" t="n">
        <v>42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230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잠실더샵스타파크</t>
        </is>
      </c>
      <c r="B37" s="16" t="inlineStr">
        <is>
          <t>'08.09.</t>
        </is>
      </c>
      <c r="C37" s="165" t="n">
        <v>213</v>
      </c>
      <c r="D37" s="162" t="n">
        <v>253.8</v>
      </c>
      <c r="E37" s="164" t="n">
        <v>77</v>
      </c>
      <c r="F37" s="162" t="n">
        <v>208.3</v>
      </c>
      <c r="G37" s="27" t="n">
        <v>63</v>
      </c>
      <c r="H37" s="165" t="n">
        <v>41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3</v>
      </c>
      <c r="S37" s="113" t="inlineStr">
        <is>
          <t>계</t>
        </is>
      </c>
      <c r="T37" s="8" t="n">
        <v>253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잠실더샵스타파크</t>
        </is>
      </c>
      <c r="B38" s="16" t="inlineStr">
        <is>
          <t>'08.09.</t>
        </is>
      </c>
      <c r="C38" s="165" t="n">
        <v>213</v>
      </c>
      <c r="D38" s="162" t="n">
        <v>290.3</v>
      </c>
      <c r="E38" s="164" t="n">
        <v>88</v>
      </c>
      <c r="F38" s="162" t="n">
        <v>237.6</v>
      </c>
      <c r="G38" s="27" t="n">
        <v>72</v>
      </c>
      <c r="H38" s="165" t="n">
        <v>1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5</v>
      </c>
      <c r="R38" s="113" t="n">
        <v>3</v>
      </c>
      <c r="S38" s="113" t="inlineStr">
        <is>
          <t>계</t>
        </is>
      </c>
      <c r="T38" s="8" t="n">
        <v>290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잠실더샵스타파크</t>
        </is>
      </c>
      <c r="B39" s="16" t="inlineStr">
        <is>
          <t>'08.09.</t>
        </is>
      </c>
      <c r="C39" s="165" t="n">
        <v>213</v>
      </c>
      <c r="D39" s="162" t="n">
        <v>294.8</v>
      </c>
      <c r="E39" s="164" t="n">
        <v>89</v>
      </c>
      <c r="F39" s="162" t="n">
        <v>240.5</v>
      </c>
      <c r="G39" s="27" t="n">
        <v>73</v>
      </c>
      <c r="H39" s="165" t="n">
        <v>1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4</v>
      </c>
      <c r="S39" s="113" t="inlineStr">
        <is>
          <t>계</t>
        </is>
      </c>
      <c r="T39" s="8" t="inlineStr">
        <is>
          <t>294A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잠실더샵스타파크</t>
        </is>
      </c>
      <c r="B40" s="16" t="inlineStr">
        <is>
          <t>'08.09.</t>
        </is>
      </c>
      <c r="C40" s="165" t="n">
        <v>213</v>
      </c>
      <c r="D40" s="162" t="n">
        <v>294.8</v>
      </c>
      <c r="E40" s="164" t="n">
        <v>89</v>
      </c>
      <c r="F40" s="162" t="n">
        <v>240.5</v>
      </c>
      <c r="G40" s="27" t="n">
        <v>73</v>
      </c>
      <c r="H40" s="165" t="n">
        <v>1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4</v>
      </c>
      <c r="S40" s="113" t="inlineStr">
        <is>
          <t>계</t>
        </is>
      </c>
      <c r="T40" s="8" t="inlineStr">
        <is>
          <t>294B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잠실더샵스타파크</t>
        </is>
      </c>
      <c r="B41" s="16" t="inlineStr">
        <is>
          <t>'08.09.</t>
        </is>
      </c>
      <c r="C41" s="165" t="n">
        <v>213</v>
      </c>
      <c r="D41" s="162" t="n">
        <v>333.3</v>
      </c>
      <c r="E41" s="164" t="n">
        <v>101</v>
      </c>
      <c r="F41" s="162" t="n">
        <v>244.9</v>
      </c>
      <c r="G41" s="27" t="n">
        <v>74</v>
      </c>
      <c r="H41" s="165" t="n">
        <v>1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n">
        <v>333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미성</t>
        </is>
      </c>
      <c r="B43" s="16" t="inlineStr">
        <is>
          <t>'80.12.</t>
        </is>
      </c>
      <c r="C43" s="165" t="n">
        <v>1230</v>
      </c>
      <c r="D43" s="162" t="n">
        <v>62.8</v>
      </c>
      <c r="E43" s="164" t="n">
        <v>19</v>
      </c>
      <c r="F43" s="162" t="n">
        <v>59.1</v>
      </c>
      <c r="G43" s="27" t="n">
        <v>18</v>
      </c>
      <c r="H43" s="165" t="n">
        <v>580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2</v>
      </c>
      <c r="R43" s="113" t="n">
        <v>1</v>
      </c>
      <c r="S43" s="113" t="inlineStr">
        <is>
          <t>복</t>
        </is>
      </c>
      <c r="T43" s="8" t="n">
        <v>62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미성</t>
        </is>
      </c>
      <c r="B44" s="16" t="inlineStr">
        <is>
          <t>'80.12.</t>
        </is>
      </c>
      <c r="C44" s="165" t="n">
        <v>1230</v>
      </c>
      <c r="D44" s="162" t="n">
        <v>79.3</v>
      </c>
      <c r="E44" s="164" t="n">
        <v>24</v>
      </c>
      <c r="F44" s="162" t="n">
        <v>72.5</v>
      </c>
      <c r="G44" s="27" t="n">
        <v>22</v>
      </c>
      <c r="H44" s="165" t="n">
        <v>380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2</v>
      </c>
      <c r="R44" s="113" t="n">
        <v>1</v>
      </c>
      <c r="S44" s="113" t="inlineStr">
        <is>
          <t>복</t>
        </is>
      </c>
      <c r="T44" s="8" t="n">
        <v>79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미성</t>
        </is>
      </c>
      <c r="B45" s="16" t="inlineStr">
        <is>
          <t>'80.12.</t>
        </is>
      </c>
      <c r="C45" s="165" t="n">
        <v>1230</v>
      </c>
      <c r="D45" s="162" t="n">
        <v>105.8</v>
      </c>
      <c r="E45" s="164" t="n">
        <v>32</v>
      </c>
      <c r="F45" s="162" t="n">
        <v>95.8</v>
      </c>
      <c r="G45" s="27" t="n">
        <v>29</v>
      </c>
      <c r="H45" s="165" t="n">
        <v>210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복</t>
        </is>
      </c>
      <c r="T45" s="8" t="n">
        <v>105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미성</t>
        </is>
      </c>
      <c r="B46" s="16" t="inlineStr">
        <is>
          <t>'80.12.</t>
        </is>
      </c>
      <c r="C46" s="165" t="n">
        <v>1230</v>
      </c>
      <c r="D46" s="162" t="n">
        <v>168.6</v>
      </c>
      <c r="E46" s="164" t="n">
        <v>51</v>
      </c>
      <c r="F46" s="162" t="n">
        <v>156.4</v>
      </c>
      <c r="G46" s="27" t="n">
        <v>47</v>
      </c>
      <c r="H46" s="165" t="n">
        <v>60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2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3" t="n"/>
      <c r="P47" s="163" t="n"/>
      <c r="Q47" s="164" t="n"/>
      <c r="R47" s="164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1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파크리오</t>
        </is>
      </c>
      <c r="B48" s="16" t="inlineStr">
        <is>
          <t>'08.08.</t>
        </is>
      </c>
      <c r="C48" s="165" t="n">
        <v>6864</v>
      </c>
      <c r="D48" s="162" t="n">
        <v>53</v>
      </c>
      <c r="E48" s="164" t="n">
        <v>16</v>
      </c>
      <c r="F48" s="162" t="n">
        <v>35.2</v>
      </c>
      <c r="G48" s="27" t="n">
        <v>11</v>
      </c>
      <c r="H48" s="165" t="n">
        <v>344</v>
      </c>
      <c r="I48" s="166" t="n">
        <v>84000</v>
      </c>
      <c r="J48" s="166" t="inlineStr">
        <is>
          <t>중</t>
        </is>
      </c>
      <c r="K48" s="166" t="n">
        <v>45000</v>
      </c>
      <c r="L48" s="166" t="inlineStr">
        <is>
          <t>고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1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파크리오</t>
        </is>
      </c>
      <c r="B49" s="16" t="inlineStr">
        <is>
          <t>'08.08.</t>
        </is>
      </c>
      <c r="C49" s="165" t="n">
        <v>6864</v>
      </c>
      <c r="D49" s="162" t="n">
        <v>86.90000000000001</v>
      </c>
      <c r="E49" s="164" t="n">
        <v>26</v>
      </c>
      <c r="F49" s="162" t="n">
        <v>60</v>
      </c>
      <c r="G49" s="27" t="n">
        <v>18</v>
      </c>
      <c r="H49" s="165" t="n">
        <v>600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86A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파크리오</t>
        </is>
      </c>
      <c r="B50" s="16" t="inlineStr">
        <is>
          <t>'08.08.</t>
        </is>
      </c>
      <c r="C50" s="165" t="n">
        <v>6864</v>
      </c>
      <c r="D50" s="162" t="n">
        <v>86.7</v>
      </c>
      <c r="E50" s="164" t="n">
        <v>26</v>
      </c>
      <c r="F50" s="162" t="n">
        <v>59.9</v>
      </c>
      <c r="G50" s="27" t="n">
        <v>18</v>
      </c>
      <c r="H50" s="165" t="n">
        <v>288</v>
      </c>
      <c r="I50" s="166" t="n">
        <v>155000</v>
      </c>
      <c r="J50" s="166" t="inlineStr">
        <is>
          <t>중</t>
        </is>
      </c>
      <c r="K50" s="166" t="n">
        <v>75000</v>
      </c>
      <c r="L50" s="166" t="inlineStr">
        <is>
          <t>중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86B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파크리오</t>
        </is>
      </c>
      <c r="B51" s="16" t="inlineStr">
        <is>
          <t>'08.08.</t>
        </is>
      </c>
      <c r="C51" s="165" t="n">
        <v>6864</v>
      </c>
      <c r="D51" s="162" t="n">
        <v>87.09999999999999</v>
      </c>
      <c r="E51" s="164" t="n">
        <v>26</v>
      </c>
      <c r="F51" s="162" t="n">
        <v>59.6</v>
      </c>
      <c r="G51" s="27" t="n">
        <v>18</v>
      </c>
      <c r="H51" s="165" t="n">
        <v>156</v>
      </c>
      <c r="I51" s="166" t="n">
        <v>150000</v>
      </c>
      <c r="J51" s="166" t="inlineStr">
        <is>
          <t>고</t>
        </is>
      </c>
      <c r="K51" s="166" t="n">
        <v>67000</v>
      </c>
      <c r="L51" s="166" t="inlineStr">
        <is>
          <t>중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87C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파크리오</t>
        </is>
      </c>
      <c r="B52" s="16" t="inlineStr">
        <is>
          <t>'08.08.</t>
        </is>
      </c>
      <c r="C52" s="165" t="n">
        <v>6864</v>
      </c>
      <c r="D52" s="162" t="n">
        <v>108.8</v>
      </c>
      <c r="E52" s="164" t="n">
        <v>33</v>
      </c>
      <c r="F52" s="162" t="n">
        <v>84.8</v>
      </c>
      <c r="G52" s="27" t="n">
        <v>26</v>
      </c>
      <c r="H52" s="165" t="n">
        <v>1762</v>
      </c>
      <c r="I52" s="166" t="n">
        <v>170000</v>
      </c>
      <c r="J52" s="166" t="inlineStr">
        <is>
          <t>중</t>
        </is>
      </c>
      <c r="K52" s="166" t="n">
        <v>84000</v>
      </c>
      <c r="L52" s="166" t="inlineStr">
        <is>
          <t>중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108B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파크리오</t>
        </is>
      </c>
      <c r="B53" s="16" t="inlineStr">
        <is>
          <t>'08.08.</t>
        </is>
      </c>
      <c r="C53" s="165" t="n">
        <v>6864</v>
      </c>
      <c r="D53" s="162" t="n">
        <v>108.2</v>
      </c>
      <c r="E53" s="164" t="n">
        <v>33</v>
      </c>
      <c r="F53" s="162" t="n">
        <v>85</v>
      </c>
      <c r="G53" s="27" t="n">
        <v>26</v>
      </c>
      <c r="H53" s="165" t="n">
        <v>304</v>
      </c>
      <c r="I53" s="166" t="n">
        <v>203000</v>
      </c>
      <c r="J53" s="166" t="inlineStr">
        <is>
          <t>고</t>
        </is>
      </c>
      <c r="K53" s="166" t="n">
        <v>100000</v>
      </c>
      <c r="L53" s="166" t="inlineStr">
        <is>
          <t>중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파크리오</t>
        </is>
      </c>
      <c r="B54" s="16" t="inlineStr">
        <is>
          <t>'08.08.</t>
        </is>
      </c>
      <c r="C54" s="165" t="n">
        <v>6864</v>
      </c>
      <c r="D54" s="162" t="n">
        <v>108.8</v>
      </c>
      <c r="E54" s="164" t="n">
        <v>33</v>
      </c>
      <c r="F54" s="162" t="n">
        <v>84.8</v>
      </c>
      <c r="G54" s="27" t="n">
        <v>26</v>
      </c>
      <c r="H54" s="165" t="n">
        <v>216</v>
      </c>
      <c r="I54" s="166" t="n">
        <v>170000</v>
      </c>
      <c r="J54" s="166" t="inlineStr">
        <is>
          <t>중</t>
        </is>
      </c>
      <c r="K54" s="166" t="n">
        <v>84000</v>
      </c>
      <c r="L54" s="166" t="inlineStr">
        <is>
          <t>중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108B1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파크리오</t>
        </is>
      </c>
      <c r="B55" s="16" t="inlineStr">
        <is>
          <t>'08.08.</t>
        </is>
      </c>
      <c r="C55" s="165" t="n">
        <v>6864</v>
      </c>
      <c r="D55" s="162" t="n">
        <v>109.6</v>
      </c>
      <c r="E55" s="164" t="n">
        <v>33</v>
      </c>
      <c r="F55" s="162" t="n">
        <v>84.90000000000001</v>
      </c>
      <c r="G55" s="27" t="n">
        <v>26</v>
      </c>
      <c r="H55" s="165" t="n">
        <v>1978</v>
      </c>
      <c r="I55" s="166" t="n">
        <v>169000</v>
      </c>
      <c r="J55" s="166" t="inlineStr">
        <is>
          <t>고</t>
        </is>
      </c>
      <c r="K55" s="166" t="n">
        <v>80000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109C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파크리오</t>
        </is>
      </c>
      <c r="B56" s="16" t="inlineStr">
        <is>
          <t>'08.08.</t>
        </is>
      </c>
      <c r="C56" s="165" t="n">
        <v>6864</v>
      </c>
      <c r="D56" s="162" t="n">
        <v>149.9</v>
      </c>
      <c r="E56" s="164" t="n">
        <v>45</v>
      </c>
      <c r="F56" s="162" t="n">
        <v>121.6</v>
      </c>
      <c r="G56" s="27" t="n">
        <v>37</v>
      </c>
      <c r="H56" s="165" t="n">
        <v>642</v>
      </c>
      <c r="I56" s="166" t="n">
        <v>228000</v>
      </c>
      <c r="J56" s="166" t="inlineStr">
        <is>
          <t>고</t>
        </is>
      </c>
      <c r="K56" s="166" t="n">
        <v>120000</v>
      </c>
      <c r="L56" s="166" t="inlineStr">
        <is>
          <t>고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149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파크리오</t>
        </is>
      </c>
      <c r="B57" s="16" t="inlineStr">
        <is>
          <t>'08.08.</t>
        </is>
      </c>
      <c r="C57" s="165" t="n">
        <v>6864</v>
      </c>
      <c r="D57" s="162" t="n">
        <v>174.1</v>
      </c>
      <c r="E57" s="164" t="n">
        <v>53</v>
      </c>
      <c r="F57" s="162" t="n">
        <v>144.8</v>
      </c>
      <c r="G57" s="27" t="n">
        <v>44</v>
      </c>
      <c r="H57" s="165" t="n">
        <v>574</v>
      </c>
      <c r="I57" s="166" t="n">
        <v>250000</v>
      </c>
      <c r="J57" s="166" t="inlineStr">
        <is>
          <t>중</t>
        </is>
      </c>
      <c r="K57" s="166" t="n">
        <v>125000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174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한신잠실코아</t>
        </is>
      </c>
      <c r="B59" s="16" t="inlineStr">
        <is>
          <t>'88.12.</t>
        </is>
      </c>
      <c r="C59" s="165" t="n">
        <v>493</v>
      </c>
      <c r="D59" s="162" t="n">
        <v>43</v>
      </c>
      <c r="E59" s="164" t="n">
        <v>13</v>
      </c>
      <c r="F59" s="162" t="n">
        <v>31.5</v>
      </c>
      <c r="G59" s="27" t="n">
        <v>10</v>
      </c>
      <c r="H59" s="165" t="n">
        <v>30</v>
      </c>
      <c r="I59" s="166" t="n">
        <v>89000</v>
      </c>
      <c r="J59" s="166" t="inlineStr">
        <is>
          <t>8</t>
        </is>
      </c>
      <c r="K59" s="166" t="n">
        <v>29000</v>
      </c>
      <c r="L59" s="166" t="inlineStr">
        <is>
          <t>6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1</v>
      </c>
      <c r="R59" s="113" t="n">
        <v>1</v>
      </c>
      <c r="S59" s="113" t="inlineStr">
        <is>
          <t>복</t>
        </is>
      </c>
      <c r="T59" s="8" t="n">
        <v>42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한신잠실코아</t>
        </is>
      </c>
      <c r="B60" s="16" t="inlineStr">
        <is>
          <t>'88.12.</t>
        </is>
      </c>
      <c r="C60" s="165" t="n">
        <v>493</v>
      </c>
      <c r="D60" s="162" t="n">
        <v>59.5</v>
      </c>
      <c r="E60" s="164" t="n">
        <v>18</v>
      </c>
      <c r="F60" s="162" t="n">
        <v>42</v>
      </c>
      <c r="G60" s="27" t="n">
        <v>13</v>
      </c>
      <c r="H60" s="165" t="n">
        <v>178</v>
      </c>
      <c r="I60" s="166" t="n">
        <v>90000</v>
      </c>
      <c r="J60" s="166" t="inlineStr">
        <is>
          <t>고</t>
        </is>
      </c>
      <c r="K60" s="166" t="n">
        <v>30800</v>
      </c>
      <c r="L60" s="166" t="inlineStr">
        <is>
          <t>15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2</v>
      </c>
      <c r="R60" s="113" t="n">
        <v>1</v>
      </c>
      <c r="S60" s="113" t="inlineStr">
        <is>
          <t>복</t>
        </is>
      </c>
      <c r="T60" s="8" t="n">
        <v>59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한신잠실코아</t>
        </is>
      </c>
      <c r="B61" s="16" t="inlineStr">
        <is>
          <t>'88.12.</t>
        </is>
      </c>
      <c r="C61" s="165" t="n">
        <v>493</v>
      </c>
      <c r="D61" s="162" t="n">
        <v>72.7</v>
      </c>
      <c r="E61" s="164" t="n">
        <v>22</v>
      </c>
      <c r="F61" s="162" t="n">
        <v>50.8</v>
      </c>
      <c r="G61" s="27" t="n">
        <v>15</v>
      </c>
      <c r="H61" s="165" t="n">
        <v>56</v>
      </c>
      <c r="I61" s="166" t="n">
        <v>101000</v>
      </c>
      <c r="J61" s="166" t="inlineStr">
        <is>
          <t>15</t>
        </is>
      </c>
      <c r="K61" s="166" t="n">
        <v>45000</v>
      </c>
      <c r="L61" s="166" t="inlineStr">
        <is>
          <t>14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복</t>
        </is>
      </c>
      <c r="T61" s="8" t="n">
        <v>72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한신잠실코아</t>
        </is>
      </c>
      <c r="B62" s="16" t="inlineStr">
        <is>
          <t>'88.12.</t>
        </is>
      </c>
      <c r="C62" s="165" t="n">
        <v>493</v>
      </c>
      <c r="D62" s="162" t="n">
        <v>76</v>
      </c>
      <c r="E62" s="164" t="n">
        <v>23</v>
      </c>
      <c r="F62" s="162" t="n">
        <v>52.5</v>
      </c>
      <c r="G62" s="27" t="n">
        <v>16</v>
      </c>
      <c r="H62" s="165" t="n">
        <v>175</v>
      </c>
      <c r="I62" s="166" t="n">
        <v>136000</v>
      </c>
      <c r="J62" s="166" t="inlineStr">
        <is>
          <t>15</t>
        </is>
      </c>
      <c r="K62" s="166" t="n">
        <v>42000</v>
      </c>
      <c r="L62" s="166" t="inlineStr">
        <is>
          <t>10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1</v>
      </c>
      <c r="S62" s="113" t="inlineStr">
        <is>
          <t>복</t>
        </is>
      </c>
      <c r="T62" s="8" t="n">
        <v>76</v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한신잠실코아</t>
        </is>
      </c>
      <c r="B63" s="16" t="inlineStr">
        <is>
          <t>'88.12.</t>
        </is>
      </c>
      <c r="C63" s="165" t="n">
        <v>493</v>
      </c>
      <c r="D63" s="162" t="n">
        <v>86</v>
      </c>
      <c r="E63" s="164" t="n">
        <v>26</v>
      </c>
      <c r="F63" s="162" t="n">
        <v>59.9</v>
      </c>
      <c r="G63" s="27" t="n">
        <v>18</v>
      </c>
      <c r="H63" s="165" t="n">
        <v>13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2</v>
      </c>
      <c r="R63" s="113" t="n">
        <v>1</v>
      </c>
      <c r="S63" s="113" t="inlineStr">
        <is>
          <t>복</t>
        </is>
      </c>
      <c r="T63" s="8" t="n">
        <v>85</v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한신잠실코아</t>
        </is>
      </c>
      <c r="B64" s="16" t="inlineStr">
        <is>
          <t>'88.12.</t>
        </is>
      </c>
      <c r="C64" s="165" t="n">
        <v>493</v>
      </c>
      <c r="D64" s="162" t="n">
        <v>92.59999999999999</v>
      </c>
      <c r="E64" s="164" t="n">
        <v>28</v>
      </c>
      <c r="F64" s="162" t="n">
        <v>64.09999999999999</v>
      </c>
      <c r="G64" s="27" t="n">
        <v>19</v>
      </c>
      <c r="H64" s="165" t="n">
        <v>41</v>
      </c>
      <c r="I64" s="166" t="n">
        <v>174000</v>
      </c>
      <c r="J64" s="166" t="inlineStr">
        <is>
          <t>11</t>
        </is>
      </c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2</v>
      </c>
      <c r="R64" s="113" t="n">
        <v>1</v>
      </c>
      <c r="S64" s="113" t="inlineStr">
        <is>
          <t>복</t>
        </is>
      </c>
      <c r="T64" s="8" t="n">
        <v>92</v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2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3" t="n"/>
      <c r="P65" s="163" t="n"/>
      <c r="Q65" s="164" t="n"/>
      <c r="R65" s="164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1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잠실푸르지오월드마크</t>
        </is>
      </c>
      <c r="B66" s="16" t="inlineStr">
        <is>
          <t>'13.06.</t>
        </is>
      </c>
      <c r="C66" s="165" t="n">
        <v>288</v>
      </c>
      <c r="D66" s="162" t="n">
        <v>115.3</v>
      </c>
      <c r="E66" s="164" t="n">
        <v>35</v>
      </c>
      <c r="F66" s="162" t="n">
        <v>84.40000000000001</v>
      </c>
      <c r="G66" s="27" t="n">
        <v>26</v>
      </c>
      <c r="H66" s="165" t="n">
        <v>54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115</v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잠실푸르지오월드마크</t>
        </is>
      </c>
      <c r="B67" s="16" t="inlineStr">
        <is>
          <t>'13.06.</t>
        </is>
      </c>
      <c r="C67" s="165" t="n">
        <v>288</v>
      </c>
      <c r="D67" s="162" t="n">
        <v>150.1</v>
      </c>
      <c r="E67" s="164" t="n">
        <v>45</v>
      </c>
      <c r="F67" s="162" t="n">
        <v>108.3</v>
      </c>
      <c r="G67" s="27" t="n">
        <v>33</v>
      </c>
      <c r="H67" s="165" t="n">
        <v>52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150</v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잠실푸르지오월드마크</t>
        </is>
      </c>
      <c r="B68" s="16" t="inlineStr">
        <is>
          <t>'13.06.</t>
        </is>
      </c>
      <c r="C68" s="165" t="n">
        <v>288</v>
      </c>
      <c r="D68" s="162" t="n">
        <v>151.7</v>
      </c>
      <c r="E68" s="164" t="n">
        <v>46</v>
      </c>
      <c r="F68" s="162" t="n">
        <v>110.7</v>
      </c>
      <c r="G68" s="27" t="n">
        <v>33</v>
      </c>
      <c r="H68" s="165" t="n">
        <v>24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151A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잠실푸르지오월드마크</t>
        </is>
      </c>
      <c r="B69" s="16" t="inlineStr">
        <is>
          <t>'13.06.</t>
        </is>
      </c>
      <c r="C69" s="165" t="n">
        <v>288</v>
      </c>
      <c r="D69" s="162" t="n">
        <v>153.9</v>
      </c>
      <c r="E69" s="164" t="n">
        <v>47</v>
      </c>
      <c r="F69" s="162" t="n">
        <v>112.3</v>
      </c>
      <c r="G69" s="27" t="n">
        <v>34</v>
      </c>
      <c r="H69" s="165" t="n">
        <v>34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153B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잠실푸르지오월드마크</t>
        </is>
      </c>
      <c r="B70" s="16" t="inlineStr">
        <is>
          <t>'13.06.</t>
        </is>
      </c>
      <c r="C70" s="165" t="n">
        <v>288</v>
      </c>
      <c r="D70" s="162" t="n">
        <v>163.3</v>
      </c>
      <c r="E70" s="164" t="n">
        <v>49</v>
      </c>
      <c r="F70" s="162" t="n">
        <v>119.6</v>
      </c>
      <c r="G70" s="27" t="n">
        <v>36</v>
      </c>
      <c r="H70" s="165" t="n">
        <v>24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163A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잠실푸르지오월드마크</t>
        </is>
      </c>
      <c r="B71" s="16" t="inlineStr">
        <is>
          <t>'13.06.</t>
        </is>
      </c>
      <c r="C71" s="165" t="n">
        <v>288</v>
      </c>
      <c r="D71" s="162" t="n">
        <v>164.8</v>
      </c>
      <c r="E71" s="164" t="n">
        <v>50</v>
      </c>
      <c r="F71" s="162" t="n">
        <v>120.6</v>
      </c>
      <c r="G71" s="27" t="n">
        <v>36</v>
      </c>
      <c r="H71" s="165" t="n">
        <v>34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164B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잠실푸르지오월드마크</t>
        </is>
      </c>
      <c r="B72" s="16" t="inlineStr">
        <is>
          <t>'13.06.</t>
        </is>
      </c>
      <c r="C72" s="165" t="n">
        <v>288</v>
      </c>
      <c r="D72" s="162" t="n">
        <v>170.7</v>
      </c>
      <c r="E72" s="164" t="n">
        <v>52</v>
      </c>
      <c r="F72" s="162" t="n">
        <v>123.3</v>
      </c>
      <c r="G72" s="27" t="n">
        <v>37</v>
      </c>
      <c r="H72" s="165" t="n">
        <v>30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170A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잠실푸르지오월드마크</t>
        </is>
      </c>
      <c r="B73" s="16" t="inlineStr">
        <is>
          <t>'13.06.</t>
        </is>
      </c>
      <c r="C73" s="165" t="n">
        <v>288</v>
      </c>
      <c r="D73" s="162" t="n">
        <v>173.1</v>
      </c>
      <c r="E73" s="164" t="n">
        <v>52</v>
      </c>
      <c r="F73" s="162" t="n">
        <v>125</v>
      </c>
      <c r="G73" s="27" t="n">
        <v>38</v>
      </c>
      <c r="H73" s="165" t="n">
        <v>28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173B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잠실푸르지오월드마크</t>
        </is>
      </c>
      <c r="B74" s="16" t="inlineStr">
        <is>
          <t>'13.06.</t>
        </is>
      </c>
      <c r="C74" s="165" t="n">
        <v>288</v>
      </c>
      <c r="D74" s="162" t="n">
        <v>206</v>
      </c>
      <c r="E74" s="164" t="n">
        <v>62</v>
      </c>
      <c r="F74" s="162" t="n">
        <v>150.2</v>
      </c>
      <c r="G74" s="27" t="n">
        <v>45</v>
      </c>
      <c r="H74" s="165" t="n">
        <v>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206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잠실푸르지오월드마크</t>
        </is>
      </c>
      <c r="B75" s="16" t="inlineStr">
        <is>
          <t>'13.06.</t>
        </is>
      </c>
      <c r="C75" s="165" t="n">
        <v>288</v>
      </c>
      <c r="D75" s="162" t="n">
        <v>322.7</v>
      </c>
      <c r="E75" s="164" t="n">
        <v>98</v>
      </c>
      <c r="F75" s="162" t="n">
        <v>234.6</v>
      </c>
      <c r="G75" s="27" t="n">
        <v>71</v>
      </c>
      <c r="H75" s="165" t="n">
        <v>2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5</v>
      </c>
      <c r="R75" s="113" t="n">
        <v>3</v>
      </c>
      <c r="S75" s="113" t="inlineStr">
        <is>
          <t>계</t>
        </is>
      </c>
      <c r="T75" s="8" t="n">
        <v>322</v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잠실푸르지오월드마크</t>
        </is>
      </c>
      <c r="B76" s="16" t="inlineStr">
        <is>
          <t>'13.06.</t>
        </is>
      </c>
      <c r="C76" s="165" t="n">
        <v>288</v>
      </c>
      <c r="D76" s="162" t="n">
        <v>335.5</v>
      </c>
      <c r="E76" s="164" t="n">
        <v>101</v>
      </c>
      <c r="F76" s="162" t="n">
        <v>245</v>
      </c>
      <c r="G76" s="27" t="n">
        <v>74</v>
      </c>
      <c r="H76" s="165" t="n">
        <v>2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5</v>
      </c>
      <c r="R76" s="113" t="n">
        <v>3</v>
      </c>
      <c r="S76" s="113" t="inlineStr">
        <is>
          <t>계</t>
        </is>
      </c>
      <c r="T76" s="8" t="n">
        <v>335</v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2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3" t="n"/>
      <c r="P77" s="163" t="n"/>
      <c r="Q77" s="164" t="n"/>
      <c r="R77" s="164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1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진주</t>
        </is>
      </c>
      <c r="B78" s="16" t="inlineStr">
        <is>
          <t>'80.01.</t>
        </is>
      </c>
      <c r="C78" s="165" t="n">
        <v>1507</v>
      </c>
      <c r="D78" s="162" t="n">
        <v>82.59999999999999</v>
      </c>
      <c r="E78" s="164" t="n">
        <v>25</v>
      </c>
      <c r="F78" s="162" t="n">
        <v>59.4</v>
      </c>
      <c r="G78" s="27" t="n">
        <v>18</v>
      </c>
      <c r="H78" s="165" t="n">
        <v>337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82</v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진주</t>
        </is>
      </c>
      <c r="B79" s="16" t="inlineStr">
        <is>
          <t>'80.01.</t>
        </is>
      </c>
      <c r="C79" s="165" t="n">
        <v>1507</v>
      </c>
      <c r="D79" s="162" t="n">
        <v>95.90000000000001</v>
      </c>
      <c r="E79" s="164" t="n">
        <v>29</v>
      </c>
      <c r="F79" s="162" t="n">
        <v>71.3</v>
      </c>
      <c r="G79" s="27" t="n">
        <v>22</v>
      </c>
      <c r="H79" s="165" t="n">
        <v>270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1</v>
      </c>
      <c r="S79" s="113" t="inlineStr">
        <is>
          <t>복</t>
        </is>
      </c>
      <c r="T79" s="8" t="n">
        <v>95</v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진주</t>
        </is>
      </c>
      <c r="B80" s="16" t="inlineStr">
        <is>
          <t>'80.01.</t>
        </is>
      </c>
      <c r="C80" s="165" t="n">
        <v>1507</v>
      </c>
      <c r="D80" s="162" t="n">
        <v>109.1</v>
      </c>
      <c r="E80" s="164" t="n">
        <v>33</v>
      </c>
      <c r="F80" s="162" t="n">
        <v>81.90000000000001</v>
      </c>
      <c r="G80" s="27" t="n">
        <v>25</v>
      </c>
      <c r="H80" s="165" t="n">
        <v>390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1</v>
      </c>
      <c r="S80" s="113" t="inlineStr">
        <is>
          <t>복</t>
        </is>
      </c>
      <c r="T80" s="8" t="n">
        <v>109</v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진주</t>
        </is>
      </c>
      <c r="B81" s="16" t="inlineStr">
        <is>
          <t>'80.01.</t>
        </is>
      </c>
      <c r="C81" s="165" t="n">
        <v>1507</v>
      </c>
      <c r="D81" s="162" t="n">
        <v>155.4</v>
      </c>
      <c r="E81" s="164" t="n">
        <v>47</v>
      </c>
      <c r="F81" s="162" t="n">
        <v>128.4</v>
      </c>
      <c r="G81" s="27" t="n">
        <v>39</v>
      </c>
      <c r="H81" s="165" t="n">
        <v>140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155A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진주</t>
        </is>
      </c>
      <c r="B82" s="16" t="inlineStr">
        <is>
          <t>'80.01.</t>
        </is>
      </c>
      <c r="C82" s="165" t="n">
        <v>1507</v>
      </c>
      <c r="D82" s="162" t="n">
        <v>155.4</v>
      </c>
      <c r="E82" s="164" t="n">
        <v>47</v>
      </c>
      <c r="F82" s="162" t="n">
        <v>118.9</v>
      </c>
      <c r="G82" s="27" t="n">
        <v>36</v>
      </c>
      <c r="H82" s="165" t="n">
        <v>70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155B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진주</t>
        </is>
      </c>
      <c r="B83" s="16" t="inlineStr">
        <is>
          <t>'80.01.</t>
        </is>
      </c>
      <c r="C83" s="165" t="n">
        <v>1507</v>
      </c>
      <c r="D83" s="162" t="n">
        <v>181.8</v>
      </c>
      <c r="E83" s="164" t="n">
        <v>55</v>
      </c>
      <c r="F83" s="162" t="n">
        <v>148.1</v>
      </c>
      <c r="G83" s="27" t="n">
        <v>45</v>
      </c>
      <c r="H83" s="165" t="n">
        <v>300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5</v>
      </c>
      <c r="R83" s="113" t="n">
        <v>2</v>
      </c>
      <c r="S83" s="113" t="inlineStr">
        <is>
          <t>계</t>
        </is>
      </c>
      <c r="T83" s="8" t="n">
        <v>181</v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2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3" t="n"/>
      <c r="P84" s="163" t="n"/>
      <c r="Q84" s="164" t="n"/>
      <c r="R84" s="164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1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장미2차</t>
        </is>
      </c>
      <c r="B85" s="16" t="inlineStr">
        <is>
          <t>'79.08.</t>
        </is>
      </c>
      <c r="C85" s="165" t="n">
        <v>1302</v>
      </c>
      <c r="D85" s="162" t="n">
        <v>92.40000000000001</v>
      </c>
      <c r="E85" s="164" t="n">
        <v>28</v>
      </c>
      <c r="F85" s="162" t="n">
        <v>86.40000000000001</v>
      </c>
      <c r="G85" s="27" t="n">
        <v>26</v>
      </c>
      <c r="H85" s="165" t="n">
        <v>294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1</v>
      </c>
      <c r="S85" s="113" t="inlineStr">
        <is>
          <t>복</t>
        </is>
      </c>
      <c r="T85" s="8" t="n">
        <v>92</v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장미2차</t>
        </is>
      </c>
      <c r="B86" s="16" t="inlineStr">
        <is>
          <t>'79.08.</t>
        </is>
      </c>
      <c r="C86" s="165" t="n">
        <v>1302</v>
      </c>
      <c r="D86" s="162" t="n">
        <v>109</v>
      </c>
      <c r="E86" s="164" t="n">
        <v>33</v>
      </c>
      <c r="F86" s="162" t="n">
        <v>82.5</v>
      </c>
      <c r="G86" s="27" t="n">
        <v>25</v>
      </c>
      <c r="H86" s="165" t="n">
        <v>490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108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장미2차</t>
        </is>
      </c>
      <c r="B87" s="16" t="inlineStr">
        <is>
          <t>'79.08.</t>
        </is>
      </c>
      <c r="C87" s="165" t="n">
        <v>1302</v>
      </c>
      <c r="D87" s="162" t="n">
        <v>127.3</v>
      </c>
      <c r="E87" s="164" t="n">
        <v>39</v>
      </c>
      <c r="F87" s="162" t="n">
        <v>119.6</v>
      </c>
      <c r="G87" s="27" t="n">
        <v>36</v>
      </c>
      <c r="H87" s="165" t="n">
        <v>392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4</v>
      </c>
      <c r="R87" s="113" t="n">
        <v>2</v>
      </c>
      <c r="S87" s="113" t="inlineStr">
        <is>
          <t>복</t>
        </is>
      </c>
      <c r="T87" s="8" t="n">
        <v>127</v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장미2차</t>
        </is>
      </c>
      <c r="B88" s="16" t="inlineStr">
        <is>
          <t>'79.08.</t>
        </is>
      </c>
      <c r="C88" s="165" t="n">
        <v>1302</v>
      </c>
      <c r="D88" s="162" t="n">
        <v>151</v>
      </c>
      <c r="E88" s="164" t="n">
        <v>46</v>
      </c>
      <c r="F88" s="162" t="n">
        <v>120</v>
      </c>
      <c r="G88" s="27" t="n">
        <v>36</v>
      </c>
      <c r="H88" s="165" t="n">
        <v>126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4</v>
      </c>
      <c r="R88" s="113" t="n">
        <v>2</v>
      </c>
      <c r="S88" s="113" t="inlineStr">
        <is>
          <t>복</t>
        </is>
      </c>
      <c r="T88" s="8" t="n">
        <v>151</v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466" dxfId="17">
      <formula>AV4="X"</formula>
    </cfRule>
    <cfRule type="expression" priority="1467" dxfId="16">
      <formula>AV4="후보"</formula>
    </cfRule>
  </conditionalFormatting>
  <conditionalFormatting sqref="AC1:AC2 AC4:AC6 N4:N5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:N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6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17">
      <formula>AV7="X"</formula>
    </cfRule>
    <cfRule type="expression" priority="1446" dxfId="16">
      <formula>AV7="후보"</formula>
    </cfRule>
  </conditionalFormatting>
  <conditionalFormatting sqref="AC7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7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17">
      <formula>AV8="X"</formula>
    </cfRule>
    <cfRule type="expression" priority="1427" dxfId="16">
      <formula>AV8="후보"</formula>
    </cfRule>
  </conditionalFormatting>
  <conditionalFormatting sqref="AC8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8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17">
      <formula>AV9="X"</formula>
    </cfRule>
    <cfRule type="expression" priority="1408" dxfId="16">
      <formula>AV9="후보"</formula>
    </cfRule>
  </conditionalFormatting>
  <conditionalFormatting sqref="AC9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17">
      <formula>AV10="X"</formula>
    </cfRule>
    <cfRule type="expression" priority="1389" dxfId="16">
      <formula>AV10="후보"</formula>
    </cfRule>
  </conditionalFormatting>
  <conditionalFormatting sqref="AC10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17">
      <formula>AV11="X"</formula>
    </cfRule>
    <cfRule type="expression" priority="1370" dxfId="16">
      <formula>AV11="후보"</formula>
    </cfRule>
  </conditionalFormatting>
  <conditionalFormatting sqref="AC11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11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17">
      <formula>AV12="X"</formula>
    </cfRule>
    <cfRule type="expression" priority="1351" dxfId="16">
      <formula>AV12="후보"</formula>
    </cfRule>
  </conditionalFormatting>
  <conditionalFormatting sqref="AC12 N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AV13">
    <cfRule type="expression" priority="1345" dxfId="17">
      <formula>AV13="X"</formula>
    </cfRule>
    <cfRule type="expression" priority="1346" dxfId="16">
      <formula>AV13="후보"</formula>
    </cfRule>
  </conditionalFormatting>
  <conditionalFormatting sqref="AC13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17">
      <formula>AV14="X"</formula>
    </cfRule>
    <cfRule type="expression" priority="1327" dxfId="16">
      <formula>AV14="후보"</formula>
    </cfRule>
  </conditionalFormatting>
  <conditionalFormatting sqref="AC14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1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17">
      <formula>AV15="X"</formula>
    </cfRule>
    <cfRule type="expression" priority="1308" dxfId="16">
      <formula>AV15="후보"</formula>
    </cfRule>
  </conditionalFormatting>
  <conditionalFormatting sqref="AC15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1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17">
      <formula>AV16="X"</formula>
    </cfRule>
    <cfRule type="expression" priority="1289" dxfId="16">
      <formula>AV16="후보"</formula>
    </cfRule>
  </conditionalFormatting>
  <conditionalFormatting sqref="AC16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16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17">
      <formula>AV17="X"</formula>
    </cfRule>
    <cfRule type="expression" priority="1270" dxfId="16">
      <formula>AV17="후보"</formula>
    </cfRule>
  </conditionalFormatting>
  <conditionalFormatting sqref="AC17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17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17">
      <formula>AV18="X"</formula>
    </cfRule>
    <cfRule type="expression" priority="1251" dxfId="16">
      <formula>AV18="후보"</formula>
    </cfRule>
  </conditionalFormatting>
  <conditionalFormatting sqref="AC18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18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17">
      <formula>AV19="X"</formula>
    </cfRule>
    <cfRule type="expression" priority="1232" dxfId="16">
      <formula>AV19="후보"</formula>
    </cfRule>
  </conditionalFormatting>
  <conditionalFormatting sqref="AC19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19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17">
      <formula>AV20="X"</formula>
    </cfRule>
    <cfRule type="expression" priority="1213" dxfId="16">
      <formula>AV20="후보"</formula>
    </cfRule>
  </conditionalFormatting>
  <conditionalFormatting sqref="AC20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0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17">
      <formula>AV21="X"</formula>
    </cfRule>
    <cfRule type="expression" priority="1194" dxfId="16">
      <formula>AV21="후보"</formula>
    </cfRule>
  </conditionalFormatting>
  <conditionalFormatting sqref="AC21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1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17">
      <formula>AV22="X"</formula>
    </cfRule>
    <cfRule type="expression" priority="1175" dxfId="16">
      <formula>AV22="후보"</formula>
    </cfRule>
  </conditionalFormatting>
  <conditionalFormatting sqref="AC22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2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17">
      <formula>AV23="X"</formula>
    </cfRule>
    <cfRule type="expression" priority="1156" dxfId="16">
      <formula>AV23="후보"</formula>
    </cfRule>
  </conditionalFormatting>
  <conditionalFormatting sqref="AC23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3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17">
      <formula>AV24="X"</formula>
    </cfRule>
    <cfRule type="expression" priority="1137" dxfId="16">
      <formula>AV24="후보"</formula>
    </cfRule>
  </conditionalFormatting>
  <conditionalFormatting sqref="AC24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17">
      <formula>AV25="X"</formula>
    </cfRule>
    <cfRule type="expression" priority="1118" dxfId="16">
      <formula>AV25="후보"</formula>
    </cfRule>
  </conditionalFormatting>
  <conditionalFormatting sqref="AC25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2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17">
      <formula>AV26="X"</formula>
    </cfRule>
    <cfRule type="expression" priority="1099" dxfId="16">
      <formula>AV26="후보"</formula>
    </cfRule>
  </conditionalFormatting>
  <conditionalFormatting sqref="AC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17">
      <formula>AV27="X"</formula>
    </cfRule>
    <cfRule type="expression" priority="1080" dxfId="16">
      <formula>AV27="후보"</formula>
    </cfRule>
  </conditionalFormatting>
  <conditionalFormatting sqref="AC2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27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17">
      <formula>AV28="X"</formula>
    </cfRule>
    <cfRule type="expression" priority="1061" dxfId="16">
      <formula>AV28="후보"</formula>
    </cfRule>
  </conditionalFormatting>
  <conditionalFormatting sqref="AC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17">
      <formula>AV29="X"</formula>
    </cfRule>
    <cfRule type="expression" priority="1042" dxfId="16">
      <formula>AV29="후보"</formula>
    </cfRule>
  </conditionalFormatting>
  <conditionalFormatting sqref="AC29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17">
      <formula>AV30="X"</formula>
    </cfRule>
    <cfRule type="expression" priority="1023" dxfId="16">
      <formula>AV30="후보"</formula>
    </cfRule>
  </conditionalFormatting>
  <conditionalFormatting sqref="AC30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17">
      <formula>AV31="X"</formula>
    </cfRule>
    <cfRule type="expression" priority="1004" dxfId="16">
      <formula>AV31="후보"</formula>
    </cfRule>
  </conditionalFormatting>
  <conditionalFormatting sqref="AC3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17">
      <formula>AV32="X"</formula>
    </cfRule>
    <cfRule type="expression" priority="985" dxfId="16">
      <formula>AV32="후보"</formula>
    </cfRule>
  </conditionalFormatting>
  <conditionalFormatting sqref="AC32 N3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AV33">
    <cfRule type="expression" priority="979" dxfId="17">
      <formula>AV33="X"</formula>
    </cfRule>
    <cfRule type="expression" priority="980" dxfId="16">
      <formula>AV33="후보"</formula>
    </cfRule>
  </conditionalFormatting>
  <conditionalFormatting sqref="AC3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17">
      <formula>AV34="X"</formula>
    </cfRule>
    <cfRule type="expression" priority="961" dxfId="16">
      <formula>AV34="후보"</formula>
    </cfRule>
  </conditionalFormatting>
  <conditionalFormatting sqref="AC34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34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17">
      <formula>AV35="X"</formula>
    </cfRule>
    <cfRule type="expression" priority="942" dxfId="16">
      <formula>AV35="후보"</formula>
    </cfRule>
  </conditionalFormatting>
  <conditionalFormatting sqref="AC3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3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17">
      <formula>AV36="X"</formula>
    </cfRule>
    <cfRule type="expression" priority="923" dxfId="16">
      <formula>AV36="후보"</formula>
    </cfRule>
  </conditionalFormatting>
  <conditionalFormatting sqref="AC3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3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17">
      <formula>AV37="X"</formula>
    </cfRule>
    <cfRule type="expression" priority="904" dxfId="16">
      <formula>AV37="후보"</formula>
    </cfRule>
  </conditionalFormatting>
  <conditionalFormatting sqref="AC3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17">
      <formula>AV38="X"</formula>
    </cfRule>
    <cfRule type="expression" priority="885" dxfId="16">
      <formula>AV38="후보"</formula>
    </cfRule>
  </conditionalFormatting>
  <conditionalFormatting sqref="AC3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17">
      <formula>AV39="X"</formula>
    </cfRule>
    <cfRule type="expression" priority="866" dxfId="16">
      <formula>AV39="후보"</formula>
    </cfRule>
  </conditionalFormatting>
  <conditionalFormatting sqref="AC3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3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17">
      <formula>AV40="X"</formula>
    </cfRule>
    <cfRule type="expression" priority="847" dxfId="16">
      <formula>AV40="후보"</formula>
    </cfRule>
  </conditionalFormatting>
  <conditionalFormatting sqref="AC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17">
      <formula>AV41="X"</formula>
    </cfRule>
    <cfRule type="expression" priority="828" dxfId="16">
      <formula>AV41="후보"</formula>
    </cfRule>
  </conditionalFormatting>
  <conditionalFormatting sqref="AC4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4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17">
      <formula>AV42="X"</formula>
    </cfRule>
    <cfRule type="expression" priority="809" dxfId="16">
      <formula>AV42="후보"</formula>
    </cfRule>
  </conditionalFormatting>
  <conditionalFormatting sqref="AC42 N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AV43">
    <cfRule type="expression" priority="803" dxfId="17">
      <formula>AV43="X"</formula>
    </cfRule>
    <cfRule type="expression" priority="804" dxfId="16">
      <formula>AV43="후보"</formula>
    </cfRule>
  </conditionalFormatting>
  <conditionalFormatting sqref="AC43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3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17">
      <formula>AV44="X"</formula>
    </cfRule>
    <cfRule type="expression" priority="785" dxfId="16">
      <formula>AV44="후보"</formula>
    </cfRule>
  </conditionalFormatting>
  <conditionalFormatting sqref="AC4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17">
      <formula>AV45="X"</formula>
    </cfRule>
    <cfRule type="expression" priority="766" dxfId="16">
      <formula>AV45="후보"</formula>
    </cfRule>
  </conditionalFormatting>
  <conditionalFormatting sqref="AC4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17">
      <formula>AV46="X"</formula>
    </cfRule>
    <cfRule type="expression" priority="747" dxfId="16">
      <formula>AV46="후보"</formula>
    </cfRule>
  </conditionalFormatting>
  <conditionalFormatting sqref="AC4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17">
      <formula>AV47="X"</formula>
    </cfRule>
    <cfRule type="expression" priority="728" dxfId="16">
      <formula>AV47="후보"</formula>
    </cfRule>
  </conditionalFormatting>
  <conditionalFormatting sqref="AC47 N4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AV48">
    <cfRule type="expression" priority="722" dxfId="17">
      <formula>AV48="X"</formula>
    </cfRule>
    <cfRule type="expression" priority="723" dxfId="16">
      <formula>AV48="후보"</formula>
    </cfRule>
  </conditionalFormatting>
  <conditionalFormatting sqref="AC4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48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17">
      <formula>AV49="X"</formula>
    </cfRule>
    <cfRule type="expression" priority="704" dxfId="16">
      <formula>AV49="후보"</formula>
    </cfRule>
  </conditionalFormatting>
  <conditionalFormatting sqref="AC49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49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17">
      <formula>AV50="X"</formula>
    </cfRule>
    <cfRule type="expression" priority="685" dxfId="16">
      <formula>AV50="후보"</formula>
    </cfRule>
  </conditionalFormatting>
  <conditionalFormatting sqref="AC50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17">
      <formula>AV51="X"</formula>
    </cfRule>
    <cfRule type="expression" priority="666" dxfId="16">
      <formula>AV51="후보"</formula>
    </cfRule>
  </conditionalFormatting>
  <conditionalFormatting sqref="AC51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1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17">
      <formula>AV52="X"</formula>
    </cfRule>
    <cfRule type="expression" priority="647" dxfId="16">
      <formula>AV52="후보"</formula>
    </cfRule>
  </conditionalFormatting>
  <conditionalFormatting sqref="AC5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2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17">
      <formula>AV53="X"</formula>
    </cfRule>
    <cfRule type="expression" priority="628" dxfId="16">
      <formula>AV53="후보"</formula>
    </cfRule>
  </conditionalFormatting>
  <conditionalFormatting sqref="AC53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3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17">
      <formula>AV54="X"</formula>
    </cfRule>
    <cfRule type="expression" priority="609" dxfId="16">
      <formula>AV54="후보"</formula>
    </cfRule>
  </conditionalFormatting>
  <conditionalFormatting sqref="AC54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4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17">
      <formula>AV55="X"</formula>
    </cfRule>
    <cfRule type="expression" priority="590" dxfId="16">
      <formula>AV55="후보"</formula>
    </cfRule>
  </conditionalFormatting>
  <conditionalFormatting sqref="AC55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5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17">
      <formula>AV56="X"</formula>
    </cfRule>
    <cfRule type="expression" priority="571" dxfId="16">
      <formula>AV56="후보"</formula>
    </cfRule>
  </conditionalFormatting>
  <conditionalFormatting sqref="AC5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56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17">
      <formula>AV57="X"</formula>
    </cfRule>
    <cfRule type="expression" priority="552" dxfId="16">
      <formula>AV57="후보"</formula>
    </cfRule>
  </conditionalFormatting>
  <conditionalFormatting sqref="AC5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17">
      <formula>AV58="X"</formula>
    </cfRule>
    <cfRule type="expression" priority="533" dxfId="16">
      <formula>AV58="후보"</formula>
    </cfRule>
  </conditionalFormatting>
  <conditionalFormatting sqref="AC58 N5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59">
    <cfRule type="expression" priority="527" dxfId="17">
      <formula>AV59="X"</formula>
    </cfRule>
    <cfRule type="expression" priority="528" dxfId="16">
      <formula>AV59="후보"</formula>
    </cfRule>
  </conditionalFormatting>
  <conditionalFormatting sqref="AC59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59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17">
      <formula>AV60="X"</formula>
    </cfRule>
    <cfRule type="expression" priority="509" dxfId="16">
      <formula>AV60="후보"</formula>
    </cfRule>
  </conditionalFormatting>
  <conditionalFormatting sqref="AC60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0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17">
      <formula>AV61="X"</formula>
    </cfRule>
    <cfRule type="expression" priority="490" dxfId="16">
      <formula>AV61="후보"</formula>
    </cfRule>
  </conditionalFormatting>
  <conditionalFormatting sqref="AC61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1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17">
      <formula>AV62="X"</formula>
    </cfRule>
    <cfRule type="expression" priority="471" dxfId="16">
      <formula>AV62="후보"</formula>
    </cfRule>
  </conditionalFormatting>
  <conditionalFormatting sqref="AC6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17">
      <formula>AV63="X"</formula>
    </cfRule>
    <cfRule type="expression" priority="452" dxfId="16">
      <formula>AV63="후보"</formula>
    </cfRule>
  </conditionalFormatting>
  <conditionalFormatting sqref="AC6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17">
      <formula>AV64="X"</formula>
    </cfRule>
    <cfRule type="expression" priority="433" dxfId="16">
      <formula>AV64="후보"</formula>
    </cfRule>
  </conditionalFormatting>
  <conditionalFormatting sqref="AC6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17">
      <formula>AV65="X"</formula>
    </cfRule>
    <cfRule type="expression" priority="414" dxfId="16">
      <formula>AV65="후보"</formula>
    </cfRule>
  </conditionalFormatting>
  <conditionalFormatting sqref="AC65 N6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66">
    <cfRule type="expression" priority="408" dxfId="17">
      <formula>AV66="X"</formula>
    </cfRule>
    <cfRule type="expression" priority="409" dxfId="16">
      <formula>AV66="후보"</formula>
    </cfRule>
  </conditionalFormatting>
  <conditionalFormatting sqref="AC66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17">
      <formula>AV67="X"</formula>
    </cfRule>
    <cfRule type="expression" priority="390" dxfId="16">
      <formula>AV67="후보"</formula>
    </cfRule>
  </conditionalFormatting>
  <conditionalFormatting sqref="AC6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17">
      <formula>AV68="X"</formula>
    </cfRule>
    <cfRule type="expression" priority="371" dxfId="16">
      <formula>AV68="후보"</formula>
    </cfRule>
  </conditionalFormatting>
  <conditionalFormatting sqref="AC6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17">
      <formula>AV69="X"</formula>
    </cfRule>
    <cfRule type="expression" priority="352" dxfId="16">
      <formula>AV69="후보"</formula>
    </cfRule>
  </conditionalFormatting>
  <conditionalFormatting sqref="AC6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6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17">
      <formula>AV70="X"</formula>
    </cfRule>
    <cfRule type="expression" priority="333" dxfId="16">
      <formula>AV70="후보"</formula>
    </cfRule>
  </conditionalFormatting>
  <conditionalFormatting sqref="AC7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17">
      <formula>AV71="X"</formula>
    </cfRule>
    <cfRule type="expression" priority="314" dxfId="16">
      <formula>AV71="후보"</formula>
    </cfRule>
  </conditionalFormatting>
  <conditionalFormatting sqref="AC7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17">
      <formula>AV72="X"</formula>
    </cfRule>
    <cfRule type="expression" priority="295" dxfId="16">
      <formula>AV72="후보"</formula>
    </cfRule>
  </conditionalFormatting>
  <conditionalFormatting sqref="AC7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17">
      <formula>AV73="X"</formula>
    </cfRule>
    <cfRule type="expression" priority="276" dxfId="16">
      <formula>AV73="후보"</formula>
    </cfRule>
  </conditionalFormatting>
  <conditionalFormatting sqref="AC7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17">
      <formula>AV74="X"</formula>
    </cfRule>
    <cfRule type="expression" priority="257" dxfId="16">
      <formula>AV74="후보"</formula>
    </cfRule>
  </conditionalFormatting>
  <conditionalFormatting sqref="AC7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17">
      <formula>AV75="X"</formula>
    </cfRule>
    <cfRule type="expression" priority="238" dxfId="16">
      <formula>AV75="후보"</formula>
    </cfRule>
  </conditionalFormatting>
  <conditionalFormatting sqref="AC7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17">
      <formula>AV76="X"</formula>
    </cfRule>
    <cfRule type="expression" priority="219" dxfId="16">
      <formula>AV76="후보"</formula>
    </cfRule>
  </conditionalFormatting>
  <conditionalFormatting sqref="AC7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17">
      <formula>AV77="X"</formula>
    </cfRule>
    <cfRule type="expression" priority="200" dxfId="16">
      <formula>AV77="후보"</formula>
    </cfRule>
  </conditionalFormatting>
  <conditionalFormatting sqref="AC77 N7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78">
    <cfRule type="expression" priority="194" dxfId="17">
      <formula>AV78="X"</formula>
    </cfRule>
    <cfRule type="expression" priority="195" dxfId="16">
      <formula>AV78="후보"</formula>
    </cfRule>
  </conditionalFormatting>
  <conditionalFormatting sqref="AC7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17">
      <formula>AV79="X"</formula>
    </cfRule>
    <cfRule type="expression" priority="176" dxfId="16">
      <formula>AV79="후보"</formula>
    </cfRule>
  </conditionalFormatting>
  <conditionalFormatting sqref="AC7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17">
      <formula>AV80="X"</formula>
    </cfRule>
    <cfRule type="expression" priority="157" dxfId="16">
      <formula>AV80="후보"</formula>
    </cfRule>
  </conditionalFormatting>
  <conditionalFormatting sqref="AC8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17">
      <formula>AV81="X"</formula>
    </cfRule>
    <cfRule type="expression" priority="138" dxfId="16">
      <formula>AV81="후보"</formula>
    </cfRule>
  </conditionalFormatting>
  <conditionalFormatting sqref="AC8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17">
      <formula>AV82="X"</formula>
    </cfRule>
    <cfRule type="expression" priority="119" dxfId="16">
      <formula>AV82="후보"</formula>
    </cfRule>
  </conditionalFormatting>
  <conditionalFormatting sqref="AC8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17">
      <formula>AV83="X"</formula>
    </cfRule>
    <cfRule type="expression" priority="100" dxfId="16">
      <formula>AV83="후보"</formula>
    </cfRule>
  </conditionalFormatting>
  <conditionalFormatting sqref="AC8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17">
      <formula>AV84="X"</formula>
    </cfRule>
    <cfRule type="expression" priority="81" dxfId="16">
      <formula>AV84="후보"</formula>
    </cfRule>
  </conditionalFormatting>
  <conditionalFormatting sqref="AC84 N8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5">
    <cfRule type="expression" priority="75" dxfId="17">
      <formula>AV85="X"</formula>
    </cfRule>
    <cfRule type="expression" priority="76" dxfId="16">
      <formula>AV85="후보"</formula>
    </cfRule>
  </conditionalFormatting>
  <conditionalFormatting sqref="AC8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17">
      <formula>AV86="X"</formula>
    </cfRule>
    <cfRule type="expression" priority="57" dxfId="16">
      <formula>AV86="후보"</formula>
    </cfRule>
  </conditionalFormatting>
  <conditionalFormatting sqref="AC8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17">
      <formula>AV87="X"</formula>
    </cfRule>
    <cfRule type="expression" priority="38" dxfId="16">
      <formula>AV87="후보"</formula>
    </cfRule>
  </conditionalFormatting>
  <conditionalFormatting sqref="AC8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17">
      <formula>AV88="X"</formula>
    </cfRule>
    <cfRule type="expression" priority="19" dxfId="16">
      <formula>AV88="후보"</formula>
    </cfRule>
  </conditionalFormatting>
  <conditionalFormatting sqref="AC8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가락상아</t>
        </is>
      </c>
      <c r="B6" s="16" t="inlineStr">
        <is>
          <t>'84.12.</t>
        </is>
      </c>
      <c r="C6" s="165" t="n">
        <v>226</v>
      </c>
      <c r="D6" s="162" t="n">
        <v>83.3</v>
      </c>
      <c r="E6" s="164" t="n">
        <v>25</v>
      </c>
      <c r="F6" s="162" t="n">
        <v>60.7</v>
      </c>
      <c r="G6" s="27" t="n">
        <v>18</v>
      </c>
      <c r="H6" s="165" t="n">
        <v>72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가락상아</t>
        </is>
      </c>
      <c r="B7" s="16" t="inlineStr">
        <is>
          <t>'84.12.</t>
        </is>
      </c>
      <c r="C7" s="165" t="n">
        <v>226</v>
      </c>
      <c r="D7" s="162" t="n">
        <v>126.9</v>
      </c>
      <c r="E7" s="164" t="n">
        <v>38</v>
      </c>
      <c r="F7" s="162" t="n">
        <v>106.6</v>
      </c>
      <c r="G7" s="27" t="n">
        <v>32</v>
      </c>
      <c r="H7" s="165" t="n">
        <v>110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126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가락상아</t>
        </is>
      </c>
      <c r="B8" s="16" t="inlineStr">
        <is>
          <t>'84.12.</t>
        </is>
      </c>
      <c r="C8" s="165" t="n">
        <v>226</v>
      </c>
      <c r="D8" s="162" t="n">
        <v>145.4</v>
      </c>
      <c r="E8" s="164" t="n">
        <v>44</v>
      </c>
      <c r="F8" s="162" t="n">
        <v>122.7</v>
      </c>
      <c r="G8" s="27" t="n">
        <v>37</v>
      </c>
      <c r="H8" s="165" t="n">
        <v>44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145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송파레미니스2단지</t>
        </is>
      </c>
      <c r="B10" s="16" t="inlineStr">
        <is>
          <t>'18.06.</t>
        </is>
      </c>
      <c r="C10" s="165" t="n">
        <v>818</v>
      </c>
      <c r="D10" s="162" t="n">
        <v>89.2</v>
      </c>
      <c r="E10" s="164" t="n">
        <v>27</v>
      </c>
      <c r="F10" s="162" t="n">
        <v>59.9</v>
      </c>
      <c r="G10" s="27" t="n">
        <v>18</v>
      </c>
      <c r="H10" s="165" t="n">
        <v>18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89B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송파레미니스2단지</t>
        </is>
      </c>
      <c r="B11" s="16" t="inlineStr">
        <is>
          <t>'18.06.</t>
        </is>
      </c>
      <c r="C11" s="165" t="n">
        <v>818</v>
      </c>
      <c r="D11" s="162" t="n">
        <v>123</v>
      </c>
      <c r="E11" s="164" t="n">
        <v>37</v>
      </c>
      <c r="F11" s="162" t="n">
        <v>84.90000000000001</v>
      </c>
      <c r="G11" s="27" t="n">
        <v>26</v>
      </c>
      <c r="H11" s="165" t="n">
        <v>46</v>
      </c>
      <c r="I11" s="166" t="n">
        <v>145000</v>
      </c>
      <c r="J11" s="166" t="inlineStr">
        <is>
          <t>중</t>
        </is>
      </c>
      <c r="K11" s="166" t="n">
        <v>73000</v>
      </c>
      <c r="L11" s="166" t="inlineStr">
        <is>
          <t>고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123C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송파레미니스2단지</t>
        </is>
      </c>
      <c r="B12" s="16" t="inlineStr">
        <is>
          <t>'18.06.</t>
        </is>
      </c>
      <c r="C12" s="165" t="n">
        <v>818</v>
      </c>
      <c r="D12" s="162" t="n">
        <v>123</v>
      </c>
      <c r="E12" s="164" t="n">
        <v>37</v>
      </c>
      <c r="F12" s="162" t="n">
        <v>84.90000000000001</v>
      </c>
      <c r="G12" s="27" t="n">
        <v>26</v>
      </c>
      <c r="H12" s="165" t="n">
        <v>24</v>
      </c>
      <c r="I12" s="166" t="n">
        <v>145000</v>
      </c>
      <c r="J12" s="166" t="inlineStr">
        <is>
          <t>중</t>
        </is>
      </c>
      <c r="K12" s="166" t="n">
        <v>73000</v>
      </c>
      <c r="L12" s="166" t="inlineStr">
        <is>
          <t>고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123CN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송파레미니스2단지</t>
        </is>
      </c>
      <c r="B13" s="16" t="inlineStr">
        <is>
          <t>'18.06.</t>
        </is>
      </c>
      <c r="C13" s="165" t="n">
        <v>818</v>
      </c>
      <c r="D13" s="162" t="n">
        <v>123.9</v>
      </c>
      <c r="E13" s="164" t="n">
        <v>37</v>
      </c>
      <c r="F13" s="162" t="n">
        <v>85</v>
      </c>
      <c r="G13" s="27" t="n">
        <v>26</v>
      </c>
      <c r="H13" s="165" t="n">
        <v>16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123A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송파레미니스2단지</t>
        </is>
      </c>
      <c r="B14" s="16" t="inlineStr">
        <is>
          <t>'18.06.</t>
        </is>
      </c>
      <c r="C14" s="165" t="n">
        <v>818</v>
      </c>
      <c r="D14" s="162" t="n">
        <v>124.1</v>
      </c>
      <c r="E14" s="164" t="n">
        <v>38</v>
      </c>
      <c r="F14" s="162" t="n">
        <v>84.8</v>
      </c>
      <c r="G14" s="27" t="n">
        <v>26</v>
      </c>
      <c r="H14" s="165" t="n">
        <v>134</v>
      </c>
      <c r="I14" s="166" t="n">
        <v>145000</v>
      </c>
      <c r="J14" s="166" t="inlineStr">
        <is>
          <t>13</t>
        </is>
      </c>
      <c r="K14" s="166" t="n">
        <v>60000</v>
      </c>
      <c r="L14" s="166" t="inlineStr">
        <is>
          <t>13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124B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대림</t>
        </is>
      </c>
      <c r="B16" s="16" t="inlineStr">
        <is>
          <t>'88.12.</t>
        </is>
      </c>
      <c r="C16" s="165" t="n">
        <v>749</v>
      </c>
      <c r="D16" s="162" t="n">
        <v>103.6</v>
      </c>
      <c r="E16" s="164" t="n">
        <v>31</v>
      </c>
      <c r="F16" s="162" t="n">
        <v>84.90000000000001</v>
      </c>
      <c r="G16" s="27" t="n">
        <v>26</v>
      </c>
      <c r="H16" s="165" t="n">
        <v>389</v>
      </c>
      <c r="I16" s="166" t="n">
        <v>145000</v>
      </c>
      <c r="J16" s="166" t="inlineStr">
        <is>
          <t>6</t>
        </is>
      </c>
      <c r="K16" s="166" t="n">
        <v>55000</v>
      </c>
      <c r="L16" s="166" t="inlineStr">
        <is>
          <t>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대림</t>
        </is>
      </c>
      <c r="B17" s="16" t="inlineStr">
        <is>
          <t>'88.12.</t>
        </is>
      </c>
      <c r="C17" s="165" t="n">
        <v>749</v>
      </c>
      <c r="D17" s="162" t="n">
        <v>145.6</v>
      </c>
      <c r="E17" s="164" t="n">
        <v>44</v>
      </c>
      <c r="F17" s="162" t="n">
        <v>125.8</v>
      </c>
      <c r="G17" s="27" t="n">
        <v>38</v>
      </c>
      <c r="H17" s="165" t="n">
        <v>360</v>
      </c>
      <c r="I17" s="166" t="n">
        <v>150000</v>
      </c>
      <c r="J17" s="166" t="inlineStr">
        <is>
          <t>고</t>
        </is>
      </c>
      <c r="K17" s="166" t="n">
        <v>75000</v>
      </c>
      <c r="L17" s="166" t="inlineStr">
        <is>
          <t>10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145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상아2차</t>
        </is>
      </c>
      <c r="B19" s="16" t="inlineStr">
        <is>
          <t>'88.11.</t>
        </is>
      </c>
      <c r="C19" s="165" t="n">
        <v>750</v>
      </c>
      <c r="D19" s="162" t="n">
        <v>64.09999999999999</v>
      </c>
      <c r="E19" s="164" t="n">
        <v>19</v>
      </c>
      <c r="F19" s="162" t="n">
        <v>45.8</v>
      </c>
      <c r="G19" s="27" t="n">
        <v>14</v>
      </c>
      <c r="H19" s="165" t="n">
        <v>224</v>
      </c>
      <c r="I19" s="166" t="n">
        <v>75000</v>
      </c>
      <c r="J19" s="166" t="inlineStr">
        <is>
          <t>7</t>
        </is>
      </c>
      <c r="K19" s="166" t="n">
        <v>30000</v>
      </c>
      <c r="L19" s="166" t="inlineStr">
        <is>
          <t>6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64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상아2차</t>
        </is>
      </c>
      <c r="B20" s="16" t="inlineStr">
        <is>
          <t>'88.11.</t>
        </is>
      </c>
      <c r="C20" s="165" t="n">
        <v>750</v>
      </c>
      <c r="D20" s="162" t="n">
        <v>70.8</v>
      </c>
      <c r="E20" s="164" t="n">
        <v>21</v>
      </c>
      <c r="F20" s="162" t="n">
        <v>50.7</v>
      </c>
      <c r="G20" s="27" t="n">
        <v>15</v>
      </c>
      <c r="H20" s="165" t="n">
        <v>112</v>
      </c>
      <c r="I20" s="166" t="n">
        <v>95000</v>
      </c>
      <c r="J20" s="166" t="inlineStr">
        <is>
          <t>중</t>
        </is>
      </c>
      <c r="K20" s="166" t="n">
        <v>38000</v>
      </c>
      <c r="L20" s="166" t="inlineStr">
        <is>
          <t>중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복</t>
        </is>
      </c>
      <c r="T20" s="8" t="n">
        <v>70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상아2차</t>
        </is>
      </c>
      <c r="B21" s="16" t="inlineStr">
        <is>
          <t>'88.11.</t>
        </is>
      </c>
      <c r="C21" s="165" t="n">
        <v>750</v>
      </c>
      <c r="D21" s="162" t="n">
        <v>82.3</v>
      </c>
      <c r="E21" s="164" t="n">
        <v>25</v>
      </c>
      <c r="F21" s="162" t="n">
        <v>60</v>
      </c>
      <c r="G21" s="27" t="n">
        <v>18</v>
      </c>
      <c r="H21" s="165" t="n">
        <v>168</v>
      </c>
      <c r="I21" s="166" t="n">
        <v>110000</v>
      </c>
      <c r="J21" s="166" t="inlineStr">
        <is>
          <t>13</t>
        </is>
      </c>
      <c r="K21" s="166" t="n">
        <v>40000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82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상아2차</t>
        </is>
      </c>
      <c r="B22" s="16" t="inlineStr">
        <is>
          <t>'88.11.</t>
        </is>
      </c>
      <c r="C22" s="165" t="n">
        <v>750</v>
      </c>
      <c r="D22" s="162" t="n">
        <v>104.8</v>
      </c>
      <c r="E22" s="164" t="n">
        <v>32</v>
      </c>
      <c r="F22" s="162" t="n">
        <v>85</v>
      </c>
      <c r="G22" s="27" t="n">
        <v>26</v>
      </c>
      <c r="H22" s="165" t="n">
        <v>246</v>
      </c>
      <c r="I22" s="166" t="n">
        <v>130000</v>
      </c>
      <c r="J22" s="166" t="inlineStr">
        <is>
          <t>12</t>
        </is>
      </c>
      <c r="K22" s="166" t="n">
        <v>58000</v>
      </c>
      <c r="L22" s="166" t="inlineStr">
        <is>
          <t>12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104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송파레미니스1단지</t>
        </is>
      </c>
      <c r="B24" s="16" t="inlineStr">
        <is>
          <t>'17.11.</t>
        </is>
      </c>
      <c r="C24" s="165" t="n">
        <v>575</v>
      </c>
      <c r="D24" s="162" t="n">
        <v>88.3</v>
      </c>
      <c r="E24" s="164" t="n">
        <v>27</v>
      </c>
      <c r="F24" s="162" t="n">
        <v>59.9</v>
      </c>
      <c r="G24" s="27" t="n">
        <v>18</v>
      </c>
      <c r="H24" s="165" t="n">
        <v>30</v>
      </c>
      <c r="I24" s="166" t="n">
        <v>115000</v>
      </c>
      <c r="J24" s="166" t="inlineStr">
        <is>
          <t>15</t>
        </is>
      </c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88A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송파레미니스1단지</t>
        </is>
      </c>
      <c r="B25" s="16" t="inlineStr">
        <is>
          <t>'17.11.</t>
        </is>
      </c>
      <c r="C25" s="165" t="n">
        <v>575</v>
      </c>
      <c r="D25" s="162" t="n">
        <v>123.9</v>
      </c>
      <c r="E25" s="164" t="n">
        <v>37</v>
      </c>
      <c r="F25" s="162" t="n">
        <v>85</v>
      </c>
      <c r="G25" s="27" t="n">
        <v>26</v>
      </c>
      <c r="H25" s="165" t="n">
        <v>20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123A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송파레미니스1단지</t>
        </is>
      </c>
      <c r="B26" s="16" t="inlineStr">
        <is>
          <t>'17.11.</t>
        </is>
      </c>
      <c r="C26" s="165" t="n">
        <v>575</v>
      </c>
      <c r="D26" s="162" t="n">
        <v>123</v>
      </c>
      <c r="E26" s="164" t="n">
        <v>37</v>
      </c>
      <c r="F26" s="162" t="n">
        <v>84.90000000000001</v>
      </c>
      <c r="G26" s="27" t="n">
        <v>26</v>
      </c>
      <c r="H26" s="165" t="n">
        <v>20</v>
      </c>
      <c r="I26" s="166" t="n">
        <v>155000</v>
      </c>
      <c r="J26" s="166" t="inlineStr">
        <is>
          <t>중</t>
        </is>
      </c>
      <c r="K26" s="166" t="n">
        <v>75000</v>
      </c>
      <c r="L26" s="166" t="inlineStr">
        <is>
          <t>12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123C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송파레미니스1단지</t>
        </is>
      </c>
      <c r="B27" s="16" t="inlineStr">
        <is>
          <t>'17.11.</t>
        </is>
      </c>
      <c r="C27" s="165" t="n">
        <v>575</v>
      </c>
      <c r="D27" s="162" t="n">
        <v>123</v>
      </c>
      <c r="E27" s="164" t="n">
        <v>37</v>
      </c>
      <c r="F27" s="162" t="n">
        <v>84.90000000000001</v>
      </c>
      <c r="G27" s="27" t="n">
        <v>26</v>
      </c>
      <c r="H27" s="165" t="n">
        <v>20</v>
      </c>
      <c r="I27" s="166" t="n">
        <v>155000</v>
      </c>
      <c r="J27" s="166" t="inlineStr">
        <is>
          <t>중</t>
        </is>
      </c>
      <c r="K27" s="166" t="n">
        <v>75000</v>
      </c>
      <c r="L27" s="166" t="inlineStr">
        <is>
          <t>12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123CN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송파레미니스1단지</t>
        </is>
      </c>
      <c r="B28" s="16" t="inlineStr">
        <is>
          <t>'17.11.</t>
        </is>
      </c>
      <c r="C28" s="165" t="n">
        <v>575</v>
      </c>
      <c r="D28" s="162" t="n">
        <v>124.1</v>
      </c>
      <c r="E28" s="164" t="n">
        <v>38</v>
      </c>
      <c r="F28" s="162" t="n">
        <v>84.8</v>
      </c>
      <c r="G28" s="27" t="n">
        <v>26</v>
      </c>
      <c r="H28" s="165" t="n">
        <v>76</v>
      </c>
      <c r="I28" s="166" t="n">
        <v>165000</v>
      </c>
      <c r="J28" s="166" t="inlineStr">
        <is>
          <t>중</t>
        </is>
      </c>
      <c r="K28" s="166" t="n">
        <v>70000</v>
      </c>
      <c r="L28" s="166" t="inlineStr">
        <is>
          <t>18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124B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송파두산위브</t>
        </is>
      </c>
      <c r="B30" s="16" t="inlineStr">
        <is>
          <t>'19.02.</t>
        </is>
      </c>
      <c r="C30" s="165" t="n">
        <v>269</v>
      </c>
      <c r="D30" s="162" t="n">
        <v>81.3</v>
      </c>
      <c r="E30" s="164" t="n">
        <v>25</v>
      </c>
      <c r="F30" s="162" t="n">
        <v>60</v>
      </c>
      <c r="G30" s="27" t="n">
        <v>18</v>
      </c>
      <c r="H30" s="165" t="n">
        <v>215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81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송파두산위브</t>
        </is>
      </c>
      <c r="B31" s="16" t="inlineStr">
        <is>
          <t>'19.02.</t>
        </is>
      </c>
      <c r="C31" s="165" t="n">
        <v>269</v>
      </c>
      <c r="D31" s="162" t="n">
        <v>113.2</v>
      </c>
      <c r="E31" s="164" t="n">
        <v>34</v>
      </c>
      <c r="F31" s="162" t="n">
        <v>85</v>
      </c>
      <c r="G31" s="27" t="n">
        <v>26</v>
      </c>
      <c r="H31" s="165" t="n">
        <v>54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113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가락우창</t>
        </is>
      </c>
      <c r="B33" s="16" t="inlineStr">
        <is>
          <t>'85.10.</t>
        </is>
      </c>
      <c r="C33" s="165" t="n">
        <v>264</v>
      </c>
      <c r="D33" s="162" t="n">
        <v>93.5</v>
      </c>
      <c r="E33" s="164" t="n">
        <v>28</v>
      </c>
      <c r="F33" s="162" t="n">
        <v>76.40000000000001</v>
      </c>
      <c r="G33" s="27" t="n">
        <v>23</v>
      </c>
      <c r="H33" s="165" t="n">
        <v>72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가락우창</t>
        </is>
      </c>
      <c r="B34" s="16" t="inlineStr">
        <is>
          <t>'85.10.</t>
        </is>
      </c>
      <c r="C34" s="165" t="n">
        <v>264</v>
      </c>
      <c r="D34" s="162" t="n">
        <v>129.5</v>
      </c>
      <c r="E34" s="164" t="n">
        <v>39</v>
      </c>
      <c r="F34" s="162" t="n">
        <v>109.7</v>
      </c>
      <c r="G34" s="27" t="n">
        <v>33</v>
      </c>
      <c r="H34" s="165" t="n">
        <v>144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129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가락우창</t>
        </is>
      </c>
      <c r="B35" s="16" t="inlineStr">
        <is>
          <t>'85.10.</t>
        </is>
      </c>
      <c r="C35" s="165" t="n">
        <v>264</v>
      </c>
      <c r="D35" s="162" t="n">
        <v>154.8</v>
      </c>
      <c r="E35" s="164" t="n">
        <v>47</v>
      </c>
      <c r="F35" s="162" t="n">
        <v>132.9</v>
      </c>
      <c r="G35" s="27" t="n">
        <v>40</v>
      </c>
      <c r="H35" s="165" t="n">
        <v>48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2</v>
      </c>
      <c r="S35" s="113" t="inlineStr">
        <is>
          <t>계</t>
        </is>
      </c>
      <c r="T35" s="8" t="n">
        <v>154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아남</t>
        </is>
      </c>
      <c r="B37" s="16" t="inlineStr">
        <is>
          <t>'92.09.</t>
        </is>
      </c>
      <c r="C37" s="165" t="n">
        <v>299</v>
      </c>
      <c r="D37" s="162" t="n">
        <v>52.8</v>
      </c>
      <c r="E37" s="164" t="n">
        <v>16</v>
      </c>
      <c r="F37" s="162" t="n">
        <v>37.8</v>
      </c>
      <c r="G37" s="27" t="n">
        <v>11</v>
      </c>
      <c r="H37" s="165" t="n">
        <v>30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2</v>
      </c>
      <c r="R37" s="113" t="n">
        <v>1</v>
      </c>
      <c r="S37" s="113" t="inlineStr">
        <is>
          <t>복</t>
        </is>
      </c>
      <c r="T37" s="8" t="n">
        <v>52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아남</t>
        </is>
      </c>
      <c r="B38" s="16" t="inlineStr">
        <is>
          <t>'92.09.</t>
        </is>
      </c>
      <c r="C38" s="165" t="n">
        <v>299</v>
      </c>
      <c r="D38" s="162" t="n">
        <v>63</v>
      </c>
      <c r="E38" s="164" t="n">
        <v>19</v>
      </c>
      <c r="F38" s="162" t="n">
        <v>47.9</v>
      </c>
      <c r="G38" s="27" t="n">
        <v>14</v>
      </c>
      <c r="H38" s="165" t="n">
        <v>90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1</v>
      </c>
      <c r="S38" s="113" t="inlineStr">
        <is>
          <t>복</t>
        </is>
      </c>
      <c r="T38" s="8" t="n">
        <v>62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아남</t>
        </is>
      </c>
      <c r="B39" s="16" t="inlineStr">
        <is>
          <t>'92.09.</t>
        </is>
      </c>
      <c r="C39" s="165" t="n">
        <v>299</v>
      </c>
      <c r="D39" s="162" t="n">
        <v>85.2</v>
      </c>
      <c r="E39" s="164" t="n">
        <v>26</v>
      </c>
      <c r="F39" s="162" t="n">
        <v>71.3</v>
      </c>
      <c r="G39" s="27" t="n">
        <v>22</v>
      </c>
      <c r="H39" s="165" t="n">
        <v>60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85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아남</t>
        </is>
      </c>
      <c r="B40" s="16" t="inlineStr">
        <is>
          <t>'92.09.</t>
        </is>
      </c>
      <c r="C40" s="165" t="n">
        <v>299</v>
      </c>
      <c r="D40" s="162" t="n">
        <v>101.6</v>
      </c>
      <c r="E40" s="164" t="n">
        <v>31</v>
      </c>
      <c r="F40" s="162" t="n">
        <v>84.90000000000001</v>
      </c>
      <c r="G40" s="27" t="n">
        <v>26</v>
      </c>
      <c r="H40" s="165" t="n">
        <v>119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현대백조</t>
        </is>
      </c>
      <c r="B42" s="16" t="inlineStr">
        <is>
          <t>'97.01.</t>
        </is>
      </c>
      <c r="C42" s="165" t="n">
        <v>438</v>
      </c>
      <c r="D42" s="162" t="n">
        <v>44.5</v>
      </c>
      <c r="E42" s="164" t="n">
        <v>13</v>
      </c>
      <c r="F42" s="162" t="n">
        <v>31</v>
      </c>
      <c r="G42" s="27" t="n">
        <v>9</v>
      </c>
      <c r="H42" s="165" t="n">
        <v>79</v>
      </c>
      <c r="I42" s="166" t="n">
        <v>60000</v>
      </c>
      <c r="J42" s="166" t="inlineStr">
        <is>
          <t>7</t>
        </is>
      </c>
      <c r="K42" s="166" t="n">
        <v>27000</v>
      </c>
      <c r="L42" s="166" t="inlineStr">
        <is>
          <t>8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1</v>
      </c>
      <c r="R42" s="113" t="n">
        <v>1</v>
      </c>
      <c r="S42" s="113" t="inlineStr">
        <is>
          <t>복</t>
        </is>
      </c>
      <c r="T42" s="8" t="n">
        <v>44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현대백조</t>
        </is>
      </c>
      <c r="B43" s="16" t="inlineStr">
        <is>
          <t>'97.01.</t>
        </is>
      </c>
      <c r="C43" s="165" t="n">
        <v>438</v>
      </c>
      <c r="D43" s="162" t="n">
        <v>102.3</v>
      </c>
      <c r="E43" s="164" t="n">
        <v>31</v>
      </c>
      <c r="F43" s="162" t="n">
        <v>78.59999999999999</v>
      </c>
      <c r="G43" s="27" t="n">
        <v>24</v>
      </c>
      <c r="H43" s="165" t="n">
        <v>38</v>
      </c>
      <c r="I43" s="166" t="n">
        <v>130000</v>
      </c>
      <c r="J43" s="166" t="inlineStr">
        <is>
          <t>19</t>
        </is>
      </c>
      <c r="K43" s="166" t="n">
        <v>50000</v>
      </c>
      <c r="L43" s="166" t="inlineStr">
        <is>
          <t>16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102A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현대백조</t>
        </is>
      </c>
      <c r="B44" s="16" t="inlineStr">
        <is>
          <t>'97.01.</t>
        </is>
      </c>
      <c r="C44" s="165" t="n">
        <v>438</v>
      </c>
      <c r="D44" s="162" t="n">
        <v>102</v>
      </c>
      <c r="E44" s="164" t="n">
        <v>31</v>
      </c>
      <c r="F44" s="162" t="n">
        <v>78.40000000000001</v>
      </c>
      <c r="G44" s="27" t="n">
        <v>24</v>
      </c>
      <c r="H44" s="165" t="n">
        <v>19</v>
      </c>
      <c r="I44" s="166" t="n">
        <v>119000</v>
      </c>
      <c r="J44" s="166" t="inlineStr">
        <is>
          <t>17</t>
        </is>
      </c>
      <c r="K44" s="166" t="n">
        <v>60000</v>
      </c>
      <c r="L44" s="166" t="inlineStr">
        <is>
          <t>17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102B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현대백조</t>
        </is>
      </c>
      <c r="B45" s="16" t="inlineStr">
        <is>
          <t>'97.01.</t>
        </is>
      </c>
      <c r="C45" s="165" t="n">
        <v>438</v>
      </c>
      <c r="D45" s="162" t="n">
        <v>104.4</v>
      </c>
      <c r="E45" s="164" t="n">
        <v>32</v>
      </c>
      <c r="F45" s="162" t="n">
        <v>80.3</v>
      </c>
      <c r="G45" s="27" t="n">
        <v>24</v>
      </c>
      <c r="H45" s="165" t="n">
        <v>19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104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현대백조</t>
        </is>
      </c>
      <c r="B46" s="16" t="inlineStr">
        <is>
          <t>'97.01.</t>
        </is>
      </c>
      <c r="C46" s="165" t="n">
        <v>438</v>
      </c>
      <c r="D46" s="162" t="n">
        <v>110.5</v>
      </c>
      <c r="E46" s="164" t="n">
        <v>33</v>
      </c>
      <c r="F46" s="162" t="n">
        <v>84.90000000000001</v>
      </c>
      <c r="G46" s="27" t="n">
        <v>26</v>
      </c>
      <c r="H46" s="165" t="n">
        <v>46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110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현대백조</t>
        </is>
      </c>
      <c r="B47" s="16" t="inlineStr">
        <is>
          <t>'97.01.</t>
        </is>
      </c>
      <c r="C47" s="165" t="n">
        <v>438</v>
      </c>
      <c r="D47" s="162" t="n">
        <v>140.4</v>
      </c>
      <c r="E47" s="164" t="n">
        <v>42</v>
      </c>
      <c r="F47" s="162" t="n">
        <v>114.4</v>
      </c>
      <c r="G47" s="27" t="n">
        <v>35</v>
      </c>
      <c r="H47" s="165" t="n">
        <v>84</v>
      </c>
      <c r="I47" s="166" t="n">
        <v>128000</v>
      </c>
      <c r="J47" s="166" t="inlineStr">
        <is>
          <t>14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140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삼성</t>
        </is>
      </c>
      <c r="B49" s="16" t="inlineStr">
        <is>
          <t>'89.05.</t>
        </is>
      </c>
      <c r="C49" s="165" t="n">
        <v>215</v>
      </c>
      <c r="D49" s="162" t="n">
        <v>93.09999999999999</v>
      </c>
      <c r="E49" s="164" t="n">
        <v>28</v>
      </c>
      <c r="F49" s="162" t="n">
        <v>73.59999999999999</v>
      </c>
      <c r="G49" s="27" t="n">
        <v>22</v>
      </c>
      <c r="H49" s="165" t="n">
        <v>119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1</v>
      </c>
      <c r="S49" s="113" t="inlineStr">
        <is>
          <t>계</t>
        </is>
      </c>
      <c r="T49" s="8" t="n">
        <v>93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삼성</t>
        </is>
      </c>
      <c r="B50" s="16" t="inlineStr">
        <is>
          <t>'89.05.</t>
        </is>
      </c>
      <c r="C50" s="165" t="n">
        <v>215</v>
      </c>
      <c r="D50" s="162" t="n">
        <v>105.8</v>
      </c>
      <c r="E50" s="164" t="n">
        <v>32</v>
      </c>
      <c r="F50" s="162" t="n">
        <v>84.90000000000001</v>
      </c>
      <c r="G50" s="27" t="n">
        <v>26</v>
      </c>
      <c r="H50" s="165" t="n">
        <v>96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송파호반베르디움더퍼스트</t>
        </is>
      </c>
      <c r="B52" s="16" t="inlineStr">
        <is>
          <t>'18.02.</t>
        </is>
      </c>
      <c r="C52" s="165" t="n">
        <v>220</v>
      </c>
      <c r="D52" s="162" t="n">
        <v>130</v>
      </c>
      <c r="E52" s="164" t="n">
        <v>39</v>
      </c>
      <c r="F52" s="162" t="n">
        <v>101.5</v>
      </c>
      <c r="G52" s="27" t="n">
        <v>31</v>
      </c>
      <c r="H52" s="165" t="n">
        <v>220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130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현대2,3,4차</t>
        </is>
      </c>
      <c r="B54" s="16" t="inlineStr">
        <is>
          <t>'84.12.</t>
        </is>
      </c>
      <c r="C54" s="165" t="n">
        <v>1316</v>
      </c>
      <c r="D54" s="162" t="n">
        <v>102.3</v>
      </c>
      <c r="E54" s="164" t="n">
        <v>31</v>
      </c>
      <c r="F54" s="162" t="n">
        <v>85</v>
      </c>
      <c r="G54" s="27" t="n">
        <v>26</v>
      </c>
      <c r="H54" s="165" t="n">
        <v>364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102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현대2,3,4차</t>
        </is>
      </c>
      <c r="B55" s="16" t="inlineStr">
        <is>
          <t>'84.12.</t>
        </is>
      </c>
      <c r="C55" s="165" t="n">
        <v>1316</v>
      </c>
      <c r="D55" s="162" t="n">
        <v>152.5</v>
      </c>
      <c r="E55" s="164" t="n">
        <v>46</v>
      </c>
      <c r="F55" s="162" t="n">
        <v>130.9</v>
      </c>
      <c r="G55" s="27" t="n">
        <v>40</v>
      </c>
      <c r="H55" s="165" t="n">
        <v>658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152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현대2,3,4차</t>
        </is>
      </c>
      <c r="B56" s="16" t="inlineStr">
        <is>
          <t>'84.12.</t>
        </is>
      </c>
      <c r="C56" s="165" t="n">
        <v>1316</v>
      </c>
      <c r="D56" s="162" t="n">
        <v>157.5</v>
      </c>
      <c r="E56" s="164" t="n">
        <v>48</v>
      </c>
      <c r="F56" s="162" t="n">
        <v>135</v>
      </c>
      <c r="G56" s="27" t="n">
        <v>41</v>
      </c>
      <c r="H56" s="165" t="n">
        <v>14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157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현대2,3,4차</t>
        </is>
      </c>
      <c r="B57" s="16" t="inlineStr">
        <is>
          <t>'84.12.</t>
        </is>
      </c>
      <c r="C57" s="165" t="n">
        <v>1316</v>
      </c>
      <c r="D57" s="162" t="n">
        <v>193.7</v>
      </c>
      <c r="E57" s="164" t="n">
        <v>59</v>
      </c>
      <c r="F57" s="162" t="n">
        <v>170.3</v>
      </c>
      <c r="G57" s="27" t="n">
        <v>52</v>
      </c>
      <c r="H57" s="165" t="n">
        <v>280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5</v>
      </c>
      <c r="R57" s="113" t="n">
        <v>2</v>
      </c>
      <c r="S57" s="113" t="inlineStr">
        <is>
          <t>계</t>
        </is>
      </c>
      <c r="T57" s="8" t="n">
        <v>193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35" dxfId="17">
      <formula>AV4="X"</formula>
    </cfRule>
    <cfRule type="expression" priority="836" dxfId="16">
      <formula>AV4="후보"</formula>
    </cfRule>
  </conditionalFormatting>
  <conditionalFormatting sqref="AC1:AC2 AC4:AC6 N4:N5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N1:N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17">
      <formula>AV7="X"</formula>
    </cfRule>
    <cfRule type="expression" priority="815" dxfId="16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7">
      <formula>AV8="X"</formula>
    </cfRule>
    <cfRule type="expression" priority="796" dxfId="16">
      <formula>AV8="후보"</formula>
    </cfRule>
  </conditionalFormatting>
  <conditionalFormatting sqref="AC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17">
      <formula>AV9="X"</formula>
    </cfRule>
    <cfRule type="expression" priority="777" dxfId="16">
      <formula>AV9="후보"</formula>
    </cfRule>
  </conditionalFormatting>
  <conditionalFormatting sqref="AC9 N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10">
    <cfRule type="expression" priority="771" dxfId="17">
      <formula>AV10="X"</formula>
    </cfRule>
    <cfRule type="expression" priority="772" dxfId="16">
      <formula>AV10="후보"</formula>
    </cfRule>
  </conditionalFormatting>
  <conditionalFormatting sqref="AC1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17">
      <formula>AV11="X"</formula>
    </cfRule>
    <cfRule type="expression" priority="753" dxfId="16">
      <formula>AV11="후보"</formula>
    </cfRule>
  </conditionalFormatting>
  <conditionalFormatting sqref="AC1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1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17">
      <formula>AV12="X"</formula>
    </cfRule>
    <cfRule type="expression" priority="734" dxfId="16">
      <formula>AV12="후보"</formula>
    </cfRule>
  </conditionalFormatting>
  <conditionalFormatting sqref="AC1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17">
      <formula>AV13="X"</formula>
    </cfRule>
    <cfRule type="expression" priority="715" dxfId="16">
      <formula>AV13="후보"</formula>
    </cfRule>
  </conditionalFormatting>
  <conditionalFormatting sqref="AC1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17">
      <formula>AV14="X"</formula>
    </cfRule>
    <cfRule type="expression" priority="696" dxfId="16">
      <formula>AV14="후보"</formula>
    </cfRule>
  </conditionalFormatting>
  <conditionalFormatting sqref="AC1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17">
      <formula>AV15="X"</formula>
    </cfRule>
    <cfRule type="expression" priority="677" dxfId="16">
      <formula>AV15="후보"</formula>
    </cfRule>
  </conditionalFormatting>
  <conditionalFormatting sqref="AC15 N1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16">
    <cfRule type="expression" priority="671" dxfId="17">
      <formula>AV16="X"</formula>
    </cfRule>
    <cfRule type="expression" priority="672" dxfId="16">
      <formula>AV16="후보"</formula>
    </cfRule>
  </conditionalFormatting>
  <conditionalFormatting sqref="AC16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17">
      <formula>AV17="X"</formula>
    </cfRule>
    <cfRule type="expression" priority="653" dxfId="16">
      <formula>AV17="후보"</formula>
    </cfRule>
  </conditionalFormatting>
  <conditionalFormatting sqref="AC1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17">
      <formula>AV18="X"</formula>
    </cfRule>
    <cfRule type="expression" priority="634" dxfId="16">
      <formula>AV18="후보"</formula>
    </cfRule>
  </conditionalFormatting>
  <conditionalFormatting sqref="AC18 N1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19">
    <cfRule type="expression" priority="628" dxfId="17">
      <formula>AV19="X"</formula>
    </cfRule>
    <cfRule type="expression" priority="629" dxfId="16">
      <formula>AV19="후보"</formula>
    </cfRule>
  </conditionalFormatting>
  <conditionalFormatting sqref="AC1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17">
      <formula>AV20="X"</formula>
    </cfRule>
    <cfRule type="expression" priority="610" dxfId="16">
      <formula>AV20="후보"</formula>
    </cfRule>
  </conditionalFormatting>
  <conditionalFormatting sqref="AC2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20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17">
      <formula>AV21="X"</formula>
    </cfRule>
    <cfRule type="expression" priority="591" dxfId="16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7">
      <formula>AV22="X"</formula>
    </cfRule>
    <cfRule type="expression" priority="572" dxfId="16">
      <formula>AV22="후보"</formula>
    </cfRule>
  </conditionalFormatting>
  <conditionalFormatting sqref="AC2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2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17">
      <formula>AV23="X"</formula>
    </cfRule>
    <cfRule type="expression" priority="553" dxfId="16">
      <formula>AV23="후보"</formula>
    </cfRule>
  </conditionalFormatting>
  <conditionalFormatting sqref="AC23 N2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24">
    <cfRule type="expression" priority="547" dxfId="17">
      <formula>AV24="X"</formula>
    </cfRule>
    <cfRule type="expression" priority="548" dxfId="16">
      <formula>AV24="후보"</formula>
    </cfRule>
  </conditionalFormatting>
  <conditionalFormatting sqref="AC2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17">
      <formula>AV25="X"</formula>
    </cfRule>
    <cfRule type="expression" priority="529" dxfId="16">
      <formula>AV25="후보"</formula>
    </cfRule>
  </conditionalFormatting>
  <conditionalFormatting sqref="AC2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17">
      <formula>AV26="X"</formula>
    </cfRule>
    <cfRule type="expression" priority="510" dxfId="16">
      <formula>AV26="후보"</formula>
    </cfRule>
  </conditionalFormatting>
  <conditionalFormatting sqref="AC2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17">
      <formula>AV27="X"</formula>
    </cfRule>
    <cfRule type="expression" priority="491" dxfId="16">
      <formula>AV27="후보"</formula>
    </cfRule>
  </conditionalFormatting>
  <conditionalFormatting sqref="AC2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27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17">
      <formula>AV28="X"</formula>
    </cfRule>
    <cfRule type="expression" priority="472" dxfId="16">
      <formula>AV28="후보"</formula>
    </cfRule>
  </conditionalFormatting>
  <conditionalFormatting sqref="AC2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17">
      <formula>AV29="X"</formula>
    </cfRule>
    <cfRule type="expression" priority="453" dxfId="16">
      <formula>AV29="후보"</formula>
    </cfRule>
  </conditionalFormatting>
  <conditionalFormatting sqref="AC29 N2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30">
    <cfRule type="expression" priority="447" dxfId="17">
      <formula>AV30="X"</formula>
    </cfRule>
    <cfRule type="expression" priority="448" dxfId="16">
      <formula>AV30="후보"</formula>
    </cfRule>
  </conditionalFormatting>
  <conditionalFormatting sqref="AC3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0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17">
      <formula>AV31="X"</formula>
    </cfRule>
    <cfRule type="expression" priority="429" dxfId="16">
      <formula>AV31="후보"</formula>
    </cfRule>
  </conditionalFormatting>
  <conditionalFormatting sqref="AC3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17">
      <formula>AV32="X"</formula>
    </cfRule>
    <cfRule type="expression" priority="410" dxfId="16">
      <formula>AV32="후보"</formula>
    </cfRule>
  </conditionalFormatting>
  <conditionalFormatting sqref="AC32 N3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 N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7">
    <cfRule type="expression" priority="342" dxfId="17">
      <formula>AV37="X"</formula>
    </cfRule>
    <cfRule type="expression" priority="343" dxfId="16">
      <formula>AV37="후보"</formula>
    </cfRule>
  </conditionalFormatting>
  <conditionalFormatting sqref="AC3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17">
      <formula>AV40="X"</formula>
    </cfRule>
    <cfRule type="expression" priority="286" dxfId="16">
      <formula>AV40="후보"</formula>
    </cfRule>
  </conditionalFormatting>
  <conditionalFormatting sqref="AC4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17">
      <formula>AV41="X"</formula>
    </cfRule>
    <cfRule type="expression" priority="267" dxfId="16">
      <formula>AV41="후보"</formula>
    </cfRule>
  </conditionalFormatting>
  <conditionalFormatting sqref="AC41 N4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42">
    <cfRule type="expression" priority="261" dxfId="17">
      <formula>AV42="X"</formula>
    </cfRule>
    <cfRule type="expression" priority="262" dxfId="16">
      <formula>AV42="후보"</formula>
    </cfRule>
  </conditionalFormatting>
  <conditionalFormatting sqref="AC4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17">
      <formula>AV43="X"</formula>
    </cfRule>
    <cfRule type="expression" priority="243" dxfId="16">
      <formula>AV43="후보"</formula>
    </cfRule>
  </conditionalFormatting>
  <conditionalFormatting sqref="AC4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17">
      <formula>AV44="X"</formula>
    </cfRule>
    <cfRule type="expression" priority="224" dxfId="16">
      <formula>AV44="후보"</formula>
    </cfRule>
  </conditionalFormatting>
  <conditionalFormatting sqref="AC4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17">
      <formula>AV45="X"</formula>
    </cfRule>
    <cfRule type="expression" priority="205" dxfId="16">
      <formula>AV45="후보"</formula>
    </cfRule>
  </conditionalFormatting>
  <conditionalFormatting sqref="AC4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17">
      <formula>AV46="X"</formula>
    </cfRule>
    <cfRule type="expression" priority="186" dxfId="16">
      <formula>AV46="후보"</formula>
    </cfRule>
  </conditionalFormatting>
  <conditionalFormatting sqref="AC4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17">
      <formula>AV47="X"</formula>
    </cfRule>
    <cfRule type="expression" priority="167" dxfId="16">
      <formula>AV47="후보"</formula>
    </cfRule>
  </conditionalFormatting>
  <conditionalFormatting sqref="AC4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4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17">
      <formula>AV48="X"</formula>
    </cfRule>
    <cfRule type="expression" priority="148" dxfId="16">
      <formula>AV48="후보"</formula>
    </cfRule>
  </conditionalFormatting>
  <conditionalFormatting sqref="AC48 N4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17">
      <formula>AV50="X"</formula>
    </cfRule>
    <cfRule type="expression" priority="124" dxfId="16">
      <formula>AV50="후보"</formula>
    </cfRule>
  </conditionalFormatting>
  <conditionalFormatting sqref="AC5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17">
      <formula>AV51="X"</formula>
    </cfRule>
    <cfRule type="expression" priority="105" dxfId="16">
      <formula>AV51="후보"</formula>
    </cfRule>
  </conditionalFormatting>
  <conditionalFormatting sqref="AC51 N5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 N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4">
    <cfRule type="expression" priority="75" dxfId="17">
      <formula>AV54="X"</formula>
    </cfRule>
    <cfRule type="expression" priority="76" dxfId="16">
      <formula>AV54="후보"</formula>
    </cfRule>
  </conditionalFormatting>
  <conditionalFormatting sqref="AC5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9" sqref="A109:XFD10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잠실동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우성4차</t>
        </is>
      </c>
      <c r="B6" s="16" t="inlineStr">
        <is>
          <t>'83.08.</t>
        </is>
      </c>
      <c r="C6" s="165" t="n">
        <v>555</v>
      </c>
      <c r="D6" s="162" t="n">
        <v>89.3</v>
      </c>
      <c r="E6" s="164" t="n">
        <v>27</v>
      </c>
      <c r="F6" s="162" t="n">
        <v>81.09999999999999</v>
      </c>
      <c r="G6" s="27" t="n">
        <v>25</v>
      </c>
      <c r="H6" s="165" t="n">
        <v>105</v>
      </c>
      <c r="I6" s="166" t="n">
        <v>145000</v>
      </c>
      <c r="J6" s="166" t="inlineStr">
        <is>
          <t>고</t>
        </is>
      </c>
      <c r="K6" s="166" t="n">
        <v>48000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89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우성4차</t>
        </is>
      </c>
      <c r="B7" s="16" t="inlineStr">
        <is>
          <t>'83.08.</t>
        </is>
      </c>
      <c r="C7" s="165" t="n">
        <v>555</v>
      </c>
      <c r="D7" s="162" t="n">
        <v>105.5</v>
      </c>
      <c r="E7" s="164" t="n">
        <v>32</v>
      </c>
      <c r="F7" s="162" t="n">
        <v>95.8</v>
      </c>
      <c r="G7" s="27" t="n">
        <v>29</v>
      </c>
      <c r="H7" s="165" t="n">
        <v>300</v>
      </c>
      <c r="I7" s="166" t="n">
        <v>153000</v>
      </c>
      <c r="J7" s="166" t="inlineStr">
        <is>
          <t>중</t>
        </is>
      </c>
      <c r="K7" s="166" t="n">
        <v>58000</v>
      </c>
      <c r="L7" s="166" t="inlineStr">
        <is>
          <t>고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105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우성4차</t>
        </is>
      </c>
      <c r="B8" s="16" t="inlineStr">
        <is>
          <t>'83.08.</t>
        </is>
      </c>
      <c r="C8" s="165" t="n">
        <v>555</v>
      </c>
      <c r="D8" s="162" t="n">
        <v>127.4</v>
      </c>
      <c r="E8" s="164" t="n">
        <v>39</v>
      </c>
      <c r="F8" s="162" t="n">
        <v>115.8</v>
      </c>
      <c r="G8" s="27" t="n">
        <v>35</v>
      </c>
      <c r="H8" s="165" t="n">
        <v>150</v>
      </c>
      <c r="I8" s="166" t="n">
        <v>170000</v>
      </c>
      <c r="J8" s="166" t="inlineStr">
        <is>
          <t>중</t>
        </is>
      </c>
      <c r="K8" s="166" t="n">
        <v>75000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127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갤러리아팰리스</t>
        </is>
      </c>
      <c r="B10" s="16" t="inlineStr">
        <is>
          <t>'05.01.</t>
        </is>
      </c>
      <c r="C10" s="165" t="n">
        <v>741</v>
      </c>
      <c r="D10" s="162" t="n">
        <v>107.6</v>
      </c>
      <c r="E10" s="164" t="n">
        <v>33</v>
      </c>
      <c r="F10" s="162" t="n">
        <v>84.40000000000001</v>
      </c>
      <c r="G10" s="27" t="n">
        <v>26</v>
      </c>
      <c r="H10" s="165" t="n">
        <v>48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2</v>
      </c>
      <c r="S10" s="113" t="inlineStr">
        <is>
          <t>계</t>
        </is>
      </c>
      <c r="T10" s="8" t="inlineStr">
        <is>
          <t>107A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갤러리아팰리스</t>
        </is>
      </c>
      <c r="B11" s="16" t="inlineStr">
        <is>
          <t>'05.01.</t>
        </is>
      </c>
      <c r="C11" s="165" t="n">
        <v>741</v>
      </c>
      <c r="D11" s="162" t="n">
        <v>156.7</v>
      </c>
      <c r="E11" s="164" t="n">
        <v>47</v>
      </c>
      <c r="F11" s="162" t="n">
        <v>123</v>
      </c>
      <c r="G11" s="27" t="n">
        <v>37</v>
      </c>
      <c r="H11" s="165" t="n">
        <v>48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156A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갤러리아팰리스</t>
        </is>
      </c>
      <c r="B12" s="16" t="inlineStr">
        <is>
          <t>'05.01.</t>
        </is>
      </c>
      <c r="C12" s="165" t="n">
        <v>741</v>
      </c>
      <c r="D12" s="162" t="n">
        <v>157</v>
      </c>
      <c r="E12" s="164" t="n">
        <v>48</v>
      </c>
      <c r="F12" s="162" t="n">
        <v>123.3</v>
      </c>
      <c r="G12" s="27" t="n">
        <v>37</v>
      </c>
      <c r="H12" s="165" t="n">
        <v>89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157C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갤러리아팰리스</t>
        </is>
      </c>
      <c r="B13" s="16" t="inlineStr">
        <is>
          <t>'05.01.</t>
        </is>
      </c>
      <c r="C13" s="165" t="n">
        <v>741</v>
      </c>
      <c r="D13" s="162" t="n">
        <v>174.5</v>
      </c>
      <c r="E13" s="164" t="n">
        <v>53</v>
      </c>
      <c r="F13" s="162" t="n">
        <v>137</v>
      </c>
      <c r="G13" s="27" t="n">
        <v>41</v>
      </c>
      <c r="H13" s="165" t="n">
        <v>27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174B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갤러리아팰리스</t>
        </is>
      </c>
      <c r="B14" s="16" t="inlineStr">
        <is>
          <t>'05.01.</t>
        </is>
      </c>
      <c r="C14" s="165" t="n">
        <v>741</v>
      </c>
      <c r="D14" s="162" t="n">
        <v>176.5</v>
      </c>
      <c r="E14" s="164" t="n">
        <v>53</v>
      </c>
      <c r="F14" s="162" t="n">
        <v>138.6</v>
      </c>
      <c r="G14" s="27" t="n">
        <v>42</v>
      </c>
      <c r="H14" s="165" t="n">
        <v>54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176A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갤러리아팰리스</t>
        </is>
      </c>
      <c r="B15" s="16" t="inlineStr">
        <is>
          <t>'05.01.</t>
        </is>
      </c>
      <c r="C15" s="165" t="n">
        <v>741</v>
      </c>
      <c r="D15" s="162" t="n">
        <v>190.1</v>
      </c>
      <c r="E15" s="164" t="n">
        <v>57</v>
      </c>
      <c r="F15" s="162" t="n">
        <v>149.2</v>
      </c>
      <c r="G15" s="27" t="n">
        <v>45</v>
      </c>
      <c r="H15" s="165" t="n">
        <v>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190A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갤러리아팰리스</t>
        </is>
      </c>
      <c r="B16" s="16" t="inlineStr">
        <is>
          <t>'05.01.</t>
        </is>
      </c>
      <c r="C16" s="165" t="n">
        <v>741</v>
      </c>
      <c r="D16" s="162" t="n">
        <v>190.1</v>
      </c>
      <c r="E16" s="164" t="n">
        <v>57</v>
      </c>
      <c r="F16" s="162" t="n">
        <v>149.2</v>
      </c>
      <c r="G16" s="27" t="n">
        <v>45</v>
      </c>
      <c r="H16" s="165" t="n">
        <v>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190AT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갤러리아팰리스</t>
        </is>
      </c>
      <c r="B17" s="16" t="inlineStr">
        <is>
          <t>'05.01.</t>
        </is>
      </c>
      <c r="C17" s="165" t="n">
        <v>741</v>
      </c>
      <c r="D17" s="162" t="n">
        <v>191.9</v>
      </c>
      <c r="E17" s="164" t="n">
        <v>58</v>
      </c>
      <c r="F17" s="162" t="n">
        <v>150.7</v>
      </c>
      <c r="G17" s="27" t="n">
        <v>46</v>
      </c>
      <c r="H17" s="165" t="n">
        <v>31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191B2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갤러리아팰리스</t>
        </is>
      </c>
      <c r="B18" s="16" t="inlineStr">
        <is>
          <t>'05.01.</t>
        </is>
      </c>
      <c r="C18" s="165" t="n">
        <v>741</v>
      </c>
      <c r="D18" s="162" t="n">
        <v>192.6</v>
      </c>
      <c r="E18" s="164" t="n">
        <v>58</v>
      </c>
      <c r="F18" s="162" t="n">
        <v>151.2</v>
      </c>
      <c r="G18" s="27" t="n">
        <v>46</v>
      </c>
      <c r="H18" s="165" t="n">
        <v>48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192A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갤러리아팰리스</t>
        </is>
      </c>
      <c r="B19" s="16" t="inlineStr">
        <is>
          <t>'05.01.</t>
        </is>
      </c>
      <c r="C19" s="165" t="n">
        <v>741</v>
      </c>
      <c r="D19" s="162" t="n">
        <v>193.6</v>
      </c>
      <c r="E19" s="164" t="n">
        <v>59</v>
      </c>
      <c r="F19" s="162" t="n">
        <v>152</v>
      </c>
      <c r="G19" s="27" t="n">
        <v>46</v>
      </c>
      <c r="H19" s="165" t="n">
        <v>85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193C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갤러리아팰리스</t>
        </is>
      </c>
      <c r="B20" s="16" t="inlineStr">
        <is>
          <t>'05.01.</t>
        </is>
      </c>
      <c r="C20" s="165" t="n">
        <v>741</v>
      </c>
      <c r="D20" s="162" t="n">
        <v>193.1</v>
      </c>
      <c r="E20" s="164" t="n">
        <v>58</v>
      </c>
      <c r="F20" s="162" t="n">
        <v>151.6</v>
      </c>
      <c r="G20" s="27" t="n">
        <v>46</v>
      </c>
      <c r="H20" s="165" t="n">
        <v>31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193B1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갤러리아팰리스</t>
        </is>
      </c>
      <c r="B21" s="16" t="inlineStr">
        <is>
          <t>'05.01.</t>
        </is>
      </c>
      <c r="C21" s="165" t="n">
        <v>741</v>
      </c>
      <c r="D21" s="162" t="n">
        <v>194.7</v>
      </c>
      <c r="E21" s="164" t="n">
        <v>59</v>
      </c>
      <c r="F21" s="162" t="n">
        <v>152.8</v>
      </c>
      <c r="G21" s="27" t="n">
        <v>46</v>
      </c>
      <c r="H21" s="165" t="n">
        <v>10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194A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갤러리아팰리스</t>
        </is>
      </c>
      <c r="B22" s="16" t="inlineStr">
        <is>
          <t>'05.01.</t>
        </is>
      </c>
      <c r="C22" s="165" t="n">
        <v>741</v>
      </c>
      <c r="D22" s="162" t="n">
        <v>206.9</v>
      </c>
      <c r="E22" s="164" t="n">
        <v>63</v>
      </c>
      <c r="F22" s="162" t="n">
        <v>162.4</v>
      </c>
      <c r="G22" s="27" t="n">
        <v>49</v>
      </c>
      <c r="H22" s="165" t="n">
        <v>54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206A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갤러리아팰리스</t>
        </is>
      </c>
      <c r="B23" s="16" t="inlineStr">
        <is>
          <t>'05.01.</t>
        </is>
      </c>
      <c r="C23" s="165" t="n">
        <v>741</v>
      </c>
      <c r="D23" s="162" t="n">
        <v>208.8</v>
      </c>
      <c r="E23" s="164" t="n">
        <v>63</v>
      </c>
      <c r="F23" s="162" t="n">
        <v>163.9</v>
      </c>
      <c r="G23" s="27" t="n">
        <v>50</v>
      </c>
      <c r="H23" s="165" t="n">
        <v>84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208C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갤러리아팰리스</t>
        </is>
      </c>
      <c r="B24" s="16" t="inlineStr">
        <is>
          <t>'05.01.</t>
        </is>
      </c>
      <c r="C24" s="165" t="n">
        <v>741</v>
      </c>
      <c r="D24" s="162" t="n">
        <v>209.3</v>
      </c>
      <c r="E24" s="164" t="n">
        <v>63</v>
      </c>
      <c r="F24" s="162" t="n">
        <v>164.3</v>
      </c>
      <c r="G24" s="27" t="n">
        <v>50</v>
      </c>
      <c r="H24" s="165" t="n">
        <v>27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209B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갤러리아팰리스</t>
        </is>
      </c>
      <c r="B25" s="16" t="inlineStr">
        <is>
          <t>'05.01.</t>
        </is>
      </c>
      <c r="C25" s="165" t="n">
        <v>741</v>
      </c>
      <c r="D25" s="162" t="n">
        <v>224.2</v>
      </c>
      <c r="E25" s="164" t="n">
        <v>68</v>
      </c>
      <c r="F25" s="162" t="n">
        <v>176</v>
      </c>
      <c r="G25" s="27" t="n">
        <v>53</v>
      </c>
      <c r="H25" s="165" t="n">
        <v>78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224C1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갤러리아팰리스</t>
        </is>
      </c>
      <c r="B26" s="16" t="inlineStr">
        <is>
          <t>'05.01.</t>
        </is>
      </c>
      <c r="C26" s="165" t="n">
        <v>741</v>
      </c>
      <c r="D26" s="162" t="n">
        <v>224.4</v>
      </c>
      <c r="E26" s="164" t="n">
        <v>68</v>
      </c>
      <c r="F26" s="162" t="n">
        <v>176.2</v>
      </c>
      <c r="G26" s="27" t="n">
        <v>53</v>
      </c>
      <c r="H26" s="165" t="n">
        <v>8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224C2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갤러리아팰리스</t>
        </is>
      </c>
      <c r="B27" s="16" t="inlineStr">
        <is>
          <t>'05.01.</t>
        </is>
      </c>
      <c r="C27" s="165" t="n">
        <v>741</v>
      </c>
      <c r="D27" s="162" t="n">
        <v>224.4</v>
      </c>
      <c r="E27" s="164" t="n">
        <v>68</v>
      </c>
      <c r="F27" s="162" t="n">
        <v>176.2</v>
      </c>
      <c r="G27" s="27" t="n">
        <v>53</v>
      </c>
      <c r="H27" s="165" t="n">
        <v>2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224C2T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갤러리아팰리스</t>
        </is>
      </c>
      <c r="B28" s="16" t="inlineStr">
        <is>
          <t>'05.01.</t>
        </is>
      </c>
      <c r="C28" s="165" t="n">
        <v>741</v>
      </c>
      <c r="D28" s="162" t="n">
        <v>269.9</v>
      </c>
      <c r="E28" s="164" t="n">
        <v>82</v>
      </c>
      <c r="F28" s="162" t="n">
        <v>211.9</v>
      </c>
      <c r="G28" s="27" t="n">
        <v>64</v>
      </c>
      <c r="H28" s="165" t="n">
        <v>3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3</v>
      </c>
      <c r="S28" s="113" t="inlineStr">
        <is>
          <t>계</t>
        </is>
      </c>
      <c r="T28" s="8" t="inlineStr">
        <is>
          <t>269B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갤러리아팰리스</t>
        </is>
      </c>
      <c r="B29" s="16" t="inlineStr">
        <is>
          <t>'05.01.</t>
        </is>
      </c>
      <c r="C29" s="165" t="n">
        <v>741</v>
      </c>
      <c r="D29" s="162" t="n">
        <v>269.9</v>
      </c>
      <c r="E29" s="164" t="n">
        <v>82</v>
      </c>
      <c r="F29" s="162" t="n">
        <v>211.9</v>
      </c>
      <c r="G29" s="27" t="n">
        <v>64</v>
      </c>
      <c r="H29" s="165" t="n">
        <v>1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3</v>
      </c>
      <c r="S29" s="113" t="inlineStr">
        <is>
          <t>계</t>
        </is>
      </c>
      <c r="T29" s="8" t="inlineStr">
        <is>
          <t>269BT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갤러리아팰리스</t>
        </is>
      </c>
      <c r="B30" s="16" t="inlineStr">
        <is>
          <t>'05.01.</t>
        </is>
      </c>
      <c r="C30" s="165" t="n">
        <v>741</v>
      </c>
      <c r="D30" s="162" t="n">
        <v>310.7</v>
      </c>
      <c r="E30" s="164" t="n">
        <v>94</v>
      </c>
      <c r="F30" s="162" t="n">
        <v>243.9</v>
      </c>
      <c r="G30" s="27" t="n">
        <v>74</v>
      </c>
      <c r="H30" s="165" t="n">
        <v>3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5</v>
      </c>
      <c r="R30" s="113" t="n">
        <v>3</v>
      </c>
      <c r="S30" s="113" t="inlineStr">
        <is>
          <t>계</t>
        </is>
      </c>
      <c r="T30" s="8" t="inlineStr">
        <is>
          <t>310A2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갤러리아팰리스</t>
        </is>
      </c>
      <c r="B31" s="16" t="inlineStr">
        <is>
          <t>'05.01.</t>
        </is>
      </c>
      <c r="C31" s="165" t="n">
        <v>741</v>
      </c>
      <c r="D31" s="162" t="n">
        <v>310.7</v>
      </c>
      <c r="E31" s="164" t="n">
        <v>94</v>
      </c>
      <c r="F31" s="162" t="n">
        <v>243.9</v>
      </c>
      <c r="G31" s="27" t="n">
        <v>74</v>
      </c>
      <c r="H31" s="165" t="n">
        <v>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3</v>
      </c>
      <c r="S31" s="113" t="inlineStr">
        <is>
          <t>계</t>
        </is>
      </c>
      <c r="T31" s="8" t="inlineStr">
        <is>
          <t>310A2T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갤러리아팰리스</t>
        </is>
      </c>
      <c r="B32" s="16" t="inlineStr">
        <is>
          <t>'05.01.</t>
        </is>
      </c>
      <c r="C32" s="165" t="n">
        <v>741</v>
      </c>
      <c r="D32" s="162" t="n">
        <v>311.7</v>
      </c>
      <c r="E32" s="164" t="n">
        <v>94</v>
      </c>
      <c r="F32" s="162" t="n">
        <v>244.7</v>
      </c>
      <c r="G32" s="27" t="n">
        <v>74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inlineStr">
        <is>
          <t>311A1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갤러리아팰리스</t>
        </is>
      </c>
      <c r="B33" s="16" t="inlineStr">
        <is>
          <t>'05.01.</t>
        </is>
      </c>
      <c r="C33" s="165" t="n">
        <v>741</v>
      </c>
      <c r="D33" s="162" t="n">
        <v>311.7</v>
      </c>
      <c r="E33" s="164" t="n">
        <v>94</v>
      </c>
      <c r="F33" s="162" t="n">
        <v>244.7</v>
      </c>
      <c r="G33" s="27" t="n">
        <v>74</v>
      </c>
      <c r="H33" s="165" t="n">
        <v>1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3</v>
      </c>
      <c r="S33" s="113" t="inlineStr">
        <is>
          <t>계</t>
        </is>
      </c>
      <c r="T33" s="8" t="inlineStr">
        <is>
          <t>311A1T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갤러리아팰리스</t>
        </is>
      </c>
      <c r="B34" s="16" t="inlineStr">
        <is>
          <t>'05.01.</t>
        </is>
      </c>
      <c r="C34" s="165" t="n">
        <v>741</v>
      </c>
      <c r="D34" s="162" t="n">
        <v>311.7</v>
      </c>
      <c r="E34" s="164" t="n">
        <v>94</v>
      </c>
      <c r="F34" s="162" t="n">
        <v>244.7</v>
      </c>
      <c r="G34" s="27" t="n">
        <v>74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3</v>
      </c>
      <c r="S34" s="113" t="inlineStr">
        <is>
          <t>계</t>
        </is>
      </c>
      <c r="T34" s="8" t="inlineStr">
        <is>
          <t>311C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아시아선수촌</t>
        </is>
      </c>
      <c r="B36" s="16" t="inlineStr">
        <is>
          <t>'86.06.</t>
        </is>
      </c>
      <c r="C36" s="165" t="n">
        <v>1356</v>
      </c>
      <c r="D36" s="162" t="n">
        <v>124.8</v>
      </c>
      <c r="E36" s="164" t="n">
        <v>38</v>
      </c>
      <c r="F36" s="162" t="n">
        <v>99.40000000000001</v>
      </c>
      <c r="G36" s="27" t="n">
        <v>30</v>
      </c>
      <c r="H36" s="165" t="n">
        <v>318</v>
      </c>
      <c r="I36" s="166" t="n">
        <v>330000</v>
      </c>
      <c r="J36" s="166" t="inlineStr">
        <is>
          <t>10</t>
        </is>
      </c>
      <c r="K36" s="166" t="n">
        <v>100000</v>
      </c>
      <c r="L36" s="166" t="inlineStr">
        <is>
          <t>중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124A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아시아선수촌</t>
        </is>
      </c>
      <c r="B37" s="16" t="inlineStr">
        <is>
          <t>'86.06.</t>
        </is>
      </c>
      <c r="C37" s="165" t="n">
        <v>1356</v>
      </c>
      <c r="D37" s="162" t="n">
        <v>154.1</v>
      </c>
      <c r="E37" s="164" t="n">
        <v>47</v>
      </c>
      <c r="F37" s="162" t="n">
        <v>122.8</v>
      </c>
      <c r="G37" s="27" t="n">
        <v>37</v>
      </c>
      <c r="H37" s="165" t="n">
        <v>18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154B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아시아선수촌</t>
        </is>
      </c>
      <c r="B38" s="16" t="inlineStr">
        <is>
          <t>'86.06.</t>
        </is>
      </c>
      <c r="C38" s="165" t="n">
        <v>1356</v>
      </c>
      <c r="D38" s="162" t="n">
        <v>168.8</v>
      </c>
      <c r="E38" s="164" t="n">
        <v>51</v>
      </c>
      <c r="F38" s="162" t="n">
        <v>134.5</v>
      </c>
      <c r="G38" s="27" t="n">
        <v>41</v>
      </c>
      <c r="H38" s="165" t="n">
        <v>300</v>
      </c>
      <c r="I38" s="166" t="n">
        <v>350000</v>
      </c>
      <c r="J38" s="166" t="inlineStr">
        <is>
          <t>중</t>
        </is>
      </c>
      <c r="K38" s="166" t="n">
        <v>130000</v>
      </c>
      <c r="L38" s="166" t="inlineStr">
        <is>
          <t>중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168B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아시아선수촌</t>
        </is>
      </c>
      <c r="B39" s="16" t="inlineStr">
        <is>
          <t>'86.06.</t>
        </is>
      </c>
      <c r="C39" s="165" t="n">
        <v>1356</v>
      </c>
      <c r="D39" s="162" t="n">
        <v>171.6</v>
      </c>
      <c r="E39" s="164" t="n">
        <v>52</v>
      </c>
      <c r="F39" s="162" t="n">
        <v>139.7</v>
      </c>
      <c r="G39" s="27" t="n">
        <v>42</v>
      </c>
      <c r="H39" s="165" t="n">
        <v>22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171C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아시아선수촌</t>
        </is>
      </c>
      <c r="B40" s="16" t="inlineStr">
        <is>
          <t>'86.06.</t>
        </is>
      </c>
      <c r="C40" s="165" t="n">
        <v>1356</v>
      </c>
      <c r="D40" s="162" t="n">
        <v>185.6</v>
      </c>
      <c r="E40" s="164" t="n">
        <v>56</v>
      </c>
      <c r="F40" s="162" t="n">
        <v>151</v>
      </c>
      <c r="G40" s="27" t="n">
        <v>46</v>
      </c>
      <c r="H40" s="165" t="n">
        <v>446</v>
      </c>
      <c r="I40" s="166" t="n">
        <v>410000</v>
      </c>
      <c r="J40" s="166" t="inlineStr">
        <is>
          <t>고</t>
        </is>
      </c>
      <c r="K40" s="166" t="n">
        <v>120000</v>
      </c>
      <c r="L40" s="166" t="inlineStr">
        <is>
          <t>5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185C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아시아선수촌</t>
        </is>
      </c>
      <c r="B41" s="16" t="inlineStr">
        <is>
          <t>'86.06.</t>
        </is>
      </c>
      <c r="C41" s="165" t="n">
        <v>1356</v>
      </c>
      <c r="D41" s="162" t="n">
        <v>213.4</v>
      </c>
      <c r="E41" s="164" t="n">
        <v>65</v>
      </c>
      <c r="F41" s="162" t="n">
        <v>178.3</v>
      </c>
      <c r="G41" s="27" t="n">
        <v>54</v>
      </c>
      <c r="H41" s="165" t="n">
        <v>252</v>
      </c>
      <c r="I41" s="166" t="n">
        <v>450000</v>
      </c>
      <c r="J41" s="166" t="inlineStr">
        <is>
          <t>15</t>
        </is>
      </c>
      <c r="K41" s="166" t="n">
        <v>150000</v>
      </c>
      <c r="L41" s="166" t="inlineStr">
        <is>
          <t>중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5</v>
      </c>
      <c r="R41" s="113" t="n">
        <v>2</v>
      </c>
      <c r="S41" s="113" t="inlineStr">
        <is>
          <t>계</t>
        </is>
      </c>
      <c r="T41" s="8" t="inlineStr">
        <is>
          <t>213D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트리지움</t>
        </is>
      </c>
      <c r="B43" s="16" t="inlineStr">
        <is>
          <t>'07.08.</t>
        </is>
      </c>
      <c r="C43" s="165" t="n">
        <v>3696</v>
      </c>
      <c r="D43" s="162" t="n">
        <v>84.7</v>
      </c>
      <c r="E43" s="164" t="n">
        <v>26</v>
      </c>
      <c r="F43" s="162" t="n">
        <v>59.9</v>
      </c>
      <c r="G43" s="27" t="n">
        <v>18</v>
      </c>
      <c r="H43" s="165" t="n">
        <v>740</v>
      </c>
      <c r="I43" s="166" t="n">
        <v>150000</v>
      </c>
      <c r="J43" s="166" t="inlineStr">
        <is>
          <t>20</t>
        </is>
      </c>
      <c r="K43" s="166" t="n">
        <v>75000</v>
      </c>
      <c r="L43" s="166" t="inlineStr">
        <is>
          <t>고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84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트리지움</t>
        </is>
      </c>
      <c r="B44" s="16" t="inlineStr">
        <is>
          <t>'07.08.</t>
        </is>
      </c>
      <c r="C44" s="165" t="n">
        <v>3696</v>
      </c>
      <c r="D44" s="162" t="n">
        <v>110.5</v>
      </c>
      <c r="E44" s="164" t="n">
        <v>33</v>
      </c>
      <c r="F44" s="162" t="n">
        <v>84.8</v>
      </c>
      <c r="G44" s="27" t="n">
        <v>26</v>
      </c>
      <c r="H44" s="165" t="n">
        <v>1404</v>
      </c>
      <c r="I44" s="166" t="n">
        <v>183000</v>
      </c>
      <c r="J44" s="166" t="inlineStr">
        <is>
          <t>고</t>
        </is>
      </c>
      <c r="K44" s="166" t="n">
        <v>88000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110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트리지움</t>
        </is>
      </c>
      <c r="B45" s="16" t="inlineStr">
        <is>
          <t>'07.08.</t>
        </is>
      </c>
      <c r="C45" s="165" t="n">
        <v>3696</v>
      </c>
      <c r="D45" s="162" t="n">
        <v>110.8</v>
      </c>
      <c r="E45" s="164" t="n">
        <v>34</v>
      </c>
      <c r="F45" s="162" t="n">
        <v>85</v>
      </c>
      <c r="G45" s="27" t="n">
        <v>26</v>
      </c>
      <c r="H45" s="165" t="n">
        <v>659</v>
      </c>
      <c r="I45" s="166" t="n">
        <v>183000</v>
      </c>
      <c r="J45" s="166" t="inlineStr">
        <is>
          <t>중</t>
        </is>
      </c>
      <c r="K45" s="166" t="n">
        <v>88000</v>
      </c>
      <c r="L45" s="166" t="inlineStr">
        <is>
          <t>중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110A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트리지움</t>
        </is>
      </c>
      <c r="B46" s="16" t="inlineStr">
        <is>
          <t>'07.08.</t>
        </is>
      </c>
      <c r="C46" s="165" t="n">
        <v>3696</v>
      </c>
      <c r="D46" s="162" t="n">
        <v>110.9</v>
      </c>
      <c r="E46" s="164" t="n">
        <v>34</v>
      </c>
      <c r="F46" s="162" t="n">
        <v>85</v>
      </c>
      <c r="G46" s="27" t="n">
        <v>26</v>
      </c>
      <c r="H46" s="165" t="n">
        <v>339</v>
      </c>
      <c r="I46" s="166" t="n">
        <v>177000</v>
      </c>
      <c r="J46" s="166" t="inlineStr">
        <is>
          <t>13</t>
        </is>
      </c>
      <c r="K46" s="166" t="n">
        <v>90000</v>
      </c>
      <c r="L46" s="166" t="inlineStr">
        <is>
          <t>고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110B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트리지움</t>
        </is>
      </c>
      <c r="B47" s="16" t="inlineStr">
        <is>
          <t>'07.08.</t>
        </is>
      </c>
      <c r="C47" s="165" t="n">
        <v>3696</v>
      </c>
      <c r="D47" s="162" t="n">
        <v>143.1</v>
      </c>
      <c r="E47" s="164" t="n">
        <v>43</v>
      </c>
      <c r="F47" s="162" t="n">
        <v>114.7</v>
      </c>
      <c r="G47" s="27" t="n">
        <v>35</v>
      </c>
      <c r="H47" s="165" t="n">
        <v>330</v>
      </c>
      <c r="I47" s="166" t="n">
        <v>250000</v>
      </c>
      <c r="J47" s="166" t="inlineStr">
        <is>
          <t>중</t>
        </is>
      </c>
      <c r="K47" s="166" t="n">
        <v>145000</v>
      </c>
      <c r="L47" s="166" t="inlineStr">
        <is>
          <t>고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143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트리지움</t>
        </is>
      </c>
      <c r="B48" s="16" t="inlineStr">
        <is>
          <t>'07.08.</t>
        </is>
      </c>
      <c r="C48" s="165" t="n">
        <v>3696</v>
      </c>
      <c r="D48" s="162" t="n">
        <v>180.3</v>
      </c>
      <c r="E48" s="164" t="n">
        <v>55</v>
      </c>
      <c r="F48" s="162" t="n">
        <v>149.5</v>
      </c>
      <c r="G48" s="27" t="n">
        <v>45</v>
      </c>
      <c r="H48" s="165" t="n">
        <v>224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리센츠</t>
        </is>
      </c>
      <c r="B50" s="16" t="inlineStr">
        <is>
          <t>'08.07.</t>
        </is>
      </c>
      <c r="C50" s="165" t="n">
        <v>5563</v>
      </c>
      <c r="D50" s="162" t="n">
        <v>42.3</v>
      </c>
      <c r="E50" s="164" t="n">
        <v>13</v>
      </c>
      <c r="F50" s="162" t="n">
        <v>27.7</v>
      </c>
      <c r="G50" s="27" t="n">
        <v>8</v>
      </c>
      <c r="H50" s="165" t="n">
        <v>500</v>
      </c>
      <c r="I50" s="166" t="n">
        <v>83000</v>
      </c>
      <c r="J50" s="166" t="inlineStr">
        <is>
          <t>중</t>
        </is>
      </c>
      <c r="K50" s="166" t="n">
        <v>38000</v>
      </c>
      <c r="L50" s="166" t="inlineStr">
        <is>
          <t>중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1</v>
      </c>
      <c r="R50" s="113" t="n">
        <v>1</v>
      </c>
      <c r="S50" s="113" t="inlineStr">
        <is>
          <t>계</t>
        </is>
      </c>
      <c r="T50" s="8" t="inlineStr">
        <is>
          <t>42A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리센츠</t>
        </is>
      </c>
      <c r="B51" s="16" t="inlineStr">
        <is>
          <t>'08.07.</t>
        </is>
      </c>
      <c r="C51" s="165" t="n">
        <v>5563</v>
      </c>
      <c r="D51" s="162" t="n">
        <v>42.6</v>
      </c>
      <c r="E51" s="164" t="n">
        <v>13</v>
      </c>
      <c r="F51" s="162" t="n">
        <v>27.7</v>
      </c>
      <c r="G51" s="27" t="n">
        <v>8</v>
      </c>
      <c r="H51" s="165" t="n">
        <v>244</v>
      </c>
      <c r="I51" s="166" t="n">
        <v>87000</v>
      </c>
      <c r="J51" s="166" t="inlineStr">
        <is>
          <t>고</t>
        </is>
      </c>
      <c r="K51" s="166" t="n">
        <v>42000</v>
      </c>
      <c r="L51" s="166" t="inlineStr">
        <is>
          <t>고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1</v>
      </c>
      <c r="R51" s="113" t="n">
        <v>1</v>
      </c>
      <c r="S51" s="113" t="inlineStr">
        <is>
          <t>계</t>
        </is>
      </c>
      <c r="T51" s="8" t="inlineStr">
        <is>
          <t>42B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리센츠</t>
        </is>
      </c>
      <c r="B52" s="16" t="inlineStr">
        <is>
          <t>'08.07.</t>
        </is>
      </c>
      <c r="C52" s="165" t="n">
        <v>5563</v>
      </c>
      <c r="D52" s="162" t="n">
        <v>42.5</v>
      </c>
      <c r="E52" s="164" t="n">
        <v>13</v>
      </c>
      <c r="F52" s="162" t="n">
        <v>27.7</v>
      </c>
      <c r="G52" s="27" t="n">
        <v>8</v>
      </c>
      <c r="H52" s="165" t="n">
        <v>124</v>
      </c>
      <c r="I52" s="166" t="n">
        <v>115000</v>
      </c>
      <c r="J52" s="166" t="inlineStr">
        <is>
          <t>고</t>
        </is>
      </c>
      <c r="K52" s="166" t="n">
        <v>55000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1</v>
      </c>
      <c r="R52" s="113" t="n">
        <v>1</v>
      </c>
      <c r="S52" s="113" t="inlineStr">
        <is>
          <t>계</t>
        </is>
      </c>
      <c r="T52" s="8" t="inlineStr">
        <is>
          <t>42C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리센츠</t>
        </is>
      </c>
      <c r="B53" s="16" t="inlineStr">
        <is>
          <t>'08.07.</t>
        </is>
      </c>
      <c r="C53" s="165" t="n">
        <v>5563</v>
      </c>
      <c r="D53" s="162" t="n">
        <v>82.3</v>
      </c>
      <c r="E53" s="164" t="n">
        <v>25</v>
      </c>
      <c r="F53" s="162" t="n">
        <v>60</v>
      </c>
      <c r="G53" s="27" t="n">
        <v>18</v>
      </c>
      <c r="H53" s="165" t="n">
        <v>104</v>
      </c>
      <c r="I53" s="166" t="n">
        <v>165000</v>
      </c>
      <c r="J53" s="166" t="inlineStr">
        <is>
          <t>고</t>
        </is>
      </c>
      <c r="K53" s="166" t="n">
        <v>79000</v>
      </c>
      <c r="L53" s="166" t="inlineStr">
        <is>
          <t>고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82B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리센츠</t>
        </is>
      </c>
      <c r="B54" s="16" t="inlineStr">
        <is>
          <t>'08.07.</t>
        </is>
      </c>
      <c r="C54" s="165" t="n">
        <v>5563</v>
      </c>
      <c r="D54" s="162" t="n">
        <v>82.09999999999999</v>
      </c>
      <c r="E54" s="164" t="n">
        <v>25</v>
      </c>
      <c r="F54" s="162" t="n">
        <v>60</v>
      </c>
      <c r="G54" s="27" t="n">
        <v>18</v>
      </c>
      <c r="H54" s="165" t="n">
        <v>29</v>
      </c>
      <c r="I54" s="166" t="n">
        <v>180000</v>
      </c>
      <c r="J54" s="166" t="inlineStr">
        <is>
          <t>고</t>
        </is>
      </c>
      <c r="K54" s="166" t="n">
        <v>80000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82D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리센츠</t>
        </is>
      </c>
      <c r="B55" s="16" t="inlineStr">
        <is>
          <t>'08.07.</t>
        </is>
      </c>
      <c r="C55" s="165" t="n">
        <v>5563</v>
      </c>
      <c r="D55" s="162" t="n">
        <v>82.5</v>
      </c>
      <c r="E55" s="164" t="n">
        <v>25</v>
      </c>
      <c r="F55" s="162" t="n">
        <v>60</v>
      </c>
      <c r="G55" s="27" t="n">
        <v>18</v>
      </c>
      <c r="H55" s="165" t="n">
        <v>29</v>
      </c>
      <c r="I55" s="166" t="n"/>
      <c r="J55" s="166" t="n"/>
      <c r="K55" s="166" t="n">
        <v>93000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82E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리센츠</t>
        </is>
      </c>
      <c r="B56" s="16" t="inlineStr">
        <is>
          <t>'08.07.</t>
        </is>
      </c>
      <c r="C56" s="165" t="n">
        <v>5563</v>
      </c>
      <c r="D56" s="162" t="n">
        <v>82.2</v>
      </c>
      <c r="E56" s="164" t="n">
        <v>25</v>
      </c>
      <c r="F56" s="162" t="n">
        <v>60</v>
      </c>
      <c r="G56" s="27" t="n">
        <v>18</v>
      </c>
      <c r="H56" s="165" t="n">
        <v>29</v>
      </c>
      <c r="I56" s="166" t="n"/>
      <c r="J56" s="166" t="n"/>
      <c r="K56" s="166" t="n">
        <v>78000</v>
      </c>
      <c r="L56" s="166" t="inlineStr">
        <is>
          <t>고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82F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리센츠</t>
        </is>
      </c>
      <c r="B57" s="16" t="inlineStr">
        <is>
          <t>'08.07.</t>
        </is>
      </c>
      <c r="C57" s="165" t="n">
        <v>5563</v>
      </c>
      <c r="D57" s="162" t="n">
        <v>82.09999999999999</v>
      </c>
      <c r="E57" s="164" t="n">
        <v>25</v>
      </c>
      <c r="F57" s="162" t="n">
        <v>60</v>
      </c>
      <c r="G57" s="27" t="n">
        <v>18</v>
      </c>
      <c r="H57" s="165" t="n">
        <v>27</v>
      </c>
      <c r="I57" s="166" t="n">
        <v>180000</v>
      </c>
      <c r="J57" s="166" t="inlineStr">
        <is>
          <t>고</t>
        </is>
      </c>
      <c r="K57" s="166" t="n">
        <v>80000</v>
      </c>
      <c r="L57" s="166" t="inlineStr">
        <is>
          <t>고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82A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리센츠</t>
        </is>
      </c>
      <c r="B58" s="16" t="inlineStr">
        <is>
          <t>'08.07.</t>
        </is>
      </c>
      <c r="C58" s="165" t="n">
        <v>5563</v>
      </c>
      <c r="D58" s="162" t="n">
        <v>82.09999999999999</v>
      </c>
      <c r="E58" s="164" t="n">
        <v>25</v>
      </c>
      <c r="F58" s="162" t="n">
        <v>60</v>
      </c>
      <c r="G58" s="27" t="n">
        <v>18</v>
      </c>
      <c r="H58" s="165" t="n">
        <v>27</v>
      </c>
      <c r="I58" s="166" t="n">
        <v>180000</v>
      </c>
      <c r="J58" s="166" t="inlineStr">
        <is>
          <t>고</t>
        </is>
      </c>
      <c r="K58" s="166" t="n">
        <v>80000</v>
      </c>
      <c r="L58" s="166" t="inlineStr">
        <is>
          <t>고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82C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리센츠</t>
        </is>
      </c>
      <c r="B59" s="16" t="inlineStr">
        <is>
          <t>'08.07.</t>
        </is>
      </c>
      <c r="C59" s="165" t="n">
        <v>5563</v>
      </c>
      <c r="D59" s="162" t="n">
        <v>109.2</v>
      </c>
      <c r="E59" s="164" t="n">
        <v>33</v>
      </c>
      <c r="F59" s="162" t="n">
        <v>85</v>
      </c>
      <c r="G59" s="27" t="n">
        <v>26</v>
      </c>
      <c r="H59" s="165" t="n">
        <v>1201</v>
      </c>
      <c r="I59" s="166" t="n">
        <v>205000</v>
      </c>
      <c r="J59" s="166" t="inlineStr">
        <is>
          <t>고</t>
        </is>
      </c>
      <c r="K59" s="166" t="n">
        <v>85000</v>
      </c>
      <c r="L59" s="166" t="inlineStr">
        <is>
          <t>중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리센츠</t>
        </is>
      </c>
      <c r="B60" s="16" t="inlineStr">
        <is>
          <t>'08.07.</t>
        </is>
      </c>
      <c r="C60" s="165" t="n">
        <v>5563</v>
      </c>
      <c r="D60" s="162" t="n">
        <v>109.4</v>
      </c>
      <c r="E60" s="164" t="n">
        <v>33</v>
      </c>
      <c r="F60" s="162" t="n">
        <v>85</v>
      </c>
      <c r="G60" s="27" t="n">
        <v>26</v>
      </c>
      <c r="H60" s="165" t="n">
        <v>828</v>
      </c>
      <c r="I60" s="166" t="n">
        <v>195000</v>
      </c>
      <c r="J60" s="166" t="inlineStr">
        <is>
          <t>중</t>
        </is>
      </c>
      <c r="K60" s="166" t="n">
        <v>110000</v>
      </c>
      <c r="L60" s="166" t="inlineStr">
        <is>
          <t>중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109B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리센츠</t>
        </is>
      </c>
      <c r="B61" s="16" t="inlineStr">
        <is>
          <t>'08.07.</t>
        </is>
      </c>
      <c r="C61" s="165" t="n">
        <v>5563</v>
      </c>
      <c r="D61" s="162" t="n">
        <v>109.3</v>
      </c>
      <c r="E61" s="164" t="n">
        <v>33</v>
      </c>
      <c r="F61" s="162" t="n">
        <v>85</v>
      </c>
      <c r="G61" s="27" t="n">
        <v>26</v>
      </c>
      <c r="H61" s="165" t="n">
        <v>436</v>
      </c>
      <c r="I61" s="166" t="n">
        <v>205000</v>
      </c>
      <c r="J61" s="166" t="inlineStr">
        <is>
          <t>중</t>
        </is>
      </c>
      <c r="K61" s="166" t="n">
        <v>95000</v>
      </c>
      <c r="L61" s="166" t="inlineStr">
        <is>
          <t>고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109C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리센츠</t>
        </is>
      </c>
      <c r="B62" s="16" t="inlineStr">
        <is>
          <t>'08.07.</t>
        </is>
      </c>
      <c r="C62" s="165" t="n">
        <v>5563</v>
      </c>
      <c r="D62" s="162" t="n">
        <v>109.3</v>
      </c>
      <c r="E62" s="164" t="n">
        <v>33</v>
      </c>
      <c r="F62" s="162" t="n">
        <v>85</v>
      </c>
      <c r="G62" s="27" t="n">
        <v>26</v>
      </c>
      <c r="H62" s="165" t="n">
        <v>262</v>
      </c>
      <c r="I62" s="166" t="n">
        <v>205000</v>
      </c>
      <c r="J62" s="166" t="inlineStr">
        <is>
          <t>중</t>
        </is>
      </c>
      <c r="K62" s="166" t="n">
        <v>95000</v>
      </c>
      <c r="L62" s="166" t="inlineStr">
        <is>
          <t>고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109J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리센츠</t>
        </is>
      </c>
      <c r="B63" s="16" t="inlineStr">
        <is>
          <t>'08.07.</t>
        </is>
      </c>
      <c r="C63" s="165" t="n">
        <v>5563</v>
      </c>
      <c r="D63" s="162" t="n">
        <v>109.3</v>
      </c>
      <c r="E63" s="164" t="n">
        <v>33</v>
      </c>
      <c r="F63" s="162" t="n">
        <v>85</v>
      </c>
      <c r="G63" s="27" t="n">
        <v>26</v>
      </c>
      <c r="H63" s="165" t="n">
        <v>201</v>
      </c>
      <c r="I63" s="166" t="n">
        <v>205000</v>
      </c>
      <c r="J63" s="166" t="inlineStr">
        <is>
          <t>중</t>
        </is>
      </c>
      <c r="K63" s="166" t="n">
        <v>95000</v>
      </c>
      <c r="L63" s="166" t="inlineStr">
        <is>
          <t>고</t>
        </is>
      </c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109F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리센츠</t>
        </is>
      </c>
      <c r="B64" s="16" t="inlineStr">
        <is>
          <t>'08.07.</t>
        </is>
      </c>
      <c r="C64" s="165" t="n">
        <v>5563</v>
      </c>
      <c r="D64" s="162" t="n">
        <v>109.4</v>
      </c>
      <c r="E64" s="164" t="n">
        <v>33</v>
      </c>
      <c r="F64" s="162" t="n">
        <v>85</v>
      </c>
      <c r="G64" s="27" t="n">
        <v>26</v>
      </c>
      <c r="H64" s="165" t="n">
        <v>149</v>
      </c>
      <c r="I64" s="166" t="n">
        <v>195000</v>
      </c>
      <c r="J64" s="166" t="inlineStr">
        <is>
          <t>중</t>
        </is>
      </c>
      <c r="K64" s="166" t="n">
        <v>110000</v>
      </c>
      <c r="L64" s="166" t="inlineStr">
        <is>
          <t>중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109G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리센츠</t>
        </is>
      </c>
      <c r="B65" s="16" t="inlineStr">
        <is>
          <t>'08.07.</t>
        </is>
      </c>
      <c r="C65" s="165" t="n">
        <v>5563</v>
      </c>
      <c r="D65" s="162" t="n">
        <v>109.2</v>
      </c>
      <c r="E65" s="164" t="n">
        <v>33</v>
      </c>
      <c r="F65" s="162" t="n">
        <v>85</v>
      </c>
      <c r="G65" s="27" t="n">
        <v>26</v>
      </c>
      <c r="H65" s="165" t="n">
        <v>88</v>
      </c>
      <c r="I65" s="166" t="n">
        <v>205000</v>
      </c>
      <c r="J65" s="166" t="inlineStr">
        <is>
          <t>고</t>
        </is>
      </c>
      <c r="K65" s="166" t="n">
        <v>85000</v>
      </c>
      <c r="L65" s="166" t="inlineStr">
        <is>
          <t>중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109I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리센츠</t>
        </is>
      </c>
      <c r="B66" s="16" t="inlineStr">
        <is>
          <t>'08.07.</t>
        </is>
      </c>
      <c r="C66" s="165" t="n">
        <v>5563</v>
      </c>
      <c r="D66" s="162" t="n">
        <v>109.5</v>
      </c>
      <c r="E66" s="164" t="n">
        <v>33</v>
      </c>
      <c r="F66" s="162" t="n">
        <v>85</v>
      </c>
      <c r="G66" s="27" t="n">
        <v>26</v>
      </c>
      <c r="H66" s="165" t="n">
        <v>46</v>
      </c>
      <c r="I66" s="166" t="n">
        <v>230000</v>
      </c>
      <c r="J66" s="166" t="inlineStr">
        <is>
          <t>고</t>
        </is>
      </c>
      <c r="K66" s="166" t="n">
        <v>130000</v>
      </c>
      <c r="L66" s="166" t="inlineStr">
        <is>
          <t>고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109E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리센츠</t>
        </is>
      </c>
      <c r="B67" s="16" t="inlineStr">
        <is>
          <t>'08.07.</t>
        </is>
      </c>
      <c r="C67" s="165" t="n">
        <v>5563</v>
      </c>
      <c r="D67" s="162" t="n">
        <v>109.5</v>
      </c>
      <c r="E67" s="164" t="n">
        <v>33</v>
      </c>
      <c r="F67" s="162" t="n">
        <v>85</v>
      </c>
      <c r="G67" s="27" t="n">
        <v>26</v>
      </c>
      <c r="H67" s="165" t="n">
        <v>29</v>
      </c>
      <c r="I67" s="166" t="n">
        <v>230000</v>
      </c>
      <c r="J67" s="166" t="inlineStr">
        <is>
          <t>고</t>
        </is>
      </c>
      <c r="K67" s="166" t="n">
        <v>130000</v>
      </c>
      <c r="L67" s="166" t="inlineStr">
        <is>
          <t>고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109D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리센츠</t>
        </is>
      </c>
      <c r="B68" s="16" t="inlineStr">
        <is>
          <t>'08.07.</t>
        </is>
      </c>
      <c r="C68" s="165" t="n">
        <v>5563</v>
      </c>
      <c r="D68" s="162" t="n">
        <v>110.3</v>
      </c>
      <c r="E68" s="164" t="n">
        <v>33</v>
      </c>
      <c r="F68" s="162" t="n">
        <v>85</v>
      </c>
      <c r="G68" s="27" t="n">
        <v>26</v>
      </c>
      <c r="H68" s="165" t="n">
        <v>350</v>
      </c>
      <c r="I68" s="166" t="n">
        <v>195000</v>
      </c>
      <c r="J68" s="166" t="inlineStr">
        <is>
          <t>중</t>
        </is>
      </c>
      <c r="K68" s="166" t="n">
        <v>100000</v>
      </c>
      <c r="L68" s="166" t="inlineStr">
        <is>
          <t>고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110H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리센츠</t>
        </is>
      </c>
      <c r="B69" s="16" t="inlineStr">
        <is>
          <t>'08.07.</t>
        </is>
      </c>
      <c r="C69" s="165" t="n">
        <v>5563</v>
      </c>
      <c r="D69" s="162" t="n">
        <v>126.6</v>
      </c>
      <c r="E69" s="164" t="n">
        <v>38</v>
      </c>
      <c r="F69" s="162" t="n">
        <v>98.59999999999999</v>
      </c>
      <c r="G69" s="27" t="n">
        <v>30</v>
      </c>
      <c r="H69" s="165" t="n">
        <v>130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126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리센츠</t>
        </is>
      </c>
      <c r="B70" s="16" t="inlineStr">
        <is>
          <t>'08.07.</t>
        </is>
      </c>
      <c r="C70" s="165" t="n">
        <v>5563</v>
      </c>
      <c r="D70" s="162" t="n">
        <v>158.9</v>
      </c>
      <c r="E70" s="164" t="n">
        <v>48</v>
      </c>
      <c r="F70" s="162" t="n">
        <v>124.2</v>
      </c>
      <c r="G70" s="27" t="n">
        <v>38</v>
      </c>
      <c r="H70" s="165" t="n">
        <v>520</v>
      </c>
      <c r="I70" s="166" t="n">
        <v>300000</v>
      </c>
      <c r="J70" s="166" t="inlineStr">
        <is>
          <t>고</t>
        </is>
      </c>
      <c r="K70" s="166" t="n">
        <v>140000</v>
      </c>
      <c r="L70" s="166" t="inlineStr">
        <is>
          <t>고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158B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리센츠</t>
        </is>
      </c>
      <c r="B71" s="16" t="inlineStr">
        <is>
          <t>'08.07.</t>
        </is>
      </c>
      <c r="C71" s="165" t="n">
        <v>5563</v>
      </c>
      <c r="D71" s="162" t="n">
        <v>158.7</v>
      </c>
      <c r="E71" s="164" t="n">
        <v>48</v>
      </c>
      <c r="F71" s="162" t="n">
        <v>124.2</v>
      </c>
      <c r="G71" s="27" t="n">
        <v>38</v>
      </c>
      <c r="H71" s="165" t="n">
        <v>210</v>
      </c>
      <c r="I71" s="166" t="n">
        <v>300000</v>
      </c>
      <c r="J71" s="166" t="inlineStr">
        <is>
          <t>고</t>
        </is>
      </c>
      <c r="K71" s="166" t="n">
        <v>140000</v>
      </c>
      <c r="L71" s="166" t="inlineStr">
        <is>
          <t>고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158A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우성1,2,3차</t>
        </is>
      </c>
      <c r="B73" s="16" t="inlineStr">
        <is>
          <t>'81.12.</t>
        </is>
      </c>
      <c r="C73" s="165" t="n">
        <v>1842</v>
      </c>
      <c r="D73" s="162" t="n">
        <v>86.09999999999999</v>
      </c>
      <c r="E73" s="164" t="n">
        <v>26</v>
      </c>
      <c r="F73" s="162" t="n">
        <v>80.40000000000001</v>
      </c>
      <c r="G73" s="27" t="n">
        <v>24</v>
      </c>
      <c r="H73" s="165" t="n">
        <v>155</v>
      </c>
      <c r="I73" s="166" t="n"/>
      <c r="J73" s="166" t="n"/>
      <c r="K73" s="166" t="n">
        <v>57000</v>
      </c>
      <c r="L73" s="166" t="inlineStr">
        <is>
          <t>8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2</v>
      </c>
      <c r="R73" s="113" t="n">
        <v>1</v>
      </c>
      <c r="S73" s="113" t="inlineStr">
        <is>
          <t>복</t>
        </is>
      </c>
      <c r="T73" s="8" t="inlineStr">
        <is>
          <t>86A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우성1,2,3차</t>
        </is>
      </c>
      <c r="B74" s="16" t="inlineStr">
        <is>
          <t>'81.12.</t>
        </is>
      </c>
      <c r="C74" s="165" t="n">
        <v>1842</v>
      </c>
      <c r="D74" s="162" t="n">
        <v>86.09999999999999</v>
      </c>
      <c r="E74" s="164" t="n">
        <v>26</v>
      </c>
      <c r="F74" s="162" t="n">
        <v>80.40000000000001</v>
      </c>
      <c r="G74" s="27" t="n">
        <v>24</v>
      </c>
      <c r="H74" s="165" t="n">
        <v>88</v>
      </c>
      <c r="I74" s="166" t="n"/>
      <c r="J74" s="166" t="n"/>
      <c r="K74" s="166" t="n">
        <v>57000</v>
      </c>
      <c r="L74" s="166" t="inlineStr">
        <is>
          <t>8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inlineStr">
        <is>
          <t>86B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우성1,2,3차</t>
        </is>
      </c>
      <c r="B75" s="16" t="inlineStr">
        <is>
          <t>'81.12.</t>
        </is>
      </c>
      <c r="C75" s="165" t="n">
        <v>1842</v>
      </c>
      <c r="D75" s="162" t="n">
        <v>86.59999999999999</v>
      </c>
      <c r="E75" s="164" t="n">
        <v>26</v>
      </c>
      <c r="F75" s="162" t="n">
        <v>80.8</v>
      </c>
      <c r="G75" s="27" t="n">
        <v>24</v>
      </c>
      <c r="H75" s="165" t="n">
        <v>13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2</v>
      </c>
      <c r="R75" s="113" t="n">
        <v>1</v>
      </c>
      <c r="S75" s="113" t="inlineStr">
        <is>
          <t>복</t>
        </is>
      </c>
      <c r="T75" s="8" t="inlineStr">
        <is>
          <t>86D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우성1,2,3차</t>
        </is>
      </c>
      <c r="B76" s="16" t="inlineStr">
        <is>
          <t>'81.12.</t>
        </is>
      </c>
      <c r="C76" s="165" t="n">
        <v>1842</v>
      </c>
      <c r="D76" s="162" t="n">
        <v>86.5</v>
      </c>
      <c r="E76" s="164" t="n">
        <v>26</v>
      </c>
      <c r="F76" s="162" t="n">
        <v>80.8</v>
      </c>
      <c r="G76" s="27" t="n">
        <v>24</v>
      </c>
      <c r="H76" s="165" t="n">
        <v>8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2</v>
      </c>
      <c r="R76" s="113" t="n">
        <v>1</v>
      </c>
      <c r="S76" s="113" t="inlineStr">
        <is>
          <t>복</t>
        </is>
      </c>
      <c r="T76" s="8" t="inlineStr">
        <is>
          <t>86C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우성1,2,3차</t>
        </is>
      </c>
      <c r="B77" s="16" t="inlineStr">
        <is>
          <t>'81.12.</t>
        </is>
      </c>
      <c r="C77" s="165" t="n">
        <v>1842</v>
      </c>
      <c r="D77" s="162" t="n">
        <v>87.90000000000001</v>
      </c>
      <c r="E77" s="164" t="n">
        <v>27</v>
      </c>
      <c r="F77" s="162" t="n">
        <v>82.09999999999999</v>
      </c>
      <c r="G77" s="27" t="n">
        <v>25</v>
      </c>
      <c r="H77" s="165" t="n">
        <v>65</v>
      </c>
      <c r="I77" s="166" t="n">
        <v>185000</v>
      </c>
      <c r="J77" s="166" t="inlineStr">
        <is>
          <t>11</t>
        </is>
      </c>
      <c r="K77" s="166" t="n">
        <v>53000</v>
      </c>
      <c r="L77" s="166" t="inlineStr">
        <is>
          <t>고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inlineStr">
        <is>
          <t>87E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우성1,2,3차</t>
        </is>
      </c>
      <c r="B78" s="16" t="inlineStr">
        <is>
          <t>'81.12.</t>
        </is>
      </c>
      <c r="C78" s="165" t="n">
        <v>1842</v>
      </c>
      <c r="D78" s="162" t="n">
        <v>88.40000000000001</v>
      </c>
      <c r="E78" s="164" t="n">
        <v>27</v>
      </c>
      <c r="F78" s="162" t="n">
        <v>82.59999999999999</v>
      </c>
      <c r="G78" s="27" t="n">
        <v>25</v>
      </c>
      <c r="H78" s="165" t="n">
        <v>7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88F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우성1,2,3차</t>
        </is>
      </c>
      <c r="B79" s="16" t="inlineStr">
        <is>
          <t>'81.12.</t>
        </is>
      </c>
      <c r="C79" s="165" t="n">
        <v>1842</v>
      </c>
      <c r="D79" s="162" t="n">
        <v>102.7</v>
      </c>
      <c r="E79" s="164" t="n">
        <v>31</v>
      </c>
      <c r="F79" s="162" t="n">
        <v>96</v>
      </c>
      <c r="G79" s="27" t="n">
        <v>29</v>
      </c>
      <c r="H79" s="165" t="n">
        <v>180</v>
      </c>
      <c r="I79" s="166" t="n"/>
      <c r="J79" s="166" t="n"/>
      <c r="K79" s="166" t="n">
        <v>75000</v>
      </c>
      <c r="L79" s="166" t="inlineStr">
        <is>
          <t>고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102B1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우성1,2,3차</t>
        </is>
      </c>
      <c r="B80" s="16" t="inlineStr">
        <is>
          <t>'81.12.</t>
        </is>
      </c>
      <c r="C80" s="165" t="n">
        <v>1842</v>
      </c>
      <c r="D80" s="162" t="n">
        <v>102.8</v>
      </c>
      <c r="E80" s="164" t="n">
        <v>31</v>
      </c>
      <c r="F80" s="162" t="n">
        <v>96.09999999999999</v>
      </c>
      <c r="G80" s="27" t="n">
        <v>29</v>
      </c>
      <c r="H80" s="165" t="n">
        <v>30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102B2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우성1,2,3차</t>
        </is>
      </c>
      <c r="B81" s="16" t="inlineStr">
        <is>
          <t>'81.12.</t>
        </is>
      </c>
      <c r="C81" s="165" t="n">
        <v>1842</v>
      </c>
      <c r="D81" s="162" t="n">
        <v>104.6</v>
      </c>
      <c r="E81" s="164" t="n">
        <v>32</v>
      </c>
      <c r="F81" s="162" t="n">
        <v>96.7</v>
      </c>
      <c r="G81" s="27" t="n">
        <v>29</v>
      </c>
      <c r="H81" s="165" t="n">
        <v>589</v>
      </c>
      <c r="I81" s="166" t="n">
        <v>190000</v>
      </c>
      <c r="J81" s="166" t="inlineStr">
        <is>
          <t>5</t>
        </is>
      </c>
      <c r="K81" s="166" t="n">
        <v>72000</v>
      </c>
      <c r="L81" s="166" t="inlineStr">
        <is>
          <t>11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104A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우성1,2,3차</t>
        </is>
      </c>
      <c r="B82" s="16" t="inlineStr">
        <is>
          <t>'81.12.</t>
        </is>
      </c>
      <c r="C82" s="165" t="n">
        <v>1842</v>
      </c>
      <c r="D82" s="162" t="n">
        <v>104.6</v>
      </c>
      <c r="E82" s="164" t="n">
        <v>32</v>
      </c>
      <c r="F82" s="162" t="n">
        <v>85</v>
      </c>
      <c r="G82" s="27" t="n">
        <v>26</v>
      </c>
      <c r="H82" s="165" t="n">
        <v>11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inlineStr">
        <is>
          <t>104B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우성1,2,3차</t>
        </is>
      </c>
      <c r="B83" s="16" t="inlineStr">
        <is>
          <t>'81.12.</t>
        </is>
      </c>
      <c r="C83" s="165" t="n">
        <v>1842</v>
      </c>
      <c r="D83" s="162" t="n">
        <v>141.6</v>
      </c>
      <c r="E83" s="164" t="n">
        <v>43</v>
      </c>
      <c r="F83" s="162" t="n">
        <v>131.1</v>
      </c>
      <c r="G83" s="27" t="n">
        <v>40</v>
      </c>
      <c r="H83" s="165" t="n">
        <v>432</v>
      </c>
      <c r="I83" s="166" t="n">
        <v>250000</v>
      </c>
      <c r="J83" s="166" t="inlineStr">
        <is>
          <t>고</t>
        </is>
      </c>
      <c r="K83" s="166" t="n">
        <v>90000</v>
      </c>
      <c r="L83" s="166" t="inlineStr">
        <is>
          <t>10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141</v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우성1,2,3차</t>
        </is>
      </c>
      <c r="B84" s="16" t="inlineStr">
        <is>
          <t>'81.12.</t>
        </is>
      </c>
      <c r="C84" s="165" t="n">
        <v>1842</v>
      </c>
      <c r="D84" s="162" t="n">
        <v>144.9</v>
      </c>
      <c r="E84" s="164" t="n">
        <v>44</v>
      </c>
      <c r="F84" s="162" t="n">
        <v>136.3</v>
      </c>
      <c r="G84" s="27" t="n">
        <v>41</v>
      </c>
      <c r="H84" s="165" t="n">
        <v>120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144</v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우성1,2,3차</t>
        </is>
      </c>
      <c r="B85" s="16" t="inlineStr">
        <is>
          <t>'81.12.</t>
        </is>
      </c>
      <c r="C85" s="165" t="n">
        <v>1842</v>
      </c>
      <c r="D85" s="162" t="n">
        <v>173.6</v>
      </c>
      <c r="E85" s="164" t="n">
        <v>53</v>
      </c>
      <c r="F85" s="162" t="n">
        <v>160.7</v>
      </c>
      <c r="G85" s="27" t="n">
        <v>49</v>
      </c>
      <c r="H85" s="165" t="n">
        <v>144</v>
      </c>
      <c r="I85" s="166" t="n">
        <v>370000</v>
      </c>
      <c r="J85" s="166" t="inlineStr">
        <is>
          <t>고</t>
        </is>
      </c>
      <c r="K85" s="166" t="n">
        <v>125000</v>
      </c>
      <c r="L85" s="166" t="inlineStr">
        <is>
          <t>12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5</v>
      </c>
      <c r="R85" s="113" t="n">
        <v>2</v>
      </c>
      <c r="S85" s="113" t="inlineStr">
        <is>
          <t>계</t>
        </is>
      </c>
      <c r="T85" s="8" t="n">
        <v>173</v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2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3" t="n"/>
      <c r="P86" s="163" t="n"/>
      <c r="Q86" s="164" t="n"/>
      <c r="R86" s="164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1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잠실엘스</t>
        </is>
      </c>
      <c r="B87" s="16" t="inlineStr">
        <is>
          <t>'08.09.</t>
        </is>
      </c>
      <c r="C87" s="165" t="n">
        <v>5678</v>
      </c>
      <c r="D87" s="162" t="n">
        <v>84.8</v>
      </c>
      <c r="E87" s="164" t="n">
        <v>26</v>
      </c>
      <c r="F87" s="162" t="n">
        <v>60</v>
      </c>
      <c r="G87" s="27" t="n">
        <v>18</v>
      </c>
      <c r="H87" s="165" t="n">
        <v>1150</v>
      </c>
      <c r="I87" s="166" t="n">
        <v>162000</v>
      </c>
      <c r="J87" s="166" t="inlineStr">
        <is>
          <t>고</t>
        </is>
      </c>
      <c r="K87" s="166" t="n">
        <v>71000</v>
      </c>
      <c r="L87" s="166" t="inlineStr">
        <is>
          <t>고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n">
        <v>84</v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잠실엘스</t>
        </is>
      </c>
      <c r="B88" s="16" t="inlineStr">
        <is>
          <t>'08.09.</t>
        </is>
      </c>
      <c r="C88" s="165" t="n">
        <v>5678</v>
      </c>
      <c r="D88" s="162" t="n">
        <v>109.5</v>
      </c>
      <c r="E88" s="164" t="n">
        <v>33</v>
      </c>
      <c r="F88" s="162" t="n">
        <v>85</v>
      </c>
      <c r="G88" s="27" t="n">
        <v>26</v>
      </c>
      <c r="H88" s="165" t="n">
        <v>556</v>
      </c>
      <c r="I88" s="166" t="n">
        <v>210000</v>
      </c>
      <c r="J88" s="166" t="inlineStr">
        <is>
          <t>고</t>
        </is>
      </c>
      <c r="K88" s="166" t="n">
        <v>90000</v>
      </c>
      <c r="L88" s="166" t="inlineStr">
        <is>
          <t>고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109B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잠실엘스</t>
        </is>
      </c>
      <c r="B89" s="16" t="inlineStr">
        <is>
          <t>'08.09.</t>
        </is>
      </c>
      <c r="C89" s="165" t="n">
        <v>5678</v>
      </c>
      <c r="D89" s="162" t="n">
        <v>109.3</v>
      </c>
      <c r="E89" s="164" t="n">
        <v>33</v>
      </c>
      <c r="F89" s="162" t="n">
        <v>84.90000000000001</v>
      </c>
      <c r="G89" s="27" t="n">
        <v>26</v>
      </c>
      <c r="H89" s="165" t="n">
        <v>548</v>
      </c>
      <c r="I89" s="166" t="n">
        <v>210000</v>
      </c>
      <c r="J89" s="166" t="inlineStr">
        <is>
          <t>고</t>
        </is>
      </c>
      <c r="K89" s="166" t="n">
        <v>90000</v>
      </c>
      <c r="L89" s="166" t="inlineStr">
        <is>
          <t>고</t>
        </is>
      </c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109A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잠실엘스</t>
        </is>
      </c>
      <c r="B90" s="16" t="inlineStr">
        <is>
          <t>'08.09.</t>
        </is>
      </c>
      <c r="C90" s="165" t="n">
        <v>5678</v>
      </c>
      <c r="D90" s="162" t="n">
        <v>111.5</v>
      </c>
      <c r="E90" s="164" t="n">
        <v>34</v>
      </c>
      <c r="F90" s="162" t="n">
        <v>84.8</v>
      </c>
      <c r="G90" s="27" t="n">
        <v>26</v>
      </c>
      <c r="H90" s="165" t="n">
        <v>2938</v>
      </c>
      <c r="I90" s="166" t="n">
        <v>208000</v>
      </c>
      <c r="J90" s="166" t="inlineStr">
        <is>
          <t>중</t>
        </is>
      </c>
      <c r="K90" s="166" t="n">
        <v>87000</v>
      </c>
      <c r="L90" s="166" t="inlineStr">
        <is>
          <t>중</t>
        </is>
      </c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111C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잠실엘스</t>
        </is>
      </c>
      <c r="B91" s="16" t="inlineStr">
        <is>
          <t>'08.09.</t>
        </is>
      </c>
      <c r="C91" s="165" t="n">
        <v>5678</v>
      </c>
      <c r="D91" s="162" t="n">
        <v>149.9</v>
      </c>
      <c r="E91" s="164" t="n">
        <v>45</v>
      </c>
      <c r="F91" s="162" t="n">
        <v>119.9</v>
      </c>
      <c r="G91" s="27" t="n">
        <v>36</v>
      </c>
      <c r="H91" s="165" t="n">
        <v>486</v>
      </c>
      <c r="I91" s="166" t="n">
        <v>300000</v>
      </c>
      <c r="J91" s="166" t="inlineStr">
        <is>
          <t>중</t>
        </is>
      </c>
      <c r="K91" s="166" t="n">
        <v>130000</v>
      </c>
      <c r="L91" s="166" t="inlineStr">
        <is>
          <t>중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149</v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2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3" t="n"/>
      <c r="P92" s="163" t="n"/>
      <c r="Q92" s="164" t="n"/>
      <c r="R92" s="164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1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현대</t>
        </is>
      </c>
      <c r="B93" s="16" t="inlineStr">
        <is>
          <t>'90.08.</t>
        </is>
      </c>
      <c r="C93" s="165" t="n">
        <v>336</v>
      </c>
      <c r="D93" s="162" t="n">
        <v>86.90000000000001</v>
      </c>
      <c r="E93" s="164" t="n">
        <v>26</v>
      </c>
      <c r="F93" s="162" t="n">
        <v>71.90000000000001</v>
      </c>
      <c r="G93" s="27" t="n">
        <v>22</v>
      </c>
      <c r="H93" s="165" t="n">
        <v>60</v>
      </c>
      <c r="I93" s="166" t="n">
        <v>140000</v>
      </c>
      <c r="J93" s="166" t="inlineStr">
        <is>
          <t>5</t>
        </is>
      </c>
      <c r="K93" s="166" t="n">
        <v>58000</v>
      </c>
      <c r="L93" s="166" t="inlineStr">
        <is>
          <t>9</t>
        </is>
      </c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86A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현대</t>
        </is>
      </c>
      <c r="B94" s="16" t="inlineStr">
        <is>
          <t>'90.08.</t>
        </is>
      </c>
      <c r="C94" s="165" t="n">
        <v>336</v>
      </c>
      <c r="D94" s="162" t="n">
        <v>87.59999999999999</v>
      </c>
      <c r="E94" s="164" t="n">
        <v>27</v>
      </c>
      <c r="F94" s="162" t="n">
        <v>71.8</v>
      </c>
      <c r="G94" s="27" t="n">
        <v>22</v>
      </c>
      <c r="H94" s="165" t="n">
        <v>7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inlineStr">
        <is>
          <t>87B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현대</t>
        </is>
      </c>
      <c r="B95" s="16" t="inlineStr">
        <is>
          <t>'90.08.</t>
        </is>
      </c>
      <c r="C95" s="165" t="n">
        <v>336</v>
      </c>
      <c r="D95" s="162" t="n">
        <v>102.4</v>
      </c>
      <c r="E95" s="164" t="n">
        <v>31</v>
      </c>
      <c r="F95" s="162" t="n">
        <v>84.7</v>
      </c>
      <c r="G95" s="27" t="n">
        <v>26</v>
      </c>
      <c r="H95" s="165" t="n">
        <v>254</v>
      </c>
      <c r="I95" s="166" t="n">
        <v>165000</v>
      </c>
      <c r="J95" s="166" t="inlineStr">
        <is>
          <t>고</t>
        </is>
      </c>
      <c r="K95" s="166" t="n">
        <v>64500</v>
      </c>
      <c r="L95" s="166" t="inlineStr">
        <is>
          <t>12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102A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현대</t>
        </is>
      </c>
      <c r="B96" s="16" t="inlineStr">
        <is>
          <t>'90.08.</t>
        </is>
      </c>
      <c r="C96" s="165" t="n">
        <v>336</v>
      </c>
      <c r="D96" s="162" t="n">
        <v>102.4</v>
      </c>
      <c r="E96" s="164" t="n">
        <v>31</v>
      </c>
      <c r="F96" s="162" t="n">
        <v>84.7</v>
      </c>
      <c r="G96" s="27" t="n">
        <v>26</v>
      </c>
      <c r="H96" s="165" t="n">
        <v>15</v>
      </c>
      <c r="I96" s="166" t="n">
        <v>165000</v>
      </c>
      <c r="J96" s="166" t="inlineStr">
        <is>
          <t>고</t>
        </is>
      </c>
      <c r="K96" s="166" t="n">
        <v>64500</v>
      </c>
      <c r="L96" s="166" t="inlineStr">
        <is>
          <t>12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102B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2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3" t="n"/>
      <c r="P97" s="163" t="n"/>
      <c r="Q97" s="164" t="n"/>
      <c r="R97" s="164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1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잠실주공5단지</t>
        </is>
      </c>
      <c r="B98" s="16" t="inlineStr">
        <is>
          <t>'78.04.</t>
        </is>
      </c>
      <c r="C98" s="165" t="n">
        <v>3930</v>
      </c>
      <c r="D98" s="162" t="n">
        <v>112.4</v>
      </c>
      <c r="E98" s="164" t="n">
        <v>34</v>
      </c>
      <c r="F98" s="162" t="n">
        <v>76.5</v>
      </c>
      <c r="G98" s="27" t="n">
        <v>23</v>
      </c>
      <c r="H98" s="165" t="n">
        <v>1170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inlineStr">
        <is>
          <t>112A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잠실주공5단지</t>
        </is>
      </c>
      <c r="B99" s="16" t="inlineStr">
        <is>
          <t>'78.04.</t>
        </is>
      </c>
      <c r="C99" s="165" t="n">
        <v>3930</v>
      </c>
      <c r="D99" s="162" t="n">
        <v>112.4</v>
      </c>
      <c r="E99" s="164" t="n">
        <v>34</v>
      </c>
      <c r="F99" s="162" t="n">
        <v>76.5</v>
      </c>
      <c r="G99" s="27" t="n">
        <v>23</v>
      </c>
      <c r="H99" s="165" t="n">
        <v>1110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1</v>
      </c>
      <c r="S99" s="113" t="inlineStr">
        <is>
          <t>복</t>
        </is>
      </c>
      <c r="T99" s="8" t="inlineStr">
        <is>
          <t>112B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잠실주공5단지</t>
        </is>
      </c>
      <c r="B100" s="16" t="inlineStr">
        <is>
          <t>'78.04.</t>
        </is>
      </c>
      <c r="C100" s="165" t="n">
        <v>3930</v>
      </c>
      <c r="D100" s="162" t="n">
        <v>115.7</v>
      </c>
      <c r="E100" s="164" t="n">
        <v>35</v>
      </c>
      <c r="F100" s="162" t="n">
        <v>81.8</v>
      </c>
      <c r="G100" s="27" t="n">
        <v>25</v>
      </c>
      <c r="H100" s="165" t="n">
        <v>300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1</v>
      </c>
      <c r="S100" s="113" t="inlineStr">
        <is>
          <t>계</t>
        </is>
      </c>
      <c r="T100" s="8" t="inlineStr">
        <is>
          <t>115T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잠실주공5단지</t>
        </is>
      </c>
      <c r="B101" s="16" t="inlineStr">
        <is>
          <t>'78.04.</t>
        </is>
      </c>
      <c r="C101" s="165" t="n">
        <v>3930</v>
      </c>
      <c r="D101" s="162" t="n">
        <v>119</v>
      </c>
      <c r="E101" s="164" t="n">
        <v>36</v>
      </c>
      <c r="F101" s="162" t="n">
        <v>82.59999999999999</v>
      </c>
      <c r="G101" s="27" t="n">
        <v>25</v>
      </c>
      <c r="H101" s="165" t="n">
        <v>750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4</v>
      </c>
      <c r="R101" s="113" t="n">
        <v>1</v>
      </c>
      <c r="S101" s="113" t="inlineStr">
        <is>
          <t>복</t>
        </is>
      </c>
      <c r="T101" s="8" t="inlineStr">
        <is>
          <t>119B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잠실주공5단지</t>
        </is>
      </c>
      <c r="B102" s="16" t="inlineStr">
        <is>
          <t>'78.04.</t>
        </is>
      </c>
      <c r="C102" s="165" t="n">
        <v>3930</v>
      </c>
      <c r="D102" s="162" t="n">
        <v>119</v>
      </c>
      <c r="E102" s="164" t="n">
        <v>36</v>
      </c>
      <c r="F102" s="162" t="n">
        <v>82.5</v>
      </c>
      <c r="G102" s="27" t="n">
        <v>25</v>
      </c>
      <c r="H102" s="165" t="n">
        <v>600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4</v>
      </c>
      <c r="R102" s="113" t="n">
        <v>1</v>
      </c>
      <c r="S102" s="113" t="inlineStr">
        <is>
          <t>복</t>
        </is>
      </c>
      <c r="T102" s="8" t="inlineStr">
        <is>
          <t>119A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2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3" t="n"/>
      <c r="P103" s="163" t="n"/>
      <c r="Q103" s="164" t="n"/>
      <c r="R103" s="164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1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레이크팰리스</t>
        </is>
      </c>
      <c r="B104" s="16" t="inlineStr">
        <is>
          <t>'06.12.</t>
        </is>
      </c>
      <c r="C104" s="165" t="n">
        <v>2678</v>
      </c>
      <c r="D104" s="162" t="n">
        <v>86.40000000000001</v>
      </c>
      <c r="E104" s="164" t="n">
        <v>26</v>
      </c>
      <c r="F104" s="162" t="n">
        <v>60</v>
      </c>
      <c r="G104" s="27" t="n">
        <v>18</v>
      </c>
      <c r="H104" s="165" t="n">
        <v>424</v>
      </c>
      <c r="I104" s="166" t="n">
        <v>152000</v>
      </c>
      <c r="J104" s="166" t="inlineStr">
        <is>
          <t>고</t>
        </is>
      </c>
      <c r="K104" s="166" t="n">
        <v>75000</v>
      </c>
      <c r="L104" s="166" t="inlineStr">
        <is>
          <t>고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86A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레이크팰리스</t>
        </is>
      </c>
      <c r="B105" s="16" t="inlineStr">
        <is>
          <t>'06.12.</t>
        </is>
      </c>
      <c r="C105" s="165" t="n">
        <v>2678</v>
      </c>
      <c r="D105" s="162" t="n">
        <v>86.40000000000001</v>
      </c>
      <c r="E105" s="164" t="n">
        <v>26</v>
      </c>
      <c r="F105" s="162" t="n">
        <v>60</v>
      </c>
      <c r="G105" s="27" t="n">
        <v>18</v>
      </c>
      <c r="H105" s="165" t="n">
        <v>112</v>
      </c>
      <c r="I105" s="166" t="n">
        <v>152000</v>
      </c>
      <c r="J105" s="166" t="inlineStr">
        <is>
          <t>고</t>
        </is>
      </c>
      <c r="K105" s="166" t="n">
        <v>75000</v>
      </c>
      <c r="L105" s="166" t="inlineStr">
        <is>
          <t>고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86B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레이크팰리스</t>
        </is>
      </c>
      <c r="B106" s="16" t="inlineStr">
        <is>
          <t>'06.12.</t>
        </is>
      </c>
      <c r="C106" s="165" t="n">
        <v>2678</v>
      </c>
      <c r="D106" s="162" t="n">
        <v>114.8</v>
      </c>
      <c r="E106" s="164" t="n">
        <v>35</v>
      </c>
      <c r="F106" s="162" t="n">
        <v>84.8</v>
      </c>
      <c r="G106" s="27" t="n">
        <v>26</v>
      </c>
      <c r="H106" s="165" t="n">
        <v>1012</v>
      </c>
      <c r="I106" s="166" t="n">
        <v>177000</v>
      </c>
      <c r="J106" s="166" t="inlineStr">
        <is>
          <t>고</t>
        </is>
      </c>
      <c r="K106" s="166" t="n">
        <v>97000</v>
      </c>
      <c r="L106" s="166" t="inlineStr">
        <is>
          <t>중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114</v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레이크팰리스</t>
        </is>
      </c>
      <c r="B107" s="16" t="inlineStr">
        <is>
          <t>'06.12.</t>
        </is>
      </c>
      <c r="C107" s="165" t="n">
        <v>2678</v>
      </c>
      <c r="D107" s="162" t="n">
        <v>144.3</v>
      </c>
      <c r="E107" s="164" t="n">
        <v>44</v>
      </c>
      <c r="F107" s="162" t="n">
        <v>116.2</v>
      </c>
      <c r="G107" s="27" t="n">
        <v>35</v>
      </c>
      <c r="H107" s="165" t="n">
        <v>678</v>
      </c>
      <c r="I107" s="166" t="n">
        <v>228000</v>
      </c>
      <c r="J107" s="166" t="inlineStr">
        <is>
          <t>고</t>
        </is>
      </c>
      <c r="K107" s="166" t="n">
        <v>100000</v>
      </c>
      <c r="L107" s="166" t="inlineStr">
        <is>
          <t>중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레이크팰리스</t>
        </is>
      </c>
      <c r="B108" s="16" t="inlineStr">
        <is>
          <t>'06.12.</t>
        </is>
      </c>
      <c r="C108" s="165" t="n">
        <v>2678</v>
      </c>
      <c r="D108" s="162" t="n">
        <v>166.9</v>
      </c>
      <c r="E108" s="164" t="n">
        <v>50</v>
      </c>
      <c r="F108" s="162" t="n">
        <v>135.8</v>
      </c>
      <c r="G108" s="27" t="n">
        <v>41</v>
      </c>
      <c r="H108" s="165" t="n">
        <v>308</v>
      </c>
      <c r="I108" s="166" t="n">
        <v>320000</v>
      </c>
      <c r="J108" s="166" t="inlineStr">
        <is>
          <t>중</t>
        </is>
      </c>
      <c r="K108" s="166" t="n">
        <v>167000</v>
      </c>
      <c r="L108" s="166" t="inlineStr">
        <is>
          <t>고</t>
        </is>
      </c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166A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레이크팰리스</t>
        </is>
      </c>
      <c r="B109" s="16" t="inlineStr">
        <is>
          <t>'06.12.</t>
        </is>
      </c>
      <c r="C109" s="165" t="n">
        <v>2678</v>
      </c>
      <c r="D109" s="162" t="n">
        <v>167.9</v>
      </c>
      <c r="E109" s="164" t="n">
        <v>51</v>
      </c>
      <c r="F109" s="162" t="n">
        <v>136.7</v>
      </c>
      <c r="G109" s="27" t="n">
        <v>41</v>
      </c>
      <c r="H109" s="165" t="n">
        <v>144</v>
      </c>
      <c r="I109" s="166" t="n">
        <v>280000</v>
      </c>
      <c r="J109" s="166" t="inlineStr">
        <is>
          <t>고</t>
        </is>
      </c>
      <c r="K109" s="166" t="n">
        <v>170000</v>
      </c>
      <c r="L109" s="166" t="inlineStr">
        <is>
          <t>중</t>
        </is>
      </c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167B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851" dxfId="17">
      <formula>AV4="X"</formula>
    </cfRule>
    <cfRule type="expression" priority="1852" dxfId="16">
      <formula>AV4="후보"</formula>
    </cfRule>
  </conditionalFormatting>
  <conditionalFormatting sqref="AC1:AC2 AC4:AC6 N4:N5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:N2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6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17">
      <formula>AV7="X"</formula>
    </cfRule>
    <cfRule type="expression" priority="1831" dxfId="16">
      <formula>AV7="후보"</formula>
    </cfRule>
  </conditionalFormatting>
  <conditionalFormatting sqref="AC7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7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17">
      <formula>AV8="X"</formula>
    </cfRule>
    <cfRule type="expression" priority="1812" dxfId="16">
      <formula>AV8="후보"</formula>
    </cfRule>
  </conditionalFormatting>
  <conditionalFormatting sqref="AC8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N8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17">
      <formula>AV9="X"</formula>
    </cfRule>
    <cfRule type="expression" priority="1793" dxfId="16">
      <formula>AV9="후보"</formula>
    </cfRule>
  </conditionalFormatting>
  <conditionalFormatting sqref="AC9 N9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AV10">
    <cfRule type="expression" priority="1787" dxfId="17">
      <formula>AV10="X"</formula>
    </cfRule>
    <cfRule type="expression" priority="1788" dxfId="16">
      <formula>AV10="후보"</formula>
    </cfRule>
  </conditionalFormatting>
  <conditionalFormatting sqref="AC1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N10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17">
      <formula>AV11="X"</formula>
    </cfRule>
    <cfRule type="expression" priority="1769" dxfId="16">
      <formula>AV11="후보"</formula>
    </cfRule>
  </conditionalFormatting>
  <conditionalFormatting sqref="AC1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N11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17">
      <formula>AV12="X"</formula>
    </cfRule>
    <cfRule type="expression" priority="1750" dxfId="16">
      <formula>AV12="후보"</formula>
    </cfRule>
  </conditionalFormatting>
  <conditionalFormatting sqref="AC1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N12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17">
      <formula>AV13="X"</formula>
    </cfRule>
    <cfRule type="expression" priority="1731" dxfId="16">
      <formula>AV13="후보"</formula>
    </cfRule>
  </conditionalFormatting>
  <conditionalFormatting sqref="AC1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N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17">
      <formula>AV14="X"</formula>
    </cfRule>
    <cfRule type="expression" priority="1712" dxfId="16">
      <formula>AV14="후보"</formula>
    </cfRule>
  </conditionalFormatting>
  <conditionalFormatting sqref="AC1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N14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17">
      <formula>AV15="X"</formula>
    </cfRule>
    <cfRule type="expression" priority="1693" dxfId="16">
      <formula>AV15="후보"</formula>
    </cfRule>
  </conditionalFormatting>
  <conditionalFormatting sqref="AC1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1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17">
      <formula>AV16="X"</formula>
    </cfRule>
    <cfRule type="expression" priority="1674" dxfId="16">
      <formula>AV16="후보"</formula>
    </cfRule>
  </conditionalFormatting>
  <conditionalFormatting sqref="AC16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N16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17">
      <formula>AV17="X"</formula>
    </cfRule>
    <cfRule type="expression" priority="1655" dxfId="16">
      <formula>AV17="후보"</formula>
    </cfRule>
  </conditionalFormatting>
  <conditionalFormatting sqref="AC1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7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17">
      <formula>AV18="X"</formula>
    </cfRule>
    <cfRule type="expression" priority="1636" dxfId="16">
      <formula>AV18="후보"</formula>
    </cfRule>
  </conditionalFormatting>
  <conditionalFormatting sqref="AC18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N18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17">
      <formula>AV19="X"</formula>
    </cfRule>
    <cfRule type="expression" priority="1617" dxfId="16">
      <formula>AV19="후보"</formula>
    </cfRule>
  </conditionalFormatting>
  <conditionalFormatting sqref="AC19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19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17">
      <formula>AV20="X"</formula>
    </cfRule>
    <cfRule type="expression" priority="1598" dxfId="16">
      <formula>AV20="후보"</formula>
    </cfRule>
  </conditionalFormatting>
  <conditionalFormatting sqref="AC2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N20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17">
      <formula>AV21="X"</formula>
    </cfRule>
    <cfRule type="expression" priority="1579" dxfId="16">
      <formula>AV21="후보"</formula>
    </cfRule>
  </conditionalFormatting>
  <conditionalFormatting sqref="AC2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N21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17">
      <formula>AV22="X"</formula>
    </cfRule>
    <cfRule type="expression" priority="1560" dxfId="16">
      <formula>AV22="후보"</formula>
    </cfRule>
  </conditionalFormatting>
  <conditionalFormatting sqref="AC22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N22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17">
      <formula>AV23="X"</formula>
    </cfRule>
    <cfRule type="expression" priority="1541" dxfId="16">
      <formula>AV23="후보"</formula>
    </cfRule>
  </conditionalFormatting>
  <conditionalFormatting sqref="AC23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N23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17">
      <formula>AV24="X"</formula>
    </cfRule>
    <cfRule type="expression" priority="1522" dxfId="16">
      <formula>AV24="후보"</formula>
    </cfRule>
  </conditionalFormatting>
  <conditionalFormatting sqref="AC24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24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17">
      <formula>AV25="X"</formula>
    </cfRule>
    <cfRule type="expression" priority="1503" dxfId="16">
      <formula>AV25="후보"</formula>
    </cfRule>
  </conditionalFormatting>
  <conditionalFormatting sqref="AC25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25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17">
      <formula>AV26="X"</formula>
    </cfRule>
    <cfRule type="expression" priority="1484" dxfId="16">
      <formula>AV26="후보"</formula>
    </cfRule>
  </conditionalFormatting>
  <conditionalFormatting sqref="AC26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17">
      <formula>AV27="X"</formula>
    </cfRule>
    <cfRule type="expression" priority="1465" dxfId="16">
      <formula>AV27="후보"</formula>
    </cfRule>
  </conditionalFormatting>
  <conditionalFormatting sqref="AC27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17">
      <formula>AV28="X"</formula>
    </cfRule>
    <cfRule type="expression" priority="1446" dxfId="16">
      <formula>AV28="후보"</formula>
    </cfRule>
  </conditionalFormatting>
  <conditionalFormatting sqref="AC28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17">
      <formula>AV29="X"</formula>
    </cfRule>
    <cfRule type="expression" priority="1427" dxfId="16">
      <formula>AV29="후보"</formula>
    </cfRule>
  </conditionalFormatting>
  <conditionalFormatting sqref="AC29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17">
      <formula>AV30="X"</formula>
    </cfRule>
    <cfRule type="expression" priority="1408" dxfId="16">
      <formula>AV30="후보"</formula>
    </cfRule>
  </conditionalFormatting>
  <conditionalFormatting sqref="AC30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30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17">
      <formula>AV31="X"</formula>
    </cfRule>
    <cfRule type="expression" priority="1389" dxfId="16">
      <formula>AV31="후보"</formula>
    </cfRule>
  </conditionalFormatting>
  <conditionalFormatting sqref="AC3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31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17">
      <formula>AV32="X"</formula>
    </cfRule>
    <cfRule type="expression" priority="1370" dxfId="16">
      <formula>AV32="후보"</formula>
    </cfRule>
  </conditionalFormatting>
  <conditionalFormatting sqref="AC3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32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17">
      <formula>AV33="X"</formula>
    </cfRule>
    <cfRule type="expression" priority="1351" dxfId="16">
      <formula>AV33="후보"</formula>
    </cfRule>
  </conditionalFormatting>
  <conditionalFormatting sqref="AC3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17">
      <formula>AV34="X"</formula>
    </cfRule>
    <cfRule type="expression" priority="1332" dxfId="16">
      <formula>AV34="후보"</formula>
    </cfRule>
  </conditionalFormatting>
  <conditionalFormatting sqref="AC34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34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17">
      <formula>AV35="X"</formula>
    </cfRule>
    <cfRule type="expression" priority="1313" dxfId="16">
      <formula>AV35="후보"</formula>
    </cfRule>
  </conditionalFormatting>
  <conditionalFormatting sqref="AC35 N3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AV36">
    <cfRule type="expression" priority="1307" dxfId="17">
      <formula>AV36="X"</formula>
    </cfRule>
    <cfRule type="expression" priority="1308" dxfId="16">
      <formula>AV36="후보"</formula>
    </cfRule>
  </conditionalFormatting>
  <conditionalFormatting sqref="AC3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36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17">
      <formula>AV37="X"</formula>
    </cfRule>
    <cfRule type="expression" priority="1289" dxfId="16">
      <formula>AV37="후보"</formula>
    </cfRule>
  </conditionalFormatting>
  <conditionalFormatting sqref="AC3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37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17">
      <formula>AV38="X"</formula>
    </cfRule>
    <cfRule type="expression" priority="1270" dxfId="16">
      <formula>AV38="후보"</formula>
    </cfRule>
  </conditionalFormatting>
  <conditionalFormatting sqref="AC3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38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17">
      <formula>AV39="X"</formula>
    </cfRule>
    <cfRule type="expression" priority="1251" dxfId="16">
      <formula>AV39="후보"</formula>
    </cfRule>
  </conditionalFormatting>
  <conditionalFormatting sqref="AC39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39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17">
      <formula>AV40="X"</formula>
    </cfRule>
    <cfRule type="expression" priority="1232" dxfId="16">
      <formula>AV40="후보"</formula>
    </cfRule>
  </conditionalFormatting>
  <conditionalFormatting sqref="AC40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40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17">
      <formula>AV41="X"</formula>
    </cfRule>
    <cfRule type="expression" priority="1213" dxfId="16">
      <formula>AV41="후보"</formula>
    </cfRule>
  </conditionalFormatting>
  <conditionalFormatting sqref="AC41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41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17">
      <formula>AV42="X"</formula>
    </cfRule>
    <cfRule type="expression" priority="1194" dxfId="16">
      <formula>AV42="후보"</formula>
    </cfRule>
  </conditionalFormatting>
  <conditionalFormatting sqref="AC42 N42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AV43">
    <cfRule type="expression" priority="1188" dxfId="17">
      <formula>AV43="X"</formula>
    </cfRule>
    <cfRule type="expression" priority="1189" dxfId="16">
      <formula>AV43="후보"</formula>
    </cfRule>
  </conditionalFormatting>
  <conditionalFormatting sqref="AC4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17">
      <formula>AV44="X"</formula>
    </cfRule>
    <cfRule type="expression" priority="1170" dxfId="16">
      <formula>AV44="후보"</formula>
    </cfRule>
  </conditionalFormatting>
  <conditionalFormatting sqref="AC44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44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17">
      <formula>AV45="X"</formula>
    </cfRule>
    <cfRule type="expression" priority="1151" dxfId="16">
      <formula>AV45="후보"</formula>
    </cfRule>
  </conditionalFormatting>
  <conditionalFormatting sqref="AC4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45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17">
      <formula>AV46="X"</formula>
    </cfRule>
    <cfRule type="expression" priority="1132" dxfId="16">
      <formula>AV46="후보"</formula>
    </cfRule>
  </conditionalFormatting>
  <conditionalFormatting sqref="AC46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46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17">
      <formula>AV47="X"</formula>
    </cfRule>
    <cfRule type="expression" priority="1113" dxfId="16">
      <formula>AV47="후보"</formula>
    </cfRule>
  </conditionalFormatting>
  <conditionalFormatting sqref="AC47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47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17">
      <formula>AV48="X"</formula>
    </cfRule>
    <cfRule type="expression" priority="1094" dxfId="16">
      <formula>AV48="후보"</formula>
    </cfRule>
  </conditionalFormatting>
  <conditionalFormatting sqref="AC48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48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17">
      <formula>AV49="X"</formula>
    </cfRule>
    <cfRule type="expression" priority="1075" dxfId="16">
      <formula>AV49="후보"</formula>
    </cfRule>
  </conditionalFormatting>
  <conditionalFormatting sqref="AC49 N49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AV50">
    <cfRule type="expression" priority="1069" dxfId="17">
      <formula>AV50="X"</formula>
    </cfRule>
    <cfRule type="expression" priority="1070" dxfId="16">
      <formula>AV50="후보"</formula>
    </cfRule>
  </conditionalFormatting>
  <conditionalFormatting sqref="AC5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N50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17">
      <formula>AV51="X"</formula>
    </cfRule>
    <cfRule type="expression" priority="1051" dxfId="16">
      <formula>AV51="후보"</formula>
    </cfRule>
  </conditionalFormatting>
  <conditionalFormatting sqref="AC51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N51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17">
      <formula>AV52="X"</formula>
    </cfRule>
    <cfRule type="expression" priority="1032" dxfId="16">
      <formula>AV52="후보"</formula>
    </cfRule>
  </conditionalFormatting>
  <conditionalFormatting sqref="AC52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52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17">
      <formula>AV53="X"</formula>
    </cfRule>
    <cfRule type="expression" priority="1013" dxfId="16">
      <formula>AV53="후보"</formula>
    </cfRule>
  </conditionalFormatting>
  <conditionalFormatting sqref="AC53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53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17">
      <formula>AV54="X"</formula>
    </cfRule>
    <cfRule type="expression" priority="994" dxfId="16">
      <formula>AV54="후보"</formula>
    </cfRule>
  </conditionalFormatting>
  <conditionalFormatting sqref="AC54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54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17">
      <formula>AV55="X"</formula>
    </cfRule>
    <cfRule type="expression" priority="975" dxfId="16">
      <formula>AV55="후보"</formula>
    </cfRule>
  </conditionalFormatting>
  <conditionalFormatting sqref="AC55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5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17">
      <formula>AV56="X"</formula>
    </cfRule>
    <cfRule type="expression" priority="956" dxfId="16">
      <formula>AV56="후보"</formula>
    </cfRule>
  </conditionalFormatting>
  <conditionalFormatting sqref="AC56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56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17">
      <formula>AV57="X"</formula>
    </cfRule>
    <cfRule type="expression" priority="937" dxfId="16">
      <formula>AV57="후보"</formula>
    </cfRule>
  </conditionalFormatting>
  <conditionalFormatting sqref="AC5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5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17">
      <formula>AV58="X"</formula>
    </cfRule>
    <cfRule type="expression" priority="918" dxfId="16">
      <formula>AV58="후보"</formula>
    </cfRule>
  </conditionalFormatting>
  <conditionalFormatting sqref="AC58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58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17">
      <formula>AV59="X"</formula>
    </cfRule>
    <cfRule type="expression" priority="899" dxfId="16">
      <formula>AV59="후보"</formula>
    </cfRule>
  </conditionalFormatting>
  <conditionalFormatting sqref="AC5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59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17">
      <formula>AV60="X"</formula>
    </cfRule>
    <cfRule type="expression" priority="880" dxfId="16">
      <formula>AV60="후보"</formula>
    </cfRule>
  </conditionalFormatting>
  <conditionalFormatting sqref="AC6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60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6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17">
      <formula>AV67="X"</formula>
    </cfRule>
    <cfRule type="expression" priority="747" dxfId="16">
      <formula>AV67="후보"</formula>
    </cfRule>
  </conditionalFormatting>
  <conditionalFormatting sqref="AC6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6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17">
      <formula>AV68="X"</formula>
    </cfRule>
    <cfRule type="expression" priority="728" dxfId="16">
      <formula>AV68="후보"</formula>
    </cfRule>
  </conditionalFormatting>
  <conditionalFormatting sqref="AC6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17">
      <formula>AV69="X"</formula>
    </cfRule>
    <cfRule type="expression" priority="709" dxfId="16">
      <formula>AV69="후보"</formula>
    </cfRule>
  </conditionalFormatting>
  <conditionalFormatting sqref="AC6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17">
      <formula>AV70="X"</formula>
    </cfRule>
    <cfRule type="expression" priority="690" dxfId="16">
      <formula>AV70="후보"</formula>
    </cfRule>
  </conditionalFormatting>
  <conditionalFormatting sqref="AC7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7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17">
      <formula>AV71="X"</formula>
    </cfRule>
    <cfRule type="expression" priority="671" dxfId="16">
      <formula>AV71="후보"</formula>
    </cfRule>
  </conditionalFormatting>
  <conditionalFormatting sqref="AC7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7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17">
      <formula>AV72="X"</formula>
    </cfRule>
    <cfRule type="expression" priority="652" dxfId="16">
      <formula>AV72="후보"</formula>
    </cfRule>
  </conditionalFormatting>
  <conditionalFormatting sqref="AC72 N7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7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17">
      <formula>AV74="X"</formula>
    </cfRule>
    <cfRule type="expression" priority="628" dxfId="16">
      <formula>AV74="후보"</formula>
    </cfRule>
  </conditionalFormatting>
  <conditionalFormatting sqref="AC7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7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17">
      <formula>AV75="X"</formula>
    </cfRule>
    <cfRule type="expression" priority="609" dxfId="16">
      <formula>AV75="후보"</formula>
    </cfRule>
  </conditionalFormatting>
  <conditionalFormatting sqref="AC7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7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17">
      <formula>AV76="X"</formula>
    </cfRule>
    <cfRule type="expression" priority="590" dxfId="16">
      <formula>AV76="후보"</formula>
    </cfRule>
  </conditionalFormatting>
  <conditionalFormatting sqref="AC7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76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17">
      <formula>AV77="X"</formula>
    </cfRule>
    <cfRule type="expression" priority="571" dxfId="16">
      <formula>AV77="후보"</formula>
    </cfRule>
  </conditionalFormatting>
  <conditionalFormatting sqref="AC7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77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17">
      <formula>AV78="X"</formula>
    </cfRule>
    <cfRule type="expression" priority="552" dxfId="16">
      <formula>AV78="후보"</formula>
    </cfRule>
  </conditionalFormatting>
  <conditionalFormatting sqref="AC78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78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17">
      <formula>AV79="X"</formula>
    </cfRule>
    <cfRule type="expression" priority="533" dxfId="16">
      <formula>AV79="후보"</formula>
    </cfRule>
  </conditionalFormatting>
  <conditionalFormatting sqref="AC7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17">
      <formula>AV80="X"</formula>
    </cfRule>
    <cfRule type="expression" priority="514" dxfId="16">
      <formula>AV80="후보"</formula>
    </cfRule>
  </conditionalFormatting>
  <conditionalFormatting sqref="AC8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17">
      <formula>AV81="X"</formula>
    </cfRule>
    <cfRule type="expression" priority="495" dxfId="16">
      <formula>AV81="후보"</formula>
    </cfRule>
  </conditionalFormatting>
  <conditionalFormatting sqref="AC8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8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17">
      <formula>AV82="X"</formula>
    </cfRule>
    <cfRule type="expression" priority="476" dxfId="16">
      <formula>AV82="후보"</formula>
    </cfRule>
  </conditionalFormatting>
  <conditionalFormatting sqref="AC8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8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17">
      <formula>AV83="X"</formula>
    </cfRule>
    <cfRule type="expression" priority="457" dxfId="16">
      <formula>AV83="후보"</formula>
    </cfRule>
  </conditionalFormatting>
  <conditionalFormatting sqref="AC8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17">
      <formula>AV84="X"</formula>
    </cfRule>
    <cfRule type="expression" priority="438" dxfId="16">
      <formula>AV84="후보"</formula>
    </cfRule>
  </conditionalFormatting>
  <conditionalFormatting sqref="AC8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8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17">
      <formula>AV85="X"</formula>
    </cfRule>
    <cfRule type="expression" priority="419" dxfId="16">
      <formula>AV85="후보"</formula>
    </cfRule>
  </conditionalFormatting>
  <conditionalFormatting sqref="AC8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8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17">
      <formula>AV86="X"</formula>
    </cfRule>
    <cfRule type="expression" priority="400" dxfId="16">
      <formula>AV86="후보"</formula>
    </cfRule>
  </conditionalFormatting>
  <conditionalFormatting sqref="AC86 N8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87">
    <cfRule type="expression" priority="394" dxfId="17">
      <formula>AV87="X"</formula>
    </cfRule>
    <cfRule type="expression" priority="395" dxfId="16">
      <formula>AV87="후보"</formula>
    </cfRule>
  </conditionalFormatting>
  <conditionalFormatting sqref="AC8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17">
      <formula>AV88="X"</formula>
    </cfRule>
    <cfRule type="expression" priority="376" dxfId="16">
      <formula>AV88="후보"</formula>
    </cfRule>
  </conditionalFormatting>
  <conditionalFormatting sqref="AC8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17">
      <formula>AV89="X"</formula>
    </cfRule>
    <cfRule type="expression" priority="357" dxfId="16">
      <formula>AV89="후보"</formula>
    </cfRule>
  </conditionalFormatting>
  <conditionalFormatting sqref="AC8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17">
      <formula>AV90="X"</formula>
    </cfRule>
    <cfRule type="expression" priority="338" dxfId="16">
      <formula>AV90="후보"</formula>
    </cfRule>
  </conditionalFormatting>
  <conditionalFormatting sqref="AC9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17">
      <formula>AV91="X"</formula>
    </cfRule>
    <cfRule type="expression" priority="319" dxfId="16">
      <formula>AV91="후보"</formula>
    </cfRule>
  </conditionalFormatting>
  <conditionalFormatting sqref="AC9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9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17">
      <formula>AV92="X"</formula>
    </cfRule>
    <cfRule type="expression" priority="300" dxfId="16">
      <formula>AV92="후보"</formula>
    </cfRule>
  </conditionalFormatting>
  <conditionalFormatting sqref="AC92 N9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3">
    <cfRule type="expression" priority="294" dxfId="17">
      <formula>AV93="X"</formula>
    </cfRule>
    <cfRule type="expression" priority="295" dxfId="16">
      <formula>AV93="후보"</formula>
    </cfRule>
  </conditionalFormatting>
  <conditionalFormatting sqref="AC9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17">
      <formula>AV94="X"</formula>
    </cfRule>
    <cfRule type="expression" priority="276" dxfId="16">
      <formula>AV94="후보"</formula>
    </cfRule>
  </conditionalFormatting>
  <conditionalFormatting sqref="AC9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17">
      <formula>AV95="X"</formula>
    </cfRule>
    <cfRule type="expression" priority="257" dxfId="16">
      <formula>AV95="후보"</formula>
    </cfRule>
  </conditionalFormatting>
  <conditionalFormatting sqref="AC9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17">
      <formula>AV96="X"</formula>
    </cfRule>
    <cfRule type="expression" priority="238" dxfId="16">
      <formula>AV96="후보"</formula>
    </cfRule>
  </conditionalFormatting>
  <conditionalFormatting sqref="AC9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17">
      <formula>AV97="X"</formula>
    </cfRule>
    <cfRule type="expression" priority="219" dxfId="16">
      <formula>AV97="후보"</formula>
    </cfRule>
  </conditionalFormatting>
  <conditionalFormatting sqref="AC97 N9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98">
    <cfRule type="expression" priority="213" dxfId="17">
      <formula>AV98="X"</formula>
    </cfRule>
    <cfRule type="expression" priority="214" dxfId="16">
      <formula>AV98="후보"</formula>
    </cfRule>
  </conditionalFormatting>
  <conditionalFormatting sqref="AC9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17">
      <formula>AV99="X"</formula>
    </cfRule>
    <cfRule type="expression" priority="195" dxfId="16">
      <formula>AV99="후보"</formula>
    </cfRule>
  </conditionalFormatting>
  <conditionalFormatting sqref="AC9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17">
      <formula>AV100="X"</formula>
    </cfRule>
    <cfRule type="expression" priority="176" dxfId="16">
      <formula>AV100="후보"</formula>
    </cfRule>
  </conditionalFormatting>
  <conditionalFormatting sqref="AC10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17">
      <formula>AV101="X"</formula>
    </cfRule>
    <cfRule type="expression" priority="157" dxfId="16">
      <formula>AV101="후보"</formula>
    </cfRule>
  </conditionalFormatting>
  <conditionalFormatting sqref="AC10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17">
      <formula>AV102="X"</formula>
    </cfRule>
    <cfRule type="expression" priority="138" dxfId="16">
      <formula>AV102="후보"</formula>
    </cfRule>
  </conditionalFormatting>
  <conditionalFormatting sqref="AC10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17">
      <formula>AV103="X"</formula>
    </cfRule>
    <cfRule type="expression" priority="119" dxfId="16">
      <formula>AV103="후보"</formula>
    </cfRule>
  </conditionalFormatting>
  <conditionalFormatting sqref="AC103 N10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장지동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송파파인타운5단지</t>
        </is>
      </c>
      <c r="B6" s="16" t="inlineStr">
        <is>
          <t>'08.08.</t>
        </is>
      </c>
      <c r="C6" s="165" t="n">
        <v>455</v>
      </c>
      <c r="D6" s="162" t="n">
        <v>109.8</v>
      </c>
      <c r="E6" s="164" t="n">
        <v>33</v>
      </c>
      <c r="F6" s="162" t="n">
        <v>84.90000000000001</v>
      </c>
      <c r="G6" s="27" t="n">
        <v>26</v>
      </c>
      <c r="H6" s="165" t="n">
        <v>78</v>
      </c>
      <c r="I6" s="166" t="n">
        <v>145000</v>
      </c>
      <c r="J6" s="166" t="inlineStr">
        <is>
          <t>중</t>
        </is>
      </c>
      <c r="K6" s="166" t="n">
        <v>75000</v>
      </c>
      <c r="L6" s="166" t="inlineStr">
        <is>
          <t>11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109T1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송파파인타운5단지</t>
        </is>
      </c>
      <c r="B7" s="16" t="inlineStr">
        <is>
          <t>'08.08.</t>
        </is>
      </c>
      <c r="C7" s="165" t="n">
        <v>455</v>
      </c>
      <c r="D7" s="162" t="n">
        <v>109.8</v>
      </c>
      <c r="E7" s="164" t="n">
        <v>33</v>
      </c>
      <c r="F7" s="162" t="n">
        <v>85</v>
      </c>
      <c r="G7" s="27" t="n">
        <v>26</v>
      </c>
      <c r="H7" s="165" t="n">
        <v>74</v>
      </c>
      <c r="I7" s="166" t="n">
        <v>151000</v>
      </c>
      <c r="J7" s="166" t="inlineStr">
        <is>
          <t>중</t>
        </is>
      </c>
      <c r="K7" s="166" t="n">
        <v>80000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109A2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송파파인타운5단지</t>
        </is>
      </c>
      <c r="B8" s="16" t="inlineStr">
        <is>
          <t>'08.08.</t>
        </is>
      </c>
      <c r="C8" s="165" t="n">
        <v>455</v>
      </c>
      <c r="D8" s="162" t="n">
        <v>110</v>
      </c>
      <c r="E8" s="164" t="n">
        <v>33</v>
      </c>
      <c r="F8" s="162" t="n">
        <v>85</v>
      </c>
      <c r="G8" s="27" t="n">
        <v>26</v>
      </c>
      <c r="H8" s="165" t="n">
        <v>78</v>
      </c>
      <c r="I8" s="166" t="n">
        <v>143000</v>
      </c>
      <c r="J8" s="166" t="inlineStr">
        <is>
          <t>고</t>
        </is>
      </c>
      <c r="K8" s="166" t="n">
        <v>55000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110T2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송파파인타운10단지</t>
        </is>
      </c>
      <c r="B10" s="16" t="inlineStr">
        <is>
          <t>'07.08.</t>
        </is>
      </c>
      <c r="C10" s="165" t="n">
        <v>545</v>
      </c>
      <c r="D10" s="162" t="n">
        <v>82.8</v>
      </c>
      <c r="E10" s="164" t="n">
        <v>25</v>
      </c>
      <c r="F10" s="162" t="n">
        <v>60</v>
      </c>
      <c r="G10" s="27" t="n">
        <v>18</v>
      </c>
      <c r="H10" s="165" t="n">
        <v>139</v>
      </c>
      <c r="I10" s="166" t="n">
        <v>132000</v>
      </c>
      <c r="J10" s="166" t="inlineStr">
        <is>
          <t>중</t>
        </is>
      </c>
      <c r="K10" s="166" t="n">
        <v>49000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송파파인타운10단지</t>
        </is>
      </c>
      <c r="B11" s="16" t="inlineStr">
        <is>
          <t>'07.08.</t>
        </is>
      </c>
      <c r="C11" s="165" t="n">
        <v>545</v>
      </c>
      <c r="D11" s="162" t="n">
        <v>82.09999999999999</v>
      </c>
      <c r="E11" s="164" t="n">
        <v>25</v>
      </c>
      <c r="F11" s="162" t="n">
        <v>60</v>
      </c>
      <c r="G11" s="27" t="n">
        <v>18</v>
      </c>
      <c r="H11" s="165" t="n">
        <v>50</v>
      </c>
      <c r="I11" s="166" t="n"/>
      <c r="J11" s="166" t="n"/>
      <c r="K11" s="166" t="n">
        <v>55000</v>
      </c>
      <c r="L11" s="166" t="inlineStr">
        <is>
          <t>중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82A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송파위례24단지꿈에그린</t>
        </is>
      </c>
      <c r="B13" s="16" t="inlineStr">
        <is>
          <t>'13.11.</t>
        </is>
      </c>
      <c r="C13" s="165" t="n">
        <v>1810</v>
      </c>
      <c r="D13" s="162" t="n">
        <v>70.90000000000001</v>
      </c>
      <c r="E13" s="164" t="n">
        <v>21</v>
      </c>
      <c r="F13" s="162" t="n">
        <v>51.8</v>
      </c>
      <c r="G13" s="27" t="n">
        <v>16</v>
      </c>
      <c r="H13" s="165" t="n">
        <v>549</v>
      </c>
      <c r="I13" s="166" t="n">
        <v>100000</v>
      </c>
      <c r="J13" s="166" t="inlineStr">
        <is>
          <t>중</t>
        </is>
      </c>
      <c r="K13" s="166" t="n">
        <v>46000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70A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송파위례24단지꿈에그린</t>
        </is>
      </c>
      <c r="B14" s="16" t="inlineStr">
        <is>
          <t>'13.11.</t>
        </is>
      </c>
      <c r="C14" s="165" t="n">
        <v>1810</v>
      </c>
      <c r="D14" s="162" t="n">
        <v>70.90000000000001</v>
      </c>
      <c r="E14" s="164" t="n">
        <v>21</v>
      </c>
      <c r="F14" s="162" t="n">
        <v>51.8</v>
      </c>
      <c r="G14" s="27" t="n">
        <v>16</v>
      </c>
      <c r="H14" s="165" t="n">
        <v>57</v>
      </c>
      <c r="I14" s="166" t="n">
        <v>100000</v>
      </c>
      <c r="J14" s="166" t="inlineStr">
        <is>
          <t>중</t>
        </is>
      </c>
      <c r="K14" s="166" t="n">
        <v>46000</v>
      </c>
      <c r="L14" s="166" t="inlineStr">
        <is>
          <t>고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inlineStr">
        <is>
          <t>70C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송파위례24단지꿈에그린</t>
        </is>
      </c>
      <c r="B15" s="16" t="inlineStr">
        <is>
          <t>'13.11.</t>
        </is>
      </c>
      <c r="C15" s="165" t="n">
        <v>1810</v>
      </c>
      <c r="D15" s="162" t="n">
        <v>70.90000000000001</v>
      </c>
      <c r="E15" s="164" t="n">
        <v>21</v>
      </c>
      <c r="F15" s="162" t="n">
        <v>51.8</v>
      </c>
      <c r="G15" s="27" t="n">
        <v>16</v>
      </c>
      <c r="H15" s="165" t="n">
        <v>48</v>
      </c>
      <c r="I15" s="166" t="n">
        <v>100000</v>
      </c>
      <c r="J15" s="166" t="inlineStr">
        <is>
          <t>중</t>
        </is>
      </c>
      <c r="K15" s="166" t="n">
        <v>46000</v>
      </c>
      <c r="L15" s="166" t="inlineStr">
        <is>
          <t>고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70B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송파위례24단지꿈에그린</t>
        </is>
      </c>
      <c r="B16" s="16" t="inlineStr">
        <is>
          <t>'13.11.</t>
        </is>
      </c>
      <c r="C16" s="165" t="n">
        <v>1810</v>
      </c>
      <c r="D16" s="162" t="n">
        <v>70.90000000000001</v>
      </c>
      <c r="E16" s="164" t="n">
        <v>21</v>
      </c>
      <c r="F16" s="162" t="n">
        <v>51.8</v>
      </c>
      <c r="G16" s="27" t="n">
        <v>16</v>
      </c>
      <c r="H16" s="165" t="n">
        <v>36</v>
      </c>
      <c r="I16" s="166" t="n">
        <v>100000</v>
      </c>
      <c r="J16" s="166" t="inlineStr">
        <is>
          <t>중</t>
        </is>
      </c>
      <c r="K16" s="166" t="n">
        <v>46000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70AN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송파위례24단지꿈에그린</t>
        </is>
      </c>
      <c r="B17" s="16" t="inlineStr">
        <is>
          <t>'13.11.</t>
        </is>
      </c>
      <c r="C17" s="165" t="n">
        <v>1810</v>
      </c>
      <c r="D17" s="162" t="n">
        <v>74.09999999999999</v>
      </c>
      <c r="E17" s="164" t="n">
        <v>22</v>
      </c>
      <c r="F17" s="162" t="n">
        <v>54.1</v>
      </c>
      <c r="G17" s="27" t="n">
        <v>16</v>
      </c>
      <c r="H17" s="165" t="n">
        <v>24</v>
      </c>
      <c r="I17" s="166" t="n"/>
      <c r="J17" s="166" t="n"/>
      <c r="K17" s="166" t="n">
        <v>47000</v>
      </c>
      <c r="L17" s="166" t="inlineStr">
        <is>
          <t>12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74A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송파위례24단지꿈에그린</t>
        </is>
      </c>
      <c r="B18" s="16" t="inlineStr">
        <is>
          <t>'13.11.</t>
        </is>
      </c>
      <c r="C18" s="165" t="n">
        <v>1810</v>
      </c>
      <c r="D18" s="162" t="n">
        <v>81.59999999999999</v>
      </c>
      <c r="E18" s="164" t="n">
        <v>25</v>
      </c>
      <c r="F18" s="162" t="n">
        <v>59.6</v>
      </c>
      <c r="G18" s="27" t="n">
        <v>18</v>
      </c>
      <c r="H18" s="165" t="n">
        <v>231</v>
      </c>
      <c r="I18" s="166" t="n">
        <v>120000</v>
      </c>
      <c r="J18" s="166" t="inlineStr">
        <is>
          <t>고</t>
        </is>
      </c>
      <c r="K18" s="166" t="n">
        <v>51000</v>
      </c>
      <c r="L18" s="166" t="inlineStr">
        <is>
          <t>5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송파위례24단지꿈에그린</t>
        </is>
      </c>
      <c r="B19" s="16" t="inlineStr">
        <is>
          <t>'13.11.</t>
        </is>
      </c>
      <c r="C19" s="165" t="n">
        <v>1810</v>
      </c>
      <c r="D19" s="162" t="n">
        <v>81.7</v>
      </c>
      <c r="E19" s="164" t="n">
        <v>25</v>
      </c>
      <c r="F19" s="162" t="n">
        <v>59.7</v>
      </c>
      <c r="G19" s="27" t="n">
        <v>18</v>
      </c>
      <c r="H19" s="165" t="n">
        <v>103</v>
      </c>
      <c r="I19" s="166" t="n">
        <v>135000</v>
      </c>
      <c r="J19" s="166" t="inlineStr">
        <is>
          <t>7</t>
        </is>
      </c>
      <c r="K19" s="166" t="n">
        <v>60000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송파위례24단지꿈에그린</t>
        </is>
      </c>
      <c r="B20" s="16" t="inlineStr">
        <is>
          <t>'13.11.</t>
        </is>
      </c>
      <c r="C20" s="165" t="n">
        <v>1810</v>
      </c>
      <c r="D20" s="162" t="n">
        <v>81.90000000000001</v>
      </c>
      <c r="E20" s="164" t="n">
        <v>25</v>
      </c>
      <c r="F20" s="162" t="n">
        <v>59.9</v>
      </c>
      <c r="G20" s="27" t="n">
        <v>18</v>
      </c>
      <c r="H20" s="165" t="n">
        <v>78</v>
      </c>
      <c r="I20" s="166" t="n">
        <v>135000</v>
      </c>
      <c r="J20" s="166" t="inlineStr">
        <is>
          <t>고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81C1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송파위례24단지꿈에그린</t>
        </is>
      </c>
      <c r="B21" s="16" t="inlineStr">
        <is>
          <t>'13.11.</t>
        </is>
      </c>
      <c r="C21" s="165" t="n">
        <v>1810</v>
      </c>
      <c r="D21" s="162" t="n">
        <v>82.09999999999999</v>
      </c>
      <c r="E21" s="164" t="n">
        <v>25</v>
      </c>
      <c r="F21" s="162" t="n">
        <v>60</v>
      </c>
      <c r="G21" s="27" t="n">
        <v>18</v>
      </c>
      <c r="H21" s="165" t="n">
        <v>63</v>
      </c>
      <c r="I21" s="166" t="n">
        <v>120000</v>
      </c>
      <c r="J21" s="166" t="inlineStr">
        <is>
          <t>중</t>
        </is>
      </c>
      <c r="K21" s="166" t="n">
        <v>53000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82A1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송파위례24단지꿈에그린</t>
        </is>
      </c>
      <c r="B22" s="16" t="inlineStr">
        <is>
          <t>'13.11.</t>
        </is>
      </c>
      <c r="C22" s="165" t="n">
        <v>1810</v>
      </c>
      <c r="D22" s="162" t="n">
        <v>82.09999999999999</v>
      </c>
      <c r="E22" s="164" t="n">
        <v>25</v>
      </c>
      <c r="F22" s="162" t="n">
        <v>60</v>
      </c>
      <c r="G22" s="27" t="n">
        <v>18</v>
      </c>
      <c r="H22" s="165" t="n">
        <v>21</v>
      </c>
      <c r="I22" s="166" t="n">
        <v>120000</v>
      </c>
      <c r="J22" s="166" t="inlineStr">
        <is>
          <t>중</t>
        </is>
      </c>
      <c r="K22" s="166" t="n">
        <v>53000</v>
      </c>
      <c r="L22" s="166" t="inlineStr">
        <is>
          <t>중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82A1N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송파위례24단지꿈에그린</t>
        </is>
      </c>
      <c r="B23" s="16" t="inlineStr">
        <is>
          <t>'13.11.</t>
        </is>
      </c>
      <c r="C23" s="165" t="n">
        <v>1810</v>
      </c>
      <c r="D23" s="162" t="n">
        <v>104</v>
      </c>
      <c r="E23" s="164" t="n">
        <v>31</v>
      </c>
      <c r="F23" s="162" t="n">
        <v>76</v>
      </c>
      <c r="G23" s="27" t="n">
        <v>23</v>
      </c>
      <c r="H23" s="165" t="n">
        <v>71</v>
      </c>
      <c r="I23" s="166" t="n"/>
      <c r="J23" s="166" t="n"/>
      <c r="K23" s="166" t="n">
        <v>59000</v>
      </c>
      <c r="L23" s="166" t="inlineStr">
        <is>
          <t>중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103A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송파위례24단지꿈에그린</t>
        </is>
      </c>
      <c r="B24" s="16" t="inlineStr">
        <is>
          <t>'13.11.</t>
        </is>
      </c>
      <c r="C24" s="165" t="n">
        <v>1810</v>
      </c>
      <c r="D24" s="162" t="n">
        <v>103.9</v>
      </c>
      <c r="E24" s="164" t="n">
        <v>31</v>
      </c>
      <c r="F24" s="162" t="n">
        <v>75.90000000000001</v>
      </c>
      <c r="G24" s="27" t="n">
        <v>23</v>
      </c>
      <c r="H24" s="165" t="n">
        <v>48</v>
      </c>
      <c r="I24" s="166" t="n"/>
      <c r="J24" s="166" t="n"/>
      <c r="K24" s="166" t="n">
        <v>60000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송파위례24단지꿈에그린</t>
        </is>
      </c>
      <c r="B25" s="16" t="inlineStr">
        <is>
          <t>'13.11.</t>
        </is>
      </c>
      <c r="C25" s="165" t="n">
        <v>1810</v>
      </c>
      <c r="D25" s="162" t="n">
        <v>104</v>
      </c>
      <c r="E25" s="164" t="n">
        <v>31</v>
      </c>
      <c r="F25" s="162" t="n">
        <v>76</v>
      </c>
      <c r="G25" s="27" t="n">
        <v>23</v>
      </c>
      <c r="H25" s="165" t="n">
        <v>16</v>
      </c>
      <c r="I25" s="166" t="n"/>
      <c r="J25" s="166" t="n"/>
      <c r="K25" s="166" t="n">
        <v>59000</v>
      </c>
      <c r="L25" s="166" t="inlineStr">
        <is>
          <t>중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103A1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송파위례24단지꿈에그린</t>
        </is>
      </c>
      <c r="B26" s="16" t="inlineStr">
        <is>
          <t>'13.11.</t>
        </is>
      </c>
      <c r="C26" s="165" t="n">
        <v>1810</v>
      </c>
      <c r="D26" s="162" t="n">
        <v>104</v>
      </c>
      <c r="E26" s="164" t="n">
        <v>31</v>
      </c>
      <c r="F26" s="162" t="n">
        <v>76</v>
      </c>
      <c r="G26" s="27" t="n">
        <v>23</v>
      </c>
      <c r="H26" s="165" t="n">
        <v>16</v>
      </c>
      <c r="I26" s="166" t="n"/>
      <c r="J26" s="166" t="n"/>
      <c r="K26" s="166" t="n">
        <v>59000</v>
      </c>
      <c r="L26" s="166" t="inlineStr">
        <is>
          <t>중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103A1N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송파위례24단지꿈에그린</t>
        </is>
      </c>
      <c r="B27" s="16" t="inlineStr">
        <is>
          <t>'13.11.</t>
        </is>
      </c>
      <c r="C27" s="165" t="n">
        <v>1810</v>
      </c>
      <c r="D27" s="162" t="n">
        <v>107</v>
      </c>
      <c r="E27" s="164" t="n">
        <v>32</v>
      </c>
      <c r="F27" s="162" t="n">
        <v>78.2</v>
      </c>
      <c r="G27" s="27" t="n">
        <v>24</v>
      </c>
      <c r="H27" s="165" t="n">
        <v>12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106A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송파위례24단지꿈에그린</t>
        </is>
      </c>
      <c r="B28" s="16" t="inlineStr">
        <is>
          <t>'13.11.</t>
        </is>
      </c>
      <c r="C28" s="165" t="n">
        <v>1810</v>
      </c>
      <c r="D28" s="162" t="n">
        <v>116.3</v>
      </c>
      <c r="E28" s="164" t="n">
        <v>35</v>
      </c>
      <c r="F28" s="162" t="n">
        <v>84.90000000000001</v>
      </c>
      <c r="G28" s="27" t="n">
        <v>26</v>
      </c>
      <c r="H28" s="165" t="n">
        <v>151</v>
      </c>
      <c r="I28" s="166" t="n">
        <v>160000</v>
      </c>
      <c r="J28" s="166" t="inlineStr">
        <is>
          <t>8</t>
        </is>
      </c>
      <c r="K28" s="166" t="n">
        <v>58300</v>
      </c>
      <c r="L28" s="166" t="inlineStr">
        <is>
          <t>8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116B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송파위례24단지꿈에그린</t>
        </is>
      </c>
      <c r="B29" s="16" t="inlineStr">
        <is>
          <t>'13.11.</t>
        </is>
      </c>
      <c r="C29" s="165" t="n">
        <v>1810</v>
      </c>
      <c r="D29" s="162" t="n">
        <v>116.3</v>
      </c>
      <c r="E29" s="164" t="n">
        <v>35</v>
      </c>
      <c r="F29" s="162" t="n">
        <v>85</v>
      </c>
      <c r="G29" s="27" t="n">
        <v>26</v>
      </c>
      <c r="H29" s="165" t="n">
        <v>120</v>
      </c>
      <c r="I29" s="166" t="n">
        <v>180000</v>
      </c>
      <c r="J29" s="166" t="inlineStr">
        <is>
          <t>고</t>
        </is>
      </c>
      <c r="K29" s="166" t="n">
        <v>60000</v>
      </c>
      <c r="L29" s="166" t="inlineStr">
        <is>
          <t>6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116A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송파위례24단지꿈에그린</t>
        </is>
      </c>
      <c r="B30" s="16" t="inlineStr">
        <is>
          <t>'13.11.</t>
        </is>
      </c>
      <c r="C30" s="165" t="n">
        <v>1810</v>
      </c>
      <c r="D30" s="162" t="n">
        <v>116.3</v>
      </c>
      <c r="E30" s="164" t="n">
        <v>35</v>
      </c>
      <c r="F30" s="162" t="n">
        <v>84.90000000000001</v>
      </c>
      <c r="G30" s="27" t="n">
        <v>26</v>
      </c>
      <c r="H30" s="165" t="n">
        <v>62</v>
      </c>
      <c r="I30" s="166" t="n">
        <v>160000</v>
      </c>
      <c r="J30" s="166" t="inlineStr">
        <is>
          <t>8</t>
        </is>
      </c>
      <c r="K30" s="166" t="n">
        <v>58300</v>
      </c>
      <c r="L30" s="166" t="inlineStr">
        <is>
          <t>8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116C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송파위례24단지꿈에그린</t>
        </is>
      </c>
      <c r="B31" s="16" t="inlineStr">
        <is>
          <t>'13.11.</t>
        </is>
      </c>
      <c r="C31" s="165" t="n">
        <v>1810</v>
      </c>
      <c r="D31" s="162" t="n">
        <v>116.3</v>
      </c>
      <c r="E31" s="164" t="n">
        <v>35</v>
      </c>
      <c r="F31" s="162" t="n">
        <v>85</v>
      </c>
      <c r="G31" s="27" t="n">
        <v>26</v>
      </c>
      <c r="H31" s="165" t="n">
        <v>42</v>
      </c>
      <c r="I31" s="166" t="n">
        <v>180000</v>
      </c>
      <c r="J31" s="166" t="inlineStr">
        <is>
          <t>고</t>
        </is>
      </c>
      <c r="K31" s="166" t="n">
        <v>60000</v>
      </c>
      <c r="L31" s="166" t="inlineStr">
        <is>
          <t>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116A1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송파위례24단지꿈에그린</t>
        </is>
      </c>
      <c r="B32" s="16" t="inlineStr">
        <is>
          <t>'13.11.</t>
        </is>
      </c>
      <c r="C32" s="165" t="n">
        <v>1810</v>
      </c>
      <c r="D32" s="162" t="n">
        <v>116.3</v>
      </c>
      <c r="E32" s="164" t="n">
        <v>35</v>
      </c>
      <c r="F32" s="162" t="n">
        <v>85</v>
      </c>
      <c r="G32" s="27" t="n">
        <v>26</v>
      </c>
      <c r="H32" s="165" t="n">
        <v>42</v>
      </c>
      <c r="I32" s="166" t="n">
        <v>180000</v>
      </c>
      <c r="J32" s="166" t="inlineStr">
        <is>
          <t>고</t>
        </is>
      </c>
      <c r="K32" s="166" t="n">
        <v>60000</v>
      </c>
      <c r="L32" s="166" t="inlineStr">
        <is>
          <t>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116B1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송파위례24단지꿈에그린</t>
        </is>
      </c>
      <c r="B33" s="16" t="inlineStr">
        <is>
          <t>'13.11.</t>
        </is>
      </c>
      <c r="C33" s="165" t="n">
        <v>1810</v>
      </c>
      <c r="D33" s="162" t="n">
        <v>116.3</v>
      </c>
      <c r="E33" s="164" t="n">
        <v>35</v>
      </c>
      <c r="F33" s="162" t="n">
        <v>85</v>
      </c>
      <c r="G33" s="27" t="n">
        <v>26</v>
      </c>
      <c r="H33" s="165" t="n">
        <v>20</v>
      </c>
      <c r="I33" s="166" t="n">
        <v>180000</v>
      </c>
      <c r="J33" s="166" t="inlineStr">
        <is>
          <t>고</t>
        </is>
      </c>
      <c r="K33" s="166" t="n">
        <v>60000</v>
      </c>
      <c r="L33" s="166" t="inlineStr">
        <is>
          <t>6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116AN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2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3" t="n"/>
      <c r="P34" s="163" t="n"/>
      <c r="Q34" s="164" t="n"/>
      <c r="R34" s="164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1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송파와이즈더샵</t>
        </is>
      </c>
      <c r="B35" s="16" t="inlineStr">
        <is>
          <t>'16.02.</t>
        </is>
      </c>
      <c r="C35" s="165" t="n">
        <v>390</v>
      </c>
      <c r="D35" s="162" t="n">
        <v>126.7</v>
      </c>
      <c r="E35" s="164" t="n">
        <v>38</v>
      </c>
      <c r="F35" s="162" t="n">
        <v>96.8</v>
      </c>
      <c r="G35" s="27" t="n">
        <v>29</v>
      </c>
      <c r="H35" s="165" t="n">
        <v>12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126B1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송파와이즈더샵</t>
        </is>
      </c>
      <c r="B36" s="16" t="inlineStr">
        <is>
          <t>'16.02.</t>
        </is>
      </c>
      <c r="C36" s="165" t="n">
        <v>390</v>
      </c>
      <c r="D36" s="162" t="n">
        <v>127</v>
      </c>
      <c r="E36" s="164" t="n">
        <v>38</v>
      </c>
      <c r="F36" s="162" t="n">
        <v>96.8</v>
      </c>
      <c r="G36" s="27" t="n">
        <v>29</v>
      </c>
      <c r="H36" s="165" t="n">
        <v>10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126C1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송파와이즈더샵</t>
        </is>
      </c>
      <c r="B37" s="16" t="inlineStr">
        <is>
          <t>'16.02.</t>
        </is>
      </c>
      <c r="C37" s="165" t="n">
        <v>390</v>
      </c>
      <c r="D37" s="162" t="n">
        <v>127.8</v>
      </c>
      <c r="E37" s="164" t="n">
        <v>39</v>
      </c>
      <c r="F37" s="162" t="n">
        <v>96.7</v>
      </c>
      <c r="G37" s="27" t="n">
        <v>29</v>
      </c>
      <c r="H37" s="165" t="n">
        <v>38</v>
      </c>
      <c r="I37" s="166" t="n"/>
      <c r="J37" s="166" t="n"/>
      <c r="K37" s="166" t="n">
        <v>80000</v>
      </c>
      <c r="L37" s="166" t="inlineStr">
        <is>
          <t>고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1270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송파와이즈더샵</t>
        </is>
      </c>
      <c r="B38" s="16" t="inlineStr">
        <is>
          <t>'16.02.</t>
        </is>
      </c>
      <c r="C38" s="165" t="n">
        <v>390</v>
      </c>
      <c r="D38" s="162" t="n">
        <v>127.7</v>
      </c>
      <c r="E38" s="164" t="n">
        <v>39</v>
      </c>
      <c r="F38" s="162" t="n">
        <v>97.2</v>
      </c>
      <c r="G38" s="27" t="n">
        <v>29</v>
      </c>
      <c r="H38" s="165" t="n">
        <v>35</v>
      </c>
      <c r="I38" s="166" t="n">
        <v>180000</v>
      </c>
      <c r="J38" s="166" t="inlineStr">
        <is>
          <t>중</t>
        </is>
      </c>
      <c r="K38" s="166" t="n">
        <v>79000</v>
      </c>
      <c r="L38" s="166" t="inlineStr">
        <is>
          <t>중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127F3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송파와이즈더샵</t>
        </is>
      </c>
      <c r="B39" s="16" t="inlineStr">
        <is>
          <t>'16.02.</t>
        </is>
      </c>
      <c r="C39" s="165" t="n">
        <v>390</v>
      </c>
      <c r="D39" s="162" t="n">
        <v>127.8</v>
      </c>
      <c r="E39" s="164" t="n">
        <v>39</v>
      </c>
      <c r="F39" s="162" t="n">
        <v>97</v>
      </c>
      <c r="G39" s="27" t="n">
        <v>29</v>
      </c>
      <c r="H39" s="165" t="n">
        <v>35</v>
      </c>
      <c r="I39" s="166" t="n"/>
      <c r="J39" s="166" t="n"/>
      <c r="K39" s="166" t="n">
        <v>75000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127G2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송파와이즈더샵</t>
        </is>
      </c>
      <c r="B40" s="16" t="inlineStr">
        <is>
          <t>'16.02.</t>
        </is>
      </c>
      <c r="C40" s="165" t="n">
        <v>390</v>
      </c>
      <c r="D40" s="162" t="n">
        <v>127.2</v>
      </c>
      <c r="E40" s="164" t="n">
        <v>38</v>
      </c>
      <c r="F40" s="162" t="n">
        <v>96.5</v>
      </c>
      <c r="G40" s="27" t="n">
        <v>29</v>
      </c>
      <c r="H40" s="165" t="n">
        <v>33</v>
      </c>
      <c r="I40" s="166" t="n">
        <v>200000</v>
      </c>
      <c r="J40" s="166" t="inlineStr">
        <is>
          <t>고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127G1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송파와이즈더샵</t>
        </is>
      </c>
      <c r="B41" s="16" t="inlineStr">
        <is>
          <t>'16.02.</t>
        </is>
      </c>
      <c r="C41" s="165" t="n">
        <v>390</v>
      </c>
      <c r="D41" s="162" t="n">
        <v>127.6</v>
      </c>
      <c r="E41" s="164" t="n">
        <v>39</v>
      </c>
      <c r="F41" s="162" t="n">
        <v>97.09999999999999</v>
      </c>
      <c r="G41" s="27" t="n">
        <v>29</v>
      </c>
      <c r="H41" s="165" t="n">
        <v>27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127F1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송파와이즈더샵</t>
        </is>
      </c>
      <c r="B42" s="16" t="inlineStr">
        <is>
          <t>'16.02.</t>
        </is>
      </c>
      <c r="C42" s="165" t="n">
        <v>390</v>
      </c>
      <c r="D42" s="162" t="n">
        <v>127.1</v>
      </c>
      <c r="E42" s="164" t="n">
        <v>38</v>
      </c>
      <c r="F42" s="162" t="n">
        <v>96.3</v>
      </c>
      <c r="G42" s="27" t="n">
        <v>29</v>
      </c>
      <c r="H42" s="165" t="n">
        <v>12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127A1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송파와이즈더샵</t>
        </is>
      </c>
      <c r="B43" s="16" t="inlineStr">
        <is>
          <t>'16.02.</t>
        </is>
      </c>
      <c r="C43" s="165" t="n">
        <v>390</v>
      </c>
      <c r="D43" s="162" t="n">
        <v>127.6</v>
      </c>
      <c r="E43" s="164" t="n">
        <v>39</v>
      </c>
      <c r="F43" s="162" t="n">
        <v>96.7</v>
      </c>
      <c r="G43" s="27" t="n">
        <v>29</v>
      </c>
      <c r="H43" s="165" t="n">
        <v>12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127A2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송파와이즈더샵</t>
        </is>
      </c>
      <c r="B44" s="16" t="inlineStr">
        <is>
          <t>'16.02.</t>
        </is>
      </c>
      <c r="C44" s="165" t="n">
        <v>390</v>
      </c>
      <c r="D44" s="162" t="n">
        <v>127.2</v>
      </c>
      <c r="E44" s="164" t="n">
        <v>38</v>
      </c>
      <c r="F44" s="162" t="n">
        <v>97.2</v>
      </c>
      <c r="G44" s="27" t="n">
        <v>29</v>
      </c>
      <c r="H44" s="165" t="n">
        <v>12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127B2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송파와이즈더샵</t>
        </is>
      </c>
      <c r="B45" s="16" t="inlineStr">
        <is>
          <t>'16.02.</t>
        </is>
      </c>
      <c r="C45" s="165" t="n">
        <v>390</v>
      </c>
      <c r="D45" s="162" t="n">
        <v>127.5</v>
      </c>
      <c r="E45" s="164" t="n">
        <v>39</v>
      </c>
      <c r="F45" s="162" t="n">
        <v>97.2</v>
      </c>
      <c r="G45" s="27" t="n">
        <v>29</v>
      </c>
      <c r="H45" s="165" t="n">
        <v>12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127C3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송파와이즈더샵</t>
        </is>
      </c>
      <c r="B46" s="16" t="inlineStr">
        <is>
          <t>'16.02.</t>
        </is>
      </c>
      <c r="C46" s="165" t="n">
        <v>390</v>
      </c>
      <c r="D46" s="162" t="n">
        <v>127.8</v>
      </c>
      <c r="E46" s="164" t="n">
        <v>39</v>
      </c>
      <c r="F46" s="162" t="n">
        <v>97.5</v>
      </c>
      <c r="G46" s="27" t="n">
        <v>29</v>
      </c>
      <c r="H46" s="165" t="n">
        <v>2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127C2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송파와이즈더샵</t>
        </is>
      </c>
      <c r="B47" s="16" t="inlineStr">
        <is>
          <t>'16.02.</t>
        </is>
      </c>
      <c r="C47" s="165" t="n">
        <v>390</v>
      </c>
      <c r="D47" s="162" t="n">
        <v>128.2</v>
      </c>
      <c r="E47" s="164" t="n">
        <v>39</v>
      </c>
      <c r="F47" s="162" t="n">
        <v>97.09999999999999</v>
      </c>
      <c r="G47" s="27" t="n">
        <v>29</v>
      </c>
      <c r="H47" s="165" t="n">
        <v>41</v>
      </c>
      <c r="I47" s="166" t="n">
        <v>168000</v>
      </c>
      <c r="J47" s="166" t="inlineStr">
        <is>
          <t>중</t>
        </is>
      </c>
      <c r="K47" s="166" t="n">
        <v>75000</v>
      </c>
      <c r="L47" s="166" t="inlineStr">
        <is>
          <t>고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128000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송파와이즈더샵</t>
        </is>
      </c>
      <c r="B48" s="16" t="inlineStr">
        <is>
          <t>'16.02.</t>
        </is>
      </c>
      <c r="C48" s="165" t="n">
        <v>390</v>
      </c>
      <c r="D48" s="162" t="n">
        <v>128.5</v>
      </c>
      <c r="E48" s="164" t="n">
        <v>39</v>
      </c>
      <c r="F48" s="162" t="n">
        <v>96.8</v>
      </c>
      <c r="G48" s="27" t="n">
        <v>29</v>
      </c>
      <c r="H48" s="165" t="n">
        <v>32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1280000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송파와이즈더샵</t>
        </is>
      </c>
      <c r="B49" s="16" t="inlineStr">
        <is>
          <t>'16.02.</t>
        </is>
      </c>
      <c r="C49" s="165" t="n">
        <v>390</v>
      </c>
      <c r="D49" s="162" t="n">
        <v>128.6</v>
      </c>
      <c r="E49" s="164" t="n">
        <v>39</v>
      </c>
      <c r="F49" s="162" t="n">
        <v>97.09999999999999</v>
      </c>
      <c r="G49" s="27" t="n">
        <v>29</v>
      </c>
      <c r="H49" s="165" t="n">
        <v>12</v>
      </c>
      <c r="I49" s="166" t="n">
        <v>173000</v>
      </c>
      <c r="J49" s="166" t="inlineStr">
        <is>
          <t>중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128D1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송파와이즈더샵</t>
        </is>
      </c>
      <c r="B50" s="16" t="inlineStr">
        <is>
          <t>'16.02.</t>
        </is>
      </c>
      <c r="C50" s="165" t="n">
        <v>390</v>
      </c>
      <c r="D50" s="162" t="n">
        <v>128.4</v>
      </c>
      <c r="E50" s="164" t="n">
        <v>39</v>
      </c>
      <c r="F50" s="162" t="n">
        <v>96.90000000000001</v>
      </c>
      <c r="G50" s="27" t="n">
        <v>29</v>
      </c>
      <c r="H50" s="165" t="n">
        <v>12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128D2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송파와이즈더샵</t>
        </is>
      </c>
      <c r="B51" s="16" t="inlineStr">
        <is>
          <t>'16.02.</t>
        </is>
      </c>
      <c r="C51" s="165" t="n">
        <v>390</v>
      </c>
      <c r="D51" s="162" t="n">
        <v>128.6</v>
      </c>
      <c r="E51" s="164" t="n">
        <v>39</v>
      </c>
      <c r="F51" s="162" t="n">
        <v>97.40000000000001</v>
      </c>
      <c r="G51" s="27" t="n">
        <v>29</v>
      </c>
      <c r="H51" s="165" t="n">
        <v>8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12800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송파와이즈더샵</t>
        </is>
      </c>
      <c r="B52" s="16" t="inlineStr">
        <is>
          <t>'16.02.</t>
        </is>
      </c>
      <c r="C52" s="165" t="n">
        <v>390</v>
      </c>
      <c r="D52" s="162" t="n">
        <v>128.2</v>
      </c>
      <c r="E52" s="164" t="n">
        <v>39</v>
      </c>
      <c r="F52" s="162" t="n">
        <v>97.59999999999999</v>
      </c>
      <c r="G52" s="27" t="n">
        <v>30</v>
      </c>
      <c r="H52" s="165" t="n">
        <v>6</v>
      </c>
      <c r="I52" s="166" t="n"/>
      <c r="J52" s="166" t="n"/>
      <c r="K52" s="166" t="n">
        <v>72000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128F2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송파와이즈더샵</t>
        </is>
      </c>
      <c r="B53" s="16" t="inlineStr">
        <is>
          <t>'16.02.</t>
        </is>
      </c>
      <c r="C53" s="165" t="n">
        <v>390</v>
      </c>
      <c r="D53" s="162" t="n">
        <v>129</v>
      </c>
      <c r="E53" s="164" t="n">
        <v>39</v>
      </c>
      <c r="F53" s="162" t="n">
        <v>97.2</v>
      </c>
      <c r="G53" s="27" t="n">
        <v>29</v>
      </c>
      <c r="H53" s="165" t="n">
        <v>31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12900000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송파와이즈더샵</t>
        </is>
      </c>
      <c r="B54" s="16" t="inlineStr">
        <is>
          <t>'16.02.</t>
        </is>
      </c>
      <c r="C54" s="165" t="n">
        <v>390</v>
      </c>
      <c r="D54" s="162" t="n">
        <v>152.5</v>
      </c>
      <c r="E54" s="164" t="n">
        <v>46</v>
      </c>
      <c r="F54" s="162" t="n">
        <v>98.2</v>
      </c>
      <c r="G54" s="27" t="n">
        <v>30</v>
      </c>
      <c r="H54" s="165" t="n">
        <v>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152H1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송파와이즈더샵</t>
        </is>
      </c>
      <c r="B55" s="16" t="inlineStr">
        <is>
          <t>'16.02.</t>
        </is>
      </c>
      <c r="C55" s="165" t="n">
        <v>390</v>
      </c>
      <c r="D55" s="162" t="n">
        <v>154.6</v>
      </c>
      <c r="E55" s="164" t="n">
        <v>47</v>
      </c>
      <c r="F55" s="162" t="n">
        <v>99.59999999999999</v>
      </c>
      <c r="G55" s="27" t="n">
        <v>30</v>
      </c>
      <c r="H55" s="165" t="n">
        <v>4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154H2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송파파인타운8단지</t>
        </is>
      </c>
      <c r="B57" s="16" t="inlineStr">
        <is>
          <t>'08.10.</t>
        </is>
      </c>
      <c r="C57" s="165" t="n">
        <v>700</v>
      </c>
      <c r="D57" s="162" t="n">
        <v>83.40000000000001</v>
      </c>
      <c r="E57" s="164" t="n">
        <v>25</v>
      </c>
      <c r="F57" s="162" t="n">
        <v>60</v>
      </c>
      <c r="G57" s="27" t="n">
        <v>18</v>
      </c>
      <c r="H57" s="165" t="n">
        <v>80</v>
      </c>
      <c r="I57" s="166" t="n">
        <v>120000</v>
      </c>
      <c r="J57" s="166" t="inlineStr">
        <is>
          <t>고</t>
        </is>
      </c>
      <c r="K57" s="166" t="n">
        <v>70000</v>
      </c>
      <c r="L57" s="166" t="inlineStr">
        <is>
          <t>고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83T1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송파파인타운8단지</t>
        </is>
      </c>
      <c r="B58" s="16" t="inlineStr">
        <is>
          <t>'08.10.</t>
        </is>
      </c>
      <c r="C58" s="165" t="n">
        <v>700</v>
      </c>
      <c r="D58" s="162" t="n">
        <v>83.8</v>
      </c>
      <c r="E58" s="164" t="n">
        <v>25</v>
      </c>
      <c r="F58" s="162" t="n">
        <v>60</v>
      </c>
      <c r="G58" s="27" t="n">
        <v>18</v>
      </c>
      <c r="H58" s="165" t="n">
        <v>78</v>
      </c>
      <c r="I58" s="166" t="n"/>
      <c r="J58" s="166" t="n"/>
      <c r="K58" s="166" t="n">
        <v>50700</v>
      </c>
      <c r="L58" s="166" t="inlineStr">
        <is>
          <t>고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83T2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2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3" t="n"/>
      <c r="P59" s="163" t="n"/>
      <c r="Q59" s="164" t="n"/>
      <c r="R59" s="164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1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송파파인타운7단지</t>
        </is>
      </c>
      <c r="B60" s="16" t="inlineStr">
        <is>
          <t>'07.12.</t>
        </is>
      </c>
      <c r="C60" s="165" t="n">
        <v>537</v>
      </c>
      <c r="D60" s="162" t="n">
        <v>114.7</v>
      </c>
      <c r="E60" s="164" t="n">
        <v>35</v>
      </c>
      <c r="F60" s="162" t="n">
        <v>84.90000000000001</v>
      </c>
      <c r="G60" s="27" t="n">
        <v>26</v>
      </c>
      <c r="H60" s="165" t="n">
        <v>153</v>
      </c>
      <c r="I60" s="166" t="n">
        <v>140000</v>
      </c>
      <c r="J60" s="166" t="inlineStr">
        <is>
          <t>고</t>
        </is>
      </c>
      <c r="K60" s="166" t="n">
        <v>60000</v>
      </c>
      <c r="L60" s="166" t="inlineStr">
        <is>
          <t>고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송파파인타운7단지</t>
        </is>
      </c>
      <c r="B61" s="16" t="inlineStr">
        <is>
          <t>'07.12.</t>
        </is>
      </c>
      <c r="C61" s="165" t="n">
        <v>537</v>
      </c>
      <c r="D61" s="162" t="n">
        <v>114.8</v>
      </c>
      <c r="E61" s="164" t="n">
        <v>35</v>
      </c>
      <c r="F61" s="162" t="n">
        <v>84.90000000000001</v>
      </c>
      <c r="G61" s="27" t="n">
        <v>26</v>
      </c>
      <c r="H61" s="165" t="n">
        <v>12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114Tc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송파파인타운7단지</t>
        </is>
      </c>
      <c r="B62" s="16" t="inlineStr">
        <is>
          <t>'07.12.</t>
        </is>
      </c>
      <c r="C62" s="165" t="n">
        <v>537</v>
      </c>
      <c r="D62" s="162" t="n">
        <v>115.2</v>
      </c>
      <c r="E62" s="164" t="n">
        <v>35</v>
      </c>
      <c r="F62" s="162" t="n">
        <v>84.90000000000001</v>
      </c>
      <c r="G62" s="27" t="n">
        <v>26</v>
      </c>
      <c r="H62" s="165" t="n">
        <v>72</v>
      </c>
      <c r="I62" s="166" t="n">
        <v>155000</v>
      </c>
      <c r="J62" s="166" t="inlineStr">
        <is>
          <t>7</t>
        </is>
      </c>
      <c r="K62" s="166" t="n">
        <v>63000</v>
      </c>
      <c r="L62" s="166" t="inlineStr">
        <is>
          <t>6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115Td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힐스테이트송파위례</t>
        </is>
      </c>
      <c r="B64" s="16" t="inlineStr">
        <is>
          <t>'16.07.</t>
        </is>
      </c>
      <c r="C64" s="165" t="n">
        <v>490</v>
      </c>
      <c r="D64" s="162" t="n">
        <v>130.6</v>
      </c>
      <c r="E64" s="164" t="n">
        <v>40</v>
      </c>
      <c r="F64" s="162" t="n">
        <v>101.8</v>
      </c>
      <c r="G64" s="27" t="n">
        <v>31</v>
      </c>
      <c r="H64" s="165" t="n">
        <v>94</v>
      </c>
      <c r="I64" s="166" t="n">
        <v>170000</v>
      </c>
      <c r="J64" s="166" t="inlineStr">
        <is>
          <t>고</t>
        </is>
      </c>
      <c r="K64" s="166" t="n">
        <v>78000</v>
      </c>
      <c r="L64" s="166" t="inlineStr">
        <is>
          <t>27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inlineStr">
        <is>
          <t>130D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힐스테이트송파위례</t>
        </is>
      </c>
      <c r="B65" s="16" t="inlineStr">
        <is>
          <t>'16.07.</t>
        </is>
      </c>
      <c r="C65" s="165" t="n">
        <v>490</v>
      </c>
      <c r="D65" s="162" t="n">
        <v>130.6</v>
      </c>
      <c r="E65" s="164" t="n">
        <v>40</v>
      </c>
      <c r="F65" s="162" t="n">
        <v>101.8</v>
      </c>
      <c r="G65" s="27" t="n">
        <v>31</v>
      </c>
      <c r="H65" s="165" t="n">
        <v>72</v>
      </c>
      <c r="I65" s="166" t="n">
        <v>170000</v>
      </c>
      <c r="J65" s="166" t="inlineStr">
        <is>
          <t>고</t>
        </is>
      </c>
      <c r="K65" s="166" t="n">
        <v>78000</v>
      </c>
      <c r="L65" s="166" t="inlineStr">
        <is>
          <t>27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130E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힐스테이트송파위례</t>
        </is>
      </c>
      <c r="B66" s="16" t="inlineStr">
        <is>
          <t>'16.07.</t>
        </is>
      </c>
      <c r="C66" s="165" t="n">
        <v>490</v>
      </c>
      <c r="D66" s="162" t="n">
        <v>130.6</v>
      </c>
      <c r="E66" s="164" t="n">
        <v>40</v>
      </c>
      <c r="F66" s="162" t="n">
        <v>101.4</v>
      </c>
      <c r="G66" s="27" t="n">
        <v>31</v>
      </c>
      <c r="H66" s="165" t="n">
        <v>68</v>
      </c>
      <c r="I66" s="166" t="n">
        <v>170000</v>
      </c>
      <c r="J66" s="166" t="inlineStr">
        <is>
          <t>21</t>
        </is>
      </c>
      <c r="K66" s="166" t="n">
        <v>80000</v>
      </c>
      <c r="L66" s="166" t="inlineStr">
        <is>
          <t>고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inlineStr">
        <is>
          <t>130G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힐스테이트송파위례</t>
        </is>
      </c>
      <c r="B67" s="16" t="inlineStr">
        <is>
          <t>'16.07.</t>
        </is>
      </c>
      <c r="C67" s="165" t="n">
        <v>490</v>
      </c>
      <c r="D67" s="162" t="n">
        <v>130.6</v>
      </c>
      <c r="E67" s="164" t="n">
        <v>40</v>
      </c>
      <c r="F67" s="162" t="n">
        <v>101.8</v>
      </c>
      <c r="G67" s="27" t="n">
        <v>31</v>
      </c>
      <c r="H67" s="165" t="n">
        <v>62</v>
      </c>
      <c r="I67" s="166" t="n">
        <v>170000</v>
      </c>
      <c r="J67" s="166" t="inlineStr">
        <is>
          <t>고</t>
        </is>
      </c>
      <c r="K67" s="166" t="n">
        <v>78000</v>
      </c>
      <c r="L67" s="166" t="inlineStr">
        <is>
          <t>27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4</v>
      </c>
      <c r="R67" s="113" t="n">
        <v>2</v>
      </c>
      <c r="S67" s="113" t="inlineStr">
        <is>
          <t>계</t>
        </is>
      </c>
      <c r="T67" s="8" t="inlineStr">
        <is>
          <t>130B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힐스테이트송파위례</t>
        </is>
      </c>
      <c r="B68" s="16" t="inlineStr">
        <is>
          <t>'16.07.</t>
        </is>
      </c>
      <c r="C68" s="165" t="n">
        <v>490</v>
      </c>
      <c r="D68" s="162" t="n">
        <v>130.6</v>
      </c>
      <c r="E68" s="164" t="n">
        <v>40</v>
      </c>
      <c r="F68" s="162" t="n">
        <v>101.8</v>
      </c>
      <c r="G68" s="27" t="n">
        <v>31</v>
      </c>
      <c r="H68" s="165" t="n">
        <v>54</v>
      </c>
      <c r="I68" s="166" t="n">
        <v>170000</v>
      </c>
      <c r="J68" s="166" t="inlineStr">
        <is>
          <t>고</t>
        </is>
      </c>
      <c r="K68" s="166" t="n">
        <v>78000</v>
      </c>
      <c r="L68" s="166" t="inlineStr">
        <is>
          <t>27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130A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힐스테이트송파위례</t>
        </is>
      </c>
      <c r="B69" s="16" t="inlineStr">
        <is>
          <t>'16.07.</t>
        </is>
      </c>
      <c r="C69" s="165" t="n">
        <v>490</v>
      </c>
      <c r="D69" s="162" t="n">
        <v>130.8</v>
      </c>
      <c r="E69" s="164" t="n">
        <v>40</v>
      </c>
      <c r="F69" s="162" t="n">
        <v>102</v>
      </c>
      <c r="G69" s="27" t="n">
        <v>31</v>
      </c>
      <c r="H69" s="165" t="n">
        <v>48</v>
      </c>
      <c r="I69" s="166" t="n"/>
      <c r="J69" s="166" t="n"/>
      <c r="K69" s="166" t="n">
        <v>85000</v>
      </c>
      <c r="L69" s="166" t="inlineStr">
        <is>
          <t>고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130C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힐스테이트송파위례</t>
        </is>
      </c>
      <c r="B70" s="16" t="inlineStr">
        <is>
          <t>'16.07.</t>
        </is>
      </c>
      <c r="C70" s="165" t="n">
        <v>490</v>
      </c>
      <c r="D70" s="162" t="n">
        <v>130.6</v>
      </c>
      <c r="E70" s="164" t="n">
        <v>40</v>
      </c>
      <c r="F70" s="162" t="n">
        <v>101.4</v>
      </c>
      <c r="G70" s="27" t="n">
        <v>31</v>
      </c>
      <c r="H70" s="165" t="n">
        <v>48</v>
      </c>
      <c r="I70" s="166" t="n">
        <v>170000</v>
      </c>
      <c r="J70" s="166" t="inlineStr">
        <is>
          <t>21</t>
        </is>
      </c>
      <c r="K70" s="166" t="n">
        <v>80000</v>
      </c>
      <c r="L70" s="166" t="inlineStr">
        <is>
          <t>고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130F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힐스테이트송파위례</t>
        </is>
      </c>
      <c r="B71" s="16" t="inlineStr">
        <is>
          <t>'16.07.</t>
        </is>
      </c>
      <c r="C71" s="165" t="n">
        <v>490</v>
      </c>
      <c r="D71" s="162" t="n">
        <v>130.3</v>
      </c>
      <c r="E71" s="164" t="n">
        <v>39</v>
      </c>
      <c r="F71" s="162" t="n">
        <v>101.7</v>
      </c>
      <c r="G71" s="27" t="n">
        <v>31</v>
      </c>
      <c r="H71" s="165" t="n">
        <v>10</v>
      </c>
      <c r="I71" s="166" t="n">
        <v>175000</v>
      </c>
      <c r="J71" s="166" t="inlineStr">
        <is>
          <t>15</t>
        </is>
      </c>
      <c r="K71" s="166" t="n">
        <v>90000</v>
      </c>
      <c r="L71" s="166" t="inlineStr">
        <is>
          <t>15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130J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힐스테이트송파위례</t>
        </is>
      </c>
      <c r="B72" s="16" t="inlineStr">
        <is>
          <t>'16.07.</t>
        </is>
      </c>
      <c r="C72" s="165" t="n">
        <v>490</v>
      </c>
      <c r="D72" s="162" t="n">
        <v>130.3</v>
      </c>
      <c r="E72" s="164" t="n">
        <v>39</v>
      </c>
      <c r="F72" s="162" t="n">
        <v>101.7</v>
      </c>
      <c r="G72" s="27" t="n">
        <v>31</v>
      </c>
      <c r="H72" s="165" t="n">
        <v>6</v>
      </c>
      <c r="I72" s="166" t="n">
        <v>175000</v>
      </c>
      <c r="J72" s="166" t="inlineStr">
        <is>
          <t>15</t>
        </is>
      </c>
      <c r="K72" s="166" t="n">
        <v>90000</v>
      </c>
      <c r="L72" s="166" t="inlineStr">
        <is>
          <t>15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130I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힐스테이트송파위례</t>
        </is>
      </c>
      <c r="B73" s="16" t="inlineStr">
        <is>
          <t>'16.07.</t>
        </is>
      </c>
      <c r="C73" s="165" t="n">
        <v>490</v>
      </c>
      <c r="D73" s="162" t="n">
        <v>130.3</v>
      </c>
      <c r="E73" s="164" t="n">
        <v>39</v>
      </c>
      <c r="F73" s="162" t="n">
        <v>101.7</v>
      </c>
      <c r="G73" s="27" t="n">
        <v>31</v>
      </c>
      <c r="H73" s="165" t="n">
        <v>6</v>
      </c>
      <c r="I73" s="166" t="n">
        <v>175000</v>
      </c>
      <c r="J73" s="166" t="inlineStr">
        <is>
          <t>15</t>
        </is>
      </c>
      <c r="K73" s="166" t="n">
        <v>90000</v>
      </c>
      <c r="L73" s="166" t="inlineStr">
        <is>
          <t>15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130K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힐스테이트송파위례</t>
        </is>
      </c>
      <c r="B74" s="16" t="inlineStr">
        <is>
          <t>'16.07.</t>
        </is>
      </c>
      <c r="C74" s="165" t="n">
        <v>490</v>
      </c>
      <c r="D74" s="162" t="n">
        <v>130.3</v>
      </c>
      <c r="E74" s="164" t="n">
        <v>39</v>
      </c>
      <c r="F74" s="162" t="n">
        <v>101.7</v>
      </c>
      <c r="G74" s="27" t="n">
        <v>31</v>
      </c>
      <c r="H74" s="165" t="n">
        <v>4</v>
      </c>
      <c r="I74" s="166" t="n">
        <v>175000</v>
      </c>
      <c r="J74" s="166" t="inlineStr">
        <is>
          <t>15</t>
        </is>
      </c>
      <c r="K74" s="166" t="n">
        <v>90000</v>
      </c>
      <c r="L74" s="166" t="inlineStr">
        <is>
          <t>15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130H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힐스테이트송파위례</t>
        </is>
      </c>
      <c r="B75" s="16" t="inlineStr">
        <is>
          <t>'16.07.</t>
        </is>
      </c>
      <c r="C75" s="165" t="n">
        <v>490</v>
      </c>
      <c r="D75" s="162" t="n">
        <v>144.9</v>
      </c>
      <c r="E75" s="164" t="n">
        <v>44</v>
      </c>
      <c r="F75" s="162" t="n">
        <v>112.9</v>
      </c>
      <c r="G75" s="27" t="n">
        <v>34</v>
      </c>
      <c r="H75" s="165" t="n">
        <v>16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144</v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힐스테이트송파위례</t>
        </is>
      </c>
      <c r="B76" s="16" t="inlineStr">
        <is>
          <t>'16.07.</t>
        </is>
      </c>
      <c r="C76" s="165" t="n">
        <v>490</v>
      </c>
      <c r="D76" s="162" t="n">
        <v>195.3</v>
      </c>
      <c r="E76" s="164" t="n">
        <v>59</v>
      </c>
      <c r="F76" s="162" t="n">
        <v>149.5</v>
      </c>
      <c r="G76" s="27" t="n">
        <v>45</v>
      </c>
      <c r="H76" s="165" t="n">
        <v>2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5</v>
      </c>
      <c r="R76" s="113" t="n">
        <v>3</v>
      </c>
      <c r="S76" s="113" t="inlineStr">
        <is>
          <t>계</t>
        </is>
      </c>
      <c r="T76" s="8" t="n">
        <v>195</v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2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3" t="n"/>
      <c r="P77" s="163" t="n"/>
      <c r="Q77" s="164" t="n"/>
      <c r="R77" s="164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1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송파더센트레</t>
        </is>
      </c>
      <c r="B78" s="16" t="inlineStr">
        <is>
          <t>'13.11.</t>
        </is>
      </c>
      <c r="C78" s="165" t="n">
        <v>1139</v>
      </c>
      <c r="D78" s="162" t="n">
        <v>73.90000000000001</v>
      </c>
      <c r="E78" s="164" t="n">
        <v>22</v>
      </c>
      <c r="F78" s="162" t="n">
        <v>51.8</v>
      </c>
      <c r="G78" s="27" t="n">
        <v>16</v>
      </c>
      <c r="H78" s="165" t="n">
        <v>455</v>
      </c>
      <c r="I78" s="166" t="n">
        <v>82000</v>
      </c>
      <c r="J78" s="166" t="inlineStr">
        <is>
          <t>고</t>
        </is>
      </c>
      <c r="K78" s="166" t="n">
        <v>40000</v>
      </c>
      <c r="L78" s="166" t="inlineStr">
        <is>
          <t>9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73A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송파더센트레</t>
        </is>
      </c>
      <c r="B79" s="16" t="inlineStr">
        <is>
          <t>'13.11.</t>
        </is>
      </c>
      <c r="C79" s="165" t="n">
        <v>1139</v>
      </c>
      <c r="D79" s="162" t="n">
        <v>74.2</v>
      </c>
      <c r="E79" s="164" t="n">
        <v>22</v>
      </c>
      <c r="F79" s="162" t="n">
        <v>52</v>
      </c>
      <c r="G79" s="27" t="n">
        <v>16</v>
      </c>
      <c r="H79" s="165" t="n">
        <v>98</v>
      </c>
      <c r="I79" s="166" t="n">
        <v>89000</v>
      </c>
      <c r="J79" s="166" t="inlineStr">
        <is>
          <t>16</t>
        </is>
      </c>
      <c r="K79" s="166" t="n">
        <v>44000</v>
      </c>
      <c r="L79" s="166" t="inlineStr">
        <is>
          <t>14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2</v>
      </c>
      <c r="R79" s="113" t="n">
        <v>1</v>
      </c>
      <c r="S79" s="113" t="inlineStr">
        <is>
          <t>계</t>
        </is>
      </c>
      <c r="T79" s="8" t="inlineStr">
        <is>
          <t>74B1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송파더센트레</t>
        </is>
      </c>
      <c r="B80" s="16" t="inlineStr">
        <is>
          <t>'13.11.</t>
        </is>
      </c>
      <c r="C80" s="165" t="n">
        <v>1139</v>
      </c>
      <c r="D80" s="162" t="n">
        <v>74</v>
      </c>
      <c r="E80" s="164" t="n">
        <v>22</v>
      </c>
      <c r="F80" s="162" t="n">
        <v>51.8</v>
      </c>
      <c r="G80" s="27" t="n">
        <v>16</v>
      </c>
      <c r="H80" s="165" t="n">
        <v>75</v>
      </c>
      <c r="I80" s="166" t="n">
        <v>108000</v>
      </c>
      <c r="J80" s="166" t="inlineStr">
        <is>
          <t>16</t>
        </is>
      </c>
      <c r="K80" s="166" t="n">
        <v>43000</v>
      </c>
      <c r="L80" s="166" t="inlineStr">
        <is>
          <t>중</t>
        </is>
      </c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2</v>
      </c>
      <c r="R80" s="113" t="n">
        <v>1</v>
      </c>
      <c r="S80" s="113" t="inlineStr">
        <is>
          <t>계</t>
        </is>
      </c>
      <c r="T80" s="8" t="inlineStr">
        <is>
          <t>74A1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송파더센트레</t>
        </is>
      </c>
      <c r="B81" s="16" t="inlineStr">
        <is>
          <t>'13.11.</t>
        </is>
      </c>
      <c r="C81" s="165" t="n">
        <v>1139</v>
      </c>
      <c r="D81" s="162" t="n">
        <v>74</v>
      </c>
      <c r="E81" s="164" t="n">
        <v>22</v>
      </c>
      <c r="F81" s="162" t="n">
        <v>51.8</v>
      </c>
      <c r="G81" s="27" t="n">
        <v>16</v>
      </c>
      <c r="H81" s="165" t="n">
        <v>23</v>
      </c>
      <c r="I81" s="166" t="n">
        <v>108000</v>
      </c>
      <c r="J81" s="166" t="inlineStr">
        <is>
          <t>16</t>
        </is>
      </c>
      <c r="K81" s="166" t="n">
        <v>43000</v>
      </c>
      <c r="L81" s="166" t="inlineStr">
        <is>
          <t>중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2</v>
      </c>
      <c r="R81" s="113" t="n">
        <v>1</v>
      </c>
      <c r="S81" s="113" t="inlineStr">
        <is>
          <t>계</t>
        </is>
      </c>
      <c r="T81" s="8" t="inlineStr">
        <is>
          <t>74A1N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송파더센트레</t>
        </is>
      </c>
      <c r="B82" s="16" t="inlineStr">
        <is>
          <t>'13.11.</t>
        </is>
      </c>
      <c r="C82" s="165" t="n">
        <v>1139</v>
      </c>
      <c r="D82" s="162" t="n">
        <v>74</v>
      </c>
      <c r="E82" s="164" t="n">
        <v>22</v>
      </c>
      <c r="F82" s="162" t="n">
        <v>51.8</v>
      </c>
      <c r="G82" s="27" t="n">
        <v>16</v>
      </c>
      <c r="H82" s="165" t="n">
        <v>21</v>
      </c>
      <c r="I82" s="166" t="n">
        <v>108000</v>
      </c>
      <c r="J82" s="166" t="inlineStr">
        <is>
          <t>16</t>
        </is>
      </c>
      <c r="K82" s="166" t="n">
        <v>43000</v>
      </c>
      <c r="L82" s="166" t="inlineStr">
        <is>
          <t>중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inlineStr">
        <is>
          <t>74B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송파더센트레</t>
        </is>
      </c>
      <c r="B83" s="16" t="inlineStr">
        <is>
          <t>'13.11.</t>
        </is>
      </c>
      <c r="C83" s="165" t="n">
        <v>1139</v>
      </c>
      <c r="D83" s="162" t="n">
        <v>77.3</v>
      </c>
      <c r="E83" s="164" t="n">
        <v>23</v>
      </c>
      <c r="F83" s="162" t="n">
        <v>54.1</v>
      </c>
      <c r="G83" s="27" t="n">
        <v>16</v>
      </c>
      <c r="H83" s="165" t="n">
        <v>12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inlineStr">
        <is>
          <t>77A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송파더센트레</t>
        </is>
      </c>
      <c r="B84" s="16" t="inlineStr">
        <is>
          <t>'13.11.</t>
        </is>
      </c>
      <c r="C84" s="165" t="n">
        <v>1139</v>
      </c>
      <c r="D84" s="162" t="n">
        <v>85.5</v>
      </c>
      <c r="E84" s="164" t="n">
        <v>26</v>
      </c>
      <c r="F84" s="162" t="n">
        <v>59.9</v>
      </c>
      <c r="G84" s="27" t="n">
        <v>18</v>
      </c>
      <c r="H84" s="165" t="n">
        <v>214</v>
      </c>
      <c r="I84" s="166" t="n">
        <v>105000</v>
      </c>
      <c r="J84" s="166" t="inlineStr">
        <is>
          <t>15</t>
        </is>
      </c>
      <c r="K84" s="166" t="n">
        <v>48000</v>
      </c>
      <c r="L84" s="166" t="inlineStr">
        <is>
          <t>11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85C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송파더센트레</t>
        </is>
      </c>
      <c r="B85" s="16" t="inlineStr">
        <is>
          <t>'13.11.</t>
        </is>
      </c>
      <c r="C85" s="165" t="n">
        <v>1139</v>
      </c>
      <c r="D85" s="162" t="n">
        <v>85.59999999999999</v>
      </c>
      <c r="E85" s="164" t="n">
        <v>26</v>
      </c>
      <c r="F85" s="162" t="n">
        <v>60</v>
      </c>
      <c r="G85" s="27" t="n">
        <v>18</v>
      </c>
      <c r="H85" s="165" t="n">
        <v>121</v>
      </c>
      <c r="I85" s="166" t="n">
        <v>105000</v>
      </c>
      <c r="J85" s="166" t="inlineStr">
        <is>
          <t>6</t>
        </is>
      </c>
      <c r="K85" s="166" t="n">
        <v>48000</v>
      </c>
      <c r="L85" s="166" t="inlineStr">
        <is>
          <t>21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85A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송파더센트레</t>
        </is>
      </c>
      <c r="B86" s="16" t="inlineStr">
        <is>
          <t>'13.11.</t>
        </is>
      </c>
      <c r="C86" s="165" t="n">
        <v>1139</v>
      </c>
      <c r="D86" s="162" t="n">
        <v>85.3</v>
      </c>
      <c r="E86" s="164" t="n">
        <v>26</v>
      </c>
      <c r="F86" s="162" t="n">
        <v>59.7</v>
      </c>
      <c r="G86" s="27" t="n">
        <v>18</v>
      </c>
      <c r="H86" s="165" t="n">
        <v>100</v>
      </c>
      <c r="I86" s="166" t="n">
        <v>108000</v>
      </c>
      <c r="J86" s="166" t="inlineStr">
        <is>
          <t>고</t>
        </is>
      </c>
      <c r="K86" s="166" t="n">
        <v>50000</v>
      </c>
      <c r="L86" s="166" t="inlineStr">
        <is>
          <t>24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85B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송파더센트레</t>
        </is>
      </c>
      <c r="B87" s="16" t="inlineStr">
        <is>
          <t>'13.11.</t>
        </is>
      </c>
      <c r="C87" s="165" t="n">
        <v>1139</v>
      </c>
      <c r="D87" s="162" t="n">
        <v>85.59999999999999</v>
      </c>
      <c r="E87" s="164" t="n">
        <v>26</v>
      </c>
      <c r="F87" s="162" t="n">
        <v>60</v>
      </c>
      <c r="G87" s="27" t="n">
        <v>18</v>
      </c>
      <c r="H87" s="165" t="n">
        <v>20</v>
      </c>
      <c r="I87" s="166" t="n">
        <v>105000</v>
      </c>
      <c r="J87" s="166" t="inlineStr">
        <is>
          <t>6</t>
        </is>
      </c>
      <c r="K87" s="166" t="n">
        <v>48000</v>
      </c>
      <c r="L87" s="166" t="inlineStr">
        <is>
          <t>21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85AN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2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3" t="n"/>
      <c r="P88" s="163" t="n"/>
      <c r="Q88" s="164" t="n"/>
      <c r="R88" s="164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1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송파파인타운9단지</t>
        </is>
      </c>
      <c r="B89" s="16" t="inlineStr">
        <is>
          <t>'07.12.</t>
        </is>
      </c>
      <c r="C89" s="165" t="n">
        <v>796</v>
      </c>
      <c r="D89" s="162" t="n">
        <v>83.8</v>
      </c>
      <c r="E89" s="164" t="n">
        <v>25</v>
      </c>
      <c r="F89" s="162" t="n">
        <v>60</v>
      </c>
      <c r="G89" s="27" t="n">
        <v>18</v>
      </c>
      <c r="H89" s="165" t="n">
        <v>14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83TA1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송파파인타운9단지</t>
        </is>
      </c>
      <c r="B90" s="16" t="inlineStr">
        <is>
          <t>'07.12.</t>
        </is>
      </c>
      <c r="C90" s="165" t="n">
        <v>796</v>
      </c>
      <c r="D90" s="162" t="n">
        <v>84</v>
      </c>
      <c r="E90" s="164" t="n">
        <v>25</v>
      </c>
      <c r="F90" s="162" t="n">
        <v>60</v>
      </c>
      <c r="G90" s="27" t="n">
        <v>18</v>
      </c>
      <c r="H90" s="165" t="n">
        <v>86</v>
      </c>
      <c r="I90" s="166" t="n">
        <v>120000</v>
      </c>
      <c r="J90" s="166" t="inlineStr">
        <is>
          <t>중</t>
        </is>
      </c>
      <c r="K90" s="166" t="n">
        <v>56700</v>
      </c>
      <c r="L90" s="166" t="inlineStr">
        <is>
          <t>중</t>
        </is>
      </c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84A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송파파인타운9단지</t>
        </is>
      </c>
      <c r="B91" s="16" t="inlineStr">
        <is>
          <t>'07.12.</t>
        </is>
      </c>
      <c r="C91" s="165" t="n">
        <v>796</v>
      </c>
      <c r="D91" s="162" t="n">
        <v>85.2</v>
      </c>
      <c r="E91" s="164" t="n">
        <v>26</v>
      </c>
      <c r="F91" s="162" t="n">
        <v>59.9</v>
      </c>
      <c r="G91" s="27" t="n">
        <v>18</v>
      </c>
      <c r="H91" s="165" t="n">
        <v>60</v>
      </c>
      <c r="I91" s="166" t="n">
        <v>130000</v>
      </c>
      <c r="J91" s="166" t="inlineStr">
        <is>
          <t>고</t>
        </is>
      </c>
      <c r="K91" s="166" t="n">
        <v>52000</v>
      </c>
      <c r="L91" s="166" t="inlineStr">
        <is>
          <t>12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85TB1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2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3" t="n"/>
      <c r="P92" s="163" t="n"/>
      <c r="Q92" s="164" t="n"/>
      <c r="R92" s="164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1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송파파인타운2단지</t>
        </is>
      </c>
      <c r="B93" s="16" t="inlineStr">
        <is>
          <t>'08.09.</t>
        </is>
      </c>
      <c r="C93" s="165" t="n">
        <v>374</v>
      </c>
      <c r="D93" s="162" t="n">
        <v>114</v>
      </c>
      <c r="E93" s="164" t="n">
        <v>34</v>
      </c>
      <c r="F93" s="162" t="n">
        <v>85</v>
      </c>
      <c r="G93" s="27" t="n">
        <v>26</v>
      </c>
      <c r="H93" s="165" t="n">
        <v>81</v>
      </c>
      <c r="I93" s="166" t="n"/>
      <c r="J93" s="166" t="n"/>
      <c r="K93" s="166" t="n">
        <v>60000</v>
      </c>
      <c r="L93" s="166" t="inlineStr">
        <is>
          <t>고</t>
        </is>
      </c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113A2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송파파인타운2단지</t>
        </is>
      </c>
      <c r="B94" s="16" t="inlineStr">
        <is>
          <t>'08.09.</t>
        </is>
      </c>
      <c r="C94" s="165" t="n">
        <v>374</v>
      </c>
      <c r="D94" s="162" t="n">
        <v>114.6</v>
      </c>
      <c r="E94" s="164" t="n">
        <v>35</v>
      </c>
      <c r="F94" s="162" t="n">
        <v>84.90000000000001</v>
      </c>
      <c r="G94" s="27" t="n">
        <v>26</v>
      </c>
      <c r="H94" s="165" t="n">
        <v>30</v>
      </c>
      <c r="I94" s="166" t="n">
        <v>125000</v>
      </c>
      <c r="J94" s="166" t="inlineStr">
        <is>
          <t>중</t>
        </is>
      </c>
      <c r="K94" s="166" t="n">
        <v>60000</v>
      </c>
      <c r="L94" s="166" t="inlineStr">
        <is>
          <t>중</t>
        </is>
      </c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114D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2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3" t="n"/>
      <c r="P95" s="163" t="n"/>
      <c r="Q95" s="164" t="n"/>
      <c r="R95" s="164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1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위례아이파크2차</t>
        </is>
      </c>
      <c r="B96" s="16" t="inlineStr">
        <is>
          <t>'16.05.</t>
        </is>
      </c>
      <c r="C96" s="165" t="n">
        <v>495</v>
      </c>
      <c r="D96" s="162" t="n">
        <v>118.6</v>
      </c>
      <c r="E96" s="164" t="n">
        <v>36</v>
      </c>
      <c r="F96" s="162" t="n">
        <v>90.90000000000001</v>
      </c>
      <c r="G96" s="27" t="n">
        <v>27</v>
      </c>
      <c r="H96" s="165" t="n">
        <v>167</v>
      </c>
      <c r="I96" s="166" t="n">
        <v>188000</v>
      </c>
      <c r="J96" s="166" t="inlineStr">
        <is>
          <t>중</t>
        </is>
      </c>
      <c r="K96" s="166" t="n">
        <v>80000</v>
      </c>
      <c r="L96" s="166" t="inlineStr">
        <is>
          <t>고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118C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위례아이파크2차</t>
        </is>
      </c>
      <c r="B97" s="16" t="inlineStr">
        <is>
          <t>'16.05.</t>
        </is>
      </c>
      <c r="C97" s="165" t="n">
        <v>495</v>
      </c>
      <c r="D97" s="162" t="n">
        <v>118.8</v>
      </c>
      <c r="E97" s="164" t="n">
        <v>36</v>
      </c>
      <c r="F97" s="162" t="n">
        <v>90.09999999999999</v>
      </c>
      <c r="G97" s="27" t="n">
        <v>27</v>
      </c>
      <c r="H97" s="165" t="n">
        <v>57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118A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위례아이파크2차</t>
        </is>
      </c>
      <c r="B98" s="16" t="inlineStr">
        <is>
          <t>'16.05.</t>
        </is>
      </c>
      <c r="C98" s="165" t="n">
        <v>495</v>
      </c>
      <c r="D98" s="162" t="n">
        <v>118.9</v>
      </c>
      <c r="E98" s="164" t="n">
        <v>36</v>
      </c>
      <c r="F98" s="162" t="n">
        <v>90.3</v>
      </c>
      <c r="G98" s="27" t="n">
        <v>27</v>
      </c>
      <c r="H98" s="165" t="n">
        <v>54</v>
      </c>
      <c r="I98" s="166" t="n">
        <v>170000</v>
      </c>
      <c r="J98" s="166" t="inlineStr">
        <is>
          <t>고</t>
        </is>
      </c>
      <c r="K98" s="166" t="n">
        <v>80000</v>
      </c>
      <c r="L98" s="166" t="inlineStr">
        <is>
          <t>14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118B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위례아이파크2차</t>
        </is>
      </c>
      <c r="B99" s="16" t="inlineStr">
        <is>
          <t>'16.05.</t>
        </is>
      </c>
      <c r="C99" s="165" t="n">
        <v>495</v>
      </c>
      <c r="D99" s="162" t="n">
        <v>141.4</v>
      </c>
      <c r="E99" s="164" t="n">
        <v>43</v>
      </c>
      <c r="F99" s="162" t="n">
        <v>108.1</v>
      </c>
      <c r="G99" s="27" t="n">
        <v>33</v>
      </c>
      <c r="H99" s="165" t="n">
        <v>57</v>
      </c>
      <c r="I99" s="166" t="n">
        <v>190000</v>
      </c>
      <c r="J99" s="166" t="inlineStr">
        <is>
          <t>25</t>
        </is>
      </c>
      <c r="K99" s="166" t="n">
        <v>95000</v>
      </c>
      <c r="L99" s="166" t="inlineStr">
        <is>
          <t>고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inlineStr">
        <is>
          <t>141A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위례아이파크2차</t>
        </is>
      </c>
      <c r="B100" s="16" t="inlineStr">
        <is>
          <t>'16.05.</t>
        </is>
      </c>
      <c r="C100" s="165" t="n">
        <v>495</v>
      </c>
      <c r="D100" s="162" t="n">
        <v>141.5</v>
      </c>
      <c r="E100" s="164" t="n">
        <v>43</v>
      </c>
      <c r="F100" s="162" t="n">
        <v>108.1</v>
      </c>
      <c r="G100" s="27" t="n">
        <v>33</v>
      </c>
      <c r="H100" s="165" t="n">
        <v>47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4</v>
      </c>
      <c r="R100" s="113" t="n">
        <v>2</v>
      </c>
      <c r="S100" s="113" t="inlineStr">
        <is>
          <t>계</t>
        </is>
      </c>
      <c r="T100" s="8" t="inlineStr">
        <is>
          <t>141B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위례아이파크2차</t>
        </is>
      </c>
      <c r="B101" s="16" t="inlineStr">
        <is>
          <t>'16.05.</t>
        </is>
      </c>
      <c r="C101" s="165" t="n">
        <v>495</v>
      </c>
      <c r="D101" s="162" t="n">
        <v>149.5</v>
      </c>
      <c r="E101" s="164" t="n">
        <v>45</v>
      </c>
      <c r="F101" s="162" t="n">
        <v>115.6</v>
      </c>
      <c r="G101" s="27" t="n">
        <v>35</v>
      </c>
      <c r="H101" s="165" t="n">
        <v>113</v>
      </c>
      <c r="I101" s="166" t="n">
        <v>210000</v>
      </c>
      <c r="J101" s="166" t="inlineStr">
        <is>
          <t>중</t>
        </is>
      </c>
      <c r="K101" s="166" t="n">
        <v>95000</v>
      </c>
      <c r="L101" s="166" t="inlineStr">
        <is>
          <t>22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4</v>
      </c>
      <c r="R101" s="113" t="n">
        <v>2</v>
      </c>
      <c r="S101" s="113" t="inlineStr">
        <is>
          <t>계</t>
        </is>
      </c>
      <c r="T101" s="8" t="inlineStr">
        <is>
          <t>149A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2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3" t="n"/>
      <c r="P102" s="163" t="n"/>
      <c r="Q102" s="164" t="n"/>
      <c r="R102" s="164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1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송파파인타운11단지</t>
        </is>
      </c>
      <c r="B103" s="16" t="inlineStr">
        <is>
          <t>'07.07.</t>
        </is>
      </c>
      <c r="C103" s="165" t="n">
        <v>333</v>
      </c>
      <c r="D103" s="162" t="n">
        <v>109.8</v>
      </c>
      <c r="E103" s="164" t="n">
        <v>33</v>
      </c>
      <c r="F103" s="162" t="n">
        <v>84.90000000000001</v>
      </c>
      <c r="G103" s="27" t="n">
        <v>26</v>
      </c>
      <c r="H103" s="165" t="n">
        <v>138</v>
      </c>
      <c r="I103" s="166" t="n">
        <v>133000</v>
      </c>
      <c r="J103" s="166" t="inlineStr">
        <is>
          <t>고</t>
        </is>
      </c>
      <c r="K103" s="166" t="n">
        <v>55000</v>
      </c>
      <c r="L103" s="166" t="inlineStr">
        <is>
          <t>중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송파파인타운11단지</t>
        </is>
      </c>
      <c r="B104" s="16" t="inlineStr">
        <is>
          <t>'07.07.</t>
        </is>
      </c>
      <c r="C104" s="165" t="n">
        <v>333</v>
      </c>
      <c r="D104" s="162" t="n">
        <v>109.8</v>
      </c>
      <c r="E104" s="164" t="n">
        <v>33</v>
      </c>
      <c r="F104" s="162" t="n">
        <v>84.90000000000001</v>
      </c>
      <c r="G104" s="27" t="n">
        <v>26</v>
      </c>
      <c r="H104" s="165" t="n">
        <v>71</v>
      </c>
      <c r="I104" s="166" t="n">
        <v>133000</v>
      </c>
      <c r="J104" s="166" t="inlineStr">
        <is>
          <t>고</t>
        </is>
      </c>
      <c r="K104" s="166" t="n">
        <v>55000</v>
      </c>
      <c r="L104" s="166" t="inlineStr">
        <is>
          <t>중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109A1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2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3" t="n"/>
      <c r="P105" s="163" t="n"/>
      <c r="Q105" s="164" t="n"/>
      <c r="R105" s="164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1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송파파인타운6단지</t>
        </is>
      </c>
      <c r="B106" s="16" t="inlineStr">
        <is>
          <t>'08.08.</t>
        </is>
      </c>
      <c r="C106" s="165" t="n">
        <v>564</v>
      </c>
      <c r="D106" s="162" t="n">
        <v>105.5</v>
      </c>
      <c r="E106" s="164" t="n">
        <v>32</v>
      </c>
      <c r="F106" s="162" t="n">
        <v>85</v>
      </c>
      <c r="G106" s="27" t="n">
        <v>26</v>
      </c>
      <c r="H106" s="165" t="n">
        <v>114</v>
      </c>
      <c r="I106" s="166" t="n">
        <v>140000</v>
      </c>
      <c r="J106" s="166" t="inlineStr">
        <is>
          <t>중</t>
        </is>
      </c>
      <c r="K106" s="166" t="n">
        <v>67000</v>
      </c>
      <c r="L106" s="166" t="inlineStr">
        <is>
          <t>고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105T2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송파파인타운6단지</t>
        </is>
      </c>
      <c r="B107" s="16" t="inlineStr">
        <is>
          <t>'08.08.</t>
        </is>
      </c>
      <c r="C107" s="165" t="n">
        <v>564</v>
      </c>
      <c r="D107" s="162" t="n">
        <v>105.2</v>
      </c>
      <c r="E107" s="164" t="n">
        <v>32</v>
      </c>
      <c r="F107" s="162" t="n">
        <v>84.90000000000001</v>
      </c>
      <c r="G107" s="27" t="n">
        <v>26</v>
      </c>
      <c r="H107" s="165" t="n">
        <v>105</v>
      </c>
      <c r="I107" s="166" t="n"/>
      <c r="J107" s="166" t="n"/>
      <c r="K107" s="166" t="n">
        <v>55000</v>
      </c>
      <c r="L107" s="166" t="inlineStr">
        <is>
          <t>고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105T1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송파파인타운6단지</t>
        </is>
      </c>
      <c r="B108" s="16" t="inlineStr">
        <is>
          <t>'08.08.</t>
        </is>
      </c>
      <c r="C108" s="165" t="n">
        <v>564</v>
      </c>
      <c r="D108" s="162" t="n">
        <v>105.5</v>
      </c>
      <c r="E108" s="164" t="n">
        <v>32</v>
      </c>
      <c r="F108" s="162" t="n">
        <v>84.90000000000001</v>
      </c>
      <c r="G108" s="27" t="n">
        <v>26</v>
      </c>
      <c r="H108" s="165" t="n">
        <v>38</v>
      </c>
      <c r="I108" s="166" t="n"/>
      <c r="J108" s="166" t="n"/>
      <c r="K108" s="166" t="n">
        <v>65000</v>
      </c>
      <c r="L108" s="166" t="inlineStr">
        <is>
          <t>고</t>
        </is>
      </c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105A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송파파인타운6단지</t>
        </is>
      </c>
      <c r="B109" s="16" t="inlineStr">
        <is>
          <t>'08.08.</t>
        </is>
      </c>
      <c r="C109" s="165" t="n">
        <v>564</v>
      </c>
      <c r="D109" s="162" t="n">
        <v>106</v>
      </c>
      <c r="E109" s="164" t="n">
        <v>32</v>
      </c>
      <c r="F109" s="162" t="n">
        <v>84.90000000000001</v>
      </c>
      <c r="G109" s="27" t="n">
        <v>26</v>
      </c>
      <c r="H109" s="165" t="n">
        <v>35</v>
      </c>
      <c r="I109" s="166" t="n">
        <v>145000</v>
      </c>
      <c r="J109" s="166" t="inlineStr">
        <is>
          <t>고</t>
        </is>
      </c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105Td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송파파인타운6단지</t>
        </is>
      </c>
      <c r="B110" s="16" t="inlineStr">
        <is>
          <t>'08.08.</t>
        </is>
      </c>
      <c r="C110" s="165" t="n">
        <v>564</v>
      </c>
      <c r="D110" s="162" t="n">
        <v>105.6</v>
      </c>
      <c r="E110" s="164" t="n">
        <v>32</v>
      </c>
      <c r="F110" s="162" t="n">
        <v>84.90000000000001</v>
      </c>
      <c r="G110" s="27" t="n">
        <v>26</v>
      </c>
      <c r="H110" s="165" t="n">
        <v>19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105Tc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2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3" t="n"/>
      <c r="P111" s="163" t="n"/>
      <c r="Q111" s="164" t="n"/>
      <c r="R111" s="164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1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송파파인타운1단지</t>
        </is>
      </c>
      <c r="B112" s="16" t="inlineStr">
        <is>
          <t>'10.01.</t>
        </is>
      </c>
      <c r="C112" s="165" t="n">
        <v>221</v>
      </c>
      <c r="D112" s="162" t="n">
        <v>106</v>
      </c>
      <c r="E112" s="164" t="n">
        <v>32</v>
      </c>
      <c r="F112" s="162" t="n">
        <v>85</v>
      </c>
      <c r="G112" s="27" t="n">
        <v>26</v>
      </c>
      <c r="H112" s="165" t="n">
        <v>116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106A2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송파파인타운1단지</t>
        </is>
      </c>
      <c r="B113" s="16" t="inlineStr">
        <is>
          <t>'10.01.</t>
        </is>
      </c>
      <c r="C113" s="165" t="n">
        <v>221</v>
      </c>
      <c r="D113" s="162" t="n">
        <v>106.6</v>
      </c>
      <c r="E113" s="164" t="n">
        <v>32</v>
      </c>
      <c r="F113" s="162" t="n">
        <v>84.90000000000001</v>
      </c>
      <c r="G113" s="27" t="n">
        <v>26</v>
      </c>
      <c r="H113" s="165" t="n">
        <v>50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106D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송파파인타운1단지</t>
        </is>
      </c>
      <c r="B114" s="16" t="inlineStr">
        <is>
          <t>'10.01.</t>
        </is>
      </c>
      <c r="C114" s="165" t="n">
        <v>221</v>
      </c>
      <c r="D114" s="162" t="n">
        <v>106</v>
      </c>
      <c r="E114" s="164" t="n">
        <v>32</v>
      </c>
      <c r="F114" s="162" t="n">
        <v>85</v>
      </c>
      <c r="G114" s="27" t="n">
        <v>26</v>
      </c>
      <c r="H114" s="165" t="n">
        <v>9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106A3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2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3" t="n"/>
      <c r="P115" s="163" t="n"/>
      <c r="Q115" s="164" t="n"/>
      <c r="R115" s="164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1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위례아이파크</t>
        </is>
      </c>
      <c r="B116" s="16" t="inlineStr">
        <is>
          <t>'15.11.</t>
        </is>
      </c>
      <c r="C116" s="165" t="n">
        <v>400</v>
      </c>
      <c r="D116" s="162" t="n">
        <v>115.4</v>
      </c>
      <c r="E116" s="164" t="n">
        <v>35</v>
      </c>
      <c r="F116" s="162" t="n">
        <v>87.8</v>
      </c>
      <c r="G116" s="27" t="n">
        <v>27</v>
      </c>
      <c r="H116" s="165" t="n">
        <v>58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115C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위례아이파크</t>
        </is>
      </c>
      <c r="B117" s="16" t="inlineStr">
        <is>
          <t>'15.11.</t>
        </is>
      </c>
      <c r="C117" s="165" t="n">
        <v>400</v>
      </c>
      <c r="D117" s="162" t="n">
        <v>115.1</v>
      </c>
      <c r="E117" s="164" t="n">
        <v>35</v>
      </c>
      <c r="F117" s="162" t="n">
        <v>87.90000000000001</v>
      </c>
      <c r="G117" s="27" t="n">
        <v>27</v>
      </c>
      <c r="H117" s="165" t="n">
        <v>44</v>
      </c>
      <c r="I117" s="166" t="n">
        <v>155000</v>
      </c>
      <c r="J117" s="166" t="inlineStr">
        <is>
          <t>고</t>
        </is>
      </c>
      <c r="K117" s="166" t="n">
        <v>73000</v>
      </c>
      <c r="L117" s="166" t="inlineStr">
        <is>
          <t>21</t>
        </is>
      </c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115A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위례아이파크</t>
        </is>
      </c>
      <c r="B118" s="16" t="inlineStr">
        <is>
          <t>'15.11.</t>
        </is>
      </c>
      <c r="C118" s="165" t="n">
        <v>400</v>
      </c>
      <c r="D118" s="162" t="n">
        <v>115.8</v>
      </c>
      <c r="E118" s="164" t="n">
        <v>35</v>
      </c>
      <c r="F118" s="162" t="n">
        <v>87.7</v>
      </c>
      <c r="G118" s="27" t="n">
        <v>27</v>
      </c>
      <c r="H118" s="165" t="n">
        <v>41</v>
      </c>
      <c r="I118" s="166" t="n">
        <v>160000</v>
      </c>
      <c r="J118" s="166" t="inlineStr">
        <is>
          <t>중</t>
        </is>
      </c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115B</t>
        </is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위례아이파크</t>
        </is>
      </c>
      <c r="B119" s="16" t="inlineStr">
        <is>
          <t>'15.11.</t>
        </is>
      </c>
      <c r="C119" s="165" t="n">
        <v>400</v>
      </c>
      <c r="D119" s="162" t="n">
        <v>116.1</v>
      </c>
      <c r="E119" s="164" t="n">
        <v>35</v>
      </c>
      <c r="F119" s="162" t="n">
        <v>87.8</v>
      </c>
      <c r="G119" s="27" t="n">
        <v>27</v>
      </c>
      <c r="H119" s="165" t="n">
        <v>20</v>
      </c>
      <c r="I119" s="166" t="n"/>
      <c r="J119" s="166" t="n"/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116D</t>
        </is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위례아이파크</t>
        </is>
      </c>
      <c r="B120" s="16" t="inlineStr">
        <is>
          <t>'15.11.</t>
        </is>
      </c>
      <c r="C120" s="165" t="n">
        <v>400</v>
      </c>
      <c r="D120" s="162" t="n">
        <v>116.6</v>
      </c>
      <c r="E120" s="164" t="n">
        <v>35</v>
      </c>
      <c r="F120" s="162" t="n">
        <v>88</v>
      </c>
      <c r="G120" s="27" t="n">
        <v>27</v>
      </c>
      <c r="H120" s="165" t="n">
        <v>17</v>
      </c>
      <c r="I120" s="166" t="n"/>
      <c r="J120" s="166" t="n"/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116E</t>
        </is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위례아이파크</t>
        </is>
      </c>
      <c r="B121" s="16" t="inlineStr">
        <is>
          <t>'15.11.</t>
        </is>
      </c>
      <c r="C121" s="165" t="n">
        <v>400</v>
      </c>
      <c r="D121" s="162" t="n">
        <v>131.3</v>
      </c>
      <c r="E121" s="164" t="n">
        <v>40</v>
      </c>
      <c r="F121" s="162" t="n">
        <v>100.8</v>
      </c>
      <c r="G121" s="27" t="n">
        <v>30</v>
      </c>
      <c r="H121" s="165" t="n">
        <v>63</v>
      </c>
      <c r="I121" s="166" t="n">
        <v>180000</v>
      </c>
      <c r="J121" s="166" t="inlineStr">
        <is>
          <t>고</t>
        </is>
      </c>
      <c r="K121" s="166" t="n">
        <v>90000</v>
      </c>
      <c r="L121" s="166" t="inlineStr">
        <is>
          <t>18</t>
        </is>
      </c>
      <c r="M121" s="167">
        <f>I121-K121</f>
        <v/>
      </c>
      <c r="N121" s="7">
        <f>IF(ISERROR(K121/I121),"",K121/I121)</f>
        <v/>
      </c>
      <c r="O121" s="163">
        <f>I121/E121</f>
        <v/>
      </c>
      <c r="P121" s="163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2">
        <f>D121</f>
        <v/>
      </c>
      <c r="X121" s="164">
        <f>E121</f>
        <v/>
      </c>
      <c r="Y121" s="160">
        <f>H121</f>
        <v/>
      </c>
      <c r="Z121" s="167">
        <f>I121</f>
        <v/>
      </c>
      <c r="AA121" s="167">
        <f>K121</f>
        <v/>
      </c>
      <c r="AB121" s="167">
        <f>M121</f>
        <v/>
      </c>
      <c r="AC121" s="7">
        <f>N121</f>
        <v/>
      </c>
      <c r="AD121" s="163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4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위례아이파크</t>
        </is>
      </c>
      <c r="B122" s="16" t="inlineStr">
        <is>
          <t>'15.11.</t>
        </is>
      </c>
      <c r="C122" s="165" t="n">
        <v>400</v>
      </c>
      <c r="D122" s="162" t="n">
        <v>132.7</v>
      </c>
      <c r="E122" s="164" t="n">
        <v>40</v>
      </c>
      <c r="F122" s="162" t="n">
        <v>100.9</v>
      </c>
      <c r="G122" s="27" t="n">
        <v>31</v>
      </c>
      <c r="H122" s="165" t="n">
        <v>86</v>
      </c>
      <c r="I122" s="166" t="n"/>
      <c r="J122" s="166" t="n"/>
      <c r="K122" s="166" t="n"/>
      <c r="L122" s="166" t="n"/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위례아이파크</t>
        </is>
      </c>
      <c r="B123" s="16" t="inlineStr">
        <is>
          <t>'15.11.</t>
        </is>
      </c>
      <c r="C123" s="165" t="n">
        <v>400</v>
      </c>
      <c r="D123" s="162" t="n">
        <v>142.3</v>
      </c>
      <c r="E123" s="164" t="n">
        <v>43</v>
      </c>
      <c r="F123" s="162" t="n">
        <v>108.8</v>
      </c>
      <c r="G123" s="27" t="n">
        <v>33</v>
      </c>
      <c r="H123" s="165" t="n">
        <v>23</v>
      </c>
      <c r="I123" s="166" t="n">
        <v>210000</v>
      </c>
      <c r="J123" s="166" t="inlineStr">
        <is>
          <t>고</t>
        </is>
      </c>
      <c r="K123" s="166" t="n"/>
      <c r="L123" s="166" t="n"/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142A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위례아이파크</t>
        </is>
      </c>
      <c r="B124" s="16" t="inlineStr">
        <is>
          <t>'15.11.</t>
        </is>
      </c>
      <c r="C124" s="165" t="n">
        <v>400</v>
      </c>
      <c r="D124" s="162" t="n">
        <v>150.1</v>
      </c>
      <c r="E124" s="164" t="n">
        <v>45</v>
      </c>
      <c r="F124" s="162" t="n">
        <v>115</v>
      </c>
      <c r="G124" s="27" t="n">
        <v>35</v>
      </c>
      <c r="H124" s="165" t="n">
        <v>23</v>
      </c>
      <c r="I124" s="166" t="n">
        <v>205000</v>
      </c>
      <c r="J124" s="166" t="inlineStr">
        <is>
          <t>중</t>
        </is>
      </c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4</v>
      </c>
      <c r="R124" s="113" t="n">
        <v>2</v>
      </c>
      <c r="S124" s="113" t="inlineStr">
        <is>
          <t>계</t>
        </is>
      </c>
      <c r="T124" s="8" t="inlineStr">
        <is>
          <t>150A</t>
        </is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위례아이파크</t>
        </is>
      </c>
      <c r="B125" s="16" t="inlineStr">
        <is>
          <t>'15.11.</t>
        </is>
      </c>
      <c r="C125" s="165" t="n">
        <v>400</v>
      </c>
      <c r="D125" s="162" t="n">
        <v>151.1</v>
      </c>
      <c r="E125" s="164" t="n">
        <v>46</v>
      </c>
      <c r="F125" s="162" t="n">
        <v>114.8</v>
      </c>
      <c r="G125" s="27" t="n">
        <v>35</v>
      </c>
      <c r="H125" s="165" t="n">
        <v>22</v>
      </c>
      <c r="I125" s="166" t="n">
        <v>220000</v>
      </c>
      <c r="J125" s="166" t="inlineStr">
        <is>
          <t>중</t>
        </is>
      </c>
      <c r="K125" s="166" t="n"/>
      <c r="L125" s="166" t="n"/>
      <c r="M125" s="167">
        <f>I125-K125</f>
        <v/>
      </c>
      <c r="N125" s="7">
        <f>IF(ISERROR(K125/I125),"",K125/I125)</f>
        <v/>
      </c>
      <c r="O125" s="163">
        <f>I125/E125</f>
        <v/>
      </c>
      <c r="P125" s="163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inlineStr">
        <is>
          <t>151B</t>
        </is>
      </c>
      <c r="U125" s="13" t="n"/>
      <c r="W125" s="162">
        <f>D125</f>
        <v/>
      </c>
      <c r="X125" s="164">
        <f>E125</f>
        <v/>
      </c>
      <c r="Y125" s="160">
        <f>H125</f>
        <v/>
      </c>
      <c r="Z125" s="167">
        <f>I125</f>
        <v/>
      </c>
      <c r="AA125" s="167">
        <f>K125</f>
        <v/>
      </c>
      <c r="AB125" s="167">
        <f>M125</f>
        <v/>
      </c>
      <c r="AC125" s="7">
        <f>N125</f>
        <v/>
      </c>
      <c r="AD125" s="163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4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위례아이파크</t>
        </is>
      </c>
      <c r="B126" s="16" t="inlineStr">
        <is>
          <t>'15.11.</t>
        </is>
      </c>
      <c r="C126" s="165" t="n">
        <v>400</v>
      </c>
      <c r="D126" s="162" t="n">
        <v>172.5</v>
      </c>
      <c r="E126" s="164" t="n">
        <v>52</v>
      </c>
      <c r="F126" s="162" t="n">
        <v>128.8</v>
      </c>
      <c r="G126" s="27" t="n">
        <v>39</v>
      </c>
      <c r="H126" s="165" t="n">
        <v>2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172B</t>
        </is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위례아이파크</t>
        </is>
      </c>
      <c r="B127" s="16" t="inlineStr">
        <is>
          <t>'15.11.</t>
        </is>
      </c>
      <c r="C127" s="165" t="n">
        <v>400</v>
      </c>
      <c r="D127" s="162" t="n">
        <v>175.7</v>
      </c>
      <c r="E127" s="164" t="n">
        <v>53</v>
      </c>
      <c r="F127" s="162" t="n">
        <v>129</v>
      </c>
      <c r="G127" s="27" t="n">
        <v>39</v>
      </c>
      <c r="H127" s="165" t="n">
        <v>1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175A</t>
        </is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2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3" t="n"/>
      <c r="P128" s="163" t="n"/>
      <c r="Q128" s="164" t="n"/>
      <c r="R128" s="164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1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송파파인타운3단지</t>
        </is>
      </c>
      <c r="B129" s="16" t="inlineStr">
        <is>
          <t>'08.07.</t>
        </is>
      </c>
      <c r="C129" s="165" t="n">
        <v>625</v>
      </c>
      <c r="D129" s="162" t="n">
        <v>104.8</v>
      </c>
      <c r="E129" s="164" t="n">
        <v>32</v>
      </c>
      <c r="F129" s="162" t="n">
        <v>84.90000000000001</v>
      </c>
      <c r="G129" s="27" t="n">
        <v>26</v>
      </c>
      <c r="H129" s="165" t="n">
        <v>204</v>
      </c>
      <c r="I129" s="166" t="n">
        <v>128000</v>
      </c>
      <c r="J129" s="166" t="inlineStr">
        <is>
          <t>중</t>
        </is>
      </c>
      <c r="K129" s="166" t="n">
        <v>55000</v>
      </c>
      <c r="L129" s="166" t="inlineStr">
        <is>
          <t>중</t>
        </is>
      </c>
      <c r="M129" s="167">
        <f>I129-K129</f>
        <v/>
      </c>
      <c r="N129" s="7">
        <f>IF(ISERROR(K129/I129),"",K129/I129)</f>
        <v/>
      </c>
      <c r="O129" s="163">
        <f>I129/E129</f>
        <v/>
      </c>
      <c r="P129" s="163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104T1</t>
        </is>
      </c>
      <c r="U129" s="13" t="n"/>
      <c r="W129" s="162">
        <f>D129</f>
        <v/>
      </c>
      <c r="X129" s="164">
        <f>E129</f>
        <v/>
      </c>
      <c r="Y129" s="160">
        <f>H129</f>
        <v/>
      </c>
      <c r="Z129" s="167">
        <f>I129</f>
        <v/>
      </c>
      <c r="AA129" s="167">
        <f>K129</f>
        <v/>
      </c>
      <c r="AB129" s="167">
        <f>M129</f>
        <v/>
      </c>
      <c r="AC129" s="7">
        <f>N129</f>
        <v/>
      </c>
      <c r="AD129" s="163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4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송파파인타운3단지</t>
        </is>
      </c>
      <c r="B130" s="16" t="inlineStr">
        <is>
          <t>'08.07.</t>
        </is>
      </c>
      <c r="C130" s="165" t="n">
        <v>625</v>
      </c>
      <c r="D130" s="162" t="n">
        <v>105</v>
      </c>
      <c r="E130" s="164" t="n">
        <v>32</v>
      </c>
      <c r="F130" s="162" t="n">
        <v>84.90000000000001</v>
      </c>
      <c r="G130" s="27" t="n">
        <v>26</v>
      </c>
      <c r="H130" s="165" t="n">
        <v>214</v>
      </c>
      <c r="I130" s="166" t="n">
        <v>135000</v>
      </c>
      <c r="J130" s="166" t="inlineStr">
        <is>
          <t>중</t>
        </is>
      </c>
      <c r="K130" s="166" t="n">
        <v>70000</v>
      </c>
      <c r="L130" s="166" t="inlineStr">
        <is>
          <t>중</t>
        </is>
      </c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105A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송파파인타운3단지</t>
        </is>
      </c>
      <c r="B131" s="16" t="inlineStr">
        <is>
          <t>'08.07.</t>
        </is>
      </c>
      <c r="C131" s="165" t="n">
        <v>625</v>
      </c>
      <c r="D131" s="162" t="n">
        <v>105</v>
      </c>
      <c r="E131" s="164" t="n">
        <v>32</v>
      </c>
      <c r="F131" s="162" t="n">
        <v>85</v>
      </c>
      <c r="G131" s="27" t="n">
        <v>26</v>
      </c>
      <c r="H131" s="165" t="n">
        <v>207</v>
      </c>
      <c r="I131" s="166" t="n"/>
      <c r="J131" s="166" t="n"/>
      <c r="K131" s="166" t="n"/>
      <c r="L131" s="166" t="n"/>
      <c r="M131" s="167">
        <f>I131-K131</f>
        <v/>
      </c>
      <c r="N131" s="7">
        <f>IF(ISERROR(K131/I131),"",K131/I131)</f>
        <v/>
      </c>
      <c r="O131" s="163">
        <f>I131/E131</f>
        <v/>
      </c>
      <c r="P131" s="163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inlineStr">
        <is>
          <t>105T2</t>
        </is>
      </c>
      <c r="U131" s="13" t="n"/>
      <c r="W131" s="162">
        <f>D131</f>
        <v/>
      </c>
      <c r="X131" s="164">
        <f>E131</f>
        <v/>
      </c>
      <c r="Y131" s="160">
        <f>H131</f>
        <v/>
      </c>
      <c r="Z131" s="167">
        <f>I131</f>
        <v/>
      </c>
      <c r="AA131" s="167">
        <f>K131</f>
        <v/>
      </c>
      <c r="AB131" s="167">
        <f>M131</f>
        <v/>
      </c>
      <c r="AC131" s="7">
        <f>N131</f>
        <v/>
      </c>
      <c r="AD131" s="163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4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n"/>
      <c r="B132" s="113" t="n"/>
      <c r="C132" s="10" t="n"/>
      <c r="D132" s="13" t="n"/>
      <c r="E132" s="20" t="n"/>
      <c r="F132" s="162" t="n"/>
      <c r="G132" s="13" t="n"/>
      <c r="H132" s="13" t="n"/>
      <c r="I132" s="13" t="n"/>
      <c r="J132" s="13" t="n"/>
      <c r="K132" s="13" t="n"/>
      <c r="L132" s="13" t="n"/>
      <c r="M132" s="13" t="n"/>
      <c r="N132" s="13" t="n"/>
      <c r="O132" s="163" t="n"/>
      <c r="P132" s="163" t="n"/>
      <c r="Q132" s="164" t="n"/>
      <c r="R132" s="164" t="n"/>
      <c r="S132" s="13" t="n"/>
      <c r="T132" s="70" t="n"/>
      <c r="U132" s="13" t="n"/>
      <c r="W132" s="107">
        <f>$A$4&amp;" "&amp;A133&amp;"("&amp;B133&amp;","&amp;C133&amp;"^)"</f>
        <v/>
      </c>
      <c r="X132" s="108" t="n"/>
      <c r="Y132" s="108" t="n"/>
      <c r="Z132" s="108" t="n"/>
      <c r="AA132" s="108" t="n"/>
      <c r="AB132" s="108" t="n"/>
      <c r="AC132" s="108" t="n"/>
      <c r="AD132" s="108" t="n"/>
      <c r="AE132" s="108" t="n"/>
      <c r="AF132" s="109" t="n"/>
      <c r="AH132" s="36">
        <f>IF(A132="","",A132)</f>
        <v/>
      </c>
      <c r="AI132" s="161">
        <f>IF(E132="","",E132)</f>
        <v/>
      </c>
      <c r="AJ132" s="113" t="n"/>
      <c r="AK132" s="113" t="n"/>
      <c r="AL132" s="113" t="n"/>
      <c r="AM132" s="113" t="n"/>
      <c r="AN132" s="113" t="n"/>
      <c r="AO132" s="113" t="n"/>
      <c r="AP132" s="113" t="n"/>
      <c r="AQ132" s="113" t="n"/>
      <c r="AR132" s="113" t="n"/>
      <c r="AS132" s="113" t="n"/>
      <c r="AT132" s="113" t="n"/>
      <c r="AU132" s="113" t="n"/>
      <c r="AV132" s="113" t="n"/>
    </row>
    <row r="133">
      <c r="A133" s="13" t="inlineStr">
        <is>
          <t>위례신도시송파푸르지오</t>
        </is>
      </c>
      <c r="B133" s="16" t="inlineStr">
        <is>
          <t>'15.01.</t>
        </is>
      </c>
      <c r="C133" s="165" t="n">
        <v>549</v>
      </c>
      <c r="D133" s="162" t="n">
        <v>138</v>
      </c>
      <c r="E133" s="164" t="n">
        <v>42</v>
      </c>
      <c r="F133" s="162" t="n">
        <v>106.8</v>
      </c>
      <c r="G133" s="27" t="n">
        <v>32</v>
      </c>
      <c r="H133" s="165" t="n">
        <v>62</v>
      </c>
      <c r="I133" s="166" t="n"/>
      <c r="J133" s="166" t="n"/>
      <c r="K133" s="166" t="n">
        <v>105000</v>
      </c>
      <c r="L133" s="166" t="inlineStr">
        <is>
          <t>18</t>
        </is>
      </c>
      <c r="M133" s="167">
        <f>I133-K133</f>
        <v/>
      </c>
      <c r="N133" s="7">
        <f>IF(ISERROR(K133/I133),"",K133/I133)</f>
        <v/>
      </c>
      <c r="O133" s="163">
        <f>I133/E133</f>
        <v/>
      </c>
      <c r="P133" s="163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138A3</t>
        </is>
      </c>
      <c r="U133" s="13" t="n"/>
      <c r="W133" s="162">
        <f>D133</f>
        <v/>
      </c>
      <c r="X133" s="164">
        <f>E133</f>
        <v/>
      </c>
      <c r="Y133" s="160">
        <f>H133</f>
        <v/>
      </c>
      <c r="Z133" s="167">
        <f>I133</f>
        <v/>
      </c>
      <c r="AA133" s="167">
        <f>K133</f>
        <v/>
      </c>
      <c r="AB133" s="167">
        <f>M133</f>
        <v/>
      </c>
      <c r="AC133" s="7">
        <f>N133</f>
        <v/>
      </c>
      <c r="AD133" s="163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4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위례신도시송파푸르지오</t>
        </is>
      </c>
      <c r="B134" s="16" t="inlineStr">
        <is>
          <t>'15.01.</t>
        </is>
      </c>
      <c r="C134" s="165" t="n">
        <v>549</v>
      </c>
      <c r="D134" s="162" t="n">
        <v>139.6</v>
      </c>
      <c r="E134" s="164" t="n">
        <v>42</v>
      </c>
      <c r="F134" s="162" t="n">
        <v>108.1</v>
      </c>
      <c r="G134" s="27" t="n">
        <v>33</v>
      </c>
      <c r="H134" s="165" t="n">
        <v>63</v>
      </c>
      <c r="I134" s="166" t="n"/>
      <c r="J134" s="166" t="n"/>
      <c r="K134" s="166" t="n">
        <v>90000</v>
      </c>
      <c r="L134" s="166" t="inlineStr">
        <is>
          <t>14</t>
        </is>
      </c>
      <c r="M134" s="167">
        <f>I134-K134</f>
        <v/>
      </c>
      <c r="N134" s="7">
        <f>IF(ISERROR(K134/I134),"",K134/I134)</f>
        <v/>
      </c>
      <c r="O134" s="163">
        <f>I134/E134</f>
        <v/>
      </c>
      <c r="P134" s="163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inlineStr">
        <is>
          <t>139A2</t>
        </is>
      </c>
      <c r="U134" s="13" t="n"/>
      <c r="W134" s="162">
        <f>D134</f>
        <v/>
      </c>
      <c r="X134" s="164">
        <f>E134</f>
        <v/>
      </c>
      <c r="Y134" s="160">
        <f>H134</f>
        <v/>
      </c>
      <c r="Z134" s="167">
        <f>I134</f>
        <v/>
      </c>
      <c r="AA134" s="167">
        <f>K134</f>
        <v/>
      </c>
      <c r="AB134" s="167">
        <f>M134</f>
        <v/>
      </c>
      <c r="AC134" s="7">
        <f>N134</f>
        <v/>
      </c>
      <c r="AD134" s="163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4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위례신도시송파푸르지오</t>
        </is>
      </c>
      <c r="B135" s="16" t="inlineStr">
        <is>
          <t>'15.01.</t>
        </is>
      </c>
      <c r="C135" s="165" t="n">
        <v>549</v>
      </c>
      <c r="D135" s="162" t="n">
        <v>139.8</v>
      </c>
      <c r="E135" s="164" t="n">
        <v>42</v>
      </c>
      <c r="F135" s="162" t="n">
        <v>108.3</v>
      </c>
      <c r="G135" s="27" t="n">
        <v>33</v>
      </c>
      <c r="H135" s="165" t="n">
        <v>58</v>
      </c>
      <c r="I135" s="166" t="n"/>
      <c r="J135" s="166" t="n"/>
      <c r="K135" s="166" t="n"/>
      <c r="L135" s="166" t="n"/>
      <c r="M135" s="167">
        <f>I135-K135</f>
        <v/>
      </c>
      <c r="N135" s="7">
        <f>IF(ISERROR(K135/I135),"",K135/I135)</f>
        <v/>
      </c>
      <c r="O135" s="163">
        <f>I135/E135</f>
        <v/>
      </c>
      <c r="P135" s="163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inlineStr">
        <is>
          <t>139A1</t>
        </is>
      </c>
      <c r="U135" s="13" t="n"/>
      <c r="W135" s="162">
        <f>D135</f>
        <v/>
      </c>
      <c r="X135" s="164">
        <f>E135</f>
        <v/>
      </c>
      <c r="Y135" s="160">
        <f>H135</f>
        <v/>
      </c>
      <c r="Z135" s="167">
        <f>I135</f>
        <v/>
      </c>
      <c r="AA135" s="167">
        <f>K135</f>
        <v/>
      </c>
      <c r="AB135" s="167">
        <f>M135</f>
        <v/>
      </c>
      <c r="AC135" s="7">
        <f>N135</f>
        <v/>
      </c>
      <c r="AD135" s="163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4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위례신도시송파푸르지오</t>
        </is>
      </c>
      <c r="B136" s="16" t="inlineStr">
        <is>
          <t>'15.01.</t>
        </is>
      </c>
      <c r="C136" s="165" t="n">
        <v>549</v>
      </c>
      <c r="D136" s="162" t="n">
        <v>139.7</v>
      </c>
      <c r="E136" s="164" t="n">
        <v>42</v>
      </c>
      <c r="F136" s="162" t="n">
        <v>106.1</v>
      </c>
      <c r="G136" s="27" t="n">
        <v>32</v>
      </c>
      <c r="H136" s="165" t="n">
        <v>25</v>
      </c>
      <c r="I136" s="166" t="n"/>
      <c r="J136" s="166" t="n"/>
      <c r="K136" s="166" t="n">
        <v>105000</v>
      </c>
      <c r="L136" s="166" t="inlineStr">
        <is>
          <t>11</t>
        </is>
      </c>
      <c r="M136" s="167">
        <f>I136-K136</f>
        <v/>
      </c>
      <c r="N136" s="7">
        <f>IF(ISERROR(K136/I136),"",K136/I136)</f>
        <v/>
      </c>
      <c r="O136" s="163">
        <f>I136/E136</f>
        <v/>
      </c>
      <c r="P136" s="163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n">
        <v>13900</v>
      </c>
      <c r="U136" s="13" t="n"/>
      <c r="W136" s="162">
        <f>D136</f>
        <v/>
      </c>
      <c r="X136" s="164">
        <f>E136</f>
        <v/>
      </c>
      <c r="Y136" s="160">
        <f>H136</f>
        <v/>
      </c>
      <c r="Z136" s="167">
        <f>I136</f>
        <v/>
      </c>
      <c r="AA136" s="167">
        <f>K136</f>
        <v/>
      </c>
      <c r="AB136" s="167">
        <f>M136</f>
        <v/>
      </c>
      <c r="AC136" s="7">
        <f>N136</f>
        <v/>
      </c>
      <c r="AD136" s="163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4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위례신도시송파푸르지오</t>
        </is>
      </c>
      <c r="B137" s="16" t="inlineStr">
        <is>
          <t>'15.01.</t>
        </is>
      </c>
      <c r="C137" s="165" t="n">
        <v>549</v>
      </c>
      <c r="D137" s="162" t="n">
        <v>140.3</v>
      </c>
      <c r="E137" s="164" t="n">
        <v>42</v>
      </c>
      <c r="F137" s="162" t="n">
        <v>107</v>
      </c>
      <c r="G137" s="27" t="n">
        <v>32</v>
      </c>
      <c r="H137" s="165" t="n">
        <v>82</v>
      </c>
      <c r="I137" s="166" t="n">
        <v>195000</v>
      </c>
      <c r="J137" s="166" t="inlineStr">
        <is>
          <t>22</t>
        </is>
      </c>
      <c r="K137" s="166" t="n">
        <v>85000</v>
      </c>
      <c r="L137" s="166" t="inlineStr">
        <is>
          <t>고</t>
        </is>
      </c>
      <c r="M137" s="167">
        <f>I137-K137</f>
        <v/>
      </c>
      <c r="N137" s="7">
        <f>IF(ISERROR(K137/I137),"",K137/I137)</f>
        <v/>
      </c>
      <c r="O137" s="163">
        <f>I137/E137</f>
        <v/>
      </c>
      <c r="P137" s="163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n">
        <v>1400</v>
      </c>
      <c r="U137" s="13" t="n"/>
      <c r="W137" s="162">
        <f>D137</f>
        <v/>
      </c>
      <c r="X137" s="164">
        <f>E137</f>
        <v/>
      </c>
      <c r="Y137" s="160">
        <f>H137</f>
        <v/>
      </c>
      <c r="Z137" s="167">
        <f>I137</f>
        <v/>
      </c>
      <c r="AA137" s="167">
        <f>K137</f>
        <v/>
      </c>
      <c r="AB137" s="167">
        <f>M137</f>
        <v/>
      </c>
      <c r="AC137" s="7">
        <f>N137</f>
        <v/>
      </c>
      <c r="AD137" s="163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4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위례신도시송파푸르지오</t>
        </is>
      </c>
      <c r="B138" s="16" t="inlineStr">
        <is>
          <t>'15.01.</t>
        </is>
      </c>
      <c r="C138" s="165" t="n">
        <v>549</v>
      </c>
      <c r="D138" s="162" t="n">
        <v>140.7</v>
      </c>
      <c r="E138" s="164" t="n">
        <v>43</v>
      </c>
      <c r="F138" s="162" t="n">
        <v>107.6</v>
      </c>
      <c r="G138" s="27" t="n">
        <v>33</v>
      </c>
      <c r="H138" s="165" t="n">
        <v>49</v>
      </c>
      <c r="I138" s="166" t="n">
        <v>165000</v>
      </c>
      <c r="J138" s="166" t="inlineStr">
        <is>
          <t>6</t>
        </is>
      </c>
      <c r="K138" s="166" t="n"/>
      <c r="L138" s="166" t="n"/>
      <c r="M138" s="167">
        <f>I138-K138</f>
        <v/>
      </c>
      <c r="N138" s="7">
        <f>IF(ISERROR(K138/I138),"",K138/I138)</f>
        <v/>
      </c>
      <c r="O138" s="163">
        <f>I138/E138</f>
        <v/>
      </c>
      <c r="P138" s="163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inlineStr">
        <is>
          <t>140D3</t>
        </is>
      </c>
      <c r="U138" s="13" t="n"/>
      <c r="W138" s="162">
        <f>D138</f>
        <v/>
      </c>
      <c r="X138" s="164">
        <f>E138</f>
        <v/>
      </c>
      <c r="Y138" s="160">
        <f>H138</f>
        <v/>
      </c>
      <c r="Z138" s="167">
        <f>I138</f>
        <v/>
      </c>
      <c r="AA138" s="167">
        <f>K138</f>
        <v/>
      </c>
      <c r="AB138" s="167">
        <f>M138</f>
        <v/>
      </c>
      <c r="AC138" s="7">
        <f>N138</f>
        <v/>
      </c>
      <c r="AD138" s="163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4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위례신도시송파푸르지오</t>
        </is>
      </c>
      <c r="B139" s="16" t="inlineStr">
        <is>
          <t>'15.01.</t>
        </is>
      </c>
      <c r="C139" s="165" t="n">
        <v>549</v>
      </c>
      <c r="D139" s="162" t="n">
        <v>141.8</v>
      </c>
      <c r="E139" s="164" t="n">
        <v>43</v>
      </c>
      <c r="F139" s="162" t="n">
        <v>108.6</v>
      </c>
      <c r="G139" s="27" t="n">
        <v>33</v>
      </c>
      <c r="H139" s="165" t="n">
        <v>46</v>
      </c>
      <c r="I139" s="166" t="n"/>
      <c r="J139" s="166" t="n"/>
      <c r="K139" s="166" t="n">
        <v>105000</v>
      </c>
      <c r="L139" s="166" t="inlineStr">
        <is>
          <t>7</t>
        </is>
      </c>
      <c r="M139" s="167">
        <f>I139-K139</f>
        <v/>
      </c>
      <c r="N139" s="7">
        <f>IF(ISERROR(K139/I139),"",K139/I139)</f>
        <v/>
      </c>
      <c r="O139" s="163">
        <f>I139/E139</f>
        <v/>
      </c>
      <c r="P139" s="163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inlineStr">
        <is>
          <t>141D1</t>
        </is>
      </c>
      <c r="U139" s="13" t="n"/>
      <c r="W139" s="162">
        <f>D139</f>
        <v/>
      </c>
      <c r="X139" s="164">
        <f>E139</f>
        <v/>
      </c>
      <c r="Y139" s="160">
        <f>H139</f>
        <v/>
      </c>
      <c r="Z139" s="167">
        <f>I139</f>
        <v/>
      </c>
      <c r="AA139" s="167">
        <f>K139</f>
        <v/>
      </c>
      <c r="AB139" s="167">
        <f>M139</f>
        <v/>
      </c>
      <c r="AC139" s="7">
        <f>N139</f>
        <v/>
      </c>
      <c r="AD139" s="163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4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위례신도시송파푸르지오</t>
        </is>
      </c>
      <c r="B140" s="16" t="inlineStr">
        <is>
          <t>'15.01.</t>
        </is>
      </c>
      <c r="C140" s="165" t="n">
        <v>549</v>
      </c>
      <c r="D140" s="162" t="n">
        <v>142.1</v>
      </c>
      <c r="E140" s="164" t="n">
        <v>43</v>
      </c>
      <c r="F140" s="162" t="n">
        <v>108.8</v>
      </c>
      <c r="G140" s="27" t="n">
        <v>33</v>
      </c>
      <c r="H140" s="165" t="n">
        <v>51</v>
      </c>
      <c r="I140" s="166" t="n">
        <v>190000</v>
      </c>
      <c r="J140" s="166" t="inlineStr">
        <is>
          <t>고</t>
        </is>
      </c>
      <c r="K140" s="166" t="n">
        <v>90000</v>
      </c>
      <c r="L140" s="166" t="inlineStr">
        <is>
          <t>고</t>
        </is>
      </c>
      <c r="M140" s="167">
        <f>I140-K140</f>
        <v/>
      </c>
      <c r="N140" s="7">
        <f>IF(ISERROR(K140/I140),"",K140/I140)</f>
        <v/>
      </c>
      <c r="O140" s="163">
        <f>I140/E140</f>
        <v/>
      </c>
      <c r="P140" s="163">
        <f>K140/E140</f>
        <v/>
      </c>
      <c r="Q140" s="113" t="n">
        <v>4</v>
      </c>
      <c r="R140" s="113" t="n">
        <v>2</v>
      </c>
      <c r="S140" s="113" t="inlineStr">
        <is>
          <t>계</t>
        </is>
      </c>
      <c r="T140" s="8" t="inlineStr">
        <is>
          <t>142D2</t>
        </is>
      </c>
      <c r="U140" s="13" t="n"/>
      <c r="W140" s="162">
        <f>D140</f>
        <v/>
      </c>
      <c r="X140" s="164">
        <f>E140</f>
        <v/>
      </c>
      <c r="Y140" s="160">
        <f>H140</f>
        <v/>
      </c>
      <c r="Z140" s="167">
        <f>I140</f>
        <v/>
      </c>
      <c r="AA140" s="167">
        <f>K140</f>
        <v/>
      </c>
      <c r="AB140" s="167">
        <f>M140</f>
        <v/>
      </c>
      <c r="AC140" s="7">
        <f>N140</f>
        <v/>
      </c>
      <c r="AD140" s="163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4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위례신도시송파푸르지오</t>
        </is>
      </c>
      <c r="B141" s="16" t="inlineStr">
        <is>
          <t>'15.01.</t>
        </is>
      </c>
      <c r="C141" s="165" t="n">
        <v>549</v>
      </c>
      <c r="D141" s="162" t="n">
        <v>144</v>
      </c>
      <c r="E141" s="164" t="n">
        <v>44</v>
      </c>
      <c r="F141" s="162" t="n">
        <v>110.2</v>
      </c>
      <c r="G141" s="27" t="n">
        <v>33</v>
      </c>
      <c r="H141" s="165" t="n">
        <v>8</v>
      </c>
      <c r="I141" s="166" t="n">
        <v>190000</v>
      </c>
      <c r="J141" s="166" t="inlineStr">
        <is>
          <t>중</t>
        </is>
      </c>
      <c r="K141" s="166" t="n"/>
      <c r="L141" s="166" t="n"/>
      <c r="M141" s="167">
        <f>I141-K141</f>
        <v/>
      </c>
      <c r="N141" s="7">
        <f>IF(ISERROR(K141/I141),"",K141/I141)</f>
        <v/>
      </c>
      <c r="O141" s="163">
        <f>I141/E141</f>
        <v/>
      </c>
      <c r="P141" s="163">
        <f>K141/E141</f>
        <v/>
      </c>
      <c r="Q141" s="113" t="n">
        <v>4</v>
      </c>
      <c r="R141" s="113" t="n">
        <v>2</v>
      </c>
      <c r="S141" s="113" t="inlineStr">
        <is>
          <t>계</t>
        </is>
      </c>
      <c r="T141" s="8" t="inlineStr">
        <is>
          <t>143B3</t>
        </is>
      </c>
      <c r="U141" s="13" t="n"/>
      <c r="W141" s="162">
        <f>D141</f>
        <v/>
      </c>
      <c r="X141" s="164">
        <f>E141</f>
        <v/>
      </c>
      <c r="Y141" s="160">
        <f>H141</f>
        <v/>
      </c>
      <c r="Z141" s="167">
        <f>I141</f>
        <v/>
      </c>
      <c r="AA141" s="167">
        <f>K141</f>
        <v/>
      </c>
      <c r="AB141" s="167">
        <f>M141</f>
        <v/>
      </c>
      <c r="AC141" s="7">
        <f>N141</f>
        <v/>
      </c>
      <c r="AD141" s="163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4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위례신도시송파푸르지오</t>
        </is>
      </c>
      <c r="B142" s="16" t="inlineStr">
        <is>
          <t>'15.01.</t>
        </is>
      </c>
      <c r="C142" s="165" t="n">
        <v>549</v>
      </c>
      <c r="D142" s="162" t="n">
        <v>145.5</v>
      </c>
      <c r="E142" s="164" t="n">
        <v>44</v>
      </c>
      <c r="F142" s="162" t="n">
        <v>112.1</v>
      </c>
      <c r="G142" s="27" t="n">
        <v>34</v>
      </c>
      <c r="H142" s="165" t="n">
        <v>42</v>
      </c>
      <c r="I142" s="166" t="n"/>
      <c r="J142" s="166" t="n"/>
      <c r="K142" s="166" t="n">
        <v>95000</v>
      </c>
      <c r="L142" s="166" t="inlineStr">
        <is>
          <t>고</t>
        </is>
      </c>
      <c r="M142" s="167">
        <f>I142-K142</f>
        <v/>
      </c>
      <c r="N142" s="7">
        <f>IF(ISERROR(K142/I142),"",K142/I142)</f>
        <v/>
      </c>
      <c r="O142" s="163">
        <f>I142/E142</f>
        <v/>
      </c>
      <c r="P142" s="163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inlineStr">
        <is>
          <t>145C1</t>
        </is>
      </c>
      <c r="U142" s="13" t="n"/>
      <c r="W142" s="162">
        <f>D142</f>
        <v/>
      </c>
      <c r="X142" s="164">
        <f>E142</f>
        <v/>
      </c>
      <c r="Y142" s="160">
        <f>H142</f>
        <v/>
      </c>
      <c r="Z142" s="167">
        <f>I142</f>
        <v/>
      </c>
      <c r="AA142" s="167">
        <f>K142</f>
        <v/>
      </c>
      <c r="AB142" s="167">
        <f>M142</f>
        <v/>
      </c>
      <c r="AC142" s="7">
        <f>N142</f>
        <v/>
      </c>
      <c r="AD142" s="163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4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위례신도시송파푸르지오</t>
        </is>
      </c>
      <c r="B143" s="16" t="inlineStr">
        <is>
          <t>'15.01.</t>
        </is>
      </c>
      <c r="C143" s="165" t="n">
        <v>549</v>
      </c>
      <c r="D143" s="162" t="n">
        <v>145.4</v>
      </c>
      <c r="E143" s="164" t="n">
        <v>44</v>
      </c>
      <c r="F143" s="162" t="n">
        <v>112</v>
      </c>
      <c r="G143" s="27" t="n">
        <v>34</v>
      </c>
      <c r="H143" s="165" t="n">
        <v>40</v>
      </c>
      <c r="I143" s="166" t="n">
        <v>220000</v>
      </c>
      <c r="J143" s="166" t="inlineStr">
        <is>
          <t>고</t>
        </is>
      </c>
      <c r="K143" s="166" t="n">
        <v>92000</v>
      </c>
      <c r="L143" s="166" t="inlineStr">
        <is>
          <t>고</t>
        </is>
      </c>
      <c r="M143" s="167">
        <f>I143-K143</f>
        <v/>
      </c>
      <c r="N143" s="7">
        <f>IF(ISERROR(K143/I143),"",K143/I143)</f>
        <v/>
      </c>
      <c r="O143" s="163">
        <f>I143/E143</f>
        <v/>
      </c>
      <c r="P143" s="163">
        <f>K143/E143</f>
        <v/>
      </c>
      <c r="Q143" s="113" t="n">
        <v>4</v>
      </c>
      <c r="R143" s="113" t="n">
        <v>2</v>
      </c>
      <c r="S143" s="113" t="inlineStr">
        <is>
          <t>계</t>
        </is>
      </c>
      <c r="T143" s="8" t="inlineStr">
        <is>
          <t>145C2</t>
        </is>
      </c>
      <c r="U143" s="13" t="n"/>
      <c r="W143" s="162">
        <f>D143</f>
        <v/>
      </c>
      <c r="X143" s="164">
        <f>E143</f>
        <v/>
      </c>
      <c r="Y143" s="160">
        <f>H143</f>
        <v/>
      </c>
      <c r="Z143" s="167">
        <f>I143</f>
        <v/>
      </c>
      <c r="AA143" s="167">
        <f>K143</f>
        <v/>
      </c>
      <c r="AB143" s="167">
        <f>M143</f>
        <v/>
      </c>
      <c r="AC143" s="7">
        <f>N143</f>
        <v/>
      </c>
      <c r="AD143" s="163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4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위례신도시송파푸르지오</t>
        </is>
      </c>
      <c r="B144" s="16" t="inlineStr">
        <is>
          <t>'15.01.</t>
        </is>
      </c>
      <c r="C144" s="165" t="n">
        <v>549</v>
      </c>
      <c r="D144" s="162" t="n">
        <v>145.7</v>
      </c>
      <c r="E144" s="164" t="n">
        <v>44</v>
      </c>
      <c r="F144" s="162" t="n">
        <v>111.6</v>
      </c>
      <c r="G144" s="27" t="n">
        <v>34</v>
      </c>
      <c r="H144" s="165" t="n">
        <v>10</v>
      </c>
      <c r="I144" s="166" t="n">
        <v>200000</v>
      </c>
      <c r="J144" s="166" t="inlineStr">
        <is>
          <t>고</t>
        </is>
      </c>
      <c r="K144" s="166" t="n">
        <v>80000</v>
      </c>
      <c r="L144" s="166" t="inlineStr">
        <is>
          <t>고</t>
        </is>
      </c>
      <c r="M144" s="167">
        <f>I144-K144</f>
        <v/>
      </c>
      <c r="N144" s="7">
        <f>IF(ISERROR(K144/I144),"",K144/I144)</f>
        <v/>
      </c>
      <c r="O144" s="163">
        <f>I144/E144</f>
        <v/>
      </c>
      <c r="P144" s="163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145B1</t>
        </is>
      </c>
      <c r="U144" s="13" t="n"/>
      <c r="W144" s="162">
        <f>D144</f>
        <v/>
      </c>
      <c r="X144" s="164">
        <f>E144</f>
        <v/>
      </c>
      <c r="Y144" s="160">
        <f>H144</f>
        <v/>
      </c>
      <c r="Z144" s="167">
        <f>I144</f>
        <v/>
      </c>
      <c r="AA144" s="167">
        <f>K144</f>
        <v/>
      </c>
      <c r="AB144" s="167">
        <f>M144</f>
        <v/>
      </c>
      <c r="AC144" s="7">
        <f>N144</f>
        <v/>
      </c>
      <c r="AD144" s="163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4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위례신도시송파푸르지오</t>
        </is>
      </c>
      <c r="B145" s="16" t="inlineStr">
        <is>
          <t>'15.01.</t>
        </is>
      </c>
      <c r="C145" s="165" t="n">
        <v>549</v>
      </c>
      <c r="D145" s="162" t="n">
        <v>145.5</v>
      </c>
      <c r="E145" s="164" t="n">
        <v>44</v>
      </c>
      <c r="F145" s="162" t="n">
        <v>111.4</v>
      </c>
      <c r="G145" s="27" t="n">
        <v>34</v>
      </c>
      <c r="H145" s="165" t="n">
        <v>10</v>
      </c>
      <c r="I145" s="166" t="n"/>
      <c r="J145" s="166" t="n"/>
      <c r="K145" s="166" t="n">
        <v>100000</v>
      </c>
      <c r="L145" s="166" t="inlineStr">
        <is>
          <t>고</t>
        </is>
      </c>
      <c r="M145" s="167">
        <f>I145-K145</f>
        <v/>
      </c>
      <c r="N145" s="7">
        <f>IF(ISERROR(K145/I145),"",K145/I145)</f>
        <v/>
      </c>
      <c r="O145" s="163">
        <f>I145/E145</f>
        <v/>
      </c>
      <c r="P145" s="163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145B2</t>
        </is>
      </c>
      <c r="U145" s="13" t="n"/>
      <c r="W145" s="162">
        <f>D145</f>
        <v/>
      </c>
      <c r="X145" s="164">
        <f>E145</f>
        <v/>
      </c>
      <c r="Y145" s="160">
        <f>H145</f>
        <v/>
      </c>
      <c r="Z145" s="167">
        <f>I145</f>
        <v/>
      </c>
      <c r="AA145" s="167">
        <f>K145</f>
        <v/>
      </c>
      <c r="AB145" s="167">
        <f>M145</f>
        <v/>
      </c>
      <c r="AC145" s="7">
        <f>N145</f>
        <v/>
      </c>
      <c r="AD145" s="163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4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위례신도시송파푸르지오</t>
        </is>
      </c>
      <c r="B146" s="16" t="inlineStr">
        <is>
          <t>'15.01.</t>
        </is>
      </c>
      <c r="C146" s="165" t="n">
        <v>549</v>
      </c>
      <c r="D146" s="162" t="n">
        <v>146.7</v>
      </c>
      <c r="E146" s="164" t="n">
        <v>44</v>
      </c>
      <c r="F146" s="162" t="n">
        <v>112.9</v>
      </c>
      <c r="G146" s="27" t="n">
        <v>34</v>
      </c>
      <c r="H146" s="165" t="n">
        <v>3</v>
      </c>
      <c r="I146" s="166" t="n"/>
      <c r="J146" s="166" t="n"/>
      <c r="K146" s="166" t="n"/>
      <c r="L146" s="166" t="n"/>
      <c r="M146" s="167">
        <f>I146-K146</f>
        <v/>
      </c>
      <c r="N146" s="7">
        <f>IF(ISERROR(K146/I146),"",K146/I146)</f>
        <v/>
      </c>
      <c r="O146" s="163">
        <f>I146/E146</f>
        <v/>
      </c>
      <c r="P146" s="163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146A2T</t>
        </is>
      </c>
      <c r="U146" s="13" t="n"/>
      <c r="W146" s="162">
        <f>D146</f>
        <v/>
      </c>
      <c r="X146" s="164">
        <f>E146</f>
        <v/>
      </c>
      <c r="Y146" s="160">
        <f>H146</f>
        <v/>
      </c>
      <c r="Z146" s="167">
        <f>I146</f>
        <v/>
      </c>
      <c r="AA146" s="167">
        <f>K146</f>
        <v/>
      </c>
      <c r="AB146" s="167">
        <f>M146</f>
        <v/>
      </c>
      <c r="AC146" s="7">
        <f>N146</f>
        <v/>
      </c>
      <c r="AD146" s="163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4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456" dxfId="17">
      <formula>AV4="X"</formula>
    </cfRule>
    <cfRule type="expression" priority="2457" dxfId="16">
      <formula>AV4="후보"</formula>
    </cfRule>
  </conditionalFormatting>
  <conditionalFormatting sqref="AC1:AC2 AC4:AC6 N4:N5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N1:N2">
    <cfRule type="cellIs" priority="2451" operator="greaterThan" dxfId="13">
      <formula>0.9</formula>
    </cfRule>
    <cfRule type="cellIs" priority="2452" operator="greaterThan" dxfId="12">
      <formula>0.85</formula>
    </cfRule>
  </conditionalFormatting>
  <conditionalFormatting sqref="N6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17">
      <formula>AV7="X"</formula>
    </cfRule>
    <cfRule type="expression" priority="2436" dxfId="16">
      <formula>AV7="후보"</formula>
    </cfRule>
  </conditionalFormatting>
  <conditionalFormatting sqref="AC7">
    <cfRule type="cellIs" priority="2432" operator="greaterThan" dxfId="13">
      <formula>0.9</formula>
    </cfRule>
    <cfRule type="cellIs" priority="2433" operator="greaterThan" dxfId="12">
      <formula>0.85</formula>
    </cfRule>
  </conditionalFormatting>
  <conditionalFormatting sqref="N7">
    <cfRule type="cellIs" priority="2430" operator="greaterThan" dxfId="13">
      <formula>0.9</formula>
    </cfRule>
    <cfRule type="cellIs" priority="2431" operator="greaterThan" dxfId="12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17">
      <formula>AV8="X"</formula>
    </cfRule>
    <cfRule type="expression" priority="2417" dxfId="16">
      <formula>AV8="후보"</formula>
    </cfRule>
  </conditionalFormatting>
  <conditionalFormatting sqref="AC8">
    <cfRule type="cellIs" priority="2413" operator="greaterThan" dxfId="13">
      <formula>0.9</formula>
    </cfRule>
    <cfRule type="cellIs" priority="2414" operator="greaterThan" dxfId="12">
      <formula>0.85</formula>
    </cfRule>
  </conditionalFormatting>
  <conditionalFormatting sqref="N8">
    <cfRule type="cellIs" priority="2411" operator="greaterThan" dxfId="13">
      <formula>0.9</formula>
    </cfRule>
    <cfRule type="cellIs" priority="2412" operator="greaterThan" dxfId="12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17">
      <formula>AV9="X"</formula>
    </cfRule>
    <cfRule type="expression" priority="2398" dxfId="16">
      <formula>AV9="후보"</formula>
    </cfRule>
  </conditionalFormatting>
  <conditionalFormatting sqref="AC9 N9">
    <cfRule type="cellIs" priority="2394" operator="greaterThan" dxfId="13">
      <formula>0.9</formula>
    </cfRule>
    <cfRule type="cellIs" priority="2395" operator="greaterThan" dxfId="12">
      <formula>0.85</formula>
    </cfRule>
  </conditionalFormatting>
  <conditionalFormatting sqref="AV10">
    <cfRule type="expression" priority="2392" dxfId="17">
      <formula>AV10="X"</formula>
    </cfRule>
    <cfRule type="expression" priority="2393" dxfId="16">
      <formula>AV10="후보"</formula>
    </cfRule>
  </conditionalFormatting>
  <conditionalFormatting sqref="AC10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0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17">
      <formula>AV11="X"</formula>
    </cfRule>
    <cfRule type="expression" priority="2374" dxfId="16">
      <formula>AV11="후보"</formula>
    </cfRule>
  </conditionalFormatting>
  <conditionalFormatting sqref="AC11">
    <cfRule type="cellIs" priority="2370" operator="greaterThan" dxfId="13">
      <formula>0.9</formula>
    </cfRule>
    <cfRule type="cellIs" priority="2371" operator="greaterThan" dxfId="12">
      <formula>0.85</formula>
    </cfRule>
  </conditionalFormatting>
  <conditionalFormatting sqref="N11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17">
      <formula>AV12="X"</formula>
    </cfRule>
    <cfRule type="expression" priority="2355" dxfId="16">
      <formula>AV12="후보"</formula>
    </cfRule>
  </conditionalFormatting>
  <conditionalFormatting sqref="AC12 N12">
    <cfRule type="cellIs" priority="2351" operator="greaterThan" dxfId="13">
      <formula>0.9</formula>
    </cfRule>
    <cfRule type="cellIs" priority="2352" operator="greaterThan" dxfId="12">
      <formula>0.85</formula>
    </cfRule>
  </conditionalFormatting>
  <conditionalFormatting sqref="AV13">
    <cfRule type="expression" priority="2349" dxfId="17">
      <formula>AV13="X"</formula>
    </cfRule>
    <cfRule type="expression" priority="2350" dxfId="16">
      <formula>AV13="후보"</formula>
    </cfRule>
  </conditionalFormatting>
  <conditionalFormatting sqref="AC13">
    <cfRule type="cellIs" priority="2346" operator="greaterThan" dxfId="13">
      <formula>0.9</formula>
    </cfRule>
    <cfRule type="cellIs" priority="2347" operator="greaterThan" dxfId="12">
      <formula>0.85</formula>
    </cfRule>
  </conditionalFormatting>
  <conditionalFormatting sqref="N13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17">
      <formula>AV14="X"</formula>
    </cfRule>
    <cfRule type="expression" priority="2331" dxfId="16">
      <formula>AV14="후보"</formula>
    </cfRule>
  </conditionalFormatting>
  <conditionalFormatting sqref="AC14">
    <cfRule type="cellIs" priority="2327" operator="greaterThan" dxfId="13">
      <formula>0.9</formula>
    </cfRule>
    <cfRule type="cellIs" priority="2328" operator="greaterThan" dxfId="12">
      <formula>0.85</formula>
    </cfRule>
  </conditionalFormatting>
  <conditionalFormatting sqref="N14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17">
      <formula>AV15="X"</formula>
    </cfRule>
    <cfRule type="expression" priority="2312" dxfId="16">
      <formula>AV15="후보"</formula>
    </cfRule>
  </conditionalFormatting>
  <conditionalFormatting sqref="AC15">
    <cfRule type="cellIs" priority="2308" operator="greaterThan" dxfId="13">
      <formula>0.9</formula>
    </cfRule>
    <cfRule type="cellIs" priority="2309" operator="greaterThan" dxfId="12">
      <formula>0.85</formula>
    </cfRule>
  </conditionalFormatting>
  <conditionalFormatting sqref="N15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17">
      <formula>AV16="X"</formula>
    </cfRule>
    <cfRule type="expression" priority="2293" dxfId="16">
      <formula>AV16="후보"</formula>
    </cfRule>
  </conditionalFormatting>
  <conditionalFormatting sqref="AC16">
    <cfRule type="cellIs" priority="2289" operator="greaterThan" dxfId="13">
      <formula>0.9</formula>
    </cfRule>
    <cfRule type="cellIs" priority="2290" operator="greaterThan" dxfId="12">
      <formula>0.85</formula>
    </cfRule>
  </conditionalFormatting>
  <conditionalFormatting sqref="N16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17">
      <formula>AV17="X"</formula>
    </cfRule>
    <cfRule type="expression" priority="2274" dxfId="16">
      <formula>AV17="후보"</formula>
    </cfRule>
  </conditionalFormatting>
  <conditionalFormatting sqref="AC17">
    <cfRule type="cellIs" priority="2270" operator="greaterThan" dxfId="13">
      <formula>0.9</formula>
    </cfRule>
    <cfRule type="cellIs" priority="2271" operator="greaterThan" dxfId="12">
      <formula>0.85</formula>
    </cfRule>
  </conditionalFormatting>
  <conditionalFormatting sqref="N17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17">
      <formula>AV18="X"</formula>
    </cfRule>
    <cfRule type="expression" priority="2255" dxfId="16">
      <formula>AV18="후보"</formula>
    </cfRule>
  </conditionalFormatting>
  <conditionalFormatting sqref="AC18">
    <cfRule type="cellIs" priority="2251" operator="greaterThan" dxfId="13">
      <formula>0.9</formula>
    </cfRule>
    <cfRule type="cellIs" priority="2252" operator="greaterThan" dxfId="12">
      <formula>0.85</formula>
    </cfRule>
  </conditionalFormatting>
  <conditionalFormatting sqref="N18">
    <cfRule type="cellIs" priority="2249" operator="greaterThan" dxfId="13">
      <formula>0.9</formula>
    </cfRule>
    <cfRule type="cellIs" priority="2250" operator="greaterThan" dxfId="12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17">
      <formula>AV19="X"</formula>
    </cfRule>
    <cfRule type="expression" priority="2236" dxfId="16">
      <formula>AV19="후보"</formula>
    </cfRule>
  </conditionalFormatting>
  <conditionalFormatting sqref="AC19">
    <cfRule type="cellIs" priority="2232" operator="greaterThan" dxfId="13">
      <formula>0.9</formula>
    </cfRule>
    <cfRule type="cellIs" priority="2233" operator="greaterThan" dxfId="12">
      <formula>0.85</formula>
    </cfRule>
  </conditionalFormatting>
  <conditionalFormatting sqref="N19">
    <cfRule type="cellIs" priority="2230" operator="greaterThan" dxfId="13">
      <formula>0.9</formula>
    </cfRule>
    <cfRule type="cellIs" priority="2231" operator="greaterThan" dxfId="12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17">
      <formula>AV20="X"</formula>
    </cfRule>
    <cfRule type="expression" priority="2217" dxfId="16">
      <formula>AV20="후보"</formula>
    </cfRule>
  </conditionalFormatting>
  <conditionalFormatting sqref="AC20">
    <cfRule type="cellIs" priority="2213" operator="greaterThan" dxfId="13">
      <formula>0.9</formula>
    </cfRule>
    <cfRule type="cellIs" priority="2214" operator="greaterThan" dxfId="12">
      <formula>0.85</formula>
    </cfRule>
  </conditionalFormatting>
  <conditionalFormatting sqref="N20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17">
      <formula>AV21="X"</formula>
    </cfRule>
    <cfRule type="expression" priority="2198" dxfId="16">
      <formula>AV21="후보"</formula>
    </cfRule>
  </conditionalFormatting>
  <conditionalFormatting sqref="AC21">
    <cfRule type="cellIs" priority="2194" operator="greaterThan" dxfId="13">
      <formula>0.9</formula>
    </cfRule>
    <cfRule type="cellIs" priority="2195" operator="greaterThan" dxfId="12">
      <formula>0.85</formula>
    </cfRule>
  </conditionalFormatting>
  <conditionalFormatting sqref="N21">
    <cfRule type="cellIs" priority="2192" operator="greaterThan" dxfId="13">
      <formula>0.9</formula>
    </cfRule>
    <cfRule type="cellIs" priority="2193" operator="greaterThan" dxfId="12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17">
      <formula>AV22="X"</formula>
    </cfRule>
    <cfRule type="expression" priority="2179" dxfId="16">
      <formula>AV22="후보"</formula>
    </cfRule>
  </conditionalFormatting>
  <conditionalFormatting sqref="AC22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17">
      <formula>AV23="X"</formula>
    </cfRule>
    <cfRule type="expression" priority="2160" dxfId="16">
      <formula>AV23="후보"</formula>
    </cfRule>
  </conditionalFormatting>
  <conditionalFormatting sqref="AC23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N23">
    <cfRule type="cellIs" priority="2154" operator="greaterThan" dxfId="13">
      <formula>0.9</formula>
    </cfRule>
    <cfRule type="cellIs" priority="2155" operator="greaterThan" dxfId="12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17">
      <formula>AV24="X"</formula>
    </cfRule>
    <cfRule type="expression" priority="2141" dxfId="16">
      <formula>AV24="후보"</formula>
    </cfRule>
  </conditionalFormatting>
  <conditionalFormatting sqref="AC2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4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17">
      <formula>AV25="X"</formula>
    </cfRule>
    <cfRule type="expression" priority="2122" dxfId="16">
      <formula>AV25="후보"</formula>
    </cfRule>
  </conditionalFormatting>
  <conditionalFormatting sqref="AC25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N25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17">
      <formula>AV26="X"</formula>
    </cfRule>
    <cfRule type="expression" priority="2103" dxfId="16">
      <formula>AV26="후보"</formula>
    </cfRule>
  </conditionalFormatting>
  <conditionalFormatting sqref="AC26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N26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17">
      <formula>AV27="X"</formula>
    </cfRule>
    <cfRule type="expression" priority="2084" dxfId="16">
      <formula>AV27="후보"</formula>
    </cfRule>
  </conditionalFormatting>
  <conditionalFormatting sqref="AC27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N27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17">
      <formula>AV28="X"</formula>
    </cfRule>
    <cfRule type="expression" priority="2065" dxfId="16">
      <formula>AV28="후보"</formula>
    </cfRule>
  </conditionalFormatting>
  <conditionalFormatting sqref="AC28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N28">
    <cfRule type="cellIs" priority="2059" operator="greaterThan" dxfId="13">
      <formula>0.9</formula>
    </cfRule>
    <cfRule type="cellIs" priority="2060" operator="greaterThan" dxfId="12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17">
      <formula>AV29="X"</formula>
    </cfRule>
    <cfRule type="expression" priority="2046" dxfId="16">
      <formula>AV29="후보"</formula>
    </cfRule>
  </conditionalFormatting>
  <conditionalFormatting sqref="AC29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N29">
    <cfRule type="cellIs" priority="2040" operator="greaterThan" dxfId="13">
      <formula>0.9</formula>
    </cfRule>
    <cfRule type="cellIs" priority="2041" operator="greaterThan" dxfId="12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17">
      <formula>AV30="X"</formula>
    </cfRule>
    <cfRule type="expression" priority="2027" dxfId="16">
      <formula>AV30="후보"</formula>
    </cfRule>
  </conditionalFormatting>
  <conditionalFormatting sqref="AC30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N30">
    <cfRule type="cellIs" priority="2021" operator="greaterThan" dxfId="13">
      <formula>0.9</formula>
    </cfRule>
    <cfRule type="cellIs" priority="2022" operator="greaterThan" dxfId="12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17">
      <formula>AV31="X"</formula>
    </cfRule>
    <cfRule type="expression" priority="2008" dxfId="16">
      <formula>AV31="후보"</formula>
    </cfRule>
  </conditionalFormatting>
  <conditionalFormatting sqref="AC31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N31">
    <cfRule type="cellIs" priority="2002" operator="greaterThan" dxfId="13">
      <formula>0.9</formula>
    </cfRule>
    <cfRule type="cellIs" priority="2003" operator="greaterThan" dxfId="12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17">
      <formula>AV32="X"</formula>
    </cfRule>
    <cfRule type="expression" priority="1989" dxfId="16">
      <formula>AV32="후보"</formula>
    </cfRule>
  </conditionalFormatting>
  <conditionalFormatting sqref="AC32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N32">
    <cfRule type="cellIs" priority="1983" operator="greaterThan" dxfId="13">
      <formula>0.9</formula>
    </cfRule>
    <cfRule type="cellIs" priority="1984" operator="greaterThan" dxfId="12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17">
      <formula>AV33="X"</formula>
    </cfRule>
    <cfRule type="expression" priority="1970" dxfId="16">
      <formula>AV33="후보"</formula>
    </cfRule>
  </conditionalFormatting>
  <conditionalFormatting sqref="AC33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33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17">
      <formula>AV34="X"</formula>
    </cfRule>
    <cfRule type="expression" priority="1951" dxfId="16">
      <formula>AV34="후보"</formula>
    </cfRule>
  </conditionalFormatting>
  <conditionalFormatting sqref="AC34 N34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AV35">
    <cfRule type="expression" priority="1945" dxfId="17">
      <formula>AV35="X"</formula>
    </cfRule>
    <cfRule type="expression" priority="1946" dxfId="16">
      <formula>AV35="후보"</formula>
    </cfRule>
  </conditionalFormatting>
  <conditionalFormatting sqref="AC35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N35">
    <cfRule type="cellIs" priority="1940" operator="greaterThan" dxfId="13">
      <formula>0.9</formula>
    </cfRule>
    <cfRule type="cellIs" priority="1941" operator="greaterThan" dxfId="12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17">
      <formula>AV36="X"</formula>
    </cfRule>
    <cfRule type="expression" priority="1927" dxfId="16">
      <formula>AV36="후보"</formula>
    </cfRule>
  </conditionalFormatting>
  <conditionalFormatting sqref="AC3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17">
      <formula>AV37="X"</formula>
    </cfRule>
    <cfRule type="expression" priority="1908" dxfId="16">
      <formula>AV37="후보"</formula>
    </cfRule>
  </conditionalFormatting>
  <conditionalFormatting sqref="AC37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37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17">
      <formula>AV38="X"</formula>
    </cfRule>
    <cfRule type="expression" priority="1889" dxfId="16">
      <formula>AV38="후보"</formula>
    </cfRule>
  </conditionalFormatting>
  <conditionalFormatting sqref="AC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8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17">
      <formula>AV39="X"</formula>
    </cfRule>
    <cfRule type="expression" priority="1870" dxfId="16">
      <formula>AV39="후보"</formula>
    </cfRule>
  </conditionalFormatting>
  <conditionalFormatting sqref="AC39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39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17">
      <formula>AV40="X"</formula>
    </cfRule>
    <cfRule type="expression" priority="1851" dxfId="16">
      <formula>AV40="후보"</formula>
    </cfRule>
  </conditionalFormatting>
  <conditionalFormatting sqref="AC40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N40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17">
      <formula>AV41="X"</formula>
    </cfRule>
    <cfRule type="expression" priority="1832" dxfId="16">
      <formula>AV41="후보"</formula>
    </cfRule>
  </conditionalFormatting>
  <conditionalFormatting sqref="AC41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N41">
    <cfRule type="cellIs" priority="1826" operator="greaterThan" dxfId="13">
      <formula>0.9</formula>
    </cfRule>
    <cfRule type="cellIs" priority="1827" operator="greaterThan" dxfId="12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17">
      <formula>AV42="X"</formula>
    </cfRule>
    <cfRule type="expression" priority="1813" dxfId="16">
      <formula>AV42="후보"</formula>
    </cfRule>
  </conditionalFormatting>
  <conditionalFormatting sqref="AC42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42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17">
      <formula>AV43="X"</formula>
    </cfRule>
    <cfRule type="expression" priority="1794" dxfId="16">
      <formula>AV43="후보"</formula>
    </cfRule>
  </conditionalFormatting>
  <conditionalFormatting sqref="AC43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43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17">
      <formula>AV44="X"</formula>
    </cfRule>
    <cfRule type="expression" priority="1775" dxfId="16">
      <formula>AV44="후보"</formula>
    </cfRule>
  </conditionalFormatting>
  <conditionalFormatting sqref="AC44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N4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17">
      <formula>AV45="X"</formula>
    </cfRule>
    <cfRule type="expression" priority="1756" dxfId="16">
      <formula>AV45="후보"</formula>
    </cfRule>
  </conditionalFormatting>
  <conditionalFormatting sqref="AC45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N45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17">
      <formula>AV46="X"</formula>
    </cfRule>
    <cfRule type="expression" priority="1737" dxfId="16">
      <formula>AV46="후보"</formula>
    </cfRule>
  </conditionalFormatting>
  <conditionalFormatting sqref="AC46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4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17">
      <formula>AV47="X"</formula>
    </cfRule>
    <cfRule type="expression" priority="1718" dxfId="16">
      <formula>AV47="후보"</formula>
    </cfRule>
  </conditionalFormatting>
  <conditionalFormatting sqref="AC4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4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17">
      <formula>AV48="X"</formula>
    </cfRule>
    <cfRule type="expression" priority="1699" dxfId="16">
      <formula>AV48="후보"</formula>
    </cfRule>
  </conditionalFormatting>
  <conditionalFormatting sqref="AC4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4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17">
      <formula>AV49="X"</formula>
    </cfRule>
    <cfRule type="expression" priority="1680" dxfId="16">
      <formula>AV49="후보"</formula>
    </cfRule>
  </conditionalFormatting>
  <conditionalFormatting sqref="AC4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4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17">
      <formula>AV50="X"</formula>
    </cfRule>
    <cfRule type="expression" priority="1661" dxfId="16">
      <formula>AV50="후보"</formula>
    </cfRule>
  </conditionalFormatting>
  <conditionalFormatting sqref="AC5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5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17">
      <formula>AV51="X"</formula>
    </cfRule>
    <cfRule type="expression" priority="1642" dxfId="16">
      <formula>AV51="후보"</formula>
    </cfRule>
  </conditionalFormatting>
  <conditionalFormatting sqref="AC5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N51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17">
      <formula>AV52="X"</formula>
    </cfRule>
    <cfRule type="expression" priority="1623" dxfId="16">
      <formula>AV52="후보"</formula>
    </cfRule>
  </conditionalFormatting>
  <conditionalFormatting sqref="AC52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N52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17">
      <formula>AV53="X"</formula>
    </cfRule>
    <cfRule type="expression" priority="1604" dxfId="16">
      <formula>AV53="후보"</formula>
    </cfRule>
  </conditionalFormatting>
  <conditionalFormatting sqref="AC53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N53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17">
      <formula>AV54="X"</formula>
    </cfRule>
    <cfRule type="expression" priority="1585" dxfId="16">
      <formula>AV54="후보"</formula>
    </cfRule>
  </conditionalFormatting>
  <conditionalFormatting sqref="AC54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4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17">
      <formula>AV55="X"</formula>
    </cfRule>
    <cfRule type="expression" priority="1566" dxfId="16">
      <formula>AV55="후보"</formula>
    </cfRule>
  </conditionalFormatting>
  <conditionalFormatting sqref="AC55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N55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17">
      <formula>AV56="X"</formula>
    </cfRule>
    <cfRule type="expression" priority="1547" dxfId="16">
      <formula>AV56="후보"</formula>
    </cfRule>
  </conditionalFormatting>
  <conditionalFormatting sqref="AC56 N56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AV57">
    <cfRule type="expression" priority="1541" dxfId="17">
      <formula>AV57="X"</formula>
    </cfRule>
    <cfRule type="expression" priority="1542" dxfId="16">
      <formula>AV57="후보"</formula>
    </cfRule>
  </conditionalFormatting>
  <conditionalFormatting sqref="AC57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N57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17">
      <formula>AV58="X"</formula>
    </cfRule>
    <cfRule type="expression" priority="1523" dxfId="16">
      <formula>AV58="후보"</formula>
    </cfRule>
  </conditionalFormatting>
  <conditionalFormatting sqref="AC58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N58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17">
      <formula>AV59="X"</formula>
    </cfRule>
    <cfRule type="expression" priority="1504" dxfId="16">
      <formula>AV59="후보"</formula>
    </cfRule>
  </conditionalFormatting>
  <conditionalFormatting sqref="AC59 N59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AV60">
    <cfRule type="expression" priority="1498" dxfId="17">
      <formula>AV60="X"</formula>
    </cfRule>
    <cfRule type="expression" priority="1499" dxfId="16">
      <formula>AV60="후보"</formula>
    </cfRule>
  </conditionalFormatting>
  <conditionalFormatting sqref="AC6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6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17">
      <formula>AV61="X"</formula>
    </cfRule>
    <cfRule type="expression" priority="1480" dxfId="16">
      <formula>AV61="후보"</formula>
    </cfRule>
  </conditionalFormatting>
  <conditionalFormatting sqref="AC6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6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17">
      <formula>AV62="X"</formula>
    </cfRule>
    <cfRule type="expression" priority="1461" dxfId="16">
      <formula>AV62="후보"</formula>
    </cfRule>
  </conditionalFormatting>
  <conditionalFormatting sqref="AC6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6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17">
      <formula>AV63="X"</formula>
    </cfRule>
    <cfRule type="expression" priority="1442" dxfId="16">
      <formula>AV63="후보"</formula>
    </cfRule>
  </conditionalFormatting>
  <conditionalFormatting sqref="AC63 N6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64">
    <cfRule type="expression" priority="1436" dxfId="17">
      <formula>AV64="X"</formula>
    </cfRule>
    <cfRule type="expression" priority="1437" dxfId="16">
      <formula>AV64="후보"</formula>
    </cfRule>
  </conditionalFormatting>
  <conditionalFormatting sqref="AC6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6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17">
      <formula>AV65="X"</formula>
    </cfRule>
    <cfRule type="expression" priority="1418" dxfId="16">
      <formula>AV65="후보"</formula>
    </cfRule>
  </conditionalFormatting>
  <conditionalFormatting sqref="AC6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6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17">
      <formula>AV66="X"</formula>
    </cfRule>
    <cfRule type="expression" priority="1399" dxfId="16">
      <formula>AV66="후보"</formula>
    </cfRule>
  </conditionalFormatting>
  <conditionalFormatting sqref="AC6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6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17">
      <formula>AV67="X"</formula>
    </cfRule>
    <cfRule type="expression" priority="1380" dxfId="16">
      <formula>AV67="후보"</formula>
    </cfRule>
  </conditionalFormatting>
  <conditionalFormatting sqref="AC6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6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17">
      <formula>AV68="X"</formula>
    </cfRule>
    <cfRule type="expression" priority="1361" dxfId="16">
      <formula>AV68="후보"</formula>
    </cfRule>
  </conditionalFormatting>
  <conditionalFormatting sqref="AC6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6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17">
      <formula>AV69="X"</formula>
    </cfRule>
    <cfRule type="expression" priority="1342" dxfId="16">
      <formula>AV69="후보"</formula>
    </cfRule>
  </conditionalFormatting>
  <conditionalFormatting sqref="AC6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6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17">
      <formula>AV70="X"</formula>
    </cfRule>
    <cfRule type="expression" priority="1323" dxfId="16">
      <formula>AV70="후보"</formula>
    </cfRule>
  </conditionalFormatting>
  <conditionalFormatting sqref="AC7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7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17">
      <formula>AV71="X"</formula>
    </cfRule>
    <cfRule type="expression" priority="1304" dxfId="16">
      <formula>AV71="후보"</formula>
    </cfRule>
  </conditionalFormatting>
  <conditionalFormatting sqref="AC7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71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17">
      <formula>AV72="X"</formula>
    </cfRule>
    <cfRule type="expression" priority="1285" dxfId="16">
      <formula>AV72="후보"</formula>
    </cfRule>
  </conditionalFormatting>
  <conditionalFormatting sqref="AC72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72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17">
      <formula>AV73="X"</formula>
    </cfRule>
    <cfRule type="expression" priority="1266" dxfId="16">
      <formula>AV73="후보"</formula>
    </cfRule>
  </conditionalFormatting>
  <conditionalFormatting sqref="AC73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73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17">
      <formula>AV74="X"</formula>
    </cfRule>
    <cfRule type="expression" priority="1247" dxfId="16">
      <formula>AV74="후보"</formula>
    </cfRule>
  </conditionalFormatting>
  <conditionalFormatting sqref="AC74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74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17">
      <formula>AV75="X"</formula>
    </cfRule>
    <cfRule type="expression" priority="1228" dxfId="16">
      <formula>AV75="후보"</formula>
    </cfRule>
  </conditionalFormatting>
  <conditionalFormatting sqref="AC75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75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17">
      <formula>AV76="X"</formula>
    </cfRule>
    <cfRule type="expression" priority="1209" dxfId="16">
      <formula>AV76="후보"</formula>
    </cfRule>
  </conditionalFormatting>
  <conditionalFormatting sqref="AC76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7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17">
      <formula>AV77="X"</formula>
    </cfRule>
    <cfRule type="expression" priority="1190" dxfId="16">
      <formula>AV77="후보"</formula>
    </cfRule>
  </conditionalFormatting>
  <conditionalFormatting sqref="AC77 N77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AV78">
    <cfRule type="expression" priority="1184" dxfId="17">
      <formula>AV78="X"</formula>
    </cfRule>
    <cfRule type="expression" priority="1185" dxfId="16">
      <formula>AV78="후보"</formula>
    </cfRule>
  </conditionalFormatting>
  <conditionalFormatting sqref="AC7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7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17">
      <formula>AV79="X"</formula>
    </cfRule>
    <cfRule type="expression" priority="1166" dxfId="16">
      <formula>AV79="후보"</formula>
    </cfRule>
  </conditionalFormatting>
  <conditionalFormatting sqref="AC7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7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17">
      <formula>AV80="X"</formula>
    </cfRule>
    <cfRule type="expression" priority="1147" dxfId="16">
      <formula>AV80="후보"</formula>
    </cfRule>
  </conditionalFormatting>
  <conditionalFormatting sqref="AC8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80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17">
      <formula>AV81="X"</formula>
    </cfRule>
    <cfRule type="expression" priority="1128" dxfId="16">
      <formula>AV81="후보"</formula>
    </cfRule>
  </conditionalFormatting>
  <conditionalFormatting sqref="AC81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81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17">
      <formula>AV82="X"</formula>
    </cfRule>
    <cfRule type="expression" priority="1109" dxfId="16">
      <formula>AV82="후보"</formula>
    </cfRule>
  </conditionalFormatting>
  <conditionalFormatting sqref="AC82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82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17">
      <formula>AV83="X"</formula>
    </cfRule>
    <cfRule type="expression" priority="1090" dxfId="16">
      <formula>AV83="후보"</formula>
    </cfRule>
  </conditionalFormatting>
  <conditionalFormatting sqref="AC83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83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17">
      <formula>AV84="X"</formula>
    </cfRule>
    <cfRule type="expression" priority="1071" dxfId="16">
      <formula>AV84="후보"</formula>
    </cfRule>
  </conditionalFormatting>
  <conditionalFormatting sqref="AC84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84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17">
      <formula>AV85="X"</formula>
    </cfRule>
    <cfRule type="expression" priority="1052" dxfId="16">
      <formula>AV85="후보"</formula>
    </cfRule>
  </conditionalFormatting>
  <conditionalFormatting sqref="AC85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85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17">
      <formula>AV86="X"</formula>
    </cfRule>
    <cfRule type="expression" priority="1033" dxfId="16">
      <formula>AV86="후보"</formula>
    </cfRule>
  </conditionalFormatting>
  <conditionalFormatting sqref="AC86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86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17">
      <formula>AV87="X"</formula>
    </cfRule>
    <cfRule type="expression" priority="1014" dxfId="16">
      <formula>AV87="후보"</formula>
    </cfRule>
  </conditionalFormatting>
  <conditionalFormatting sqref="AC87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87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17">
      <formula>AV88="X"</formula>
    </cfRule>
    <cfRule type="expression" priority="995" dxfId="16">
      <formula>AV88="후보"</formula>
    </cfRule>
  </conditionalFormatting>
  <conditionalFormatting sqref="AC88 N88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AV89">
    <cfRule type="expression" priority="989" dxfId="17">
      <formula>AV89="X"</formula>
    </cfRule>
    <cfRule type="expression" priority="990" dxfId="16">
      <formula>AV89="후보"</formula>
    </cfRule>
  </conditionalFormatting>
  <conditionalFormatting sqref="AC89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89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17">
      <formula>AV90="X"</formula>
    </cfRule>
    <cfRule type="expression" priority="971" dxfId="16">
      <formula>AV90="후보"</formula>
    </cfRule>
  </conditionalFormatting>
  <conditionalFormatting sqref="AC9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90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17">
      <formula>AV91="X"</formula>
    </cfRule>
    <cfRule type="expression" priority="952" dxfId="16">
      <formula>AV91="후보"</formula>
    </cfRule>
  </conditionalFormatting>
  <conditionalFormatting sqref="AC91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91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17">
      <formula>AV92="X"</formula>
    </cfRule>
    <cfRule type="expression" priority="933" dxfId="16">
      <formula>AV92="후보"</formula>
    </cfRule>
  </conditionalFormatting>
  <conditionalFormatting sqref="AC92 N92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93">
    <cfRule type="expression" priority="927" dxfId="17">
      <formula>AV93="X"</formula>
    </cfRule>
    <cfRule type="expression" priority="928" dxfId="16">
      <formula>AV93="후보"</formula>
    </cfRule>
  </conditionalFormatting>
  <conditionalFormatting sqref="AC93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93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17">
      <formula>AV94="X"</formula>
    </cfRule>
    <cfRule type="expression" priority="909" dxfId="16">
      <formula>AV94="후보"</formula>
    </cfRule>
  </conditionalFormatting>
  <conditionalFormatting sqref="AC94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94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17">
      <formula>AV95="X"</formula>
    </cfRule>
    <cfRule type="expression" priority="890" dxfId="16">
      <formula>AV95="후보"</formula>
    </cfRule>
  </conditionalFormatting>
  <conditionalFormatting sqref="AC95 N95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96">
    <cfRule type="expression" priority="884" dxfId="17">
      <formula>AV96="X"</formula>
    </cfRule>
    <cfRule type="expression" priority="885" dxfId="16">
      <formula>AV96="후보"</formula>
    </cfRule>
  </conditionalFormatting>
  <conditionalFormatting sqref="AC9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9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17">
      <formula>AV97="X"</formula>
    </cfRule>
    <cfRule type="expression" priority="866" dxfId="16">
      <formula>AV97="후보"</formula>
    </cfRule>
  </conditionalFormatting>
  <conditionalFormatting sqref="AC9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9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17">
      <formula>AV98="X"</formula>
    </cfRule>
    <cfRule type="expression" priority="847" dxfId="16">
      <formula>AV98="후보"</formula>
    </cfRule>
  </conditionalFormatting>
  <conditionalFormatting sqref="AC9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9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17">
      <formula>AV99="X"</formula>
    </cfRule>
    <cfRule type="expression" priority="828" dxfId="16">
      <formula>AV99="후보"</formula>
    </cfRule>
  </conditionalFormatting>
  <conditionalFormatting sqref="AC9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9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17">
      <formula>AV100="X"</formula>
    </cfRule>
    <cfRule type="expression" priority="809" dxfId="16">
      <formula>AV100="후보"</formula>
    </cfRule>
  </conditionalFormatting>
  <conditionalFormatting sqref="AC10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0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17">
      <formula>AV101="X"</formula>
    </cfRule>
    <cfRule type="expression" priority="790" dxfId="16">
      <formula>AV101="후보"</formula>
    </cfRule>
  </conditionalFormatting>
  <conditionalFormatting sqref="AC10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0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17">
      <formula>AV102="X"</formula>
    </cfRule>
    <cfRule type="expression" priority="771" dxfId="16">
      <formula>AV102="후보"</formula>
    </cfRule>
  </conditionalFormatting>
  <conditionalFormatting sqref="AC102 N10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103">
    <cfRule type="expression" priority="765" dxfId="17">
      <formula>AV103="X"</formula>
    </cfRule>
    <cfRule type="expression" priority="766" dxfId="16">
      <formula>AV103="후보"</formula>
    </cfRule>
  </conditionalFormatting>
  <conditionalFormatting sqref="AC103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03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17">
      <formula>AV104="X"</formula>
    </cfRule>
    <cfRule type="expression" priority="747" dxfId="16">
      <formula>AV104="후보"</formula>
    </cfRule>
  </conditionalFormatting>
  <conditionalFormatting sqref="AC104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104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17">
      <formula>AV105="X"</formula>
    </cfRule>
    <cfRule type="expression" priority="728" dxfId="16">
      <formula>AV105="후보"</formula>
    </cfRule>
  </conditionalFormatting>
  <conditionalFormatting sqref="AC105 N10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AV106">
    <cfRule type="expression" priority="722" dxfId="17">
      <formula>AV106="X"</formula>
    </cfRule>
    <cfRule type="expression" priority="723" dxfId="16">
      <formula>AV106="후보"</formula>
    </cfRule>
  </conditionalFormatting>
  <conditionalFormatting sqref="AC106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106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17">
      <formula>AV107="X"</formula>
    </cfRule>
    <cfRule type="expression" priority="704" dxfId="16">
      <formula>AV107="후보"</formula>
    </cfRule>
  </conditionalFormatting>
  <conditionalFormatting sqref="AC107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107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17">
      <formula>AV108="X"</formula>
    </cfRule>
    <cfRule type="expression" priority="685" dxfId="16">
      <formula>AV108="후보"</formula>
    </cfRule>
  </conditionalFormatting>
  <conditionalFormatting sqref="AC108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08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17">
      <formula>AV109="X"</formula>
    </cfRule>
    <cfRule type="expression" priority="666" dxfId="16">
      <formula>AV109="후보"</formula>
    </cfRule>
  </conditionalFormatting>
  <conditionalFormatting sqref="AC109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109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17">
      <formula>AV110="X"</formula>
    </cfRule>
    <cfRule type="expression" priority="647" dxfId="16">
      <formula>AV110="후보"</formula>
    </cfRule>
  </conditionalFormatting>
  <conditionalFormatting sqref="AC110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110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17">
      <formula>AV111="X"</formula>
    </cfRule>
    <cfRule type="expression" priority="628" dxfId="16">
      <formula>AV111="후보"</formula>
    </cfRule>
  </conditionalFormatting>
  <conditionalFormatting sqref="AC111 N111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AV112">
    <cfRule type="expression" priority="622" dxfId="17">
      <formula>AV112="X"</formula>
    </cfRule>
    <cfRule type="expression" priority="623" dxfId="16">
      <formula>AV112="후보"</formula>
    </cfRule>
  </conditionalFormatting>
  <conditionalFormatting sqref="AC112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112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17">
      <formula>AV113="X"</formula>
    </cfRule>
    <cfRule type="expression" priority="604" dxfId="16">
      <formula>AV113="후보"</formula>
    </cfRule>
  </conditionalFormatting>
  <conditionalFormatting sqref="AC11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11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17">
      <formula>AV114="X"</formula>
    </cfRule>
    <cfRule type="expression" priority="585" dxfId="16">
      <formula>AV114="후보"</formula>
    </cfRule>
  </conditionalFormatting>
  <conditionalFormatting sqref="AC11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11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17">
      <formula>AV115="X"</formula>
    </cfRule>
    <cfRule type="expression" priority="566" dxfId="16">
      <formula>AV115="후보"</formula>
    </cfRule>
  </conditionalFormatting>
  <conditionalFormatting sqref="AC115 N11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AV116">
    <cfRule type="expression" priority="560" dxfId="17">
      <formula>AV116="X"</formula>
    </cfRule>
    <cfRule type="expression" priority="561" dxfId="16">
      <formula>AV116="후보"</formula>
    </cfRule>
  </conditionalFormatting>
  <conditionalFormatting sqref="AC116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11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17">
      <formula>AV117="X"</formula>
    </cfRule>
    <cfRule type="expression" priority="542" dxfId="16">
      <formula>AV117="후보"</formula>
    </cfRule>
  </conditionalFormatting>
  <conditionalFormatting sqref="AC117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117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17">
      <formula>AV118="X"</formula>
    </cfRule>
    <cfRule type="expression" priority="523" dxfId="16">
      <formula>AV118="후보"</formula>
    </cfRule>
  </conditionalFormatting>
  <conditionalFormatting sqref="AC11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17">
      <formula>AV119="X"</formula>
    </cfRule>
    <cfRule type="expression" priority="504" dxfId="16">
      <formula>AV119="후보"</formula>
    </cfRule>
  </conditionalFormatting>
  <conditionalFormatting sqref="AC119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119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17">
      <formula>AV120="X"</formula>
    </cfRule>
    <cfRule type="expression" priority="485" dxfId="16">
      <formula>AV120="후보"</formula>
    </cfRule>
  </conditionalFormatting>
  <conditionalFormatting sqref="AC1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20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17">
      <formula>AV121="X"</formula>
    </cfRule>
    <cfRule type="expression" priority="466" dxfId="16">
      <formula>AV121="후보"</formula>
    </cfRule>
  </conditionalFormatting>
  <conditionalFormatting sqref="AC12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121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17">
      <formula>AV122="X"</formula>
    </cfRule>
    <cfRule type="expression" priority="447" dxfId="16">
      <formula>AV122="후보"</formula>
    </cfRule>
  </conditionalFormatting>
  <conditionalFormatting sqref="AC12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17">
      <formula>AV123="X"</formula>
    </cfRule>
    <cfRule type="expression" priority="428" dxfId="16">
      <formula>AV123="후보"</formula>
    </cfRule>
  </conditionalFormatting>
  <conditionalFormatting sqref="AC12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2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17">
      <formula>AV124="X"</formula>
    </cfRule>
    <cfRule type="expression" priority="409" dxfId="16">
      <formula>AV124="후보"</formula>
    </cfRule>
  </conditionalFormatting>
  <conditionalFormatting sqref="AC1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17">
      <formula>AV125="X"</formula>
    </cfRule>
    <cfRule type="expression" priority="390" dxfId="16">
      <formula>AV125="후보"</formula>
    </cfRule>
  </conditionalFormatting>
  <conditionalFormatting sqref="AC12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2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17">
      <formula>AV126="X"</formula>
    </cfRule>
    <cfRule type="expression" priority="371" dxfId="16">
      <formula>AV126="후보"</formula>
    </cfRule>
  </conditionalFormatting>
  <conditionalFormatting sqref="AC12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17">
      <formula>AV127="X"</formula>
    </cfRule>
    <cfRule type="expression" priority="352" dxfId="16">
      <formula>AV127="후보"</formula>
    </cfRule>
  </conditionalFormatting>
  <conditionalFormatting sqref="AC12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2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17">
      <formula>AV128="X"</formula>
    </cfRule>
    <cfRule type="expression" priority="333" dxfId="16">
      <formula>AV128="후보"</formula>
    </cfRule>
  </conditionalFormatting>
  <conditionalFormatting sqref="AC128 N12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129">
    <cfRule type="expression" priority="327" dxfId="17">
      <formula>AV129="X"</formula>
    </cfRule>
    <cfRule type="expression" priority="328" dxfId="16">
      <formula>AV129="후보"</formula>
    </cfRule>
  </conditionalFormatting>
  <conditionalFormatting sqref="AC12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2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17">
      <formula>AV130="X"</formula>
    </cfRule>
    <cfRule type="expression" priority="309" dxfId="16">
      <formula>AV130="후보"</formula>
    </cfRule>
  </conditionalFormatting>
  <conditionalFormatting sqref="AC13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3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17">
      <formula>AV131="X"</formula>
    </cfRule>
    <cfRule type="expression" priority="290" dxfId="16">
      <formula>AV131="후보"</formula>
    </cfRule>
  </conditionalFormatting>
  <conditionalFormatting sqref="AC13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17">
      <formula>AV132="X"</formula>
    </cfRule>
    <cfRule type="expression" priority="271" dxfId="16">
      <formula>AV132="후보"</formula>
    </cfRule>
  </conditionalFormatting>
  <conditionalFormatting sqref="AC132 N13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AV133">
    <cfRule type="expression" priority="265" dxfId="17">
      <formula>AV133="X"</formula>
    </cfRule>
    <cfRule type="expression" priority="266" dxfId="16">
      <formula>AV133="후보"</formula>
    </cfRule>
  </conditionalFormatting>
  <conditionalFormatting sqref="AC133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33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17">
      <formula>AV134="X"</formula>
    </cfRule>
    <cfRule type="expression" priority="247" dxfId="16">
      <formula>AV134="후보"</formula>
    </cfRule>
  </conditionalFormatting>
  <conditionalFormatting sqref="AC13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3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17">
      <formula>AV135="X"</formula>
    </cfRule>
    <cfRule type="expression" priority="228" dxfId="16">
      <formula>AV135="후보"</formula>
    </cfRule>
  </conditionalFormatting>
  <conditionalFormatting sqref="AC135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35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17">
      <formula>AV136="X"</formula>
    </cfRule>
    <cfRule type="expression" priority="209" dxfId="16">
      <formula>AV136="후보"</formula>
    </cfRule>
  </conditionalFormatting>
  <conditionalFormatting sqref="AC136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36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17">
      <formula>AV137="X"</formula>
    </cfRule>
    <cfRule type="expression" priority="190" dxfId="16">
      <formula>AV137="후보"</formula>
    </cfRule>
  </conditionalFormatting>
  <conditionalFormatting sqref="AC13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3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17">
      <formula>AV138="X"</formula>
    </cfRule>
    <cfRule type="expression" priority="171" dxfId="16">
      <formula>AV138="후보"</formula>
    </cfRule>
  </conditionalFormatting>
  <conditionalFormatting sqref="AC13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3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17">
      <formula>AV139="X"</formula>
    </cfRule>
    <cfRule type="expression" priority="152" dxfId="16">
      <formula>AV139="후보"</formula>
    </cfRule>
  </conditionalFormatting>
  <conditionalFormatting sqref="AC13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3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17">
      <formula>AV140="X"</formula>
    </cfRule>
    <cfRule type="expression" priority="133" dxfId="16">
      <formula>AV140="후보"</formula>
    </cfRule>
  </conditionalFormatting>
  <conditionalFormatting sqref="AC14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4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17">
      <formula>AV141="X"</formula>
    </cfRule>
    <cfRule type="expression" priority="114" dxfId="16">
      <formula>AV141="후보"</formula>
    </cfRule>
  </conditionalFormatting>
  <conditionalFormatting sqref="AC14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17">
      <formula>AV142="X"</formula>
    </cfRule>
    <cfRule type="expression" priority="95" dxfId="16">
      <formula>AV142="후보"</formula>
    </cfRule>
  </conditionalFormatting>
  <conditionalFormatting sqref="AC14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17">
      <formula>AV143="X"</formula>
    </cfRule>
    <cfRule type="expression" priority="76" dxfId="16">
      <formula>AV143="후보"</formula>
    </cfRule>
  </conditionalFormatting>
  <conditionalFormatting sqref="AC14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17">
      <formula>AV144="X"</formula>
    </cfRule>
    <cfRule type="expression" priority="57" dxfId="16">
      <formula>AV144="후보"</formula>
    </cfRule>
  </conditionalFormatting>
  <conditionalFormatting sqref="AC1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17">
      <formula>AV145="X"</formula>
    </cfRule>
    <cfRule type="expression" priority="38" dxfId="16">
      <formula>AV145="후보"</formula>
    </cfRule>
  </conditionalFormatting>
  <conditionalFormatting sqref="AC1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17">
      <formula>AV146="X"</formula>
    </cfRule>
    <cfRule type="expression" priority="19" dxfId="16">
      <formula>AV146="후보"</formula>
    </cfRule>
  </conditionalFormatting>
  <conditionalFormatting sqref="AC1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3" sqref="U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잠실올림픽공원아이파크</t>
        </is>
      </c>
      <c r="B6" s="16" t="inlineStr">
        <is>
          <t>'19.11.</t>
        </is>
      </c>
      <c r="C6" s="165" t="n">
        <v>697</v>
      </c>
      <c r="D6" s="162" t="n">
        <v>75</v>
      </c>
      <c r="E6" s="164" t="n">
        <v>23</v>
      </c>
      <c r="F6" s="162" t="n">
        <v>51.9</v>
      </c>
      <c r="G6" s="27" t="n">
        <v>16</v>
      </c>
      <c r="H6" s="165" t="n">
        <v>18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75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잠실올림픽공원아이파크</t>
        </is>
      </c>
      <c r="B7" s="16" t="inlineStr">
        <is>
          <t>'19.11.</t>
        </is>
      </c>
      <c r="C7" s="165" t="n">
        <v>697</v>
      </c>
      <c r="D7" s="162" t="n">
        <v>83.59999999999999</v>
      </c>
      <c r="E7" s="164" t="n">
        <v>25</v>
      </c>
      <c r="F7" s="162" t="n">
        <v>60</v>
      </c>
      <c r="G7" s="27" t="n">
        <v>18</v>
      </c>
      <c r="H7" s="165" t="n">
        <v>105</v>
      </c>
      <c r="I7" s="166" t="n">
        <v>139500</v>
      </c>
      <c r="J7" s="166" t="inlineStr">
        <is>
          <t>중</t>
        </is>
      </c>
      <c r="K7" s="166" t="n">
        <v>80000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잠실올림픽공원아이파크</t>
        </is>
      </c>
      <c r="B8" s="16" t="inlineStr">
        <is>
          <t>'19.11.</t>
        </is>
      </c>
      <c r="C8" s="165" t="n">
        <v>697</v>
      </c>
      <c r="D8" s="162" t="n">
        <v>84</v>
      </c>
      <c r="E8" s="164" t="n">
        <v>25</v>
      </c>
      <c r="F8" s="162" t="n">
        <v>60</v>
      </c>
      <c r="G8" s="27" t="n">
        <v>18</v>
      </c>
      <c r="H8" s="165" t="n">
        <v>60</v>
      </c>
      <c r="I8" s="166" t="n">
        <v>170000</v>
      </c>
      <c r="J8" s="166" t="inlineStr">
        <is>
          <t>중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84B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잠실올림픽공원아이파크</t>
        </is>
      </c>
      <c r="B9" s="16" t="inlineStr">
        <is>
          <t>'19.11.</t>
        </is>
      </c>
      <c r="C9" s="165" t="n">
        <v>697</v>
      </c>
      <c r="D9" s="162" t="n">
        <v>84.7</v>
      </c>
      <c r="E9" s="164" t="n">
        <v>26</v>
      </c>
      <c r="F9" s="162" t="n">
        <v>59.9</v>
      </c>
      <c r="G9" s="27" t="n">
        <v>18</v>
      </c>
      <c r="H9" s="165" t="n">
        <v>40</v>
      </c>
      <c r="I9" s="166" t="n">
        <v>175000</v>
      </c>
      <c r="J9" s="166" t="inlineStr">
        <is>
          <t>고</t>
        </is>
      </c>
      <c r="K9" s="166" t="n">
        <v>80000</v>
      </c>
      <c r="L9" s="166" t="inlineStr">
        <is>
          <t>고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84T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잠실올림픽공원아이파크</t>
        </is>
      </c>
      <c r="B10" s="16" t="inlineStr">
        <is>
          <t>'19.11.</t>
        </is>
      </c>
      <c r="C10" s="165" t="n">
        <v>697</v>
      </c>
      <c r="D10" s="162" t="n">
        <v>84.5</v>
      </c>
      <c r="E10" s="164" t="n">
        <v>26</v>
      </c>
      <c r="F10" s="162" t="n">
        <v>59.9</v>
      </c>
      <c r="G10" s="27" t="n">
        <v>18</v>
      </c>
      <c r="H10" s="165" t="n">
        <v>21</v>
      </c>
      <c r="I10" s="166" t="n">
        <v>154000</v>
      </c>
      <c r="J10" s="166" t="inlineStr">
        <is>
          <t>고</t>
        </is>
      </c>
      <c r="K10" s="166" t="n">
        <v>85000</v>
      </c>
      <c r="L10" s="166" t="inlineStr">
        <is>
          <t>고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잠실올림픽공원아이파크</t>
        </is>
      </c>
      <c r="B11" s="16" t="inlineStr">
        <is>
          <t>'19.11.</t>
        </is>
      </c>
      <c r="C11" s="165" t="n">
        <v>697</v>
      </c>
      <c r="D11" s="162" t="n">
        <v>103.7</v>
      </c>
      <c r="E11" s="164" t="n">
        <v>31</v>
      </c>
      <c r="F11" s="162" t="n">
        <v>76</v>
      </c>
      <c r="G11" s="27" t="n">
        <v>23</v>
      </c>
      <c r="H11" s="165" t="n">
        <v>116</v>
      </c>
      <c r="I11" s="166" t="n">
        <v>179000</v>
      </c>
      <c r="J11" s="166" t="inlineStr">
        <is>
          <t>고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103A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잠실올림픽공원아이파크</t>
        </is>
      </c>
      <c r="B12" s="16" t="inlineStr">
        <is>
          <t>'19.11.</t>
        </is>
      </c>
      <c r="C12" s="165" t="n">
        <v>697</v>
      </c>
      <c r="D12" s="162" t="n">
        <v>104.2</v>
      </c>
      <c r="E12" s="164" t="n">
        <v>32</v>
      </c>
      <c r="F12" s="162" t="n">
        <v>76</v>
      </c>
      <c r="G12" s="27" t="n">
        <v>23</v>
      </c>
      <c r="H12" s="165" t="n">
        <v>24</v>
      </c>
      <c r="I12" s="166" t="n">
        <v>185000</v>
      </c>
      <c r="J12" s="166" t="inlineStr">
        <is>
          <t>중</t>
        </is>
      </c>
      <c r="K12" s="166" t="n">
        <v>105000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104B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잠실올림픽공원아이파크</t>
        </is>
      </c>
      <c r="B13" s="16" t="inlineStr">
        <is>
          <t>'19.11.</t>
        </is>
      </c>
      <c r="C13" s="165" t="n">
        <v>697</v>
      </c>
      <c r="D13" s="162" t="n">
        <v>105.2</v>
      </c>
      <c r="E13" s="164" t="n">
        <v>32</v>
      </c>
      <c r="F13" s="162" t="n">
        <v>75.90000000000001</v>
      </c>
      <c r="G13" s="27" t="n">
        <v>23</v>
      </c>
      <c r="H13" s="165" t="n">
        <v>68</v>
      </c>
      <c r="I13" s="166" t="n">
        <v>205000</v>
      </c>
      <c r="J13" s="166" t="inlineStr">
        <is>
          <t>고</t>
        </is>
      </c>
      <c r="K13" s="166" t="n">
        <v>76000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105T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잠실올림픽공원아이파크</t>
        </is>
      </c>
      <c r="B14" s="16" t="inlineStr">
        <is>
          <t>'19.11.</t>
        </is>
      </c>
      <c r="C14" s="165" t="n">
        <v>697</v>
      </c>
      <c r="D14" s="162" t="n">
        <v>112.8</v>
      </c>
      <c r="E14" s="164" t="n">
        <v>34</v>
      </c>
      <c r="F14" s="162" t="n">
        <v>85</v>
      </c>
      <c r="G14" s="27" t="n">
        <v>26</v>
      </c>
      <c r="H14" s="165" t="n">
        <v>29</v>
      </c>
      <c r="I14" s="166" t="n"/>
      <c r="J14" s="166" t="n"/>
      <c r="K14" s="166" t="n">
        <v>90000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잠실올림픽공원아이파크</t>
        </is>
      </c>
      <c r="B15" s="16" t="inlineStr">
        <is>
          <t>'19.11.</t>
        </is>
      </c>
      <c r="C15" s="165" t="n">
        <v>697</v>
      </c>
      <c r="D15" s="162" t="n">
        <v>114.5</v>
      </c>
      <c r="E15" s="164" t="n">
        <v>35</v>
      </c>
      <c r="F15" s="162" t="n">
        <v>85</v>
      </c>
      <c r="G15" s="27" t="n">
        <v>26</v>
      </c>
      <c r="H15" s="165" t="n">
        <v>66</v>
      </c>
      <c r="I15" s="166" t="n">
        <v>179000</v>
      </c>
      <c r="J15" s="166" t="inlineStr">
        <is>
          <t>고</t>
        </is>
      </c>
      <c r="K15" s="166" t="n">
        <v>89000</v>
      </c>
      <c r="L15" s="166" t="inlineStr">
        <is>
          <t>고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114T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잠실올림픽공원아이파크</t>
        </is>
      </c>
      <c r="B16" s="16" t="inlineStr">
        <is>
          <t>'19.11.</t>
        </is>
      </c>
      <c r="C16" s="165" t="n">
        <v>697</v>
      </c>
      <c r="D16" s="162" t="n">
        <v>114.7</v>
      </c>
      <c r="E16" s="164" t="n">
        <v>35</v>
      </c>
      <c r="F16" s="162" t="n">
        <v>85</v>
      </c>
      <c r="G16" s="27" t="n">
        <v>26</v>
      </c>
      <c r="H16" s="165" t="n">
        <v>29</v>
      </c>
      <c r="I16" s="166" t="n"/>
      <c r="J16" s="166" t="n"/>
      <c r="K16" s="166" t="n">
        <v>90000</v>
      </c>
      <c r="L16" s="166" t="inlineStr">
        <is>
          <t>26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잠실올림픽공원아이파크</t>
        </is>
      </c>
      <c r="B17" s="16" t="inlineStr">
        <is>
          <t>'19.11.</t>
        </is>
      </c>
      <c r="C17" s="165" t="n">
        <v>697</v>
      </c>
      <c r="D17" s="162" t="n">
        <v>145</v>
      </c>
      <c r="E17" s="164" t="n">
        <v>44</v>
      </c>
      <c r="F17" s="162" t="n">
        <v>110</v>
      </c>
      <c r="G17" s="27" t="n">
        <v>33</v>
      </c>
      <c r="H17" s="165" t="n">
        <v>26</v>
      </c>
      <c r="I17" s="166" t="n">
        <v>240000</v>
      </c>
      <c r="J17" s="166" t="inlineStr">
        <is>
          <t>중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144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신성노바빌</t>
        </is>
      </c>
      <c r="B19" s="16" t="inlineStr">
        <is>
          <t>'00.09.</t>
        </is>
      </c>
      <c r="C19" s="165" t="n">
        <v>236</v>
      </c>
      <c r="D19" s="162" t="n">
        <v>83.7</v>
      </c>
      <c r="E19" s="164" t="n">
        <v>25</v>
      </c>
      <c r="F19" s="162" t="n">
        <v>59.8</v>
      </c>
      <c r="G19" s="27" t="n">
        <v>18</v>
      </c>
      <c r="H19" s="165" t="n">
        <v>124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n">
        <v>83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신성노바빌</t>
        </is>
      </c>
      <c r="B20" s="16" t="inlineStr">
        <is>
          <t>'00.09.</t>
        </is>
      </c>
      <c r="C20" s="165" t="n">
        <v>236</v>
      </c>
      <c r="D20" s="162" t="n">
        <v>109.4</v>
      </c>
      <c r="E20" s="164" t="n">
        <v>33</v>
      </c>
      <c r="F20" s="162" t="n">
        <v>85</v>
      </c>
      <c r="G20" s="27" t="n">
        <v>26</v>
      </c>
      <c r="H20" s="165" t="n">
        <v>74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복</t>
        </is>
      </c>
      <c r="T20" s="8" t="n">
        <v>109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신성노바빌</t>
        </is>
      </c>
      <c r="B21" s="16" t="inlineStr">
        <is>
          <t>'00.09.</t>
        </is>
      </c>
      <c r="C21" s="165" t="n">
        <v>236</v>
      </c>
      <c r="D21" s="162" t="n">
        <v>142</v>
      </c>
      <c r="E21" s="164" t="n">
        <v>43</v>
      </c>
      <c r="F21" s="162" t="n">
        <v>114.6</v>
      </c>
      <c r="G21" s="27" t="n">
        <v>35</v>
      </c>
      <c r="H21" s="165" t="n">
        <v>38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142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씨티극동</t>
        </is>
      </c>
      <c r="B23" s="16" t="inlineStr">
        <is>
          <t>'98.05.</t>
        </is>
      </c>
      <c r="C23" s="165" t="n">
        <v>442</v>
      </c>
      <c r="D23" s="162" t="n">
        <v>77.5</v>
      </c>
      <c r="E23" s="164" t="n">
        <v>23</v>
      </c>
      <c r="F23" s="162" t="n">
        <v>59.7</v>
      </c>
      <c r="G23" s="27" t="n">
        <v>18</v>
      </c>
      <c r="H23" s="165" t="n">
        <v>58</v>
      </c>
      <c r="I23" s="166" t="n">
        <v>95000</v>
      </c>
      <c r="J23" s="166" t="inlineStr">
        <is>
          <t>5</t>
        </is>
      </c>
      <c r="K23" s="166" t="n">
        <v>35000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77B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씨티극동</t>
        </is>
      </c>
      <c r="B24" s="16" t="inlineStr">
        <is>
          <t>'98.05.</t>
        </is>
      </c>
      <c r="C24" s="165" t="n">
        <v>442</v>
      </c>
      <c r="D24" s="162" t="n">
        <v>80.3</v>
      </c>
      <c r="E24" s="164" t="n">
        <v>24</v>
      </c>
      <c r="F24" s="162" t="n">
        <v>60</v>
      </c>
      <c r="G24" s="27" t="n">
        <v>18</v>
      </c>
      <c r="H24" s="165" t="n">
        <v>146</v>
      </c>
      <c r="I24" s="166" t="n">
        <v>90000</v>
      </c>
      <c r="J24" s="166" t="inlineStr">
        <is>
          <t>5</t>
        </is>
      </c>
      <c r="K24" s="166" t="n">
        <v>40000</v>
      </c>
      <c r="L24" s="166" t="inlineStr">
        <is>
          <t>5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80A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씨티극동</t>
        </is>
      </c>
      <c r="B25" s="16" t="inlineStr">
        <is>
          <t>'98.05.</t>
        </is>
      </c>
      <c r="C25" s="165" t="n">
        <v>442</v>
      </c>
      <c r="D25" s="162" t="n">
        <v>101</v>
      </c>
      <c r="E25" s="164" t="n">
        <v>31</v>
      </c>
      <c r="F25" s="162" t="n">
        <v>80.2</v>
      </c>
      <c r="G25" s="27" t="n">
        <v>24</v>
      </c>
      <c r="H25" s="165" t="n">
        <v>39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씨티극동</t>
        </is>
      </c>
      <c r="B26" s="16" t="inlineStr">
        <is>
          <t>'98.05.</t>
        </is>
      </c>
      <c r="C26" s="165" t="n">
        <v>442</v>
      </c>
      <c r="D26" s="162" t="n">
        <v>105.3</v>
      </c>
      <c r="E26" s="164" t="n">
        <v>32</v>
      </c>
      <c r="F26" s="162" t="n">
        <v>83.5</v>
      </c>
      <c r="G26" s="27" t="n">
        <v>25</v>
      </c>
      <c r="H26" s="165" t="n">
        <v>20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105A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씨티극동</t>
        </is>
      </c>
      <c r="B27" s="16" t="inlineStr">
        <is>
          <t>'98.05.</t>
        </is>
      </c>
      <c r="C27" s="165" t="n">
        <v>442</v>
      </c>
      <c r="D27" s="162" t="n">
        <v>109.3</v>
      </c>
      <c r="E27" s="164" t="n">
        <v>33</v>
      </c>
      <c r="F27" s="162" t="n">
        <v>84.2</v>
      </c>
      <c r="G27" s="27" t="n">
        <v>25</v>
      </c>
      <c r="H27" s="165" t="n">
        <v>70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109B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씨티극동</t>
        </is>
      </c>
      <c r="B28" s="16" t="inlineStr">
        <is>
          <t>'98.05.</t>
        </is>
      </c>
      <c r="C28" s="165" t="n">
        <v>442</v>
      </c>
      <c r="D28" s="162" t="n">
        <v>109.6</v>
      </c>
      <c r="E28" s="164" t="n">
        <v>33</v>
      </c>
      <c r="F28" s="162" t="n">
        <v>84.40000000000001</v>
      </c>
      <c r="G28" s="27" t="n">
        <v>26</v>
      </c>
      <c r="H28" s="165" t="n">
        <v>18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109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씨티극동</t>
        </is>
      </c>
      <c r="B29" s="16" t="inlineStr">
        <is>
          <t>'98.05.</t>
        </is>
      </c>
      <c r="C29" s="165" t="n">
        <v>442</v>
      </c>
      <c r="D29" s="162" t="n">
        <v>126.6</v>
      </c>
      <c r="E29" s="164" t="n">
        <v>38</v>
      </c>
      <c r="F29" s="162" t="n">
        <v>100.5</v>
      </c>
      <c r="G29" s="27" t="n">
        <v>30</v>
      </c>
      <c r="H29" s="165" t="n">
        <v>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126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씨티극동</t>
        </is>
      </c>
      <c r="B30" s="16" t="inlineStr">
        <is>
          <t>'98.05.</t>
        </is>
      </c>
      <c r="C30" s="165" t="n">
        <v>442</v>
      </c>
      <c r="D30" s="162" t="n">
        <v>144.5</v>
      </c>
      <c r="E30" s="164" t="n">
        <v>44</v>
      </c>
      <c r="F30" s="162" t="n">
        <v>114.6</v>
      </c>
      <c r="G30" s="27" t="n">
        <v>35</v>
      </c>
      <c r="H30" s="165" t="n">
        <v>57</v>
      </c>
      <c r="I30" s="166" t="n">
        <v>165000</v>
      </c>
      <c r="J30" s="166" t="inlineStr">
        <is>
          <t>중</t>
        </is>
      </c>
      <c r="K30" s="166" t="n">
        <v>85000</v>
      </c>
      <c r="L30" s="166" t="inlineStr">
        <is>
          <t>8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144B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씨티극동</t>
        </is>
      </c>
      <c r="B31" s="16" t="inlineStr">
        <is>
          <t>'98.05.</t>
        </is>
      </c>
      <c r="C31" s="165" t="n">
        <v>442</v>
      </c>
      <c r="D31" s="162" t="n">
        <v>144.3</v>
      </c>
      <c r="E31" s="164" t="n">
        <v>44</v>
      </c>
      <c r="F31" s="162" t="n">
        <v>114.5</v>
      </c>
      <c r="G31" s="27" t="n">
        <v>35</v>
      </c>
      <c r="H31" s="165" t="n">
        <v>21</v>
      </c>
      <c r="I31" s="166" t="n"/>
      <c r="J31" s="166" t="n"/>
      <c r="K31" s="166" t="n">
        <v>90000</v>
      </c>
      <c r="L31" s="166" t="inlineStr">
        <is>
          <t>16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144A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씨티극동</t>
        </is>
      </c>
      <c r="B32" s="16" t="inlineStr">
        <is>
          <t>'98.05.</t>
        </is>
      </c>
      <c r="C32" s="165" t="n">
        <v>442</v>
      </c>
      <c r="D32" s="162" t="n">
        <v>170.6</v>
      </c>
      <c r="E32" s="164" t="n">
        <v>52</v>
      </c>
      <c r="F32" s="162" t="n">
        <v>135.3</v>
      </c>
      <c r="G32" s="27" t="n">
        <v>41</v>
      </c>
      <c r="H32" s="165" t="n">
        <v>4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170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씨티극동</t>
        </is>
      </c>
      <c r="B33" s="16" t="inlineStr">
        <is>
          <t>'98.05.</t>
        </is>
      </c>
      <c r="C33" s="165" t="n">
        <v>442</v>
      </c>
      <c r="D33" s="162" t="n">
        <v>204.7</v>
      </c>
      <c r="E33" s="164" t="n">
        <v>62</v>
      </c>
      <c r="F33" s="162" t="n">
        <v>162.4</v>
      </c>
      <c r="G33" s="27" t="n">
        <v>49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204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씨티극동</t>
        </is>
      </c>
      <c r="B34" s="16" t="inlineStr">
        <is>
          <t>'98.05.</t>
        </is>
      </c>
      <c r="C34" s="165" t="n">
        <v>442</v>
      </c>
      <c r="D34" s="162" t="n">
        <v>224.4</v>
      </c>
      <c r="E34" s="164" t="n">
        <v>68</v>
      </c>
      <c r="F34" s="162" t="n">
        <v>178</v>
      </c>
      <c r="G34" s="27" t="n">
        <v>54</v>
      </c>
      <c r="H34" s="165" t="n">
        <v>2</v>
      </c>
      <c r="I34" s="166" t="n">
        <v>200000</v>
      </c>
      <c r="J34" s="166" t="inlineStr">
        <is>
          <t>21</t>
        </is>
      </c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224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씨티극동</t>
        </is>
      </c>
      <c r="B35" s="16" t="inlineStr">
        <is>
          <t>'98.05.</t>
        </is>
      </c>
      <c r="C35" s="165" t="n">
        <v>442</v>
      </c>
      <c r="D35" s="162" t="n">
        <v>250.7</v>
      </c>
      <c r="E35" s="164" t="n">
        <v>76</v>
      </c>
      <c r="F35" s="162" t="n">
        <v>198.9</v>
      </c>
      <c r="G35" s="27" t="n">
        <v>60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n">
        <v>250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씨티극동</t>
        </is>
      </c>
      <c r="B36" s="16" t="inlineStr">
        <is>
          <t>'98.05.</t>
        </is>
      </c>
      <c r="C36" s="165" t="n">
        <v>442</v>
      </c>
      <c r="D36" s="162" t="n">
        <v>253.4</v>
      </c>
      <c r="E36" s="164" t="n">
        <v>77</v>
      </c>
      <c r="F36" s="162" t="n">
        <v>201</v>
      </c>
      <c r="G36" s="27" t="n">
        <v>61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n">
        <v>253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한강극동</t>
        </is>
      </c>
      <c r="B38" s="16" t="inlineStr">
        <is>
          <t>'95.07.</t>
        </is>
      </c>
      <c r="C38" s="165" t="n">
        <v>895</v>
      </c>
      <c r="D38" s="162" t="n">
        <v>79.90000000000001</v>
      </c>
      <c r="E38" s="164" t="n">
        <v>24</v>
      </c>
      <c r="F38" s="162" t="n">
        <v>59.3</v>
      </c>
      <c r="G38" s="27" t="n">
        <v>18</v>
      </c>
      <c r="H38" s="165" t="n">
        <v>315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1</v>
      </c>
      <c r="S38" s="113" t="inlineStr">
        <is>
          <t>복</t>
        </is>
      </c>
      <c r="T38" s="8" t="n">
        <v>79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한강극동</t>
        </is>
      </c>
      <c r="B39" s="16" t="inlineStr">
        <is>
          <t>'95.07.</t>
        </is>
      </c>
      <c r="C39" s="165" t="n">
        <v>895</v>
      </c>
      <c r="D39" s="162" t="n">
        <v>106.4</v>
      </c>
      <c r="E39" s="164" t="n">
        <v>32</v>
      </c>
      <c r="F39" s="162" t="n">
        <v>84.8</v>
      </c>
      <c r="G39" s="27" t="n">
        <v>26</v>
      </c>
      <c r="H39" s="165" t="n">
        <v>328</v>
      </c>
      <c r="I39" s="166" t="n">
        <v>113000</v>
      </c>
      <c r="J39" s="166" t="inlineStr">
        <is>
          <t>15</t>
        </is>
      </c>
      <c r="K39" s="166" t="n">
        <v>50000</v>
      </c>
      <c r="L39" s="166" t="inlineStr">
        <is>
          <t>15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106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한강극동</t>
        </is>
      </c>
      <c r="B40" s="16" t="inlineStr">
        <is>
          <t>'95.07.</t>
        </is>
      </c>
      <c r="C40" s="165" t="n">
        <v>895</v>
      </c>
      <c r="D40" s="162" t="n">
        <v>138.9</v>
      </c>
      <c r="E40" s="164" t="n">
        <v>42</v>
      </c>
      <c r="F40" s="162" t="n">
        <v>114.8</v>
      </c>
      <c r="G40" s="27" t="n">
        <v>35</v>
      </c>
      <c r="H40" s="165" t="n">
        <v>252</v>
      </c>
      <c r="I40" s="166" t="n">
        <v>145000</v>
      </c>
      <c r="J40" s="166" t="inlineStr">
        <is>
          <t>고</t>
        </is>
      </c>
      <c r="K40" s="166" t="n">
        <v>65000</v>
      </c>
      <c r="L40" s="166" t="inlineStr">
        <is>
          <t>14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138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쌍용</t>
        </is>
      </c>
      <c r="B42" s="16" t="inlineStr">
        <is>
          <t>'94.07.</t>
        </is>
      </c>
      <c r="C42" s="165" t="n">
        <v>417</v>
      </c>
      <c r="D42" s="162" t="n">
        <v>106.2</v>
      </c>
      <c r="E42" s="164" t="n">
        <v>32</v>
      </c>
      <c r="F42" s="162" t="n">
        <v>84.90000000000001</v>
      </c>
      <c r="G42" s="27" t="n">
        <v>26</v>
      </c>
      <c r="H42" s="165" t="n">
        <v>297</v>
      </c>
      <c r="I42" s="166" t="n"/>
      <c r="J42" s="166" t="n"/>
      <c r="K42" s="166" t="n">
        <v>53000</v>
      </c>
      <c r="L42" s="166" t="inlineStr">
        <is>
          <t>9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106A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쌍용</t>
        </is>
      </c>
      <c r="B43" s="16" t="inlineStr">
        <is>
          <t>'94.07.</t>
        </is>
      </c>
      <c r="C43" s="165" t="n">
        <v>417</v>
      </c>
      <c r="D43" s="162" t="n">
        <v>106.2</v>
      </c>
      <c r="E43" s="164" t="n">
        <v>32</v>
      </c>
      <c r="F43" s="162" t="n">
        <v>84.90000000000001</v>
      </c>
      <c r="G43" s="27" t="n">
        <v>26</v>
      </c>
      <c r="H43" s="165" t="n">
        <v>102</v>
      </c>
      <c r="I43" s="166" t="n"/>
      <c r="J43" s="166" t="n"/>
      <c r="K43" s="166" t="n">
        <v>53000</v>
      </c>
      <c r="L43" s="166" t="inlineStr">
        <is>
          <t>9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106B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쌍용</t>
        </is>
      </c>
      <c r="B44" s="16" t="inlineStr">
        <is>
          <t>'94.07.</t>
        </is>
      </c>
      <c r="C44" s="165" t="n">
        <v>417</v>
      </c>
      <c r="D44" s="162" t="n">
        <v>106.2</v>
      </c>
      <c r="E44" s="164" t="n">
        <v>32</v>
      </c>
      <c r="F44" s="162" t="n">
        <v>84.8</v>
      </c>
      <c r="G44" s="27" t="n">
        <v>26</v>
      </c>
      <c r="H44" s="165" t="n">
        <v>18</v>
      </c>
      <c r="I44" s="166" t="n">
        <v>120000</v>
      </c>
      <c r="J44" s="166" t="inlineStr">
        <is>
          <t>17</t>
        </is>
      </c>
      <c r="K44" s="166" t="n">
        <v>56500</v>
      </c>
      <c r="L44" s="166" t="inlineStr">
        <is>
          <t>19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106C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극동</t>
        </is>
      </c>
      <c r="B46" s="16" t="inlineStr">
        <is>
          <t>'87.12.</t>
        </is>
      </c>
      <c r="C46" s="165" t="n">
        <v>415</v>
      </c>
      <c r="D46" s="162" t="n">
        <v>81.7</v>
      </c>
      <c r="E46" s="164" t="n">
        <v>25</v>
      </c>
      <c r="F46" s="162" t="n">
        <v>60</v>
      </c>
      <c r="G46" s="27" t="n">
        <v>18</v>
      </c>
      <c r="H46" s="165" t="n">
        <v>147</v>
      </c>
      <c r="I46" s="166" t="n">
        <v>120000</v>
      </c>
      <c r="J46" s="166" t="inlineStr">
        <is>
          <t>11</t>
        </is>
      </c>
      <c r="K46" s="166" t="n">
        <v>44000</v>
      </c>
      <c r="L46" s="166" t="inlineStr">
        <is>
          <t>7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inlineStr">
        <is>
          <t>81A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극동</t>
        </is>
      </c>
      <c r="B47" s="16" t="inlineStr">
        <is>
          <t>'87.12.</t>
        </is>
      </c>
      <c r="C47" s="165" t="n">
        <v>415</v>
      </c>
      <c r="D47" s="162" t="n">
        <v>82.40000000000001</v>
      </c>
      <c r="E47" s="164" t="n">
        <v>25</v>
      </c>
      <c r="F47" s="162" t="n">
        <v>58.1</v>
      </c>
      <c r="G47" s="27" t="n">
        <v>18</v>
      </c>
      <c r="H47" s="165" t="n">
        <v>36</v>
      </c>
      <c r="I47" s="166" t="n">
        <v>127000</v>
      </c>
      <c r="J47" s="166" t="inlineStr">
        <is>
          <t>중</t>
        </is>
      </c>
      <c r="K47" s="166" t="n">
        <v>45000</v>
      </c>
      <c r="L47" s="166" t="inlineStr">
        <is>
          <t>6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2</v>
      </c>
      <c r="R47" s="113" t="n">
        <v>1</v>
      </c>
      <c r="S47" s="113" t="inlineStr">
        <is>
          <t>복</t>
        </is>
      </c>
      <c r="T47" s="8" t="inlineStr">
        <is>
          <t>82B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극동</t>
        </is>
      </c>
      <c r="B48" s="16" t="inlineStr">
        <is>
          <t>'87.12.</t>
        </is>
      </c>
      <c r="C48" s="165" t="n">
        <v>415</v>
      </c>
      <c r="D48" s="162" t="n">
        <v>97</v>
      </c>
      <c r="E48" s="164" t="n">
        <v>29</v>
      </c>
      <c r="F48" s="162" t="n">
        <v>79.90000000000001</v>
      </c>
      <c r="G48" s="27" t="n">
        <v>24</v>
      </c>
      <c r="H48" s="165" t="n">
        <v>232</v>
      </c>
      <c r="I48" s="166" t="n">
        <v>130000</v>
      </c>
      <c r="J48" s="166" t="inlineStr">
        <is>
          <t>10</t>
        </is>
      </c>
      <c r="K48" s="166" t="n">
        <v>57000</v>
      </c>
      <c r="L48" s="166" t="inlineStr">
        <is>
          <t>15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96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현대리버빌1지구</t>
        </is>
      </c>
      <c r="B50" s="16" t="inlineStr">
        <is>
          <t>'99.11.</t>
        </is>
      </c>
      <c r="C50" s="165" t="n">
        <v>557</v>
      </c>
      <c r="D50" s="162" t="n">
        <v>58.8</v>
      </c>
      <c r="E50" s="164" t="n">
        <v>18</v>
      </c>
      <c r="F50" s="162" t="n">
        <v>43.2</v>
      </c>
      <c r="G50" s="27" t="n">
        <v>13</v>
      </c>
      <c r="H50" s="165" t="n">
        <v>192</v>
      </c>
      <c r="I50" s="166" t="n">
        <v>69000</v>
      </c>
      <c r="J50" s="166" t="inlineStr">
        <is>
          <t>고</t>
        </is>
      </c>
      <c r="K50" s="166" t="n">
        <v>35000</v>
      </c>
      <c r="L50" s="166" t="inlineStr">
        <is>
          <t>11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58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현대리버빌1지구</t>
        </is>
      </c>
      <c r="B51" s="16" t="inlineStr">
        <is>
          <t>'99.11.</t>
        </is>
      </c>
      <c r="C51" s="165" t="n">
        <v>557</v>
      </c>
      <c r="D51" s="162" t="n">
        <v>65.59999999999999</v>
      </c>
      <c r="E51" s="164" t="n">
        <v>20</v>
      </c>
      <c r="F51" s="162" t="n">
        <v>47.4</v>
      </c>
      <c r="G51" s="27" t="n">
        <v>14</v>
      </c>
      <c r="H51" s="165" t="n">
        <v>13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2</v>
      </c>
      <c r="R51" s="113" t="n">
        <v>1</v>
      </c>
      <c r="S51" s="113" t="inlineStr">
        <is>
          <t>복</t>
        </is>
      </c>
      <c r="T51" s="8" t="n">
        <v>65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현대리버빌1지구</t>
        </is>
      </c>
      <c r="B52" s="16" t="inlineStr">
        <is>
          <t>'99.11.</t>
        </is>
      </c>
      <c r="C52" s="165" t="n">
        <v>557</v>
      </c>
      <c r="D52" s="162" t="n">
        <v>80.5</v>
      </c>
      <c r="E52" s="164" t="n">
        <v>24</v>
      </c>
      <c r="F52" s="162" t="n">
        <v>58.1</v>
      </c>
      <c r="G52" s="27" t="n">
        <v>18</v>
      </c>
      <c r="H52" s="165" t="n">
        <v>16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2</v>
      </c>
      <c r="R52" s="113" t="n">
        <v>1</v>
      </c>
      <c r="S52" s="113" t="inlineStr">
        <is>
          <t>복</t>
        </is>
      </c>
      <c r="T52" s="8" t="n">
        <v>80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현대리버빌1지구</t>
        </is>
      </c>
      <c r="B53" s="16" t="inlineStr">
        <is>
          <t>'99.11.</t>
        </is>
      </c>
      <c r="C53" s="165" t="n">
        <v>557</v>
      </c>
      <c r="D53" s="162" t="n">
        <v>83</v>
      </c>
      <c r="E53" s="164" t="n">
        <v>25</v>
      </c>
      <c r="F53" s="162" t="n">
        <v>60</v>
      </c>
      <c r="G53" s="27" t="n">
        <v>18</v>
      </c>
      <c r="H53" s="165" t="n">
        <v>56</v>
      </c>
      <c r="I53" s="166" t="n">
        <v>101000</v>
      </c>
      <c r="J53" s="166" t="inlineStr">
        <is>
          <t>5</t>
        </is>
      </c>
      <c r="K53" s="166" t="n">
        <v>60000</v>
      </c>
      <c r="L53" s="166" t="inlineStr">
        <is>
          <t>고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83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현대리버빌1지구</t>
        </is>
      </c>
      <c r="B54" s="16" t="inlineStr">
        <is>
          <t>'99.11.</t>
        </is>
      </c>
      <c r="C54" s="165" t="n">
        <v>557</v>
      </c>
      <c r="D54" s="162" t="n">
        <v>104.1</v>
      </c>
      <c r="E54" s="164" t="n">
        <v>31</v>
      </c>
      <c r="F54" s="162" t="n">
        <v>84.90000000000001</v>
      </c>
      <c r="G54" s="27" t="n">
        <v>26</v>
      </c>
      <c r="H54" s="165" t="n">
        <v>12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104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현대리버빌1지구</t>
        </is>
      </c>
      <c r="B55" s="16" t="inlineStr">
        <is>
          <t>'99.11.</t>
        </is>
      </c>
      <c r="C55" s="165" t="n">
        <v>557</v>
      </c>
      <c r="D55" s="162" t="n">
        <v>108</v>
      </c>
      <c r="E55" s="164" t="n">
        <v>33</v>
      </c>
      <c r="F55" s="162" t="n">
        <v>85</v>
      </c>
      <c r="G55" s="27" t="n">
        <v>26</v>
      </c>
      <c r="H55" s="165" t="n">
        <v>115</v>
      </c>
      <c r="I55" s="166" t="n">
        <v>130000</v>
      </c>
      <c r="J55" s="166" t="inlineStr">
        <is>
          <t>9</t>
        </is>
      </c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현대리버빌1지구</t>
        </is>
      </c>
      <c r="B56" s="16" t="inlineStr">
        <is>
          <t>'99.11.</t>
        </is>
      </c>
      <c r="C56" s="165" t="n">
        <v>557</v>
      </c>
      <c r="D56" s="162" t="n">
        <v>140.4</v>
      </c>
      <c r="E56" s="164" t="n">
        <v>42</v>
      </c>
      <c r="F56" s="162" t="n">
        <v>114.6</v>
      </c>
      <c r="G56" s="27" t="n">
        <v>35</v>
      </c>
      <c r="H56" s="165" t="n">
        <v>45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현대리버빌1지구</t>
        </is>
      </c>
      <c r="B57" s="16" t="inlineStr">
        <is>
          <t>'99.11.</t>
        </is>
      </c>
      <c r="C57" s="165" t="n">
        <v>557</v>
      </c>
      <c r="D57" s="162" t="n">
        <v>187.7</v>
      </c>
      <c r="E57" s="164" t="n">
        <v>57</v>
      </c>
      <c r="F57" s="162" t="n">
        <v>153.1</v>
      </c>
      <c r="G57" s="27" t="n">
        <v>46</v>
      </c>
      <c r="H57" s="165" t="n">
        <v>19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187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현대리버빌1지구</t>
        </is>
      </c>
      <c r="B58" s="16" t="inlineStr">
        <is>
          <t>'99.11.</t>
        </is>
      </c>
      <c r="C58" s="165" t="n">
        <v>557</v>
      </c>
      <c r="D58" s="162" t="n">
        <v>204.8</v>
      </c>
      <c r="E58" s="164" t="n">
        <v>62</v>
      </c>
      <c r="F58" s="162" t="n">
        <v>167.1</v>
      </c>
      <c r="G58" s="27" t="n">
        <v>51</v>
      </c>
      <c r="H58" s="165" t="n">
        <v>12</v>
      </c>
      <c r="I58" s="166" t="n">
        <v>190000</v>
      </c>
      <c r="J58" s="166" t="inlineStr">
        <is>
          <t>5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5</v>
      </c>
      <c r="R58" s="113" t="n">
        <v>2</v>
      </c>
      <c r="S58" s="113" t="inlineStr">
        <is>
          <t>계</t>
        </is>
      </c>
      <c r="T58" s="8" t="n">
        <v>204</v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현대리버빌1지구</t>
        </is>
      </c>
      <c r="B59" s="16" t="inlineStr">
        <is>
          <t>'99.11.</t>
        </is>
      </c>
      <c r="C59" s="165" t="n">
        <v>557</v>
      </c>
      <c r="D59" s="162" t="n">
        <v>221.3</v>
      </c>
      <c r="E59" s="164" t="n">
        <v>67</v>
      </c>
      <c r="F59" s="162" t="n">
        <v>185</v>
      </c>
      <c r="G59" s="27" t="n">
        <v>56</v>
      </c>
      <c r="H59" s="165" t="n">
        <v>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5</v>
      </c>
      <c r="R59" s="113" t="n">
        <v>2</v>
      </c>
      <c r="S59" s="113" t="inlineStr">
        <is>
          <t>계</t>
        </is>
      </c>
      <c r="T59" s="8" t="n">
        <v>221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현대리버빌1지구</t>
        </is>
      </c>
      <c r="B60" s="16" t="inlineStr">
        <is>
          <t>'99.11.</t>
        </is>
      </c>
      <c r="C60" s="165" t="n">
        <v>557</v>
      </c>
      <c r="D60" s="162" t="n">
        <v>223.8</v>
      </c>
      <c r="E60" s="164" t="n">
        <v>68</v>
      </c>
      <c r="F60" s="162" t="n">
        <v>187.1</v>
      </c>
      <c r="G60" s="27" t="n">
        <v>57</v>
      </c>
      <c r="H60" s="165" t="n">
        <v>75</v>
      </c>
      <c r="I60" s="166" t="n">
        <v>220000</v>
      </c>
      <c r="J60" s="166" t="inlineStr">
        <is>
          <t>17</t>
        </is>
      </c>
      <c r="K60" s="166" t="n">
        <v>105000</v>
      </c>
      <c r="L60" s="166" t="inlineStr">
        <is>
          <t>17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5</v>
      </c>
      <c r="R60" s="113" t="n">
        <v>2</v>
      </c>
      <c r="S60" s="113" t="inlineStr">
        <is>
          <t>계</t>
        </is>
      </c>
      <c r="T60" s="8" t="n">
        <v>223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2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3" t="n"/>
      <c r="P61" s="163" t="n"/>
      <c r="Q61" s="164" t="n"/>
      <c r="R61" s="164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1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미성맨션</t>
        </is>
      </c>
      <c r="B62" s="16" t="inlineStr">
        <is>
          <t>'85.06.</t>
        </is>
      </c>
      <c r="C62" s="165" t="n">
        <v>275</v>
      </c>
      <c r="D62" s="162" t="n">
        <v>86.90000000000001</v>
      </c>
      <c r="E62" s="164" t="n">
        <v>26</v>
      </c>
      <c r="F62" s="162" t="n">
        <v>63.4</v>
      </c>
      <c r="G62" s="27" t="n">
        <v>19</v>
      </c>
      <c r="H62" s="165" t="n">
        <v>55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2</v>
      </c>
      <c r="R62" s="113" t="n">
        <v>1</v>
      </c>
      <c r="S62" s="113" t="inlineStr">
        <is>
          <t>복</t>
        </is>
      </c>
      <c r="T62" s="8" t="n">
        <v>86</v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미성맨션</t>
        </is>
      </c>
      <c r="B63" s="16" t="inlineStr">
        <is>
          <t>'85.06.</t>
        </is>
      </c>
      <c r="C63" s="165" t="n">
        <v>275</v>
      </c>
      <c r="D63" s="162" t="n">
        <v>119.7</v>
      </c>
      <c r="E63" s="164" t="n">
        <v>36</v>
      </c>
      <c r="F63" s="162" t="n">
        <v>98.3</v>
      </c>
      <c r="G63" s="27" t="n">
        <v>30</v>
      </c>
      <c r="H63" s="165" t="n">
        <v>22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119</v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미성맨션</t>
        </is>
      </c>
      <c r="B64" s="16" t="inlineStr">
        <is>
          <t>'85.06.</t>
        </is>
      </c>
      <c r="C64" s="165" t="n">
        <v>275</v>
      </c>
      <c r="D64" s="162" t="n">
        <v>139.9</v>
      </c>
      <c r="E64" s="164" t="n">
        <v>42</v>
      </c>
      <c r="F64" s="162" t="n">
        <v>117</v>
      </c>
      <c r="G64" s="27" t="n">
        <v>35</v>
      </c>
      <c r="H64" s="165" t="n">
        <v>176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inlineStr">
        <is>
          <t>139A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미성맨션</t>
        </is>
      </c>
      <c r="B65" s="16" t="inlineStr">
        <is>
          <t>'85.06.</t>
        </is>
      </c>
      <c r="C65" s="165" t="n">
        <v>275</v>
      </c>
      <c r="D65" s="162" t="n">
        <v>139.9</v>
      </c>
      <c r="E65" s="164" t="n">
        <v>42</v>
      </c>
      <c r="F65" s="162" t="n">
        <v>117</v>
      </c>
      <c r="G65" s="27" t="n">
        <v>35</v>
      </c>
      <c r="H65" s="165" t="n">
        <v>22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139B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2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3" t="n"/>
      <c r="P66" s="163" t="n"/>
      <c r="Q66" s="164" t="n"/>
      <c r="R66" s="164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1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현대리버빌2차</t>
        </is>
      </c>
      <c r="B67" s="16" t="inlineStr">
        <is>
          <t>'99.11.</t>
        </is>
      </c>
      <c r="C67" s="165" t="n">
        <v>384</v>
      </c>
      <c r="D67" s="162" t="n">
        <v>60.2</v>
      </c>
      <c r="E67" s="164" t="n">
        <v>18</v>
      </c>
      <c r="F67" s="162" t="n">
        <v>41</v>
      </c>
      <c r="G67" s="27" t="n">
        <v>12</v>
      </c>
      <c r="H67" s="165" t="n">
        <v>102</v>
      </c>
      <c r="I67" s="166" t="n">
        <v>62000</v>
      </c>
      <c r="J67" s="166" t="inlineStr">
        <is>
          <t>11</t>
        </is>
      </c>
      <c r="K67" s="166" t="n">
        <v>33000</v>
      </c>
      <c r="L67" s="166" t="inlineStr">
        <is>
          <t>12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1</v>
      </c>
      <c r="R67" s="113" t="n">
        <v>1</v>
      </c>
      <c r="S67" s="113" t="inlineStr">
        <is>
          <t>복</t>
        </is>
      </c>
      <c r="T67" s="8" t="n">
        <v>60</v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현대리버빌2차</t>
        </is>
      </c>
      <c r="B68" s="16" t="inlineStr">
        <is>
          <t>'99.11.</t>
        </is>
      </c>
      <c r="C68" s="165" t="n">
        <v>384</v>
      </c>
      <c r="D68" s="162" t="n">
        <v>87.3</v>
      </c>
      <c r="E68" s="164" t="n">
        <v>26</v>
      </c>
      <c r="F68" s="162" t="n">
        <v>59.4</v>
      </c>
      <c r="G68" s="27" t="n">
        <v>18</v>
      </c>
      <c r="H68" s="165" t="n">
        <v>80</v>
      </c>
      <c r="I68" s="166" t="n">
        <v>115000</v>
      </c>
      <c r="J68" s="166" t="inlineStr">
        <is>
          <t>10</t>
        </is>
      </c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복</t>
        </is>
      </c>
      <c r="T68" s="8" t="n">
        <v>87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현대리버빌2차</t>
        </is>
      </c>
      <c r="B69" s="16" t="inlineStr">
        <is>
          <t>'99.11.</t>
        </is>
      </c>
      <c r="C69" s="165" t="n">
        <v>384</v>
      </c>
      <c r="D69" s="162" t="n">
        <v>103.4</v>
      </c>
      <c r="E69" s="164" t="n">
        <v>31</v>
      </c>
      <c r="F69" s="162" t="n">
        <v>78.8</v>
      </c>
      <c r="G69" s="27" t="n">
        <v>24</v>
      </c>
      <c r="H69" s="165" t="n">
        <v>12</v>
      </c>
      <c r="I69" s="166" t="n">
        <v>115000</v>
      </c>
      <c r="J69" s="166" t="inlineStr">
        <is>
          <t>6</t>
        </is>
      </c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103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현대리버빌2차</t>
        </is>
      </c>
      <c r="B70" s="16" t="inlineStr">
        <is>
          <t>'99.11.</t>
        </is>
      </c>
      <c r="C70" s="165" t="n">
        <v>384</v>
      </c>
      <c r="D70" s="162" t="n">
        <v>108.5</v>
      </c>
      <c r="E70" s="164" t="n">
        <v>33</v>
      </c>
      <c r="F70" s="162" t="n">
        <v>85</v>
      </c>
      <c r="G70" s="27" t="n">
        <v>26</v>
      </c>
      <c r="H70" s="165" t="n">
        <v>170</v>
      </c>
      <c r="I70" s="166" t="n">
        <v>120000</v>
      </c>
      <c r="J70" s="166" t="inlineStr">
        <is>
          <t>17</t>
        </is>
      </c>
      <c r="K70" s="166" t="n">
        <v>55000</v>
      </c>
      <c r="L70" s="166" t="inlineStr">
        <is>
          <t>8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108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현대리버빌2차</t>
        </is>
      </c>
      <c r="B71" s="16" t="inlineStr">
        <is>
          <t>'99.11.</t>
        </is>
      </c>
      <c r="C71" s="165" t="n">
        <v>384</v>
      </c>
      <c r="D71" s="162" t="n">
        <v>141.7</v>
      </c>
      <c r="E71" s="164" t="n">
        <v>43</v>
      </c>
      <c r="F71" s="162" t="n">
        <v>114.9</v>
      </c>
      <c r="G71" s="27" t="n">
        <v>35</v>
      </c>
      <c r="H71" s="165" t="n">
        <v>20</v>
      </c>
      <c r="I71" s="166" t="n">
        <v>140000</v>
      </c>
      <c r="J71" s="166" t="inlineStr">
        <is>
          <t>5</t>
        </is>
      </c>
      <c r="K71" s="166" t="n">
        <v>85000</v>
      </c>
      <c r="L71" s="166" t="inlineStr">
        <is>
          <t>5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141</v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풍납현대</t>
        </is>
      </c>
      <c r="B73" s="16" t="inlineStr">
        <is>
          <t>'95.11.</t>
        </is>
      </c>
      <c r="C73" s="165" t="n">
        <v>708</v>
      </c>
      <c r="D73" s="162" t="n">
        <v>88.59999999999999</v>
      </c>
      <c r="E73" s="164" t="n">
        <v>27</v>
      </c>
      <c r="F73" s="162" t="n">
        <v>71.2</v>
      </c>
      <c r="G73" s="27" t="n">
        <v>22</v>
      </c>
      <c r="H73" s="165" t="n">
        <v>78</v>
      </c>
      <c r="I73" s="166" t="n">
        <v>130000</v>
      </c>
      <c r="J73" s="166" t="inlineStr">
        <is>
          <t>19</t>
        </is>
      </c>
      <c r="K73" s="166" t="n">
        <v>47000</v>
      </c>
      <c r="L73" s="166" t="inlineStr">
        <is>
          <t>5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88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풍납현대</t>
        </is>
      </c>
      <c r="B74" s="16" t="inlineStr">
        <is>
          <t>'95.11.</t>
        </is>
      </c>
      <c r="C74" s="165" t="n">
        <v>708</v>
      </c>
      <c r="D74" s="162" t="n">
        <v>101.2</v>
      </c>
      <c r="E74" s="164" t="n">
        <v>31</v>
      </c>
      <c r="F74" s="162" t="n">
        <v>83</v>
      </c>
      <c r="G74" s="27" t="n">
        <v>25</v>
      </c>
      <c r="H74" s="165" t="n">
        <v>532</v>
      </c>
      <c r="I74" s="166" t="n">
        <v>130000</v>
      </c>
      <c r="J74" s="166" t="inlineStr">
        <is>
          <t>15</t>
        </is>
      </c>
      <c r="K74" s="166" t="n">
        <v>63000</v>
      </c>
      <c r="L74" s="166" t="inlineStr">
        <is>
          <t>12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101N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풍납현대</t>
        </is>
      </c>
      <c r="B75" s="16" t="inlineStr">
        <is>
          <t>'95.11.</t>
        </is>
      </c>
      <c r="C75" s="165" t="n">
        <v>708</v>
      </c>
      <c r="D75" s="162" t="n">
        <v>102.9</v>
      </c>
      <c r="E75" s="164" t="n">
        <v>31</v>
      </c>
      <c r="F75" s="162" t="n">
        <v>84</v>
      </c>
      <c r="G75" s="27" t="n">
        <v>25</v>
      </c>
      <c r="H75" s="165" t="n">
        <v>98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102S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2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3" t="n"/>
      <c r="P76" s="163" t="n"/>
      <c r="Q76" s="164" t="n"/>
      <c r="R76" s="164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1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동아한가람</t>
        </is>
      </c>
      <c r="B77" s="16" t="inlineStr">
        <is>
          <t>'95.06.</t>
        </is>
      </c>
      <c r="C77" s="165" t="n">
        <v>782</v>
      </c>
      <c r="D77" s="162" t="n">
        <v>74.59999999999999</v>
      </c>
      <c r="E77" s="164" t="n">
        <v>23</v>
      </c>
      <c r="F77" s="162" t="n">
        <v>60</v>
      </c>
      <c r="G77" s="27" t="n">
        <v>18</v>
      </c>
      <c r="H77" s="165" t="n">
        <v>70</v>
      </c>
      <c r="I77" s="166" t="n">
        <v>105000</v>
      </c>
      <c r="J77" s="166" t="inlineStr">
        <is>
          <t>고</t>
        </is>
      </c>
      <c r="K77" s="166" t="n">
        <v>45000</v>
      </c>
      <c r="L77" s="166" t="inlineStr">
        <is>
          <t>중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74F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동아한가람</t>
        </is>
      </c>
      <c r="B78" s="16" t="inlineStr">
        <is>
          <t>'95.06.</t>
        </is>
      </c>
      <c r="C78" s="165" t="n">
        <v>782</v>
      </c>
      <c r="D78" s="162" t="n">
        <v>74.5</v>
      </c>
      <c r="E78" s="164" t="n">
        <v>23</v>
      </c>
      <c r="F78" s="162" t="n">
        <v>59.9</v>
      </c>
      <c r="G78" s="27" t="n">
        <v>18</v>
      </c>
      <c r="H78" s="165" t="n">
        <v>13</v>
      </c>
      <c r="I78" s="166" t="n">
        <v>110000</v>
      </c>
      <c r="J78" s="166" t="inlineStr">
        <is>
          <t>중</t>
        </is>
      </c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74G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동아한가람</t>
        </is>
      </c>
      <c r="B79" s="16" t="inlineStr">
        <is>
          <t>'95.06.</t>
        </is>
      </c>
      <c r="C79" s="165" t="n">
        <v>782</v>
      </c>
      <c r="D79" s="162" t="n">
        <v>104.9</v>
      </c>
      <c r="E79" s="164" t="n">
        <v>32</v>
      </c>
      <c r="F79" s="162" t="n">
        <v>84.40000000000001</v>
      </c>
      <c r="G79" s="27" t="n">
        <v>26</v>
      </c>
      <c r="H79" s="165" t="n">
        <v>664</v>
      </c>
      <c r="I79" s="166" t="n">
        <v>97000</v>
      </c>
      <c r="J79" s="166" t="inlineStr">
        <is>
          <t>8</t>
        </is>
      </c>
      <c r="K79" s="166" t="n">
        <v>50000</v>
      </c>
      <c r="L79" s="166" t="inlineStr">
        <is>
          <t>14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104A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동아한가람</t>
        </is>
      </c>
      <c r="B80" s="16" t="inlineStr">
        <is>
          <t>'95.06.</t>
        </is>
      </c>
      <c r="C80" s="165" t="n">
        <v>782</v>
      </c>
      <c r="D80" s="162" t="n">
        <v>105.6</v>
      </c>
      <c r="E80" s="164" t="n">
        <v>32</v>
      </c>
      <c r="F80" s="162" t="n">
        <v>85</v>
      </c>
      <c r="G80" s="27" t="n">
        <v>26</v>
      </c>
      <c r="H80" s="165" t="n">
        <v>18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105B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동아한가람</t>
        </is>
      </c>
      <c r="B81" s="16" t="inlineStr">
        <is>
          <t>'95.06.</t>
        </is>
      </c>
      <c r="C81" s="165" t="n">
        <v>782</v>
      </c>
      <c r="D81" s="162" t="n">
        <v>105.8</v>
      </c>
      <c r="E81" s="164" t="n">
        <v>32</v>
      </c>
      <c r="F81" s="162" t="n">
        <v>84.90000000000001</v>
      </c>
      <c r="G81" s="27" t="n">
        <v>26</v>
      </c>
      <c r="H81" s="165" t="n">
        <v>17</v>
      </c>
      <c r="I81" s="166" t="n"/>
      <c r="J81" s="166" t="n"/>
      <c r="K81" s="166" t="n">
        <v>60000</v>
      </c>
      <c r="L81" s="166" t="inlineStr">
        <is>
          <t>10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105C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305" dxfId="17">
      <formula>AV4="X"</formula>
    </cfRule>
    <cfRule type="expression" priority="1306" dxfId="16">
      <formula>AV4="후보"</formula>
    </cfRule>
  </conditionalFormatting>
  <conditionalFormatting sqref="AC1:AC2 AC4:AC6 N4:N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N1:N2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6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17">
      <formula>AV7="X"</formula>
    </cfRule>
    <cfRule type="expression" priority="1285" dxfId="16">
      <formula>AV7="후보"</formula>
    </cfRule>
  </conditionalFormatting>
  <conditionalFormatting sqref="AC7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7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17">
      <formula>AV8="X"</formula>
    </cfRule>
    <cfRule type="expression" priority="1266" dxfId="16">
      <formula>AV8="후보"</formula>
    </cfRule>
  </conditionalFormatting>
  <conditionalFormatting sqref="AC8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8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17">
      <formula>AV9="X"</formula>
    </cfRule>
    <cfRule type="expression" priority="1247" dxfId="16">
      <formula>AV9="후보"</formula>
    </cfRule>
  </conditionalFormatting>
  <conditionalFormatting sqref="AC9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9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17">
      <formula>AV10="X"</formula>
    </cfRule>
    <cfRule type="expression" priority="1228" dxfId="16">
      <formula>AV10="후보"</formula>
    </cfRule>
  </conditionalFormatting>
  <conditionalFormatting sqref="AC10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0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17">
      <formula>AV11="X"</formula>
    </cfRule>
    <cfRule type="expression" priority="1209" dxfId="16">
      <formula>AV11="후보"</formula>
    </cfRule>
  </conditionalFormatting>
  <conditionalFormatting sqref="AC11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1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17">
      <formula>AV12="X"</formula>
    </cfRule>
    <cfRule type="expression" priority="1190" dxfId="16">
      <formula>AV12="후보"</formula>
    </cfRule>
  </conditionalFormatting>
  <conditionalFormatting sqref="AC12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12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17">
      <formula>AV13="X"</formula>
    </cfRule>
    <cfRule type="expression" priority="1171" dxfId="16">
      <formula>AV13="후보"</formula>
    </cfRule>
  </conditionalFormatting>
  <conditionalFormatting sqref="AC13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17">
      <formula>AV14="X"</formula>
    </cfRule>
    <cfRule type="expression" priority="1152" dxfId="16">
      <formula>AV14="후보"</formula>
    </cfRule>
  </conditionalFormatting>
  <conditionalFormatting sqref="AC14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14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17">
      <formula>AV15="X"</formula>
    </cfRule>
    <cfRule type="expression" priority="1133" dxfId="16">
      <formula>AV15="후보"</formula>
    </cfRule>
  </conditionalFormatting>
  <conditionalFormatting sqref="AC1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5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17">
      <formula>AV16="X"</formula>
    </cfRule>
    <cfRule type="expression" priority="1114" dxfId="16">
      <formula>AV16="후보"</formula>
    </cfRule>
  </conditionalFormatting>
  <conditionalFormatting sqref="AC16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17">
      <formula>AV17="X"</formula>
    </cfRule>
    <cfRule type="expression" priority="1095" dxfId="16">
      <formula>AV17="후보"</formula>
    </cfRule>
  </conditionalFormatting>
  <conditionalFormatting sqref="AC1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17">
      <formula>AV18="X"</formula>
    </cfRule>
    <cfRule type="expression" priority="1076" dxfId="16">
      <formula>AV18="후보"</formula>
    </cfRule>
  </conditionalFormatting>
  <conditionalFormatting sqref="AC18 N1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AV19">
    <cfRule type="expression" priority="1070" dxfId="17">
      <formula>AV19="X"</formula>
    </cfRule>
    <cfRule type="expression" priority="1071" dxfId="16">
      <formula>AV19="후보"</formula>
    </cfRule>
  </conditionalFormatting>
  <conditionalFormatting sqref="AC19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9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17">
      <formula>AV20="X"</formula>
    </cfRule>
    <cfRule type="expression" priority="1052" dxfId="16">
      <formula>AV20="후보"</formula>
    </cfRule>
  </conditionalFormatting>
  <conditionalFormatting sqref="AC20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0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17">
      <formula>AV21="X"</formula>
    </cfRule>
    <cfRule type="expression" priority="1033" dxfId="16">
      <formula>AV21="후보"</formula>
    </cfRule>
  </conditionalFormatting>
  <conditionalFormatting sqref="AC2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2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17">
      <formula>AV22="X"</formula>
    </cfRule>
    <cfRule type="expression" priority="1014" dxfId="16">
      <formula>AV22="후보"</formula>
    </cfRule>
  </conditionalFormatting>
  <conditionalFormatting sqref="AC22 N2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AV23">
    <cfRule type="expression" priority="1008" dxfId="17">
      <formula>AV23="X"</formula>
    </cfRule>
    <cfRule type="expression" priority="1009" dxfId="16">
      <formula>AV23="후보"</formula>
    </cfRule>
  </conditionalFormatting>
  <conditionalFormatting sqref="AC23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23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17">
      <formula>AV24="X"</formula>
    </cfRule>
    <cfRule type="expression" priority="990" dxfId="16">
      <formula>AV24="후보"</formula>
    </cfRule>
  </conditionalFormatting>
  <conditionalFormatting sqref="AC24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24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17">
      <formula>AV25="X"</formula>
    </cfRule>
    <cfRule type="expression" priority="971" dxfId="16">
      <formula>AV25="후보"</formula>
    </cfRule>
  </conditionalFormatting>
  <conditionalFormatting sqref="AC2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17">
      <formula>AV26="X"</formula>
    </cfRule>
    <cfRule type="expression" priority="952" dxfId="16">
      <formula>AV26="후보"</formula>
    </cfRule>
  </conditionalFormatting>
  <conditionalFormatting sqref="AC2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2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17">
      <formula>AV27="X"</formula>
    </cfRule>
    <cfRule type="expression" priority="933" dxfId="16">
      <formula>AV27="후보"</formula>
    </cfRule>
  </conditionalFormatting>
  <conditionalFormatting sqref="AC2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17">
      <formula>AV28="X"</formula>
    </cfRule>
    <cfRule type="expression" priority="914" dxfId="16">
      <formula>AV28="후보"</formula>
    </cfRule>
  </conditionalFormatting>
  <conditionalFormatting sqref="AC2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17">
      <formula>AV29="X"</formula>
    </cfRule>
    <cfRule type="expression" priority="895" dxfId="16">
      <formula>AV29="후보"</formula>
    </cfRule>
  </conditionalFormatting>
  <conditionalFormatting sqref="AC2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29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17">
      <formula>AV30="X"</formula>
    </cfRule>
    <cfRule type="expression" priority="876" dxfId="16">
      <formula>AV30="후보"</formula>
    </cfRule>
  </conditionalFormatting>
  <conditionalFormatting sqref="AC30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30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17">
      <formula>AV31="X"</formula>
    </cfRule>
    <cfRule type="expression" priority="857" dxfId="16">
      <formula>AV31="후보"</formula>
    </cfRule>
  </conditionalFormatting>
  <conditionalFormatting sqref="AC31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31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17">
      <formula>AV32="X"</formula>
    </cfRule>
    <cfRule type="expression" priority="838" dxfId="16">
      <formula>AV32="후보"</formula>
    </cfRule>
  </conditionalFormatting>
  <conditionalFormatting sqref="AC3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3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17">
      <formula>AV33="X"</formula>
    </cfRule>
    <cfRule type="expression" priority="819" dxfId="16">
      <formula>AV33="후보"</formula>
    </cfRule>
  </conditionalFormatting>
  <conditionalFormatting sqref="AC3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17">
      <formula>AV34="X"</formula>
    </cfRule>
    <cfRule type="expression" priority="800" dxfId="16">
      <formula>AV34="후보"</formula>
    </cfRule>
  </conditionalFormatting>
  <conditionalFormatting sqref="AC3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17">
      <formula>AV35="X"</formula>
    </cfRule>
    <cfRule type="expression" priority="781" dxfId="16">
      <formula>AV35="후보"</formula>
    </cfRule>
  </conditionalFormatting>
  <conditionalFormatting sqref="AC3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17">
      <formula>AV36="X"</formula>
    </cfRule>
    <cfRule type="expression" priority="762" dxfId="16">
      <formula>AV36="후보"</formula>
    </cfRule>
  </conditionalFormatting>
  <conditionalFormatting sqref="AC3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17">
      <formula>AV37="X"</formula>
    </cfRule>
    <cfRule type="expression" priority="743" dxfId="16">
      <formula>AV37="후보"</formula>
    </cfRule>
  </conditionalFormatting>
  <conditionalFormatting sqref="AC37 N3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38">
    <cfRule type="expression" priority="737" dxfId="17">
      <formula>AV38="X"</formula>
    </cfRule>
    <cfRule type="expression" priority="738" dxfId="16">
      <formula>AV38="후보"</formula>
    </cfRule>
  </conditionalFormatting>
  <conditionalFormatting sqref="AC3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17">
      <formula>AV39="X"</formula>
    </cfRule>
    <cfRule type="expression" priority="719" dxfId="16">
      <formula>AV39="후보"</formula>
    </cfRule>
  </conditionalFormatting>
  <conditionalFormatting sqref="AC3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17">
      <formula>AV40="X"</formula>
    </cfRule>
    <cfRule type="expression" priority="700" dxfId="16">
      <formula>AV40="후보"</formula>
    </cfRule>
  </conditionalFormatting>
  <conditionalFormatting sqref="AC4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17">
      <formula>AV41="X"</formula>
    </cfRule>
    <cfRule type="expression" priority="681" dxfId="16">
      <formula>AV41="후보"</formula>
    </cfRule>
  </conditionalFormatting>
  <conditionalFormatting sqref="AC41 N4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42">
    <cfRule type="expression" priority="675" dxfId="17">
      <formula>AV42="X"</formula>
    </cfRule>
    <cfRule type="expression" priority="676" dxfId="16">
      <formula>AV42="후보"</formula>
    </cfRule>
  </conditionalFormatting>
  <conditionalFormatting sqref="AC4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4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17">
      <formula>AV43="X"</formula>
    </cfRule>
    <cfRule type="expression" priority="657" dxfId="16">
      <formula>AV43="후보"</formula>
    </cfRule>
  </conditionalFormatting>
  <conditionalFormatting sqref="AC4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4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17">
      <formula>AV44="X"</formula>
    </cfRule>
    <cfRule type="expression" priority="638" dxfId="16">
      <formula>AV44="후보"</formula>
    </cfRule>
  </conditionalFormatting>
  <conditionalFormatting sqref="AC4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44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17">
      <formula>AV45="X"</formula>
    </cfRule>
    <cfRule type="expression" priority="619" dxfId="16">
      <formula>AV45="후보"</formula>
    </cfRule>
  </conditionalFormatting>
  <conditionalFormatting sqref="AC45 N45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46">
    <cfRule type="expression" priority="613" dxfId="17">
      <formula>AV46="X"</formula>
    </cfRule>
    <cfRule type="expression" priority="614" dxfId="16">
      <formula>AV46="후보"</formula>
    </cfRule>
  </conditionalFormatting>
  <conditionalFormatting sqref="AC4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4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17">
      <formula>AV47="X"</formula>
    </cfRule>
    <cfRule type="expression" priority="595" dxfId="16">
      <formula>AV47="후보"</formula>
    </cfRule>
  </conditionalFormatting>
  <conditionalFormatting sqref="AC4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17">
      <formula>AV48="X"</formula>
    </cfRule>
    <cfRule type="expression" priority="576" dxfId="16">
      <formula>AV48="후보"</formula>
    </cfRule>
  </conditionalFormatting>
  <conditionalFormatting sqref="AC4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8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17">
      <formula>AV49="X"</formula>
    </cfRule>
    <cfRule type="expression" priority="557" dxfId="16">
      <formula>AV49="후보"</formula>
    </cfRule>
  </conditionalFormatting>
  <conditionalFormatting sqref="AC49 N4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50">
    <cfRule type="expression" priority="551" dxfId="17">
      <formula>AV50="X"</formula>
    </cfRule>
    <cfRule type="expression" priority="552" dxfId="16">
      <formula>AV50="후보"</formula>
    </cfRule>
  </conditionalFormatting>
  <conditionalFormatting sqref="AC5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17">
      <formula>AV51="X"</formula>
    </cfRule>
    <cfRule type="expression" priority="533" dxfId="16">
      <formula>AV51="후보"</formula>
    </cfRule>
  </conditionalFormatting>
  <conditionalFormatting sqref="AC5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5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17">
      <formula>AV52="X"</formula>
    </cfRule>
    <cfRule type="expression" priority="514" dxfId="16">
      <formula>AV52="후보"</formula>
    </cfRule>
  </conditionalFormatting>
  <conditionalFormatting sqref="AC5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5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17">
      <formula>AV53="X"</formula>
    </cfRule>
    <cfRule type="expression" priority="495" dxfId="16">
      <formula>AV53="후보"</formula>
    </cfRule>
  </conditionalFormatting>
  <conditionalFormatting sqref="AC5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3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17">
      <formula>AV54="X"</formula>
    </cfRule>
    <cfRule type="expression" priority="476" dxfId="16">
      <formula>AV54="후보"</formula>
    </cfRule>
  </conditionalFormatting>
  <conditionalFormatting sqref="AC5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17">
      <formula>AV55="X"</formula>
    </cfRule>
    <cfRule type="expression" priority="457" dxfId="16">
      <formula>AV55="후보"</formula>
    </cfRule>
  </conditionalFormatting>
  <conditionalFormatting sqref="AC5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5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17">
      <formula>AV56="X"</formula>
    </cfRule>
    <cfRule type="expression" priority="438" dxfId="16">
      <formula>AV56="후보"</formula>
    </cfRule>
  </conditionalFormatting>
  <conditionalFormatting sqref="AC5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5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17">
      <formula>AV57="X"</formula>
    </cfRule>
    <cfRule type="expression" priority="419" dxfId="16">
      <formula>AV57="후보"</formula>
    </cfRule>
  </conditionalFormatting>
  <conditionalFormatting sqref="AC5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17">
      <formula>AV58="X"</formula>
    </cfRule>
    <cfRule type="expression" priority="400" dxfId="16">
      <formula>AV58="후보"</formula>
    </cfRule>
  </conditionalFormatting>
  <conditionalFormatting sqref="AC5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17">
      <formula>AV59="X"</formula>
    </cfRule>
    <cfRule type="expression" priority="381" dxfId="16">
      <formula>AV59="후보"</formula>
    </cfRule>
  </conditionalFormatting>
  <conditionalFormatting sqref="AC5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17">
      <formula>AV60="X"</formula>
    </cfRule>
    <cfRule type="expression" priority="362" dxfId="16">
      <formula>AV60="후보"</formula>
    </cfRule>
  </conditionalFormatting>
  <conditionalFormatting sqref="AC6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17">
      <formula>AV61="X"</formula>
    </cfRule>
    <cfRule type="expression" priority="343" dxfId="16">
      <formula>AV61="후보"</formula>
    </cfRule>
  </conditionalFormatting>
  <conditionalFormatting sqref="AC61 N6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62">
    <cfRule type="expression" priority="337" dxfId="17">
      <formula>AV62="X"</formula>
    </cfRule>
    <cfRule type="expression" priority="338" dxfId="16">
      <formula>AV62="후보"</formula>
    </cfRule>
  </conditionalFormatting>
  <conditionalFormatting sqref="AC6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17">
      <formula>AV63="X"</formula>
    </cfRule>
    <cfRule type="expression" priority="319" dxfId="16">
      <formula>AV63="후보"</formula>
    </cfRule>
  </conditionalFormatting>
  <conditionalFormatting sqref="AC6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17">
      <formula>AV64="X"</formula>
    </cfRule>
    <cfRule type="expression" priority="300" dxfId="16">
      <formula>AV64="후보"</formula>
    </cfRule>
  </conditionalFormatting>
  <conditionalFormatting sqref="AC6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17">
      <formula>AV65="X"</formula>
    </cfRule>
    <cfRule type="expression" priority="281" dxfId="16">
      <formula>AV65="후보"</formula>
    </cfRule>
  </conditionalFormatting>
  <conditionalFormatting sqref="AC6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17">
      <formula>AV66="X"</formula>
    </cfRule>
    <cfRule type="expression" priority="262" dxfId="16">
      <formula>AV66="후보"</formula>
    </cfRule>
  </conditionalFormatting>
  <conditionalFormatting sqref="AC66 N6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67">
    <cfRule type="expression" priority="256" dxfId="17">
      <formula>AV67="X"</formula>
    </cfRule>
    <cfRule type="expression" priority="257" dxfId="16">
      <formula>AV67="후보"</formula>
    </cfRule>
  </conditionalFormatting>
  <conditionalFormatting sqref="AC6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17">
      <formula>AV68="X"</formula>
    </cfRule>
    <cfRule type="expression" priority="238" dxfId="16">
      <formula>AV68="후보"</formula>
    </cfRule>
  </conditionalFormatting>
  <conditionalFormatting sqref="AC6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17">
      <formula>AV69="X"</formula>
    </cfRule>
    <cfRule type="expression" priority="219" dxfId="16">
      <formula>AV69="후보"</formula>
    </cfRule>
  </conditionalFormatting>
  <conditionalFormatting sqref="AC6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17">
      <formula>AV70="X"</formula>
    </cfRule>
    <cfRule type="expression" priority="200" dxfId="16">
      <formula>AV70="후보"</formula>
    </cfRule>
  </conditionalFormatting>
  <conditionalFormatting sqref="AC7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17">
      <formula>AV71="X"</formula>
    </cfRule>
    <cfRule type="expression" priority="181" dxfId="16">
      <formula>AV71="후보"</formula>
    </cfRule>
  </conditionalFormatting>
  <conditionalFormatting sqref="AC7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17">
      <formula>AV72="X"</formula>
    </cfRule>
    <cfRule type="expression" priority="162" dxfId="16">
      <formula>AV72="후보"</formula>
    </cfRule>
  </conditionalFormatting>
  <conditionalFormatting sqref="AC72 N7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3">
    <cfRule type="expression" priority="156" dxfId="17">
      <formula>AV73="X"</formula>
    </cfRule>
    <cfRule type="expression" priority="157" dxfId="16">
      <formula>AV73="후보"</formula>
    </cfRule>
  </conditionalFormatting>
  <conditionalFormatting sqref="AC7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17">
      <formula>AV74="X"</formula>
    </cfRule>
    <cfRule type="expression" priority="138" dxfId="16">
      <formula>AV74="후보"</formula>
    </cfRule>
  </conditionalFormatting>
  <conditionalFormatting sqref="AC7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17">
      <formula>AV75="X"</formula>
    </cfRule>
    <cfRule type="expression" priority="119" dxfId="16">
      <formula>AV75="후보"</formula>
    </cfRule>
  </conditionalFormatting>
  <conditionalFormatting sqref="AC7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17">
      <formula>AV76="X"</formula>
    </cfRule>
    <cfRule type="expression" priority="100" dxfId="16">
      <formula>AV76="후보"</formula>
    </cfRule>
  </conditionalFormatting>
  <conditionalFormatting sqref="AC76 N7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7">
    <cfRule type="expression" priority="94" dxfId="17">
      <formula>AV77="X"</formula>
    </cfRule>
    <cfRule type="expression" priority="95" dxfId="16">
      <formula>AV77="후보"</formula>
    </cfRule>
  </conditionalFormatting>
  <conditionalFormatting sqref="AC7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17">
      <formula>AV78="X"</formula>
    </cfRule>
    <cfRule type="expression" priority="76" dxfId="16">
      <formula>AV78="후보"</formula>
    </cfRule>
  </conditionalFormatting>
  <conditionalFormatting sqref="AC7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17">
      <formula>AV79="X"</formula>
    </cfRule>
    <cfRule type="expression" priority="57" dxfId="16">
      <formula>AV79="후보"</formula>
    </cfRule>
  </conditionalFormatting>
  <conditionalFormatting sqref="AC7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17">
      <formula>AV80="X"</formula>
    </cfRule>
    <cfRule type="expression" priority="38" dxfId="16">
      <formula>AV80="후보"</formula>
    </cfRule>
  </conditionalFormatting>
  <conditionalFormatting sqref="AC8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17">
      <formula>AV81="X"</formula>
    </cfRule>
    <cfRule type="expression" priority="19" dxfId="16">
      <formula>AV81="후보"</formula>
    </cfRule>
  </conditionalFormatting>
  <conditionalFormatting sqref="AC8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2022-11-14T14:49:42Z</dcterms:modified>
  <cp:lastModifiedBy>MinsuKwon</cp:lastModifiedBy>
  <cp:lastPrinted>2018-04-28T10:52:41Z</cp:lastPrinted>
</cp:coreProperties>
</file>